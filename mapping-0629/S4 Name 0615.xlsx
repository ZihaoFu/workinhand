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7795" windowHeight="12105" tabRatio="522"/>
  </bookViews>
  <sheets>
    <sheet name="V1" sheetId="4" r:id="rId1"/>
    <sheet name="Sheet1" sheetId="1" state="hidden" r:id="rId2"/>
    <sheet name="Table" sheetId="8" r:id="rId3"/>
    <sheet name="Data-WK" sheetId="5" r:id="rId4"/>
    <sheet name="IFRS only" sheetId="6" r:id="rId5"/>
    <sheet name="ETL Scope" sheetId="7" r:id="rId6"/>
  </sheets>
  <externalReferences>
    <externalReference r:id="rId7"/>
    <externalReference r:id="rId8"/>
  </externalReferences>
  <definedNames>
    <definedName name="_xlnm._FilterDatabase" localSheetId="3" hidden="1">'Data-WK'!$F$1:$I$965</definedName>
    <definedName name="_xlnm._FilterDatabase" localSheetId="5" hidden="1">'ETL Scope'!$I$1:$K$63</definedName>
    <definedName name="_xlnm._FilterDatabase" localSheetId="4" hidden="1">'IFRS only'!$A$1:$B$73</definedName>
    <definedName name="_xlnm._FilterDatabase" localSheetId="2" hidden="1">Table!$J$1:$N$169</definedName>
    <definedName name="_xlnm._FilterDatabase" localSheetId="0" hidden="1">'V1'!$A$1:$P$1241</definedName>
    <definedName name="BPC_TIME">[1]Selection!$I$11</definedName>
    <definedName name="DESC_CYTIME">[1]Selection!$E$21</definedName>
    <definedName name="DESC_ENTITY">[1]Selection!$D$13</definedName>
    <definedName name="DESC_FUND">[1]Selection!$D$15</definedName>
    <definedName name="VIEW_C_DATASRC">[1]Selection!$C$12</definedName>
    <definedName name="VIEW_CURRENCY">[1]Selection!$C$9</definedName>
  </definedNames>
  <calcPr calcId="125725" calcMode="manual" calcCompleted="0" calcOnSave="0" concurrentCalc="0"/>
  <pivotCaches>
    <pivotCache cacheId="6" r:id="rId9"/>
  </pivotCaches>
</workbook>
</file>

<file path=xl/calcChain.xml><?xml version="1.0" encoding="utf-8"?>
<calcChain xmlns="http://schemas.openxmlformats.org/spreadsheetml/2006/main">
  <c r="N28" i="4"/>
  <c r="M28"/>
  <c r="L28"/>
  <c r="N9"/>
  <c r="M9"/>
  <c r="L9"/>
  <c r="L2"/>
  <c r="M2"/>
  <c r="N2"/>
  <c r="L3"/>
  <c r="M3"/>
  <c r="N3"/>
  <c r="L4"/>
  <c r="M4"/>
  <c r="N4"/>
  <c r="L5"/>
  <c r="M5"/>
  <c r="N5"/>
  <c r="L6"/>
  <c r="M6"/>
  <c r="N6"/>
  <c r="L7"/>
  <c r="M7"/>
  <c r="N7"/>
  <c r="L8"/>
  <c r="M8"/>
  <c r="N8"/>
  <c r="L10"/>
  <c r="M10"/>
  <c r="N10"/>
  <c r="L11"/>
  <c r="M11"/>
  <c r="N11"/>
  <c r="L12"/>
  <c r="M12"/>
  <c r="N12"/>
  <c r="L13"/>
  <c r="M13"/>
  <c r="N13"/>
  <c r="L14"/>
  <c r="M14"/>
  <c r="N14"/>
  <c r="L16"/>
  <c r="M16"/>
  <c r="N16"/>
  <c r="L17"/>
  <c r="M17"/>
  <c r="N17"/>
  <c r="L18"/>
  <c r="M18"/>
  <c r="N18"/>
  <c r="L19"/>
  <c r="M19"/>
  <c r="N19"/>
  <c r="L20"/>
  <c r="M20"/>
  <c r="N20"/>
  <c r="L22"/>
  <c r="M22"/>
  <c r="N22"/>
  <c r="L23"/>
  <c r="M23"/>
  <c r="N23"/>
  <c r="L24"/>
  <c r="M24"/>
  <c r="N24"/>
  <c r="L25"/>
  <c r="M25"/>
  <c r="N25"/>
  <c r="L26"/>
  <c r="M26"/>
  <c r="N26"/>
  <c r="L27"/>
  <c r="M27"/>
  <c r="N27"/>
  <c r="L30"/>
  <c r="M30"/>
  <c r="N30"/>
  <c r="L33"/>
  <c r="M33"/>
  <c r="N33"/>
  <c r="L34"/>
  <c r="M34"/>
  <c r="N34"/>
  <c r="L35"/>
  <c r="M35"/>
  <c r="N35"/>
  <c r="L36"/>
  <c r="M36"/>
  <c r="N36"/>
  <c r="L37"/>
  <c r="M37"/>
  <c r="N37"/>
  <c r="L38"/>
  <c r="M38"/>
  <c r="N38"/>
  <c r="L39"/>
  <c r="M39"/>
  <c r="N39"/>
  <c r="L40"/>
  <c r="M40"/>
  <c r="N40"/>
  <c r="L41"/>
  <c r="M41"/>
  <c r="N41"/>
  <c r="L42"/>
  <c r="M42"/>
  <c r="N42"/>
  <c r="L43"/>
  <c r="M43"/>
  <c r="N43"/>
  <c r="L44"/>
  <c r="M44"/>
  <c r="N44"/>
  <c r="L45"/>
  <c r="M45"/>
  <c r="N45"/>
  <c r="L46"/>
  <c r="M46"/>
  <c r="N46"/>
  <c r="L47"/>
  <c r="M47"/>
  <c r="N47"/>
  <c r="L48"/>
  <c r="M48"/>
  <c r="N48"/>
  <c r="L49"/>
  <c r="M49"/>
  <c r="N49"/>
  <c r="L51"/>
  <c r="M51"/>
  <c r="N51"/>
  <c r="L52"/>
  <c r="M52"/>
  <c r="N52"/>
  <c r="L54"/>
  <c r="M54"/>
  <c r="N54"/>
  <c r="L55"/>
  <c r="M55"/>
  <c r="N55"/>
  <c r="L56"/>
  <c r="M56"/>
  <c r="N56"/>
  <c r="L57"/>
  <c r="M57"/>
  <c r="N57"/>
  <c r="L58"/>
  <c r="M58"/>
  <c r="N58"/>
  <c r="L59"/>
  <c r="M59"/>
  <c r="N59"/>
  <c r="L60"/>
  <c r="M60"/>
  <c r="N60"/>
  <c r="L61"/>
  <c r="M61"/>
  <c r="N61"/>
  <c r="L62"/>
  <c r="M62"/>
  <c r="N62"/>
  <c r="L63"/>
  <c r="M63"/>
  <c r="N63"/>
  <c r="L64"/>
  <c r="M64"/>
  <c r="N64"/>
  <c r="L65"/>
  <c r="M65"/>
  <c r="N65"/>
  <c r="L66"/>
  <c r="M66"/>
  <c r="N66"/>
  <c r="L67"/>
  <c r="M67"/>
  <c r="N67"/>
  <c r="L68"/>
  <c r="M68"/>
  <c r="N68"/>
  <c r="L69"/>
  <c r="M69"/>
  <c r="N69"/>
  <c r="L70"/>
  <c r="M70"/>
  <c r="N70"/>
  <c r="L71"/>
  <c r="M71"/>
  <c r="N71"/>
  <c r="L72"/>
  <c r="M72"/>
  <c r="N72"/>
  <c r="L73"/>
  <c r="M73"/>
  <c r="N73"/>
  <c r="L74"/>
  <c r="M74"/>
  <c r="N74"/>
  <c r="L75"/>
  <c r="M75"/>
  <c r="N75"/>
  <c r="L76"/>
  <c r="M76"/>
  <c r="N76"/>
  <c r="L80"/>
  <c r="M80"/>
  <c r="N80"/>
  <c r="L81"/>
  <c r="M81"/>
  <c r="N81"/>
  <c r="L82"/>
  <c r="M82"/>
  <c r="N82"/>
  <c r="L83"/>
  <c r="M83"/>
  <c r="N83"/>
  <c r="L84"/>
  <c r="M84"/>
  <c r="N84"/>
  <c r="L85"/>
  <c r="M85"/>
  <c r="N85"/>
  <c r="L88"/>
  <c r="M88"/>
  <c r="N88"/>
  <c r="L91"/>
  <c r="M91"/>
  <c r="N91"/>
  <c r="L90"/>
  <c r="M90"/>
  <c r="N90"/>
  <c r="L86"/>
  <c r="M86"/>
  <c r="N86"/>
  <c r="L94"/>
  <c r="M94"/>
  <c r="N94"/>
  <c r="L96"/>
  <c r="M96"/>
  <c r="N96"/>
  <c r="L97"/>
  <c r="M97"/>
  <c r="N97"/>
  <c r="L98"/>
  <c r="M98"/>
  <c r="N98"/>
  <c r="L99"/>
  <c r="M99"/>
  <c r="N99"/>
  <c r="L100"/>
  <c r="M100"/>
  <c r="N100"/>
  <c r="L101"/>
  <c r="M101"/>
  <c r="N101"/>
  <c r="L102"/>
  <c r="M102"/>
  <c r="N102"/>
  <c r="L103"/>
  <c r="M103"/>
  <c r="N103"/>
  <c r="L104"/>
  <c r="M104"/>
  <c r="N104"/>
  <c r="L105"/>
  <c r="M105"/>
  <c r="N105"/>
  <c r="L106"/>
  <c r="M106"/>
  <c r="N106"/>
  <c r="L107"/>
  <c r="M107"/>
  <c r="N107"/>
  <c r="L108"/>
  <c r="M108"/>
  <c r="N108"/>
  <c r="L109"/>
  <c r="M109"/>
  <c r="N109"/>
  <c r="L110"/>
  <c r="M110"/>
  <c r="N110"/>
  <c r="L111"/>
  <c r="M111"/>
  <c r="N111"/>
  <c r="L112"/>
  <c r="M112"/>
  <c r="N112"/>
  <c r="L113"/>
  <c r="M113"/>
  <c r="N113"/>
  <c r="L114"/>
  <c r="M114"/>
  <c r="N114"/>
  <c r="L115"/>
  <c r="M115"/>
  <c r="N115"/>
  <c r="L116"/>
  <c r="M116"/>
  <c r="N116"/>
  <c r="L119"/>
  <c r="M119"/>
  <c r="N119"/>
  <c r="L120"/>
  <c r="M120"/>
  <c r="N120"/>
  <c r="L121"/>
  <c r="M121"/>
  <c r="N121"/>
  <c r="L122"/>
  <c r="M122"/>
  <c r="N122"/>
  <c r="L123"/>
  <c r="M123"/>
  <c r="N123"/>
  <c r="L124"/>
  <c r="M124"/>
  <c r="N124"/>
  <c r="L126"/>
  <c r="M126"/>
  <c r="N126"/>
  <c r="L127"/>
  <c r="M127"/>
  <c r="N127"/>
  <c r="L128"/>
  <c r="M128"/>
  <c r="N128"/>
  <c r="L129"/>
  <c r="M129"/>
  <c r="N129"/>
  <c r="L130"/>
  <c r="M130"/>
  <c r="N130"/>
  <c r="L131"/>
  <c r="M131"/>
  <c r="N131"/>
  <c r="L132"/>
  <c r="M132"/>
  <c r="N132"/>
  <c r="L133"/>
  <c r="M133"/>
  <c r="N133"/>
  <c r="L134"/>
  <c r="M134"/>
  <c r="N134"/>
  <c r="L135"/>
  <c r="M135"/>
  <c r="N135"/>
  <c r="L481"/>
  <c r="M481"/>
  <c r="N481"/>
  <c r="L482"/>
  <c r="M482"/>
  <c r="N482"/>
  <c r="L483"/>
  <c r="M483"/>
  <c r="N483"/>
  <c r="L484"/>
  <c r="M484"/>
  <c r="N484"/>
  <c r="L485"/>
  <c r="M485"/>
  <c r="N485"/>
  <c r="L486"/>
  <c r="M486"/>
  <c r="N486"/>
  <c r="L487"/>
  <c r="M487"/>
  <c r="N487"/>
  <c r="L488"/>
  <c r="M488"/>
  <c r="N488"/>
  <c r="L489"/>
  <c r="M489"/>
  <c r="N489"/>
  <c r="L490"/>
  <c r="M490"/>
  <c r="N490"/>
  <c r="L491"/>
  <c r="M491"/>
  <c r="N491"/>
  <c r="L492"/>
  <c r="M492"/>
  <c r="N492"/>
  <c r="L493"/>
  <c r="M493"/>
  <c r="N493"/>
  <c r="L494"/>
  <c r="M494"/>
  <c r="N494"/>
  <c r="L495"/>
  <c r="M495"/>
  <c r="N495"/>
  <c r="L496"/>
  <c r="M496"/>
  <c r="N496"/>
  <c r="L497"/>
  <c r="M497"/>
  <c r="N497"/>
  <c r="L498"/>
  <c r="M498"/>
  <c r="N498"/>
  <c r="L499"/>
  <c r="M499"/>
  <c r="N499"/>
  <c r="L500"/>
  <c r="M500"/>
  <c r="N500"/>
  <c r="L501"/>
  <c r="M501"/>
  <c r="N501"/>
  <c r="L502"/>
  <c r="M502"/>
  <c r="N502"/>
  <c r="L503"/>
  <c r="M503"/>
  <c r="N503"/>
  <c r="L504"/>
  <c r="M504"/>
  <c r="N504"/>
  <c r="L505"/>
  <c r="M505"/>
  <c r="N505"/>
  <c r="L506"/>
  <c r="M506"/>
  <c r="N506"/>
  <c r="L507"/>
  <c r="M507"/>
  <c r="N507"/>
  <c r="L508"/>
  <c r="M508"/>
  <c r="N508"/>
  <c r="L509"/>
  <c r="M509"/>
  <c r="N509"/>
  <c r="L510"/>
  <c r="M510"/>
  <c r="N510"/>
  <c r="L511"/>
  <c r="M511"/>
  <c r="N511"/>
  <c r="L512"/>
  <c r="M512"/>
  <c r="N512"/>
  <c r="L513"/>
  <c r="M513"/>
  <c r="N513"/>
  <c r="L514"/>
  <c r="M514"/>
  <c r="N514"/>
  <c r="L515"/>
  <c r="M515"/>
  <c r="N515"/>
  <c r="L516"/>
  <c r="M516"/>
  <c r="N516"/>
  <c r="L517"/>
  <c r="M517"/>
  <c r="N517"/>
  <c r="L647"/>
  <c r="M647"/>
  <c r="N647"/>
  <c r="L518"/>
  <c r="M518"/>
  <c r="N518"/>
  <c r="L520"/>
  <c r="M520"/>
  <c r="N520"/>
  <c r="L521"/>
  <c r="M521"/>
  <c r="N521"/>
  <c r="L522"/>
  <c r="M522"/>
  <c r="N522"/>
  <c r="L523"/>
  <c r="M523"/>
  <c r="N523"/>
  <c r="L524"/>
  <c r="M524"/>
  <c r="N524"/>
  <c r="L525"/>
  <c r="M525"/>
  <c r="N525"/>
  <c r="L526"/>
  <c r="M526"/>
  <c r="N526"/>
  <c r="L527"/>
  <c r="M527"/>
  <c r="N527"/>
  <c r="L528"/>
  <c r="M528"/>
  <c r="N528"/>
  <c r="L529"/>
  <c r="M529"/>
  <c r="N529"/>
  <c r="L530"/>
  <c r="M530"/>
  <c r="N530"/>
  <c r="L531"/>
  <c r="M531"/>
  <c r="N531"/>
  <c r="L532"/>
  <c r="M532"/>
  <c r="N532"/>
  <c r="L533"/>
  <c r="M533"/>
  <c r="N533"/>
  <c r="L534"/>
  <c r="M534"/>
  <c r="N534"/>
  <c r="L535"/>
  <c r="M535"/>
  <c r="N535"/>
  <c r="L536"/>
  <c r="M536"/>
  <c r="N536"/>
  <c r="L537"/>
  <c r="M537"/>
  <c r="N537"/>
  <c r="L538"/>
  <c r="M538"/>
  <c r="N538"/>
  <c r="L539"/>
  <c r="M539"/>
  <c r="N539"/>
  <c r="L540"/>
  <c r="M540"/>
  <c r="N540"/>
  <c r="L541"/>
  <c r="M541"/>
  <c r="N541"/>
  <c r="L542"/>
  <c r="M542"/>
  <c r="N542"/>
  <c r="L543"/>
  <c r="M543"/>
  <c r="N543"/>
  <c r="L544"/>
  <c r="M544"/>
  <c r="N544"/>
  <c r="L545"/>
  <c r="M545"/>
  <c r="N545"/>
  <c r="L546"/>
  <c r="M546"/>
  <c r="N546"/>
  <c r="L547"/>
  <c r="M547"/>
  <c r="N547"/>
  <c r="L548"/>
  <c r="M548"/>
  <c r="N548"/>
  <c r="L549"/>
  <c r="M549"/>
  <c r="N549"/>
  <c r="L550"/>
  <c r="M550"/>
  <c r="N550"/>
  <c r="L551"/>
  <c r="M551"/>
  <c r="N551"/>
  <c r="L552"/>
  <c r="M552"/>
  <c r="N552"/>
  <c r="L553"/>
  <c r="M553"/>
  <c r="N553"/>
  <c r="L554"/>
  <c r="M554"/>
  <c r="N554"/>
  <c r="L555"/>
  <c r="M555"/>
  <c r="N555"/>
  <c r="L556"/>
  <c r="M556"/>
  <c r="N556"/>
  <c r="L557"/>
  <c r="M557"/>
  <c r="N557"/>
  <c r="L558"/>
  <c r="M558"/>
  <c r="N558"/>
  <c r="L559"/>
  <c r="M559"/>
  <c r="N559"/>
  <c r="L560"/>
  <c r="M560"/>
  <c r="N560"/>
  <c r="L561"/>
  <c r="M561"/>
  <c r="N561"/>
  <c r="L562"/>
  <c r="M562"/>
  <c r="N562"/>
  <c r="L563"/>
  <c r="M563"/>
  <c r="N563"/>
  <c r="L565"/>
  <c r="M565"/>
  <c r="N565"/>
  <c r="L566"/>
  <c r="M566"/>
  <c r="N566"/>
  <c r="L567"/>
  <c r="M567"/>
  <c r="N567"/>
  <c r="L568"/>
  <c r="M568"/>
  <c r="N568"/>
  <c r="L569"/>
  <c r="M569"/>
  <c r="N569"/>
  <c r="L570"/>
  <c r="M570"/>
  <c r="N570"/>
  <c r="L571"/>
  <c r="M571"/>
  <c r="N571"/>
  <c r="L572"/>
  <c r="M572"/>
  <c r="N572"/>
  <c r="L573"/>
  <c r="M573"/>
  <c r="N573"/>
  <c r="L574"/>
  <c r="M574"/>
  <c r="N574"/>
  <c r="L575"/>
  <c r="M575"/>
  <c r="N575"/>
  <c r="L576"/>
  <c r="M576"/>
  <c r="N576"/>
  <c r="L577"/>
  <c r="M577"/>
  <c r="N577"/>
  <c r="L578"/>
  <c r="M578"/>
  <c r="N578"/>
  <c r="L579"/>
  <c r="M579"/>
  <c r="N579"/>
  <c r="L580"/>
  <c r="M580"/>
  <c r="N580"/>
  <c r="L581"/>
  <c r="M581"/>
  <c r="N581"/>
  <c r="L582"/>
  <c r="M582"/>
  <c r="N582"/>
  <c r="L583"/>
  <c r="M583"/>
  <c r="N583"/>
  <c r="L584"/>
  <c r="M584"/>
  <c r="N584"/>
  <c r="L585"/>
  <c r="M585"/>
  <c r="N585"/>
  <c r="L586"/>
  <c r="M586"/>
  <c r="N586"/>
  <c r="L587"/>
  <c r="M587"/>
  <c r="N587"/>
  <c r="L588"/>
  <c r="M588"/>
  <c r="N588"/>
  <c r="L589"/>
  <c r="M589"/>
  <c r="N589"/>
  <c r="L590"/>
  <c r="M590"/>
  <c r="N590"/>
  <c r="L591"/>
  <c r="M591"/>
  <c r="N591"/>
  <c r="L592"/>
  <c r="M592"/>
  <c r="N592"/>
  <c r="L593"/>
  <c r="M593"/>
  <c r="N593"/>
  <c r="L594"/>
  <c r="M594"/>
  <c r="N594"/>
  <c r="L595"/>
  <c r="M595"/>
  <c r="N595"/>
  <c r="L596"/>
  <c r="M596"/>
  <c r="N596"/>
  <c r="L597"/>
  <c r="M597"/>
  <c r="N597"/>
  <c r="L598"/>
  <c r="M598"/>
  <c r="N598"/>
  <c r="L599"/>
  <c r="M599"/>
  <c r="N599"/>
  <c r="L600"/>
  <c r="M600"/>
  <c r="N600"/>
  <c r="L601"/>
  <c r="M601"/>
  <c r="N601"/>
  <c r="L602"/>
  <c r="M602"/>
  <c r="N602"/>
  <c r="L603"/>
  <c r="M603"/>
  <c r="N603"/>
  <c r="L604"/>
  <c r="M604"/>
  <c r="N604"/>
  <c r="L605"/>
  <c r="M605"/>
  <c r="N605"/>
  <c r="L606"/>
  <c r="M606"/>
  <c r="N606"/>
  <c r="L607"/>
  <c r="M607"/>
  <c r="N607"/>
  <c r="L608"/>
  <c r="M608"/>
  <c r="N608"/>
  <c r="L609"/>
  <c r="M609"/>
  <c r="N609"/>
  <c r="L610"/>
  <c r="M610"/>
  <c r="N610"/>
  <c r="L611"/>
  <c r="M611"/>
  <c r="N611"/>
  <c r="L612"/>
  <c r="M612"/>
  <c r="N612"/>
  <c r="L613"/>
  <c r="M613"/>
  <c r="N613"/>
  <c r="L614"/>
  <c r="M614"/>
  <c r="N614"/>
  <c r="L615"/>
  <c r="M615"/>
  <c r="N615"/>
  <c r="L616"/>
  <c r="M616"/>
  <c r="N616"/>
  <c r="L617"/>
  <c r="M617"/>
  <c r="N617"/>
  <c r="L618"/>
  <c r="M618"/>
  <c r="N618"/>
  <c r="L619"/>
  <c r="M619"/>
  <c r="N619"/>
  <c r="L620"/>
  <c r="M620"/>
  <c r="N620"/>
  <c r="L621"/>
  <c r="M621"/>
  <c r="N621"/>
  <c r="L622"/>
  <c r="M622"/>
  <c r="N622"/>
  <c r="L623"/>
  <c r="M623"/>
  <c r="N623"/>
  <c r="L624"/>
  <c r="M624"/>
  <c r="N624"/>
  <c r="L625"/>
  <c r="M625"/>
  <c r="N625"/>
  <c r="L626"/>
  <c r="M626"/>
  <c r="N626"/>
  <c r="L627"/>
  <c r="M627"/>
  <c r="N627"/>
  <c r="L628"/>
  <c r="M628"/>
  <c r="N628"/>
  <c r="L629"/>
  <c r="M629"/>
  <c r="N629"/>
  <c r="L630"/>
  <c r="M630"/>
  <c r="N630"/>
  <c r="L631"/>
  <c r="M631"/>
  <c r="N631"/>
  <c r="L632"/>
  <c r="M632"/>
  <c r="N632"/>
  <c r="L633"/>
  <c r="M633"/>
  <c r="N633"/>
  <c r="L634"/>
  <c r="M634"/>
  <c r="N634"/>
  <c r="L635"/>
  <c r="M635"/>
  <c r="N635"/>
  <c r="L636"/>
  <c r="M636"/>
  <c r="N636"/>
  <c r="L637"/>
  <c r="M637"/>
  <c r="N637"/>
  <c r="L638"/>
  <c r="M638"/>
  <c r="N638"/>
  <c r="L639"/>
  <c r="M639"/>
  <c r="N639"/>
  <c r="L640"/>
  <c r="M640"/>
  <c r="N640"/>
  <c r="L641"/>
  <c r="M641"/>
  <c r="N641"/>
  <c r="L642"/>
  <c r="M642"/>
  <c r="N642"/>
  <c r="L643"/>
  <c r="M643"/>
  <c r="N643"/>
  <c r="L644"/>
  <c r="M644"/>
  <c r="N644"/>
  <c r="L646"/>
  <c r="M646"/>
  <c r="N646"/>
  <c r="L648"/>
  <c r="M648"/>
  <c r="N648"/>
  <c r="L649"/>
  <c r="M649"/>
  <c r="N649"/>
  <c r="L650"/>
  <c r="M650"/>
  <c r="N650"/>
  <c r="L652"/>
  <c r="M652"/>
  <c r="N652"/>
  <c r="L653"/>
  <c r="M653"/>
  <c r="N653"/>
  <c r="L654"/>
  <c r="M654"/>
  <c r="N654"/>
  <c r="L655"/>
  <c r="M655"/>
  <c r="N655"/>
  <c r="L656"/>
  <c r="M656"/>
  <c r="N656"/>
  <c r="L657"/>
  <c r="M657"/>
  <c r="N657"/>
  <c r="L658"/>
  <c r="M658"/>
  <c r="N658"/>
  <c r="L659"/>
  <c r="M659"/>
  <c r="N659"/>
  <c r="L660"/>
  <c r="M660"/>
  <c r="N660"/>
  <c r="L661"/>
  <c r="M661"/>
  <c r="N661"/>
  <c r="L662"/>
  <c r="M662"/>
  <c r="N662"/>
  <c r="L663"/>
  <c r="M663"/>
  <c r="N663"/>
  <c r="L664"/>
  <c r="M664"/>
  <c r="N664"/>
  <c r="L665"/>
  <c r="M665"/>
  <c r="N665"/>
  <c r="L666"/>
  <c r="M666"/>
  <c r="N666"/>
  <c r="L667"/>
  <c r="M667"/>
  <c r="N667"/>
  <c r="L668"/>
  <c r="M668"/>
  <c r="N668"/>
  <c r="L669"/>
  <c r="M669"/>
  <c r="N669"/>
  <c r="L670"/>
  <c r="M670"/>
  <c r="N670"/>
  <c r="L671"/>
  <c r="M671"/>
  <c r="N671"/>
  <c r="L672"/>
  <c r="M672"/>
  <c r="N672"/>
  <c r="L673"/>
  <c r="M673"/>
  <c r="N673"/>
  <c r="L674"/>
  <c r="M674"/>
  <c r="N674"/>
  <c r="L675"/>
  <c r="M675"/>
  <c r="N675"/>
  <c r="L676"/>
  <c r="M676"/>
  <c r="N676"/>
  <c r="L677"/>
  <c r="M677"/>
  <c r="N677"/>
  <c r="L678"/>
  <c r="M678"/>
  <c r="N678"/>
  <c r="L679"/>
  <c r="M679"/>
  <c r="N679"/>
  <c r="L680"/>
  <c r="M680"/>
  <c r="N680"/>
  <c r="L681"/>
  <c r="M681"/>
  <c r="N681"/>
  <c r="L682"/>
  <c r="M682"/>
  <c r="N682"/>
  <c r="L683"/>
  <c r="M683"/>
  <c r="N683"/>
  <c r="L684"/>
  <c r="M684"/>
  <c r="N684"/>
  <c r="L685"/>
  <c r="M685"/>
  <c r="N685"/>
  <c r="L686"/>
  <c r="M686"/>
  <c r="N686"/>
  <c r="L687"/>
  <c r="M687"/>
  <c r="N687"/>
  <c r="L688"/>
  <c r="M688"/>
  <c r="N688"/>
  <c r="L689"/>
  <c r="M689"/>
  <c r="N689"/>
  <c r="L690"/>
  <c r="M690"/>
  <c r="N690"/>
  <c r="L691"/>
  <c r="M691"/>
  <c r="N691"/>
  <c r="L692"/>
  <c r="M692"/>
  <c r="N692"/>
  <c r="L693"/>
  <c r="M693"/>
  <c r="N693"/>
  <c r="L694"/>
  <c r="M694"/>
  <c r="N694"/>
  <c r="L698"/>
  <c r="M698"/>
  <c r="N698"/>
  <c r="L699"/>
  <c r="M699"/>
  <c r="N699"/>
  <c r="L700"/>
  <c r="M700"/>
  <c r="N700"/>
  <c r="L701"/>
  <c r="M701"/>
  <c r="N701"/>
  <c r="L702"/>
  <c r="M702"/>
  <c r="N702"/>
  <c r="L703"/>
  <c r="M703"/>
  <c r="N703"/>
  <c r="L704"/>
  <c r="M704"/>
  <c r="N704"/>
  <c r="L705"/>
  <c r="M705"/>
  <c r="N705"/>
  <c r="L706"/>
  <c r="M706"/>
  <c r="N706"/>
  <c r="L707"/>
  <c r="M707"/>
  <c r="N707"/>
  <c r="L708"/>
  <c r="M708"/>
  <c r="N708"/>
  <c r="L709"/>
  <c r="M709"/>
  <c r="N709"/>
  <c r="L710"/>
  <c r="M710"/>
  <c r="N710"/>
  <c r="L711"/>
  <c r="M711"/>
  <c r="N711"/>
  <c r="L712"/>
  <c r="M712"/>
  <c r="N712"/>
  <c r="L713"/>
  <c r="M713"/>
  <c r="N713"/>
  <c r="L714"/>
  <c r="M714"/>
  <c r="N714"/>
  <c r="L715"/>
  <c r="M715"/>
  <c r="N715"/>
  <c r="L716"/>
  <c r="M716"/>
  <c r="N716"/>
  <c r="L717"/>
  <c r="M717"/>
  <c r="N717"/>
  <c r="L718"/>
  <c r="M718"/>
  <c r="N718"/>
  <c r="L719"/>
  <c r="M719"/>
  <c r="N719"/>
  <c r="L720"/>
  <c r="M720"/>
  <c r="N720"/>
  <c r="L721"/>
  <c r="M721"/>
  <c r="N721"/>
  <c r="L722"/>
  <c r="M722"/>
  <c r="N722"/>
  <c r="L723"/>
  <c r="M723"/>
  <c r="N723"/>
  <c r="L724"/>
  <c r="M724"/>
  <c r="N724"/>
  <c r="L725"/>
  <c r="M725"/>
  <c r="N725"/>
  <c r="L726"/>
  <c r="M726"/>
  <c r="N726"/>
  <c r="L727"/>
  <c r="M727"/>
  <c r="N727"/>
  <c r="L728"/>
  <c r="M728"/>
  <c r="N728"/>
  <c r="L729"/>
  <c r="M729"/>
  <c r="N729"/>
  <c r="L730"/>
  <c r="M730"/>
  <c r="N730"/>
  <c r="L731"/>
  <c r="M731"/>
  <c r="N731"/>
  <c r="L732"/>
  <c r="M732"/>
  <c r="N732"/>
  <c r="L733"/>
  <c r="M733"/>
  <c r="N733"/>
  <c r="L734"/>
  <c r="M734"/>
  <c r="N734"/>
  <c r="L814"/>
  <c r="M814"/>
  <c r="N814"/>
  <c r="L735"/>
  <c r="M735"/>
  <c r="N735"/>
  <c r="L736"/>
  <c r="M736"/>
  <c r="N736"/>
  <c r="L737"/>
  <c r="M737"/>
  <c r="N737"/>
  <c r="L738"/>
  <c r="M738"/>
  <c r="N738"/>
  <c r="L739"/>
  <c r="M739"/>
  <c r="N739"/>
  <c r="L740"/>
  <c r="M740"/>
  <c r="N740"/>
  <c r="L741"/>
  <c r="M741"/>
  <c r="N741"/>
  <c r="L742"/>
  <c r="M742"/>
  <c r="N742"/>
  <c r="L743"/>
  <c r="M743"/>
  <c r="N743"/>
  <c r="L745"/>
  <c r="M745"/>
  <c r="N745"/>
  <c r="L746"/>
  <c r="M746"/>
  <c r="N746"/>
  <c r="L747"/>
  <c r="M747"/>
  <c r="N747"/>
  <c r="L748"/>
  <c r="M748"/>
  <c r="N748"/>
  <c r="L749"/>
  <c r="M749"/>
  <c r="N749"/>
  <c r="L750"/>
  <c r="M750"/>
  <c r="N750"/>
  <c r="L751"/>
  <c r="M751"/>
  <c r="N751"/>
  <c r="L752"/>
  <c r="M752"/>
  <c r="N752"/>
  <c r="L753"/>
  <c r="M753"/>
  <c r="N753"/>
  <c r="L754"/>
  <c r="M754"/>
  <c r="N754"/>
  <c r="L755"/>
  <c r="M755"/>
  <c r="N755"/>
  <c r="L756"/>
  <c r="M756"/>
  <c r="N756"/>
  <c r="L757"/>
  <c r="M757"/>
  <c r="N757"/>
  <c r="L758"/>
  <c r="M758"/>
  <c r="N758"/>
  <c r="L759"/>
  <c r="M759"/>
  <c r="N759"/>
  <c r="L760"/>
  <c r="M760"/>
  <c r="N760"/>
  <c r="L761"/>
  <c r="M761"/>
  <c r="N761"/>
  <c r="L762"/>
  <c r="M762"/>
  <c r="N762"/>
  <c r="L763"/>
  <c r="M763"/>
  <c r="N763"/>
  <c r="L764"/>
  <c r="M764"/>
  <c r="N764"/>
  <c r="L765"/>
  <c r="M765"/>
  <c r="N765"/>
  <c r="L766"/>
  <c r="M766"/>
  <c r="N766"/>
  <c r="L767"/>
  <c r="M767"/>
  <c r="N767"/>
  <c r="L768"/>
  <c r="M768"/>
  <c r="N768"/>
  <c r="L769"/>
  <c r="M769"/>
  <c r="N769"/>
  <c r="L770"/>
  <c r="M770"/>
  <c r="N770"/>
  <c r="L774"/>
  <c r="M774"/>
  <c r="N774"/>
  <c r="L775"/>
  <c r="M775"/>
  <c r="N775"/>
  <c r="L776"/>
  <c r="M776"/>
  <c r="N776"/>
  <c r="L777"/>
  <c r="M777"/>
  <c r="N777"/>
  <c r="L779"/>
  <c r="M779"/>
  <c r="N779"/>
  <c r="L782"/>
  <c r="M782"/>
  <c r="N782"/>
  <c r="L786"/>
  <c r="M786"/>
  <c r="N786"/>
  <c r="L787"/>
  <c r="M787"/>
  <c r="N787"/>
  <c r="L788"/>
  <c r="M788"/>
  <c r="N788"/>
  <c r="L789"/>
  <c r="M789"/>
  <c r="N789"/>
  <c r="L790"/>
  <c r="M790"/>
  <c r="N790"/>
  <c r="L791"/>
  <c r="M791"/>
  <c r="N791"/>
  <c r="L792"/>
  <c r="M792"/>
  <c r="N792"/>
  <c r="L793"/>
  <c r="M793"/>
  <c r="N793"/>
  <c r="L794"/>
  <c r="M794"/>
  <c r="N794"/>
  <c r="L795"/>
  <c r="M795"/>
  <c r="N795"/>
  <c r="L796"/>
  <c r="M796"/>
  <c r="N796"/>
  <c r="L797"/>
  <c r="M797"/>
  <c r="N797"/>
  <c r="L798"/>
  <c r="M798"/>
  <c r="N798"/>
  <c r="L799"/>
  <c r="M799"/>
  <c r="N799"/>
  <c r="L800"/>
  <c r="M800"/>
  <c r="N800"/>
  <c r="L801"/>
  <c r="M801"/>
  <c r="N801"/>
  <c r="L802"/>
  <c r="M802"/>
  <c r="N802"/>
  <c r="L803"/>
  <c r="M803"/>
  <c r="N803"/>
  <c r="L804"/>
  <c r="M804"/>
  <c r="N804"/>
  <c r="L805"/>
  <c r="M805"/>
  <c r="N805"/>
  <c r="L807"/>
  <c r="M807"/>
  <c r="N807"/>
  <c r="L808"/>
  <c r="M808"/>
  <c r="N808"/>
  <c r="L810"/>
  <c r="M810"/>
  <c r="N810"/>
  <c r="L811"/>
  <c r="M811"/>
  <c r="N811"/>
  <c r="L812"/>
  <c r="M812"/>
  <c r="N812"/>
  <c r="L813"/>
  <c r="M813"/>
  <c r="N813"/>
  <c r="L815"/>
  <c r="M815"/>
  <c r="N815"/>
  <c r="L816"/>
  <c r="M816"/>
  <c r="N816"/>
  <c r="L817"/>
  <c r="M817"/>
  <c r="N817"/>
  <c r="L818"/>
  <c r="M818"/>
  <c r="N818"/>
  <c r="L819"/>
  <c r="M819"/>
  <c r="N819"/>
  <c r="L820"/>
  <c r="M820"/>
  <c r="N820"/>
  <c r="L821"/>
  <c r="M821"/>
  <c r="N821"/>
  <c r="L822"/>
  <c r="M822"/>
  <c r="N822"/>
  <c r="L823"/>
  <c r="M823"/>
  <c r="N823"/>
  <c r="L824"/>
  <c r="M824"/>
  <c r="N824"/>
  <c r="L825"/>
  <c r="M825"/>
  <c r="N825"/>
  <c r="L826"/>
  <c r="M826"/>
  <c r="N826"/>
  <c r="L827"/>
  <c r="M827"/>
  <c r="N827"/>
  <c r="L828"/>
  <c r="M828"/>
  <c r="N828"/>
  <c r="L829"/>
  <c r="M829"/>
  <c r="N829"/>
  <c r="L830"/>
  <c r="M830"/>
  <c r="N830"/>
  <c r="L831"/>
  <c r="M831"/>
  <c r="N831"/>
  <c r="L832"/>
  <c r="M832"/>
  <c r="N832"/>
  <c r="L833"/>
  <c r="M833"/>
  <c r="N833"/>
  <c r="L834"/>
  <c r="M834"/>
  <c r="N834"/>
  <c r="L835"/>
  <c r="M835"/>
  <c r="N835"/>
  <c r="L836"/>
  <c r="M836"/>
  <c r="N836"/>
  <c r="L837"/>
  <c r="M837"/>
  <c r="N837"/>
  <c r="L838"/>
  <c r="M838"/>
  <c r="N838"/>
  <c r="L839"/>
  <c r="M839"/>
  <c r="N839"/>
  <c r="L840"/>
  <c r="M840"/>
  <c r="N840"/>
  <c r="L841"/>
  <c r="M841"/>
  <c r="N841"/>
  <c r="L842"/>
  <c r="M842"/>
  <c r="N842"/>
  <c r="L843"/>
  <c r="M843"/>
  <c r="N843"/>
  <c r="L844"/>
  <c r="M844"/>
  <c r="N844"/>
  <c r="L845"/>
  <c r="M845"/>
  <c r="N845"/>
  <c r="L846"/>
  <c r="M846"/>
  <c r="N846"/>
  <c r="L847"/>
  <c r="M847"/>
  <c r="N847"/>
  <c r="L848"/>
  <c r="M848"/>
  <c r="N848"/>
  <c r="L849"/>
  <c r="M849"/>
  <c r="N849"/>
  <c r="L850"/>
  <c r="M850"/>
  <c r="N850"/>
  <c r="L851"/>
  <c r="M851"/>
  <c r="N851"/>
  <c r="L852"/>
  <c r="M852"/>
  <c r="N852"/>
  <c r="L853"/>
  <c r="M853"/>
  <c r="N853"/>
  <c r="L854"/>
  <c r="M854"/>
  <c r="N854"/>
  <c r="L855"/>
  <c r="M855"/>
  <c r="N855"/>
  <c r="L856"/>
  <c r="M856"/>
  <c r="N856"/>
  <c r="L857"/>
  <c r="M857"/>
  <c r="N857"/>
  <c r="L858"/>
  <c r="M858"/>
  <c r="N858"/>
  <c r="L859"/>
  <c r="M859"/>
  <c r="N859"/>
  <c r="L860"/>
  <c r="M860"/>
  <c r="N860"/>
  <c r="L861"/>
  <c r="M861"/>
  <c r="N861"/>
  <c r="L862"/>
  <c r="M862"/>
  <c r="N862"/>
  <c r="L863"/>
  <c r="M863"/>
  <c r="N863"/>
  <c r="L864"/>
  <c r="M864"/>
  <c r="N864"/>
  <c r="L865"/>
  <c r="M865"/>
  <c r="N865"/>
  <c r="L866"/>
  <c r="M866"/>
  <c r="N866"/>
  <c r="L867"/>
  <c r="M867"/>
  <c r="N867"/>
  <c r="L868"/>
  <c r="M868"/>
  <c r="N868"/>
  <c r="L869"/>
  <c r="M869"/>
  <c r="N869"/>
  <c r="L870"/>
  <c r="M870"/>
  <c r="N870"/>
  <c r="L871"/>
  <c r="M871"/>
  <c r="N871"/>
  <c r="L872"/>
  <c r="M872"/>
  <c r="N872"/>
  <c r="L873"/>
  <c r="M873"/>
  <c r="N873"/>
  <c r="L874"/>
  <c r="M874"/>
  <c r="N874"/>
  <c r="L875"/>
  <c r="M875"/>
  <c r="N875"/>
  <c r="L876"/>
  <c r="M876"/>
  <c r="N876"/>
  <c r="L877"/>
  <c r="M877"/>
  <c r="N877"/>
  <c r="L878"/>
  <c r="M878"/>
  <c r="N878"/>
  <c r="L879"/>
  <c r="M879"/>
  <c r="N879"/>
  <c r="L880"/>
  <c r="M880"/>
  <c r="N880"/>
  <c r="L881"/>
  <c r="M881"/>
  <c r="N881"/>
  <c r="L882"/>
  <c r="M882"/>
  <c r="N882"/>
  <c r="L883"/>
  <c r="M883"/>
  <c r="N883"/>
  <c r="L884"/>
  <c r="M884"/>
  <c r="N884"/>
  <c r="L885"/>
  <c r="M885"/>
  <c r="N885"/>
  <c r="L886"/>
  <c r="M886"/>
  <c r="N886"/>
  <c r="L887"/>
  <c r="M887"/>
  <c r="N887"/>
  <c r="L888"/>
  <c r="M888"/>
  <c r="N888"/>
  <c r="L889"/>
  <c r="M889"/>
  <c r="N889"/>
  <c r="L890"/>
  <c r="M890"/>
  <c r="N890"/>
  <c r="L891"/>
  <c r="M891"/>
  <c r="N891"/>
  <c r="L892"/>
  <c r="M892"/>
  <c r="N892"/>
  <c r="L893"/>
  <c r="M893"/>
  <c r="N893"/>
  <c r="L894"/>
  <c r="M894"/>
  <c r="N894"/>
  <c r="L895"/>
  <c r="M895"/>
  <c r="N895"/>
  <c r="L896"/>
  <c r="M896"/>
  <c r="N896"/>
  <c r="L897"/>
  <c r="M897"/>
  <c r="N897"/>
  <c r="L898"/>
  <c r="M898"/>
  <c r="N898"/>
  <c r="L899"/>
  <c r="M899"/>
  <c r="N899"/>
  <c r="L900"/>
  <c r="M900"/>
  <c r="N900"/>
  <c r="L901"/>
  <c r="M901"/>
  <c r="N901"/>
  <c r="L902"/>
  <c r="M902"/>
  <c r="N902"/>
  <c r="L903"/>
  <c r="M903"/>
  <c r="N903"/>
  <c r="L904"/>
  <c r="M904"/>
  <c r="N904"/>
  <c r="L905"/>
  <c r="M905"/>
  <c r="N905"/>
  <c r="L906"/>
  <c r="M906"/>
  <c r="N906"/>
  <c r="L907"/>
  <c r="M907"/>
  <c r="N907"/>
  <c r="L908"/>
  <c r="M908"/>
  <c r="N908"/>
  <c r="L909"/>
  <c r="M909"/>
  <c r="N909"/>
  <c r="L910"/>
  <c r="M910"/>
  <c r="N910"/>
  <c r="L911"/>
  <c r="M911"/>
  <c r="N911"/>
  <c r="L912"/>
  <c r="M912"/>
  <c r="N912"/>
  <c r="L913"/>
  <c r="M913"/>
  <c r="N913"/>
  <c r="L914"/>
  <c r="M914"/>
  <c r="N914"/>
  <c r="L915"/>
  <c r="M915"/>
  <c r="N915"/>
  <c r="L916"/>
  <c r="M916"/>
  <c r="N916"/>
  <c r="L917"/>
  <c r="M917"/>
  <c r="N917"/>
  <c r="L918"/>
  <c r="M918"/>
  <c r="N918"/>
  <c r="L919"/>
  <c r="M919"/>
  <c r="N919"/>
  <c r="L920"/>
  <c r="M920"/>
  <c r="N920"/>
  <c r="L921"/>
  <c r="M921"/>
  <c r="N921"/>
  <c r="L922"/>
  <c r="M922"/>
  <c r="N922"/>
  <c r="L923"/>
  <c r="M923"/>
  <c r="N923"/>
  <c r="L924"/>
  <c r="M924"/>
  <c r="N924"/>
  <c r="L925"/>
  <c r="M925"/>
  <c r="N925"/>
  <c r="L926"/>
  <c r="M926"/>
  <c r="N926"/>
  <c r="L927"/>
  <c r="M927"/>
  <c r="N927"/>
  <c r="L928"/>
  <c r="M928"/>
  <c r="N928"/>
  <c r="L929"/>
  <c r="M929"/>
  <c r="N929"/>
  <c r="L930"/>
  <c r="M930"/>
  <c r="N930"/>
  <c r="L931"/>
  <c r="M931"/>
  <c r="N931"/>
  <c r="L932"/>
  <c r="M932"/>
  <c r="N932"/>
  <c r="L933"/>
  <c r="M933"/>
  <c r="N933"/>
  <c r="L934"/>
  <c r="M934"/>
  <c r="N934"/>
  <c r="L935"/>
  <c r="M935"/>
  <c r="N935"/>
  <c r="L936"/>
  <c r="M936"/>
  <c r="N936"/>
  <c r="L937"/>
  <c r="M937"/>
  <c r="N937"/>
  <c r="L938"/>
  <c r="M938"/>
  <c r="N938"/>
  <c r="L939"/>
  <c r="M939"/>
  <c r="N939"/>
  <c r="L940"/>
  <c r="M940"/>
  <c r="N940"/>
  <c r="L941"/>
  <c r="M941"/>
  <c r="N941"/>
  <c r="L942"/>
  <c r="M942"/>
  <c r="N942"/>
  <c r="L943"/>
  <c r="M943"/>
  <c r="N943"/>
  <c r="L944"/>
  <c r="M944"/>
  <c r="N944"/>
  <c r="L945"/>
  <c r="M945"/>
  <c r="N945"/>
  <c r="L946"/>
  <c r="M946"/>
  <c r="N946"/>
  <c r="L947"/>
  <c r="M947"/>
  <c r="N947"/>
  <c r="L948"/>
  <c r="M948"/>
  <c r="N948"/>
  <c r="L949"/>
  <c r="M949"/>
  <c r="N949"/>
  <c r="L950"/>
  <c r="M950"/>
  <c r="N950"/>
  <c r="L951"/>
  <c r="M951"/>
  <c r="N951"/>
  <c r="L952"/>
  <c r="M952"/>
  <c r="N952"/>
  <c r="L953"/>
  <c r="M953"/>
  <c r="N953"/>
  <c r="L954"/>
  <c r="M954"/>
  <c r="N954"/>
  <c r="L955"/>
  <c r="M955"/>
  <c r="N955"/>
  <c r="L956"/>
  <c r="M956"/>
  <c r="N956"/>
  <c r="L957"/>
  <c r="M957"/>
  <c r="N957"/>
  <c r="L958"/>
  <c r="M958"/>
  <c r="N958"/>
  <c r="L959"/>
  <c r="M959"/>
  <c r="N959"/>
  <c r="L960"/>
  <c r="M960"/>
  <c r="N960"/>
  <c r="L961"/>
  <c r="M961"/>
  <c r="N961"/>
  <c r="L962"/>
  <c r="M962"/>
  <c r="N962"/>
  <c r="L965"/>
  <c r="M965"/>
  <c r="N965"/>
  <c r="L968"/>
  <c r="M968"/>
  <c r="N968"/>
  <c r="L971"/>
  <c r="M971"/>
  <c r="N971"/>
  <c r="L972"/>
  <c r="M972"/>
  <c r="N972"/>
  <c r="L973"/>
  <c r="M973"/>
  <c r="N973"/>
  <c r="L974"/>
  <c r="M974"/>
  <c r="N974"/>
  <c r="L975"/>
  <c r="M975"/>
  <c r="N975"/>
  <c r="L976"/>
  <c r="M976"/>
  <c r="N976"/>
  <c r="L977"/>
  <c r="M977"/>
  <c r="N977"/>
  <c r="L978"/>
  <c r="M978"/>
  <c r="N978"/>
  <c r="L979"/>
  <c r="M979"/>
  <c r="N979"/>
  <c r="L980"/>
  <c r="M980"/>
  <c r="N980"/>
  <c r="L981"/>
  <c r="M981"/>
  <c r="N981"/>
  <c r="L982"/>
  <c r="M982"/>
  <c r="N982"/>
  <c r="L983"/>
  <c r="M983"/>
  <c r="N983"/>
  <c r="L984"/>
  <c r="M984"/>
  <c r="N984"/>
  <c r="L985"/>
  <c r="M985"/>
  <c r="N985"/>
  <c r="L986"/>
  <c r="M986"/>
  <c r="N986"/>
  <c r="L987"/>
  <c r="M987"/>
  <c r="N987"/>
  <c r="L988"/>
  <c r="M988"/>
  <c r="N988"/>
  <c r="L989"/>
  <c r="M989"/>
  <c r="N989"/>
  <c r="L990"/>
  <c r="M990"/>
  <c r="N990"/>
  <c r="L991"/>
  <c r="M991"/>
  <c r="N991"/>
  <c r="L992"/>
  <c r="M992"/>
  <c r="N992"/>
  <c r="L993"/>
  <c r="M993"/>
  <c r="N993"/>
  <c r="L994"/>
  <c r="M994"/>
  <c r="N994"/>
  <c r="L995"/>
  <c r="M995"/>
  <c r="N995"/>
  <c r="L996"/>
  <c r="M996"/>
  <c r="N996"/>
  <c r="L997"/>
  <c r="M997"/>
  <c r="N997"/>
  <c r="L998"/>
  <c r="M998"/>
  <c r="N998"/>
  <c r="L999"/>
  <c r="M999"/>
  <c r="N999"/>
  <c r="L1000"/>
  <c r="M1000"/>
  <c r="N1000"/>
  <c r="L1001"/>
  <c r="M1001"/>
  <c r="N1001"/>
  <c r="L1002"/>
  <c r="M1002"/>
  <c r="N1002"/>
  <c r="L1003"/>
  <c r="M1003"/>
  <c r="N1003"/>
  <c r="L1004"/>
  <c r="M1004"/>
  <c r="N1004"/>
  <c r="L1005"/>
  <c r="M1005"/>
  <c r="N1005"/>
  <c r="L1007"/>
  <c r="M1007"/>
  <c r="N1007"/>
  <c r="L1008"/>
  <c r="M1008"/>
  <c r="N1008"/>
  <c r="L1010"/>
  <c r="M1010"/>
  <c r="N1010"/>
  <c r="L1011"/>
  <c r="M1011"/>
  <c r="N1011"/>
  <c r="L1012"/>
  <c r="M1012"/>
  <c r="N1012"/>
  <c r="L1013"/>
  <c r="M1013"/>
  <c r="N1013"/>
  <c r="L1014"/>
  <c r="M1014"/>
  <c r="N1014"/>
  <c r="L1016"/>
  <c r="M1016"/>
  <c r="N1016"/>
  <c r="L1018"/>
  <c r="M1018"/>
  <c r="N1018"/>
  <c r="L1019"/>
  <c r="M1019"/>
  <c r="N1019"/>
  <c r="L1020"/>
  <c r="M1020"/>
  <c r="N1020"/>
  <c r="L1021"/>
  <c r="M1021"/>
  <c r="N1021"/>
  <c r="L1022"/>
  <c r="M1022"/>
  <c r="N1022"/>
  <c r="L1023"/>
  <c r="M1023"/>
  <c r="N1023"/>
  <c r="L1024"/>
  <c r="M1024"/>
  <c r="N1024"/>
  <c r="L1027"/>
  <c r="M1027"/>
  <c r="N1027"/>
  <c r="L1028"/>
  <c r="M1028"/>
  <c r="N1028"/>
  <c r="L1029"/>
  <c r="M1029"/>
  <c r="N1029"/>
  <c r="L1030"/>
  <c r="M1030"/>
  <c r="N1030"/>
  <c r="L1031"/>
  <c r="M1031"/>
  <c r="N1031"/>
  <c r="L1032"/>
  <c r="M1032"/>
  <c r="N1032"/>
  <c r="L1033"/>
  <c r="M1033"/>
  <c r="N1033"/>
  <c r="L1034"/>
  <c r="M1034"/>
  <c r="N1034"/>
  <c r="L1035"/>
  <c r="M1035"/>
  <c r="N1035"/>
  <c r="L1036"/>
  <c r="M1036"/>
  <c r="N1036"/>
  <c r="L1037"/>
  <c r="M1037"/>
  <c r="N1037"/>
  <c r="L1038"/>
  <c r="M1038"/>
  <c r="N1038"/>
  <c r="L1039"/>
  <c r="M1039"/>
  <c r="N1039"/>
  <c r="L1040"/>
  <c r="M1040"/>
  <c r="N1040"/>
  <c r="L1041"/>
  <c r="M1041"/>
  <c r="N1041"/>
  <c r="L1042"/>
  <c r="M1042"/>
  <c r="N1042"/>
  <c r="L1043"/>
  <c r="M1043"/>
  <c r="N1043"/>
  <c r="L1044"/>
  <c r="M1044"/>
  <c r="N1044"/>
  <c r="L1045"/>
  <c r="M1045"/>
  <c r="N1045"/>
  <c r="L1046"/>
  <c r="M1046"/>
  <c r="N1046"/>
  <c r="L1047"/>
  <c r="M1047"/>
  <c r="N1047"/>
  <c r="L1048"/>
  <c r="M1048"/>
  <c r="N1048"/>
  <c r="L1049"/>
  <c r="M1049"/>
  <c r="N1049"/>
  <c r="L1050"/>
  <c r="M1050"/>
  <c r="N1050"/>
  <c r="L1051"/>
  <c r="M1051"/>
  <c r="N1051"/>
  <c r="L1052"/>
  <c r="M1052"/>
  <c r="N1052"/>
  <c r="L1053"/>
  <c r="M1053"/>
  <c r="N1053"/>
  <c r="L1054"/>
  <c r="M1054"/>
  <c r="N1054"/>
  <c r="L1055"/>
  <c r="M1055"/>
  <c r="N1055"/>
  <c r="L1056"/>
  <c r="M1056"/>
  <c r="N1056"/>
  <c r="L1057"/>
  <c r="M1057"/>
  <c r="N1057"/>
  <c r="L1058"/>
  <c r="M1058"/>
  <c r="N1058"/>
  <c r="L1059"/>
  <c r="M1059"/>
  <c r="N1059"/>
  <c r="L1060"/>
  <c r="M1060"/>
  <c r="N1060"/>
  <c r="L1061"/>
  <c r="M1061"/>
  <c r="N1061"/>
  <c r="L1062"/>
  <c r="M1062"/>
  <c r="N1062"/>
  <c r="L1063"/>
  <c r="M1063"/>
  <c r="N1063"/>
  <c r="L1064"/>
  <c r="M1064"/>
  <c r="N1064"/>
  <c r="L1065"/>
  <c r="M1065"/>
  <c r="N1065"/>
  <c r="L1066"/>
  <c r="M1066"/>
  <c r="N1066"/>
  <c r="L1067"/>
  <c r="M1067"/>
  <c r="N1067"/>
  <c r="L1068"/>
  <c r="M1068"/>
  <c r="N1068"/>
  <c r="L1069"/>
  <c r="M1069"/>
  <c r="N1069"/>
  <c r="L1070"/>
  <c r="M1070"/>
  <c r="N1070"/>
  <c r="L1071"/>
  <c r="M1071"/>
  <c r="N1071"/>
  <c r="L1072"/>
  <c r="M1072"/>
  <c r="N1072"/>
  <c r="L1073"/>
  <c r="M1073"/>
  <c r="N1073"/>
  <c r="L1074"/>
  <c r="M1074"/>
  <c r="N1074"/>
  <c r="L1075"/>
  <c r="M1075"/>
  <c r="N1075"/>
  <c r="L1076"/>
  <c r="M1076"/>
  <c r="N1076"/>
  <c r="L1077"/>
  <c r="M1077"/>
  <c r="N1077"/>
  <c r="L1078"/>
  <c r="M1078"/>
  <c r="N1078"/>
  <c r="L1079"/>
  <c r="M1079"/>
  <c r="N1079"/>
  <c r="L1080"/>
  <c r="M1080"/>
  <c r="N1080"/>
  <c r="L1081"/>
  <c r="M1081"/>
  <c r="N1081"/>
  <c r="L1082"/>
  <c r="M1082"/>
  <c r="N1082"/>
  <c r="L1083"/>
  <c r="M1083"/>
  <c r="N1083"/>
  <c r="L1084"/>
  <c r="M1084"/>
  <c r="N1084"/>
  <c r="L1085"/>
  <c r="M1085"/>
  <c r="N1085"/>
  <c r="L1086"/>
  <c r="M1086"/>
  <c r="N1086"/>
  <c r="L1087"/>
  <c r="M1087"/>
  <c r="N1087"/>
  <c r="L1088"/>
  <c r="M1088"/>
  <c r="N1088"/>
  <c r="L1089"/>
  <c r="M1089"/>
  <c r="N1089"/>
  <c r="L1090"/>
  <c r="M1090"/>
  <c r="N1090"/>
  <c r="L1091"/>
  <c r="M1091"/>
  <c r="N1091"/>
  <c r="L1092"/>
  <c r="M1092"/>
  <c r="N1092"/>
  <c r="L1093"/>
  <c r="M1093"/>
  <c r="N1093"/>
  <c r="L1094"/>
  <c r="M1094"/>
  <c r="N1094"/>
  <c r="L1095"/>
  <c r="M1095"/>
  <c r="N1095"/>
  <c r="L1096"/>
  <c r="M1096"/>
  <c r="N1096"/>
  <c r="L1097"/>
  <c r="M1097"/>
  <c r="N1097"/>
  <c r="L1098"/>
  <c r="M1098"/>
  <c r="N1098"/>
  <c r="L1099"/>
  <c r="M1099"/>
  <c r="N1099"/>
  <c r="L1100"/>
  <c r="M1100"/>
  <c r="N1100"/>
  <c r="L1101"/>
  <c r="M1101"/>
  <c r="N1101"/>
  <c r="L1102"/>
  <c r="M1102"/>
  <c r="N1102"/>
  <c r="L1103"/>
  <c r="M1103"/>
  <c r="N1103"/>
  <c r="L1104"/>
  <c r="M1104"/>
  <c r="N1104"/>
  <c r="L1105"/>
  <c r="M1105"/>
  <c r="N1105"/>
  <c r="L1106"/>
  <c r="M1106"/>
  <c r="N1106"/>
  <c r="L1107"/>
  <c r="M1107"/>
  <c r="N1107"/>
  <c r="L1108"/>
  <c r="M1108"/>
  <c r="N1108"/>
  <c r="L1109"/>
  <c r="M1109"/>
  <c r="N1109"/>
  <c r="L1110"/>
  <c r="M1110"/>
  <c r="N1110"/>
  <c r="L1111"/>
  <c r="M1111"/>
  <c r="N1111"/>
  <c r="L1112"/>
  <c r="M1112"/>
  <c r="N1112"/>
  <c r="L1113"/>
  <c r="M1113"/>
  <c r="N1113"/>
  <c r="L1114"/>
  <c r="M1114"/>
  <c r="N1114"/>
  <c r="L1115"/>
  <c r="M1115"/>
  <c r="N1115"/>
  <c r="L1116"/>
  <c r="M1116"/>
  <c r="N1116"/>
  <c r="L1117"/>
  <c r="M1117"/>
  <c r="N1117"/>
  <c r="L1118"/>
  <c r="M1118"/>
  <c r="N1118"/>
  <c r="L1119"/>
  <c r="M1119"/>
  <c r="N1119"/>
  <c r="L1120"/>
  <c r="M1120"/>
  <c r="N1120"/>
  <c r="L1121"/>
  <c r="M1121"/>
  <c r="N1121"/>
  <c r="L1122"/>
  <c r="M1122"/>
  <c r="N1122"/>
  <c r="L1123"/>
  <c r="M1123"/>
  <c r="N1123"/>
  <c r="L1124"/>
  <c r="M1124"/>
  <c r="N1124"/>
  <c r="L1125"/>
  <c r="M1125"/>
  <c r="N1125"/>
  <c r="L1126"/>
  <c r="M1126"/>
  <c r="N1126"/>
  <c r="L1127"/>
  <c r="M1127"/>
  <c r="N1127"/>
  <c r="L1128"/>
  <c r="M1128"/>
  <c r="N1128"/>
  <c r="L1129"/>
  <c r="M1129"/>
  <c r="N1129"/>
  <c r="L1130"/>
  <c r="M1130"/>
  <c r="N1130"/>
  <c r="L1131"/>
  <c r="M1131"/>
  <c r="N1131"/>
  <c r="L1132"/>
  <c r="M1132"/>
  <c r="N1132"/>
  <c r="L1133"/>
  <c r="M1133"/>
  <c r="N1133"/>
  <c r="L1134"/>
  <c r="M1134"/>
  <c r="N1134"/>
  <c r="L1135"/>
  <c r="M1135"/>
  <c r="N1135"/>
  <c r="L1136"/>
  <c r="M1136"/>
  <c r="N1136"/>
  <c r="L1137"/>
  <c r="M1137"/>
  <c r="N1137"/>
  <c r="L1138"/>
  <c r="M1138"/>
  <c r="N1138"/>
  <c r="L1139"/>
  <c r="M1139"/>
  <c r="N1139"/>
  <c r="L1140"/>
  <c r="M1140"/>
  <c r="N1140"/>
  <c r="L1141"/>
  <c r="M1141"/>
  <c r="N1141"/>
  <c r="L1142"/>
  <c r="M1142"/>
  <c r="N1142"/>
  <c r="L1143"/>
  <c r="M1143"/>
  <c r="N1143"/>
  <c r="L1144"/>
  <c r="M1144"/>
  <c r="N1144"/>
  <c r="L1145"/>
  <c r="M1145"/>
  <c r="N1145"/>
  <c r="L1146"/>
  <c r="M1146"/>
  <c r="N1146"/>
  <c r="L1147"/>
  <c r="M1147"/>
  <c r="N1147"/>
  <c r="L1148"/>
  <c r="M1148"/>
  <c r="N1148"/>
  <c r="L1149"/>
  <c r="M1149"/>
  <c r="N1149"/>
  <c r="L1151"/>
  <c r="M1151"/>
  <c r="N1151"/>
  <c r="L1152"/>
  <c r="M1152"/>
  <c r="N1152"/>
  <c r="L1153"/>
  <c r="M1153"/>
  <c r="N1153"/>
  <c r="L1154"/>
  <c r="M1154"/>
  <c r="N1154"/>
  <c r="L1155"/>
  <c r="M1155"/>
  <c r="N1155"/>
  <c r="L1156"/>
  <c r="M1156"/>
  <c r="N1156"/>
  <c r="L1157"/>
  <c r="M1157"/>
  <c r="N1157"/>
  <c r="L1158"/>
  <c r="M1158"/>
  <c r="N1158"/>
  <c r="L1159"/>
  <c r="M1159"/>
  <c r="N1159"/>
  <c r="L1160"/>
  <c r="M1160"/>
  <c r="N1160"/>
  <c r="L1161"/>
  <c r="M1161"/>
  <c r="N1161"/>
  <c r="L1162"/>
  <c r="M1162"/>
  <c r="N1162"/>
  <c r="L1163"/>
  <c r="M1163"/>
  <c r="N1163"/>
  <c r="L1164"/>
  <c r="M1164"/>
  <c r="N1164"/>
  <c r="L1165"/>
  <c r="M1165"/>
  <c r="N1165"/>
  <c r="L1166"/>
  <c r="M1166"/>
  <c r="N1166"/>
  <c r="L1167"/>
  <c r="M1167"/>
  <c r="N1167"/>
  <c r="L1168"/>
  <c r="M1168"/>
  <c r="N1168"/>
  <c r="L1169"/>
  <c r="M1169"/>
  <c r="N1169"/>
  <c r="L1170"/>
  <c r="M1170"/>
  <c r="N1170"/>
  <c r="L1171"/>
  <c r="M1171"/>
  <c r="N1171"/>
  <c r="L1172"/>
  <c r="M1172"/>
  <c r="N1172"/>
  <c r="L1173"/>
  <c r="M1173"/>
  <c r="N1173"/>
  <c r="L1174"/>
  <c r="M1174"/>
  <c r="N1174"/>
  <c r="L1175"/>
  <c r="M1175"/>
  <c r="N1175"/>
  <c r="L1177"/>
  <c r="M1177"/>
  <c r="N1177"/>
  <c r="L1178"/>
  <c r="M1178"/>
  <c r="N1178"/>
  <c r="L1179"/>
  <c r="M1179"/>
  <c r="N1179"/>
  <c r="L1180"/>
  <c r="M1180"/>
  <c r="N1180"/>
  <c r="L1181"/>
  <c r="M1181"/>
  <c r="N1181"/>
  <c r="L1182"/>
  <c r="M1182"/>
  <c r="N1182"/>
  <c r="L1183"/>
  <c r="M1183"/>
  <c r="N1183"/>
  <c r="L1184"/>
  <c r="M1184"/>
  <c r="N1184"/>
  <c r="L1185"/>
  <c r="M1185"/>
  <c r="N1185"/>
  <c r="L1186"/>
  <c r="M1186"/>
  <c r="N1186"/>
  <c r="L1187"/>
  <c r="M1187"/>
  <c r="N1187"/>
  <c r="L1188"/>
  <c r="M1188"/>
  <c r="N1188"/>
  <c r="L1189"/>
  <c r="M1189"/>
  <c r="N1189"/>
  <c r="L1190"/>
  <c r="M1190"/>
  <c r="N1190"/>
  <c r="L1191"/>
  <c r="M1191"/>
  <c r="N1191"/>
  <c r="L1192"/>
  <c r="M1192"/>
  <c r="N1192"/>
  <c r="L1193"/>
  <c r="M1193"/>
  <c r="N1193"/>
  <c r="L1194"/>
  <c r="M1194"/>
  <c r="N1194"/>
  <c r="L1195"/>
  <c r="M1195"/>
  <c r="N1195"/>
  <c r="L1196"/>
  <c r="M1196"/>
  <c r="N1196"/>
  <c r="L1197"/>
  <c r="M1197"/>
  <c r="N1197"/>
  <c r="L1198"/>
  <c r="M1198"/>
  <c r="N1198"/>
  <c r="L1199"/>
  <c r="M1199"/>
  <c r="N1199"/>
  <c r="L1200"/>
  <c r="M1200"/>
  <c r="N1200"/>
  <c r="L1201"/>
  <c r="M1201"/>
  <c r="N1201"/>
  <c r="L1202"/>
  <c r="M1202"/>
  <c r="N1202"/>
  <c r="L1203"/>
  <c r="M1203"/>
  <c r="N1203"/>
  <c r="L1204"/>
  <c r="M1204"/>
  <c r="N1204"/>
  <c r="L1205"/>
  <c r="M1205"/>
  <c r="N1205"/>
  <c r="L1206"/>
  <c r="M1206"/>
  <c r="N1206"/>
  <c r="L1207"/>
  <c r="M1207"/>
  <c r="N1207"/>
  <c r="L1208"/>
  <c r="M1208"/>
  <c r="N1208"/>
  <c r="L1209"/>
  <c r="M1209"/>
  <c r="N1209"/>
  <c r="L1210"/>
  <c r="M1210"/>
  <c r="N1210"/>
  <c r="L1211"/>
  <c r="M1211"/>
  <c r="N1211"/>
  <c r="L1212"/>
  <c r="M1212"/>
  <c r="N1212"/>
  <c r="L1213"/>
  <c r="M1213"/>
  <c r="N1213"/>
  <c r="L1214"/>
  <c r="M1214"/>
  <c r="N1214"/>
  <c r="L1215"/>
  <c r="M1215"/>
  <c r="N1215"/>
  <c r="L1216"/>
  <c r="M1216"/>
  <c r="N1216"/>
  <c r="L1217"/>
  <c r="M1217"/>
  <c r="N1217"/>
  <c r="L1218"/>
  <c r="M1218"/>
  <c r="N1218"/>
  <c r="L1219"/>
  <c r="M1219"/>
  <c r="N1219"/>
  <c r="L1220"/>
  <c r="M1220"/>
  <c r="N1220"/>
  <c r="L1221"/>
  <c r="M1221"/>
  <c r="N1221"/>
  <c r="L1222"/>
  <c r="M1222"/>
  <c r="N1222"/>
  <c r="L1223"/>
  <c r="M1223"/>
  <c r="N1223"/>
  <c r="L1224"/>
  <c r="M1224"/>
  <c r="N1224"/>
  <c r="L1225"/>
  <c r="M1225"/>
  <c r="N1225"/>
  <c r="L1226"/>
  <c r="M1226"/>
  <c r="N1226"/>
  <c r="K3" i="7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2"/>
  <c r="B3" i="6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2"/>
  <c r="H2" i="5"/>
  <c r="I2"/>
  <c r="H3"/>
  <c r="I3"/>
  <c r="H4"/>
  <c r="I4"/>
  <c r="H5"/>
  <c r="I5"/>
  <c r="H6"/>
  <c r="I6"/>
  <c r="H7"/>
  <c r="I7"/>
  <c r="H8"/>
  <c r="I8"/>
  <c r="H9"/>
  <c r="I9"/>
  <c r="H10"/>
  <c r="I10"/>
  <c r="H11"/>
  <c r="I11"/>
  <c r="H12"/>
  <c r="I12"/>
  <c r="H13"/>
  <c r="I13"/>
  <c r="H14"/>
  <c r="I14"/>
  <c r="H15"/>
  <c r="I15"/>
  <c r="H16"/>
  <c r="I16"/>
  <c r="H17"/>
  <c r="I17"/>
  <c r="H18"/>
  <c r="I18"/>
  <c r="H19"/>
  <c r="I19"/>
  <c r="H20"/>
  <c r="I20"/>
  <c r="H21"/>
  <c r="I21"/>
  <c r="H22"/>
  <c r="I22"/>
  <c r="H23"/>
  <c r="I23"/>
  <c r="H24"/>
  <c r="I24"/>
  <c r="H25"/>
  <c r="I25"/>
  <c r="H26"/>
  <c r="I26"/>
  <c r="H27"/>
  <c r="I27"/>
  <c r="H28"/>
  <c r="I28"/>
  <c r="H29"/>
  <c r="I29"/>
  <c r="H30"/>
  <c r="I30"/>
  <c r="H31"/>
  <c r="I31"/>
  <c r="H32"/>
  <c r="I32"/>
  <c r="H33"/>
  <c r="I33"/>
  <c r="H34"/>
  <c r="I34"/>
  <c r="H35"/>
  <c r="I35"/>
  <c r="H36"/>
  <c r="I36"/>
  <c r="H37"/>
  <c r="I37"/>
  <c r="H38"/>
  <c r="I38"/>
  <c r="H39"/>
  <c r="I39"/>
  <c r="H40"/>
  <c r="I40"/>
  <c r="H41"/>
  <c r="I41"/>
  <c r="H42"/>
  <c r="I42"/>
  <c r="H43"/>
  <c r="I43"/>
  <c r="H44"/>
  <c r="I44"/>
  <c r="H45"/>
  <c r="I45"/>
  <c r="H46"/>
  <c r="I46"/>
  <c r="H47"/>
  <c r="I47"/>
  <c r="H48"/>
  <c r="I48"/>
  <c r="H49"/>
  <c r="I49"/>
  <c r="H50"/>
  <c r="I50"/>
  <c r="H51"/>
  <c r="I51"/>
  <c r="H52"/>
  <c r="I52"/>
  <c r="H53"/>
  <c r="I53"/>
  <c r="H54"/>
  <c r="I54"/>
  <c r="H55"/>
  <c r="I55"/>
  <c r="H56"/>
  <c r="I56"/>
  <c r="H57"/>
  <c r="I57"/>
  <c r="H58"/>
  <c r="I58"/>
  <c r="H59"/>
  <c r="I59"/>
  <c r="H60"/>
  <c r="I60"/>
  <c r="H61"/>
  <c r="I61"/>
  <c r="H62"/>
  <c r="I62"/>
  <c r="H63"/>
  <c r="I63"/>
  <c r="H64"/>
  <c r="I64"/>
  <c r="H65"/>
  <c r="I65"/>
  <c r="H66"/>
  <c r="I66"/>
  <c r="H67"/>
  <c r="I67"/>
  <c r="H68"/>
  <c r="I68"/>
  <c r="H69"/>
  <c r="I69"/>
  <c r="H70"/>
  <c r="I70"/>
  <c r="H71"/>
  <c r="I71"/>
  <c r="H72"/>
  <c r="I72"/>
  <c r="H73"/>
  <c r="I73"/>
  <c r="H74"/>
  <c r="I74"/>
  <c r="H75"/>
  <c r="I75"/>
  <c r="H76"/>
  <c r="I76"/>
  <c r="H77"/>
  <c r="I77"/>
  <c r="H78"/>
  <c r="I78"/>
  <c r="H79"/>
  <c r="I79"/>
  <c r="H80"/>
  <c r="I80"/>
  <c r="H81"/>
  <c r="I81"/>
  <c r="H82"/>
  <c r="I82"/>
  <c r="H83"/>
  <c r="I83"/>
  <c r="H84"/>
  <c r="I84"/>
  <c r="H85"/>
  <c r="I85"/>
  <c r="H86"/>
  <c r="I86"/>
  <c r="H87"/>
  <c r="I87"/>
  <c r="H88"/>
  <c r="I88"/>
  <c r="H89"/>
  <c r="I89"/>
  <c r="H90"/>
  <c r="I90"/>
  <c r="H91"/>
  <c r="I91"/>
  <c r="H92"/>
  <c r="I92"/>
  <c r="H93"/>
  <c r="I93"/>
  <c r="H94"/>
  <c r="I94"/>
  <c r="H95"/>
  <c r="I95"/>
  <c r="H96"/>
  <c r="I96"/>
  <c r="H97"/>
  <c r="I97"/>
  <c r="H98"/>
  <c r="I98"/>
  <c r="H99"/>
  <c r="I99"/>
  <c r="H100"/>
  <c r="I100"/>
  <c r="H101"/>
  <c r="I101"/>
  <c r="H102"/>
  <c r="I102"/>
  <c r="H103"/>
  <c r="I103"/>
  <c r="H104"/>
  <c r="I104"/>
  <c r="H105"/>
  <c r="I105"/>
  <c r="H106"/>
  <c r="I106"/>
  <c r="H107"/>
  <c r="I107"/>
  <c r="H108"/>
  <c r="I108"/>
  <c r="H109"/>
  <c r="I109"/>
  <c r="H110"/>
  <c r="I110"/>
  <c r="H111"/>
  <c r="I111"/>
  <c r="H112"/>
  <c r="I112"/>
  <c r="H113"/>
  <c r="I113"/>
  <c r="H114"/>
  <c r="I114"/>
  <c r="H115"/>
  <c r="I115"/>
  <c r="H116"/>
  <c r="I116"/>
  <c r="H117"/>
  <c r="I117"/>
  <c r="H118"/>
  <c r="I118"/>
  <c r="H119"/>
  <c r="I119"/>
  <c r="H120"/>
  <c r="I120"/>
  <c r="H121"/>
  <c r="I121"/>
  <c r="H122"/>
  <c r="I122"/>
  <c r="H123"/>
  <c r="I123"/>
  <c r="H124"/>
  <c r="I124"/>
  <c r="H125"/>
  <c r="I125"/>
  <c r="H126"/>
  <c r="I126"/>
  <c r="H127"/>
  <c r="I127"/>
  <c r="H128"/>
  <c r="I128"/>
  <c r="H129"/>
  <c r="I129"/>
  <c r="H130"/>
  <c r="I130"/>
  <c r="H131"/>
  <c r="I131"/>
  <c r="H132"/>
  <c r="I132"/>
  <c r="H133"/>
  <c r="I133"/>
  <c r="H134"/>
  <c r="I134"/>
  <c r="H135"/>
  <c r="I135"/>
  <c r="H136"/>
  <c r="I136"/>
  <c r="H137"/>
  <c r="I137"/>
  <c r="H138"/>
  <c r="I138"/>
  <c r="H139"/>
  <c r="I139"/>
  <c r="H140"/>
  <c r="I140"/>
  <c r="H141"/>
  <c r="I141"/>
  <c r="H142"/>
  <c r="I142"/>
  <c r="H143"/>
  <c r="I143"/>
  <c r="H144"/>
  <c r="I144"/>
  <c r="H145"/>
  <c r="I145"/>
  <c r="H146"/>
  <c r="I146"/>
  <c r="H147"/>
  <c r="I147"/>
  <c r="H148"/>
  <c r="I148"/>
  <c r="H149"/>
  <c r="I149"/>
  <c r="H150"/>
  <c r="I150"/>
  <c r="H151"/>
  <c r="I151"/>
  <c r="H152"/>
  <c r="I152"/>
  <c r="H153"/>
  <c r="I153"/>
  <c r="H154"/>
  <c r="I154"/>
  <c r="H155"/>
  <c r="I155"/>
  <c r="H156"/>
  <c r="I156"/>
  <c r="H157"/>
  <c r="I157"/>
  <c r="H158"/>
  <c r="I158"/>
  <c r="H159"/>
  <c r="I159"/>
  <c r="H160"/>
  <c r="I160"/>
  <c r="H161"/>
  <c r="I161"/>
  <c r="H162"/>
  <c r="I162"/>
  <c r="H163"/>
  <c r="I163"/>
  <c r="H164"/>
  <c r="I164"/>
  <c r="H165"/>
  <c r="I165"/>
  <c r="H166"/>
  <c r="I166"/>
  <c r="H167"/>
  <c r="I167"/>
  <c r="H168"/>
  <c r="I168"/>
  <c r="H169"/>
  <c r="I169"/>
  <c r="H170"/>
  <c r="I170"/>
  <c r="H171"/>
  <c r="I171"/>
  <c r="H172"/>
  <c r="I172"/>
  <c r="H173"/>
  <c r="I173"/>
  <c r="H174"/>
  <c r="I174"/>
  <c r="H175"/>
  <c r="I175"/>
  <c r="H176"/>
  <c r="I176"/>
  <c r="H177"/>
  <c r="I177"/>
  <c r="H178"/>
  <c r="I178"/>
  <c r="H179"/>
  <c r="I179"/>
  <c r="H180"/>
  <c r="I180"/>
  <c r="H181"/>
  <c r="I181"/>
  <c r="H182"/>
  <c r="I182"/>
  <c r="H183"/>
  <c r="I183"/>
  <c r="H184"/>
  <c r="I184"/>
  <c r="H185"/>
  <c r="I185"/>
  <c r="H186"/>
  <c r="I186"/>
  <c r="H187"/>
  <c r="I187"/>
  <c r="H188"/>
  <c r="I188"/>
  <c r="H189"/>
  <c r="I189"/>
  <c r="H190"/>
  <c r="I190"/>
  <c r="H191"/>
  <c r="I191"/>
  <c r="H192"/>
  <c r="I192"/>
  <c r="H193"/>
  <c r="I193"/>
  <c r="H194"/>
  <c r="I194"/>
  <c r="H195"/>
  <c r="I195"/>
  <c r="H196"/>
  <c r="I196"/>
  <c r="H197"/>
  <c r="I197"/>
  <c r="H198"/>
  <c r="I198"/>
  <c r="H199"/>
  <c r="I199"/>
  <c r="H200"/>
  <c r="I200"/>
  <c r="H201"/>
  <c r="I201"/>
  <c r="H202"/>
  <c r="I202"/>
  <c r="H203"/>
  <c r="I203"/>
  <c r="H204"/>
  <c r="I204"/>
  <c r="H205"/>
  <c r="I205"/>
  <c r="H206"/>
  <c r="I206"/>
  <c r="H207"/>
  <c r="I207"/>
  <c r="H208"/>
  <c r="I208"/>
  <c r="H209"/>
  <c r="I209"/>
  <c r="H210"/>
  <c r="I210"/>
  <c r="H211"/>
  <c r="I211"/>
  <c r="H212"/>
  <c r="I212"/>
  <c r="H213"/>
  <c r="I213"/>
  <c r="H214"/>
  <c r="I214"/>
  <c r="H215"/>
  <c r="I215"/>
  <c r="H216"/>
  <c r="I216"/>
  <c r="H217"/>
  <c r="I217"/>
  <c r="H218"/>
  <c r="I218"/>
  <c r="H219"/>
  <c r="I219"/>
  <c r="H220"/>
  <c r="I220"/>
  <c r="H221"/>
  <c r="I221"/>
  <c r="H222"/>
  <c r="I222"/>
  <c r="H223"/>
  <c r="I223"/>
  <c r="H224"/>
  <c r="I224"/>
  <c r="H225"/>
  <c r="I225"/>
  <c r="H226"/>
  <c r="I226"/>
  <c r="H227"/>
  <c r="I227"/>
  <c r="H228"/>
  <c r="I228"/>
  <c r="H229"/>
  <c r="I229"/>
  <c r="H230"/>
  <c r="I230"/>
  <c r="H231"/>
  <c r="I231"/>
  <c r="H232"/>
  <c r="I232"/>
  <c r="H233"/>
  <c r="I233"/>
  <c r="H234"/>
  <c r="I234"/>
  <c r="H235"/>
  <c r="I235"/>
  <c r="H236"/>
  <c r="I236"/>
  <c r="H237"/>
  <c r="I237"/>
  <c r="H238"/>
  <c r="I238"/>
  <c r="H239"/>
  <c r="I239"/>
  <c r="H240"/>
  <c r="I240"/>
  <c r="H241"/>
  <c r="I241"/>
  <c r="H242"/>
  <c r="I242"/>
  <c r="H243"/>
  <c r="I243"/>
  <c r="H244"/>
  <c r="I244"/>
  <c r="H245"/>
  <c r="I245"/>
  <c r="H246"/>
  <c r="I246"/>
  <c r="H247"/>
  <c r="I247"/>
  <c r="H248"/>
  <c r="I248"/>
  <c r="H249"/>
  <c r="I249"/>
  <c r="H250"/>
  <c r="I250"/>
  <c r="H251"/>
  <c r="I251"/>
  <c r="H252"/>
  <c r="I252"/>
  <c r="H253"/>
  <c r="I253"/>
  <c r="H254"/>
  <c r="I254"/>
  <c r="H255"/>
  <c r="I255"/>
  <c r="H256"/>
  <c r="I256"/>
  <c r="H257"/>
  <c r="I257"/>
  <c r="H258"/>
  <c r="I258"/>
  <c r="H259"/>
  <c r="I259"/>
  <c r="H260"/>
  <c r="I260"/>
  <c r="H261"/>
  <c r="I261"/>
  <c r="H262"/>
  <c r="I262"/>
  <c r="H263"/>
  <c r="I263"/>
  <c r="H264"/>
  <c r="I264"/>
  <c r="H265"/>
  <c r="I265"/>
  <c r="H266"/>
  <c r="I266"/>
  <c r="H267"/>
  <c r="I267"/>
  <c r="H268"/>
  <c r="I268"/>
  <c r="H269"/>
  <c r="I269"/>
  <c r="H270"/>
  <c r="I270"/>
  <c r="H271"/>
  <c r="I271"/>
  <c r="H272"/>
  <c r="I272"/>
  <c r="H273"/>
  <c r="I273"/>
  <c r="H274"/>
  <c r="I274"/>
  <c r="H275"/>
  <c r="I275"/>
  <c r="H276"/>
  <c r="I276"/>
  <c r="H277"/>
  <c r="I277"/>
  <c r="H278"/>
  <c r="I278"/>
  <c r="H279"/>
  <c r="I279"/>
  <c r="H280"/>
  <c r="I280"/>
  <c r="H281"/>
  <c r="I281"/>
  <c r="H282"/>
  <c r="I282"/>
  <c r="H283"/>
  <c r="I283"/>
  <c r="H284"/>
  <c r="I284"/>
  <c r="H285"/>
  <c r="I285"/>
  <c r="H286"/>
  <c r="I286"/>
  <c r="H287"/>
  <c r="I287"/>
  <c r="H288"/>
  <c r="I288"/>
  <c r="H289"/>
  <c r="I289"/>
  <c r="H290"/>
  <c r="I290"/>
  <c r="H291"/>
  <c r="I291"/>
  <c r="H292"/>
  <c r="I292"/>
  <c r="H293"/>
  <c r="I293"/>
  <c r="H294"/>
  <c r="I294"/>
  <c r="H295"/>
  <c r="I295"/>
  <c r="H296"/>
  <c r="I296"/>
  <c r="H297"/>
  <c r="I297"/>
  <c r="H298"/>
  <c r="I298"/>
  <c r="H299"/>
  <c r="I299"/>
  <c r="H300"/>
  <c r="I300"/>
  <c r="H301"/>
  <c r="I301"/>
  <c r="H302"/>
  <c r="I302"/>
  <c r="H303"/>
  <c r="I303"/>
  <c r="H304"/>
  <c r="I304"/>
  <c r="H305"/>
  <c r="I305"/>
  <c r="H306"/>
  <c r="I306"/>
  <c r="H307"/>
  <c r="I307"/>
  <c r="H308"/>
  <c r="I308"/>
  <c r="H309"/>
  <c r="I309"/>
  <c r="H310"/>
  <c r="I310"/>
  <c r="H311"/>
  <c r="I311"/>
  <c r="H312"/>
  <c r="I312"/>
  <c r="H313"/>
  <c r="I313"/>
  <c r="H314"/>
  <c r="I314"/>
  <c r="H315"/>
  <c r="I315"/>
  <c r="H316"/>
  <c r="I316"/>
  <c r="H317"/>
  <c r="I317"/>
  <c r="H318"/>
  <c r="I318"/>
  <c r="H319"/>
  <c r="I319"/>
  <c r="H320"/>
  <c r="I320"/>
  <c r="H321"/>
  <c r="I321"/>
  <c r="H322"/>
  <c r="I322"/>
  <c r="H323"/>
  <c r="I323"/>
  <c r="H324"/>
  <c r="I324"/>
  <c r="H325"/>
  <c r="I325"/>
  <c r="H326"/>
  <c r="I326"/>
  <c r="H327"/>
  <c r="I327"/>
  <c r="H328"/>
  <c r="I328"/>
  <c r="H329"/>
  <c r="I329"/>
  <c r="H330"/>
  <c r="I330"/>
  <c r="H331"/>
  <c r="I331"/>
  <c r="H332"/>
  <c r="I332"/>
  <c r="H333"/>
  <c r="I333"/>
  <c r="H334"/>
  <c r="I334"/>
  <c r="H335"/>
  <c r="I335"/>
  <c r="H336"/>
  <c r="I336"/>
  <c r="H337"/>
  <c r="I337"/>
  <c r="H338"/>
  <c r="I338"/>
  <c r="H339"/>
  <c r="I339"/>
  <c r="H340"/>
  <c r="I340"/>
  <c r="H341"/>
  <c r="I341"/>
  <c r="H342"/>
  <c r="I342"/>
  <c r="H343"/>
  <c r="I343"/>
  <c r="H344"/>
  <c r="I344"/>
  <c r="H345"/>
  <c r="I345"/>
  <c r="H346"/>
  <c r="I346"/>
  <c r="H347"/>
  <c r="I347"/>
  <c r="H348"/>
  <c r="I348"/>
  <c r="H349"/>
  <c r="I349"/>
  <c r="H350"/>
  <c r="I350"/>
  <c r="H351"/>
  <c r="I351"/>
  <c r="H352"/>
  <c r="I352"/>
  <c r="H353"/>
  <c r="I353"/>
  <c r="H354"/>
  <c r="I354"/>
  <c r="H355"/>
  <c r="I355"/>
  <c r="H356"/>
  <c r="I356"/>
  <c r="H357"/>
  <c r="I357"/>
  <c r="H358"/>
  <c r="I358"/>
  <c r="H359"/>
  <c r="I359"/>
  <c r="H360"/>
  <c r="I360"/>
  <c r="H361"/>
  <c r="I361"/>
  <c r="H362"/>
  <c r="I362"/>
  <c r="H363"/>
  <c r="I363"/>
  <c r="H364"/>
  <c r="I364"/>
  <c r="H365"/>
  <c r="I365"/>
  <c r="H366"/>
  <c r="I366"/>
  <c r="H367"/>
  <c r="I367"/>
  <c r="H368"/>
  <c r="I368"/>
  <c r="H369"/>
  <c r="I369"/>
  <c r="H370"/>
  <c r="I370"/>
  <c r="H371"/>
  <c r="I371"/>
  <c r="H372"/>
  <c r="I372"/>
  <c r="H373"/>
  <c r="I373"/>
  <c r="H374"/>
  <c r="I374"/>
  <c r="H375"/>
  <c r="I375"/>
  <c r="H376"/>
  <c r="I376"/>
  <c r="H377"/>
  <c r="I377"/>
  <c r="H378"/>
  <c r="I378"/>
  <c r="H379"/>
  <c r="I379"/>
  <c r="H380"/>
  <c r="I380"/>
  <c r="H381"/>
  <c r="I381"/>
  <c r="H382"/>
  <c r="I382"/>
  <c r="H383"/>
  <c r="I383"/>
  <c r="H384"/>
  <c r="I384"/>
  <c r="H385"/>
  <c r="I385"/>
  <c r="H386"/>
  <c r="I386"/>
  <c r="H387"/>
  <c r="I387"/>
  <c r="H388"/>
  <c r="I388"/>
  <c r="H389"/>
  <c r="I389"/>
  <c r="H390"/>
  <c r="I390"/>
  <c r="H391"/>
  <c r="I391"/>
  <c r="H392"/>
  <c r="I392"/>
  <c r="H393"/>
  <c r="I393"/>
  <c r="H394"/>
  <c r="I394"/>
  <c r="H395"/>
  <c r="I395"/>
  <c r="H396"/>
  <c r="I396"/>
  <c r="H397"/>
  <c r="I397"/>
  <c r="H398"/>
  <c r="I398"/>
  <c r="H399"/>
  <c r="I399"/>
  <c r="H400"/>
  <c r="I400"/>
  <c r="H401"/>
  <c r="I401"/>
  <c r="H402"/>
  <c r="I402"/>
  <c r="H403"/>
  <c r="I403"/>
  <c r="H404"/>
  <c r="I404"/>
  <c r="H405"/>
  <c r="I405"/>
  <c r="H406"/>
  <c r="I406"/>
  <c r="H407"/>
  <c r="I407"/>
  <c r="H408"/>
  <c r="I408"/>
  <c r="H409"/>
  <c r="I409"/>
  <c r="H410"/>
  <c r="I410"/>
  <c r="H411"/>
  <c r="I411"/>
  <c r="H412"/>
  <c r="I412"/>
  <c r="H413"/>
  <c r="I413"/>
  <c r="H414"/>
  <c r="I414"/>
  <c r="H415"/>
  <c r="I415"/>
  <c r="H416"/>
  <c r="I416"/>
  <c r="H417"/>
  <c r="I417"/>
  <c r="H418"/>
  <c r="I418"/>
  <c r="H419"/>
  <c r="I419"/>
  <c r="H420"/>
  <c r="I420"/>
  <c r="H421"/>
  <c r="I421"/>
  <c r="H422"/>
  <c r="I422"/>
  <c r="H423"/>
  <c r="I423"/>
  <c r="H424"/>
  <c r="I424"/>
  <c r="H425"/>
  <c r="I425"/>
  <c r="H426"/>
  <c r="I426"/>
  <c r="H427"/>
  <c r="I427"/>
  <c r="H428"/>
  <c r="I428"/>
  <c r="H429"/>
  <c r="I429"/>
  <c r="H430"/>
  <c r="I430"/>
  <c r="H431"/>
  <c r="I431"/>
  <c r="H432"/>
  <c r="I432"/>
  <c r="H433"/>
  <c r="I433"/>
  <c r="H434"/>
  <c r="I434"/>
  <c r="H435"/>
  <c r="I435"/>
  <c r="H436"/>
  <c r="I436"/>
  <c r="H437"/>
  <c r="I437"/>
  <c r="H438"/>
  <c r="I438"/>
  <c r="H439"/>
  <c r="I439"/>
  <c r="H440"/>
  <c r="I440"/>
  <c r="H441"/>
  <c r="I441"/>
  <c r="H442"/>
  <c r="I442"/>
  <c r="H443"/>
  <c r="I443"/>
  <c r="H444"/>
  <c r="I444"/>
  <c r="H445"/>
  <c r="I445"/>
  <c r="H446"/>
  <c r="I446"/>
  <c r="H447"/>
  <c r="I447"/>
  <c r="H448"/>
  <c r="I448"/>
  <c r="H449"/>
  <c r="I449"/>
  <c r="H450"/>
  <c r="I450"/>
  <c r="H451"/>
  <c r="I451"/>
  <c r="H452"/>
  <c r="I452"/>
  <c r="H453"/>
  <c r="I453"/>
  <c r="H454"/>
  <c r="I454"/>
  <c r="H455"/>
  <c r="I455"/>
  <c r="H456"/>
  <c r="I456"/>
  <c r="H457"/>
  <c r="I457"/>
  <c r="H458"/>
  <c r="I458"/>
  <c r="H459"/>
  <c r="I459"/>
  <c r="H460"/>
  <c r="I460"/>
  <c r="H461"/>
  <c r="I461"/>
  <c r="H462"/>
  <c r="I462"/>
  <c r="H463"/>
  <c r="I463"/>
  <c r="H464"/>
  <c r="I464"/>
  <c r="H465"/>
  <c r="I465"/>
  <c r="H466"/>
  <c r="I466"/>
  <c r="H467"/>
  <c r="I467"/>
  <c r="H468"/>
  <c r="I468"/>
  <c r="H469"/>
  <c r="I469"/>
  <c r="H470"/>
  <c r="I470"/>
  <c r="H471"/>
  <c r="I471"/>
  <c r="H472"/>
  <c r="I472"/>
  <c r="H473"/>
  <c r="I473"/>
  <c r="H474"/>
  <c r="I474"/>
  <c r="H475"/>
  <c r="I475"/>
  <c r="H476"/>
  <c r="I476"/>
  <c r="H477"/>
  <c r="I477"/>
  <c r="H478"/>
  <c r="I478"/>
  <c r="H479"/>
  <c r="I479"/>
  <c r="H480"/>
  <c r="I480"/>
  <c r="H481"/>
  <c r="I481"/>
  <c r="H482"/>
  <c r="I482"/>
  <c r="H483"/>
  <c r="I483"/>
  <c r="H484"/>
  <c r="I484"/>
  <c r="H485"/>
  <c r="I485"/>
  <c r="H486"/>
  <c r="I486"/>
  <c r="H487"/>
  <c r="I487"/>
  <c r="H488"/>
  <c r="I488"/>
  <c r="H489"/>
  <c r="I489"/>
  <c r="H490"/>
  <c r="I490"/>
  <c r="H491"/>
  <c r="I491"/>
  <c r="H492"/>
  <c r="I492"/>
  <c r="H493"/>
  <c r="I493"/>
  <c r="H494"/>
  <c r="I494"/>
  <c r="H495"/>
  <c r="I495"/>
  <c r="H496"/>
  <c r="I496"/>
  <c r="H497"/>
  <c r="I497"/>
  <c r="H498"/>
  <c r="I498"/>
  <c r="H499"/>
  <c r="I499"/>
  <c r="H500"/>
  <c r="I500"/>
  <c r="H501"/>
  <c r="I501"/>
  <c r="H502"/>
  <c r="I502"/>
  <c r="H503"/>
  <c r="I503"/>
  <c r="H504"/>
  <c r="I504"/>
  <c r="H505"/>
  <c r="I505"/>
  <c r="H506"/>
  <c r="I506"/>
  <c r="H507"/>
  <c r="I507"/>
  <c r="H508"/>
  <c r="I508"/>
  <c r="H509"/>
  <c r="I509"/>
  <c r="H510"/>
  <c r="I510"/>
  <c r="H511"/>
  <c r="I511"/>
  <c r="H512"/>
  <c r="I512"/>
  <c r="H513"/>
  <c r="I513"/>
  <c r="H514"/>
  <c r="I514"/>
  <c r="H515"/>
  <c r="I515"/>
  <c r="H516"/>
  <c r="I516"/>
  <c r="H517"/>
  <c r="I517"/>
  <c r="H518"/>
  <c r="I518"/>
  <c r="H519"/>
  <c r="I519"/>
  <c r="H520"/>
  <c r="I520"/>
  <c r="H521"/>
  <c r="I521"/>
  <c r="H522"/>
  <c r="I522"/>
  <c r="H523"/>
  <c r="I523"/>
  <c r="H524"/>
  <c r="I524"/>
  <c r="H525"/>
  <c r="I525"/>
  <c r="H526"/>
  <c r="I526"/>
  <c r="H527"/>
  <c r="I527"/>
  <c r="H528"/>
  <c r="I528"/>
  <c r="H529"/>
  <c r="I529"/>
  <c r="H530"/>
  <c r="I530"/>
  <c r="H531"/>
  <c r="I531"/>
  <c r="H532"/>
  <c r="I532"/>
  <c r="H533"/>
  <c r="I533"/>
  <c r="H534"/>
  <c r="I534"/>
  <c r="H535"/>
  <c r="I535"/>
  <c r="H536"/>
  <c r="I536"/>
  <c r="H537"/>
  <c r="I537"/>
  <c r="H538"/>
  <c r="I538"/>
  <c r="H539"/>
  <c r="I539"/>
  <c r="H540"/>
  <c r="I540"/>
  <c r="H541"/>
  <c r="I541"/>
  <c r="H542"/>
  <c r="I542"/>
  <c r="H543"/>
  <c r="I543"/>
  <c r="H544"/>
  <c r="I544"/>
  <c r="H545"/>
  <c r="I545"/>
  <c r="H546"/>
  <c r="I546"/>
  <c r="H547"/>
  <c r="I547"/>
  <c r="H548"/>
  <c r="I548"/>
  <c r="H549"/>
  <c r="I549"/>
  <c r="H550"/>
  <c r="I550"/>
  <c r="H551"/>
  <c r="I551"/>
  <c r="H552"/>
  <c r="I552"/>
  <c r="H553"/>
  <c r="I553"/>
  <c r="H554"/>
  <c r="I554"/>
  <c r="H555"/>
  <c r="I555"/>
  <c r="H556"/>
  <c r="I556"/>
  <c r="H557"/>
  <c r="I557"/>
  <c r="H558"/>
  <c r="I558"/>
  <c r="H559"/>
  <c r="I559"/>
  <c r="H560"/>
  <c r="I560"/>
  <c r="H561"/>
  <c r="I561"/>
  <c r="H562"/>
  <c r="I562"/>
  <c r="H563"/>
  <c r="I563"/>
  <c r="H564"/>
  <c r="I564"/>
  <c r="H565"/>
  <c r="I565"/>
  <c r="H566"/>
  <c r="I566"/>
  <c r="H567"/>
  <c r="I567"/>
  <c r="H568"/>
  <c r="I568"/>
  <c r="H569"/>
  <c r="I569"/>
  <c r="H570"/>
  <c r="I570"/>
  <c r="H571"/>
  <c r="I571"/>
  <c r="H572"/>
  <c r="I572"/>
  <c r="H573"/>
  <c r="I573"/>
  <c r="H574"/>
  <c r="I574"/>
  <c r="H575"/>
  <c r="I575"/>
  <c r="H576"/>
  <c r="I576"/>
  <c r="H577"/>
  <c r="I577"/>
  <c r="H578"/>
  <c r="I578"/>
  <c r="H579"/>
  <c r="I579"/>
  <c r="H580"/>
  <c r="I580"/>
  <c r="H581"/>
  <c r="I581"/>
  <c r="H582"/>
  <c r="I582"/>
  <c r="H583"/>
  <c r="I583"/>
  <c r="H584"/>
  <c r="I584"/>
  <c r="H585"/>
  <c r="I585"/>
  <c r="H586"/>
  <c r="I586"/>
  <c r="H587"/>
  <c r="I587"/>
  <c r="H588"/>
  <c r="I588"/>
  <c r="H589"/>
  <c r="I589"/>
  <c r="H590"/>
  <c r="I590"/>
  <c r="H591"/>
  <c r="I591"/>
  <c r="H592"/>
  <c r="I592"/>
  <c r="H593"/>
  <c r="I593"/>
  <c r="H594"/>
  <c r="I594"/>
  <c r="H595"/>
  <c r="I595"/>
  <c r="H596"/>
  <c r="I596"/>
  <c r="H597"/>
  <c r="I597"/>
  <c r="H598"/>
  <c r="I598"/>
  <c r="H599"/>
  <c r="I599"/>
  <c r="H600"/>
  <c r="I600"/>
  <c r="H601"/>
  <c r="I601"/>
  <c r="H602"/>
  <c r="I602"/>
  <c r="H603"/>
  <c r="I603"/>
  <c r="H604"/>
  <c r="I604"/>
  <c r="H605"/>
  <c r="I605"/>
  <c r="H606"/>
  <c r="I606"/>
  <c r="H607"/>
  <c r="I607"/>
  <c r="H608"/>
  <c r="I608"/>
  <c r="H609"/>
  <c r="I609"/>
  <c r="H610"/>
  <c r="I610"/>
  <c r="H611"/>
  <c r="I611"/>
  <c r="H612"/>
  <c r="I612"/>
  <c r="H613"/>
  <c r="I613"/>
  <c r="H614"/>
  <c r="I614"/>
  <c r="H615"/>
  <c r="I615"/>
  <c r="H616"/>
  <c r="I616"/>
  <c r="H617"/>
  <c r="I617"/>
  <c r="H618"/>
  <c r="I618"/>
  <c r="H619"/>
  <c r="I619"/>
  <c r="H620"/>
  <c r="I620"/>
  <c r="H621"/>
  <c r="I621"/>
  <c r="H622"/>
  <c r="I622"/>
  <c r="H623"/>
  <c r="I623"/>
  <c r="H624"/>
  <c r="I624"/>
  <c r="H625"/>
  <c r="I625"/>
  <c r="H626"/>
  <c r="I626"/>
  <c r="H627"/>
  <c r="I627"/>
  <c r="H628"/>
  <c r="I628"/>
  <c r="H629"/>
  <c r="I629"/>
  <c r="H630"/>
  <c r="I630"/>
  <c r="H631"/>
  <c r="I631"/>
  <c r="H632"/>
  <c r="I632"/>
  <c r="H633"/>
  <c r="I633"/>
  <c r="H634"/>
  <c r="I634"/>
  <c r="H635"/>
  <c r="I635"/>
  <c r="H636"/>
  <c r="I636"/>
  <c r="H637"/>
  <c r="I637"/>
  <c r="H638"/>
  <c r="I638"/>
  <c r="H639"/>
  <c r="I639"/>
  <c r="H640"/>
  <c r="I640"/>
  <c r="H641"/>
  <c r="I641"/>
  <c r="H642"/>
  <c r="I642"/>
  <c r="H643"/>
  <c r="I643"/>
  <c r="H644"/>
  <c r="I644"/>
  <c r="H645"/>
  <c r="I645"/>
  <c r="H646"/>
  <c r="I646"/>
  <c r="H647"/>
  <c r="I647"/>
  <c r="H648"/>
  <c r="I648"/>
  <c r="H649"/>
  <c r="I649"/>
  <c r="H650"/>
  <c r="I650"/>
  <c r="H651"/>
  <c r="I651"/>
  <c r="H652"/>
  <c r="I652"/>
  <c r="H653"/>
  <c r="I653"/>
  <c r="H654"/>
  <c r="I654"/>
  <c r="H655"/>
  <c r="I655"/>
  <c r="H656"/>
  <c r="I656"/>
  <c r="H657"/>
  <c r="I657"/>
  <c r="H658"/>
  <c r="I658"/>
  <c r="H659"/>
  <c r="I659"/>
  <c r="H660"/>
  <c r="I660"/>
  <c r="H661"/>
  <c r="I661"/>
  <c r="H662"/>
  <c r="I662"/>
  <c r="H663"/>
  <c r="I663"/>
  <c r="H664"/>
  <c r="I664"/>
  <c r="H665"/>
  <c r="I665"/>
  <c r="H666"/>
  <c r="I666"/>
  <c r="H667"/>
  <c r="I667"/>
  <c r="H668"/>
  <c r="I668"/>
  <c r="H669"/>
  <c r="I669"/>
  <c r="H670"/>
  <c r="I670"/>
  <c r="H671"/>
  <c r="I671"/>
  <c r="H672"/>
  <c r="I672"/>
  <c r="H673"/>
  <c r="I673"/>
  <c r="H674"/>
  <c r="I674"/>
  <c r="H675"/>
  <c r="I675"/>
  <c r="H676"/>
  <c r="I676"/>
  <c r="H677"/>
  <c r="I677"/>
  <c r="H678"/>
  <c r="I678"/>
  <c r="H679"/>
  <c r="I679"/>
  <c r="H680"/>
  <c r="I680"/>
  <c r="H681"/>
  <c r="I681"/>
  <c r="H682"/>
  <c r="I682"/>
  <c r="H683"/>
  <c r="I683"/>
  <c r="H684"/>
  <c r="I684"/>
  <c r="H685"/>
  <c r="I685"/>
  <c r="H686"/>
  <c r="I686"/>
  <c r="H687"/>
  <c r="I687"/>
  <c r="H688"/>
  <c r="I688"/>
  <c r="H689"/>
  <c r="I689"/>
  <c r="H690"/>
  <c r="I690"/>
  <c r="H691"/>
  <c r="I691"/>
  <c r="H692"/>
  <c r="I692"/>
  <c r="H693"/>
  <c r="I693"/>
  <c r="H694"/>
  <c r="I694"/>
  <c r="H695"/>
  <c r="I695"/>
  <c r="H696"/>
  <c r="I696"/>
  <c r="H697"/>
  <c r="I697"/>
  <c r="H698"/>
  <c r="I698"/>
  <c r="H699"/>
  <c r="I699"/>
  <c r="H700"/>
  <c r="I700"/>
  <c r="H701"/>
  <c r="I701"/>
  <c r="H702"/>
  <c r="I702"/>
  <c r="H703"/>
  <c r="I703"/>
  <c r="H704"/>
  <c r="I704"/>
  <c r="H705"/>
  <c r="I705"/>
  <c r="H706"/>
  <c r="I706"/>
  <c r="H707"/>
  <c r="I707"/>
  <c r="H708"/>
  <c r="I708"/>
  <c r="H709"/>
  <c r="I709"/>
  <c r="H710"/>
  <c r="I710"/>
  <c r="H711"/>
  <c r="I711"/>
  <c r="H712"/>
  <c r="I712"/>
  <c r="H713"/>
  <c r="I713"/>
  <c r="H714"/>
  <c r="I714"/>
  <c r="H715"/>
  <c r="I715"/>
  <c r="H716"/>
  <c r="I716"/>
  <c r="H717"/>
  <c r="I717"/>
  <c r="H718"/>
  <c r="I718"/>
  <c r="H719"/>
  <c r="I719"/>
  <c r="H720"/>
  <c r="I720"/>
  <c r="H721"/>
  <c r="I721"/>
  <c r="H722"/>
  <c r="I722"/>
  <c r="H723"/>
  <c r="I723"/>
  <c r="H724"/>
  <c r="I724"/>
  <c r="H725"/>
  <c r="I725"/>
  <c r="H726"/>
  <c r="I726"/>
  <c r="H727"/>
  <c r="I727"/>
  <c r="H728"/>
  <c r="I728"/>
  <c r="H729"/>
  <c r="I729"/>
  <c r="H730"/>
  <c r="I730"/>
  <c r="H731"/>
  <c r="I731"/>
  <c r="H732"/>
  <c r="I732"/>
  <c r="H733"/>
  <c r="I733"/>
  <c r="H734"/>
  <c r="I734"/>
  <c r="H735"/>
  <c r="I735"/>
  <c r="H736"/>
  <c r="I736"/>
  <c r="H737"/>
  <c r="I737"/>
  <c r="H738"/>
  <c r="I738"/>
  <c r="H739"/>
  <c r="I739"/>
  <c r="H740"/>
  <c r="I740"/>
  <c r="H741"/>
  <c r="I741"/>
  <c r="H742"/>
  <c r="I742"/>
  <c r="H743"/>
  <c r="I743"/>
  <c r="H744"/>
  <c r="I744"/>
  <c r="H745"/>
  <c r="I745"/>
  <c r="H746"/>
  <c r="I746"/>
  <c r="H747"/>
  <c r="I747"/>
  <c r="H748"/>
  <c r="I748"/>
  <c r="H749"/>
  <c r="I749"/>
  <c r="H750"/>
  <c r="I750"/>
  <c r="H751"/>
  <c r="I751"/>
  <c r="H752"/>
  <c r="I752"/>
  <c r="H753"/>
  <c r="I753"/>
  <c r="H754"/>
  <c r="I754"/>
  <c r="H755"/>
  <c r="I755"/>
  <c r="H756"/>
  <c r="I756"/>
  <c r="H757"/>
  <c r="I757"/>
  <c r="H758"/>
  <c r="I758"/>
  <c r="H759"/>
  <c r="I759"/>
  <c r="H760"/>
  <c r="I760"/>
  <c r="H761"/>
  <c r="I761"/>
  <c r="H762"/>
  <c r="I762"/>
  <c r="H763"/>
  <c r="I763"/>
  <c r="H764"/>
  <c r="I764"/>
  <c r="H765"/>
  <c r="I765"/>
  <c r="H766"/>
  <c r="I766"/>
  <c r="H767"/>
  <c r="I767"/>
  <c r="H768"/>
  <c r="I768"/>
  <c r="H769"/>
  <c r="I769"/>
  <c r="H770"/>
  <c r="I770"/>
  <c r="H771"/>
  <c r="I771"/>
  <c r="H772"/>
  <c r="I772"/>
  <c r="H773"/>
  <c r="I773"/>
  <c r="H774"/>
  <c r="I774"/>
  <c r="H775"/>
  <c r="I775"/>
  <c r="H776"/>
  <c r="I776"/>
  <c r="H777"/>
  <c r="I777"/>
  <c r="H778"/>
  <c r="I778"/>
  <c r="H779"/>
  <c r="I779"/>
  <c r="H780"/>
  <c r="I780"/>
  <c r="H781"/>
  <c r="I781"/>
  <c r="H782"/>
  <c r="I782"/>
  <c r="H783"/>
  <c r="I783"/>
  <c r="H784"/>
  <c r="I784"/>
  <c r="H785"/>
  <c r="I785"/>
  <c r="H786"/>
  <c r="I786"/>
  <c r="H787"/>
  <c r="I787"/>
  <c r="H788"/>
  <c r="I788"/>
  <c r="H789"/>
  <c r="I789"/>
  <c r="H790"/>
  <c r="I790"/>
  <c r="H791"/>
  <c r="I791"/>
  <c r="H792"/>
  <c r="I792"/>
  <c r="H793"/>
  <c r="I793"/>
  <c r="H794"/>
  <c r="I794"/>
  <c r="H795"/>
  <c r="I795"/>
  <c r="H796"/>
  <c r="I796"/>
  <c r="H797"/>
  <c r="I797"/>
  <c r="H798"/>
  <c r="I798"/>
  <c r="H799"/>
  <c r="I799"/>
  <c r="H800"/>
  <c r="I800"/>
  <c r="H801"/>
  <c r="I801"/>
  <c r="H802"/>
  <c r="I802"/>
  <c r="H803"/>
  <c r="I803"/>
  <c r="H804"/>
  <c r="I804"/>
  <c r="H805"/>
  <c r="I805"/>
  <c r="H806"/>
  <c r="I806"/>
  <c r="H807"/>
  <c r="I807"/>
  <c r="H808"/>
  <c r="I808"/>
  <c r="H809"/>
  <c r="I809"/>
  <c r="H810"/>
  <c r="I810"/>
  <c r="H811"/>
  <c r="I811"/>
  <c r="H812"/>
  <c r="I812"/>
  <c r="H813"/>
  <c r="I813"/>
  <c r="H814"/>
  <c r="I814"/>
  <c r="H815"/>
  <c r="I815"/>
  <c r="H816"/>
  <c r="I816"/>
  <c r="H817"/>
  <c r="I817"/>
  <c r="H818"/>
  <c r="I818"/>
  <c r="H819"/>
  <c r="I819"/>
  <c r="H820"/>
  <c r="I820"/>
  <c r="H821"/>
  <c r="I821"/>
  <c r="H822"/>
  <c r="I822"/>
  <c r="H823"/>
  <c r="I823"/>
  <c r="H824"/>
  <c r="I824"/>
  <c r="H825"/>
  <c r="I825"/>
  <c r="H826"/>
  <c r="I826"/>
  <c r="H827"/>
  <c r="I827"/>
  <c r="H828"/>
  <c r="I828"/>
  <c r="H829"/>
  <c r="I829"/>
  <c r="H830"/>
  <c r="I830"/>
  <c r="H831"/>
  <c r="I831"/>
  <c r="H832"/>
  <c r="I832"/>
  <c r="H833"/>
  <c r="I833"/>
  <c r="H834"/>
  <c r="I834"/>
  <c r="H835"/>
  <c r="I835"/>
  <c r="H836"/>
  <c r="I836"/>
  <c r="H837"/>
  <c r="I837"/>
  <c r="H838"/>
  <c r="I838"/>
  <c r="H839"/>
  <c r="I839"/>
  <c r="H840"/>
  <c r="I840"/>
  <c r="H841"/>
  <c r="I841"/>
  <c r="H842"/>
  <c r="I842"/>
  <c r="H843"/>
  <c r="I843"/>
  <c r="H844"/>
  <c r="I844"/>
  <c r="H845"/>
  <c r="I845"/>
  <c r="H846"/>
  <c r="I846"/>
  <c r="H847"/>
  <c r="I847"/>
  <c r="H848"/>
  <c r="I848"/>
  <c r="H849"/>
  <c r="I849"/>
  <c r="H850"/>
  <c r="I850"/>
  <c r="H851"/>
  <c r="I851"/>
  <c r="H852"/>
  <c r="I852"/>
  <c r="H853"/>
  <c r="I853"/>
  <c r="H854"/>
  <c r="I854"/>
  <c r="H855"/>
  <c r="I855"/>
  <c r="H856"/>
  <c r="I856"/>
  <c r="H857"/>
  <c r="I857"/>
  <c r="H858"/>
  <c r="I858"/>
  <c r="H859"/>
  <c r="I859"/>
  <c r="H860"/>
  <c r="I860"/>
  <c r="H861"/>
  <c r="I861"/>
  <c r="H862"/>
  <c r="I862"/>
  <c r="H863"/>
  <c r="I863"/>
  <c r="H864"/>
  <c r="I864"/>
  <c r="H865"/>
  <c r="I865"/>
  <c r="H866"/>
  <c r="I866"/>
  <c r="H867"/>
  <c r="I867"/>
  <c r="H868"/>
  <c r="I868"/>
  <c r="H869"/>
  <c r="I869"/>
  <c r="H870"/>
  <c r="I870"/>
  <c r="H871"/>
  <c r="I871"/>
  <c r="H872"/>
  <c r="I872"/>
  <c r="H873"/>
  <c r="I873"/>
  <c r="H874"/>
  <c r="I874"/>
  <c r="H875"/>
  <c r="I875"/>
  <c r="H876"/>
  <c r="I876"/>
  <c r="H877"/>
  <c r="I877"/>
  <c r="H878"/>
  <c r="I878"/>
  <c r="H879"/>
  <c r="I879"/>
  <c r="H880"/>
  <c r="I880"/>
  <c r="H881"/>
  <c r="I881"/>
  <c r="H882"/>
  <c r="I882"/>
  <c r="H883"/>
  <c r="I883"/>
  <c r="H884"/>
  <c r="I884"/>
  <c r="H885"/>
  <c r="I885"/>
  <c r="H886"/>
  <c r="I886"/>
  <c r="H887"/>
  <c r="I887"/>
  <c r="H888"/>
  <c r="I888"/>
  <c r="H889"/>
  <c r="I889"/>
  <c r="H890"/>
  <c r="I890"/>
  <c r="H891"/>
  <c r="I891"/>
  <c r="H892"/>
  <c r="I892"/>
  <c r="H893"/>
  <c r="I893"/>
  <c r="H894"/>
  <c r="I894"/>
  <c r="H895"/>
  <c r="I895"/>
  <c r="H896"/>
  <c r="I896"/>
  <c r="H897"/>
  <c r="I897"/>
  <c r="H898"/>
  <c r="I898"/>
  <c r="H899"/>
  <c r="I899"/>
  <c r="H900"/>
  <c r="I900"/>
  <c r="H901"/>
  <c r="I901"/>
  <c r="H902"/>
  <c r="I902"/>
  <c r="H903"/>
  <c r="I903"/>
  <c r="H904"/>
  <c r="I904"/>
  <c r="H905"/>
  <c r="I905"/>
  <c r="H906"/>
  <c r="I906"/>
  <c r="H907"/>
  <c r="I907"/>
  <c r="H908"/>
  <c r="I908"/>
  <c r="H909"/>
  <c r="I909"/>
  <c r="H910"/>
  <c r="I910"/>
  <c r="H911"/>
  <c r="I911"/>
  <c r="H912"/>
  <c r="I912"/>
  <c r="H913"/>
  <c r="I913"/>
  <c r="H914"/>
  <c r="I914"/>
  <c r="H915"/>
  <c r="I915"/>
  <c r="H916"/>
  <c r="I916"/>
  <c r="H917"/>
  <c r="I917"/>
  <c r="H918"/>
  <c r="I918"/>
  <c r="H919"/>
  <c r="I919"/>
  <c r="H920"/>
  <c r="I920"/>
  <c r="H921"/>
  <c r="I921"/>
  <c r="H922"/>
  <c r="I922"/>
  <c r="H923"/>
  <c r="I923"/>
  <c r="H924"/>
  <c r="I924"/>
  <c r="H925"/>
  <c r="I925"/>
  <c r="H926"/>
  <c r="I926"/>
  <c r="H927"/>
  <c r="I927"/>
  <c r="H928"/>
  <c r="I928"/>
  <c r="H929"/>
  <c r="I929"/>
  <c r="H930"/>
  <c r="I930"/>
  <c r="H931"/>
  <c r="I931"/>
  <c r="H932"/>
  <c r="I932"/>
  <c r="H933"/>
  <c r="I933"/>
  <c r="H934"/>
  <c r="I934"/>
  <c r="H935"/>
  <c r="I935"/>
  <c r="H936"/>
  <c r="I936"/>
  <c r="H937"/>
  <c r="I937"/>
  <c r="H938"/>
  <c r="I938"/>
  <c r="H939"/>
  <c r="I939"/>
  <c r="H940"/>
  <c r="I940"/>
  <c r="H941"/>
  <c r="I941"/>
  <c r="H942"/>
  <c r="I942"/>
  <c r="H943"/>
  <c r="I943"/>
  <c r="H944"/>
  <c r="I944"/>
  <c r="H945"/>
  <c r="I945"/>
  <c r="H946"/>
  <c r="I946"/>
  <c r="H947"/>
  <c r="I947"/>
  <c r="H948"/>
  <c r="I948"/>
  <c r="H949"/>
  <c r="I949"/>
  <c r="H950"/>
  <c r="I950"/>
  <c r="H951"/>
  <c r="I951"/>
  <c r="H952"/>
  <c r="I952"/>
  <c r="H953"/>
  <c r="I953"/>
  <c r="H954"/>
  <c r="I954"/>
  <c r="H955"/>
  <c r="I955"/>
  <c r="H956"/>
  <c r="I956"/>
  <c r="H957"/>
  <c r="I957"/>
  <c r="H958"/>
  <c r="I958"/>
  <c r="H959"/>
  <c r="I959"/>
  <c r="H960"/>
  <c r="I960"/>
  <c r="H961"/>
  <c r="I961"/>
  <c r="H962"/>
  <c r="I962"/>
  <c r="H963"/>
  <c r="I963"/>
  <c r="H964"/>
  <c r="I964"/>
  <c r="H965"/>
  <c r="I965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452"/>
  <c r="C453"/>
  <c r="C454"/>
  <c r="C455"/>
  <c r="C456"/>
  <c r="C457"/>
  <c r="C458"/>
  <c r="C459"/>
  <c r="C460"/>
  <c r="C461"/>
  <c r="C462"/>
  <c r="C463"/>
  <c r="C464"/>
  <c r="C465"/>
  <c r="C466"/>
  <c r="C467"/>
  <c r="C469"/>
  <c r="C470"/>
  <c r="C472"/>
  <c r="C473"/>
  <c r="C474"/>
  <c r="C475"/>
  <c r="C476"/>
  <c r="C477"/>
  <c r="C478"/>
  <c r="C479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2020"/>
  <c r="C2021"/>
  <c r="C2022"/>
  <c r="C2023"/>
  <c r="C2024"/>
  <c r="C2025"/>
  <c r="C2026"/>
  <c r="C2027"/>
  <c r="C2028"/>
  <c r="C2029"/>
  <c r="C2030"/>
  <c r="C2031"/>
  <c r="C2032"/>
  <c r="C2033"/>
  <c r="C2034"/>
  <c r="C2035"/>
  <c r="C2036"/>
  <c r="C2037"/>
  <c r="C2038"/>
  <c r="C2039"/>
  <c r="C2040"/>
  <c r="C2041"/>
  <c r="C2042"/>
  <c r="C2043"/>
  <c r="C2044"/>
  <c r="C2045"/>
  <c r="C2046"/>
  <c r="C2047"/>
  <c r="C2048"/>
  <c r="C2049"/>
  <c r="C2050"/>
  <c r="C2051"/>
  <c r="C2052"/>
  <c r="C2053"/>
  <c r="C2054"/>
  <c r="C2055"/>
  <c r="C2056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C2076"/>
  <c r="C2077"/>
  <c r="C2078"/>
  <c r="C2079"/>
  <c r="C2080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C2101"/>
  <c r="C2102"/>
  <c r="C2103"/>
  <c r="C2104"/>
  <c r="C2105"/>
  <c r="C2106"/>
  <c r="C2107"/>
  <c r="C2108"/>
  <c r="C2109"/>
  <c r="C2110"/>
  <c r="C2111"/>
  <c r="C2112"/>
  <c r="C2113"/>
  <c r="C2114"/>
  <c r="C2115"/>
  <c r="C2116"/>
  <c r="C2117"/>
  <c r="C2118"/>
  <c r="C2119"/>
  <c r="C2120"/>
  <c r="C2121"/>
  <c r="C2122"/>
  <c r="C2123"/>
  <c r="C2124"/>
  <c r="C2125"/>
  <c r="C2126"/>
  <c r="C2127"/>
  <c r="C2128"/>
  <c r="C2129"/>
  <c r="C2130"/>
  <c r="C2131"/>
  <c r="C2132"/>
  <c r="C2133"/>
  <c r="C2134"/>
  <c r="C2135"/>
  <c r="C2136"/>
  <c r="C2137"/>
  <c r="C2138"/>
  <c r="C2139"/>
  <c r="C2140"/>
  <c r="C2141"/>
  <c r="C2142"/>
  <c r="C2143"/>
  <c r="C2144"/>
  <c r="C2145"/>
  <c r="C2146"/>
  <c r="C2147"/>
  <c r="C2148"/>
  <c r="C2149"/>
  <c r="C2150"/>
  <c r="C2151"/>
  <c r="C2152"/>
  <c r="C2153"/>
  <c r="C2154"/>
  <c r="C2155"/>
  <c r="C2156"/>
  <c r="C2157"/>
  <c r="C2158"/>
  <c r="C2159"/>
  <c r="C2160"/>
  <c r="C2161"/>
  <c r="C2162"/>
  <c r="C2163"/>
  <c r="C2164"/>
  <c r="C2165"/>
  <c r="C2166"/>
  <c r="C2167"/>
  <c r="C2168"/>
  <c r="C2169"/>
  <c r="C2170"/>
  <c r="C2171"/>
  <c r="C2172"/>
  <c r="C2173"/>
  <c r="C2174"/>
  <c r="C2175"/>
  <c r="C2176"/>
  <c r="C2177"/>
  <c r="C2178"/>
  <c r="C2179"/>
  <c r="C2180"/>
  <c r="C2181"/>
  <c r="C2182"/>
  <c r="C2183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7"/>
</calcChain>
</file>

<file path=xl/sharedStrings.xml><?xml version="1.0" encoding="utf-8"?>
<sst xmlns="http://schemas.openxmlformats.org/spreadsheetml/2006/main" count="34823" uniqueCount="5888">
  <si>
    <t xml:space="preserve">S4 OCOA </t>
  </si>
  <si>
    <t>Term Deposit</t>
  </si>
  <si>
    <t>Investment</t>
  </si>
  <si>
    <t>Insurance cash items</t>
  </si>
  <si>
    <t>Others</t>
  </si>
  <si>
    <t>Reserves</t>
  </si>
  <si>
    <t>Fix asset &amp; Intangible assets</t>
  </si>
  <si>
    <t>TAX</t>
  </si>
  <si>
    <t>GOE</t>
  </si>
  <si>
    <t>NA</t>
  </si>
  <si>
    <t>VEA</t>
  </si>
  <si>
    <t>A100000000</t>
  </si>
  <si>
    <t>A100000010</t>
  </si>
  <si>
    <t>A100000020</t>
  </si>
  <si>
    <t>OCOA name (CN)</t>
  </si>
  <si>
    <t>三个月以内定期存款-RMB-工行</t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</si>
  <si>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</si>
  <si>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</si>
  <si>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</si>
  <si>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货币式基金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</si>
  <si>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</si>
  <si>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</si>
  <si>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</si>
  <si>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t>股票供股权-成本</t>
  </si>
  <si>
    <t>债券逆回购-面值</t>
  </si>
  <si>
    <t>普通定存-一年以下-RMB-工行</t>
  </si>
  <si>
    <t>普通定存-一年及以上-RMB-工行</t>
  </si>
  <si>
    <t>协议定期存款-RMB-工行</t>
  </si>
  <si>
    <t>可供出售金融资产-成本-股票</t>
  </si>
  <si>
    <t>可供出售金融资产-成本-基金</t>
  </si>
  <si>
    <t>可供出售金融资产-成本-债券</t>
  </si>
  <si>
    <t>可供出售金融资产-成本-货币式基金</t>
  </si>
  <si>
    <t>可供出售金融资产-溢折价摊销-债券</t>
  </si>
  <si>
    <t>可供出售金融资产-公允价值变动-债券</t>
  </si>
  <si>
    <t>可供出售金融资产减值准备-债券</t>
  </si>
  <si>
    <t>可供出售金融资产-BOND (IFRS)</t>
  </si>
  <si>
    <t>持有至到期投资-成本</t>
  </si>
  <si>
    <t>持有至到期投资-溢折价摊销</t>
  </si>
  <si>
    <t>持有至到期投资减值准备</t>
  </si>
  <si>
    <t>保户质押贷款-本金</t>
  </si>
  <si>
    <t>非标投资-本金</t>
  </si>
  <si>
    <t>FVO-IFRS</t>
  </si>
  <si>
    <t>应收股利-股票股利</t>
  </si>
  <si>
    <t>应收利息-三个月以内定期存款</t>
  </si>
  <si>
    <t>应收利息-一般交易性金融资产</t>
  </si>
  <si>
    <t>应收利息-买入返售金融资产</t>
  </si>
  <si>
    <t>应收利息-普通定期存款</t>
  </si>
  <si>
    <t>应收利息-可供出售金融资产</t>
  </si>
  <si>
    <t>应收利息-持有至到期金融资产</t>
  </si>
  <si>
    <t>应收利息-保户质押贷款</t>
  </si>
  <si>
    <t>应收利息-贷款</t>
  </si>
  <si>
    <t>应收利息-活期存款</t>
  </si>
  <si>
    <t>应收利息-FAM (IFRS)</t>
  </si>
  <si>
    <t>应收保费-IFRS</t>
  </si>
  <si>
    <t>应收保费 -3个月以内(含3个月)</t>
  </si>
  <si>
    <t>应收保费 -3个月至6个月(含6个月)</t>
  </si>
  <si>
    <t>应收保费 -1年以上</t>
  </si>
  <si>
    <t>应收保费  -6个月至1年(含1年)</t>
  </si>
  <si>
    <t>应收保费(财务)</t>
  </si>
  <si>
    <t>应收保费-短款</t>
  </si>
  <si>
    <t>应收分保账款-摊回赔付支出</t>
  </si>
  <si>
    <t>应收分保账款-摊回分保费用</t>
  </si>
  <si>
    <t>应收分保账款-纯益手续费</t>
  </si>
  <si>
    <t>其他应收款-保险-退保营销员佣金</t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</si>
  <si>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退保手续费</t>
    </r>
  </si>
  <si>
    <t>其他应收款-保险-退保员工单佣金</t>
  </si>
  <si>
    <t>其他应收款-保险-暂存代收保费</t>
  </si>
  <si>
    <t>其他应收款-保险-其他应收</t>
  </si>
  <si>
    <t>其他应收(付)款-保险-应收(付)投资款</t>
  </si>
  <si>
    <t>其他应收款-保险-营销员挪用垫付</t>
  </si>
  <si>
    <t>其他应收款-投资合同- 再保</t>
  </si>
  <si>
    <t>其他应收-房屋租赁押金(Non-Intercom)</t>
  </si>
  <si>
    <t>其他应收款-日常-员工借款</t>
  </si>
  <si>
    <t>其他应收款-日常-其他应收</t>
  </si>
  <si>
    <t>其他应收款-日常-其他押金</t>
  </si>
  <si>
    <t>其他应收款-日常- RCE office</t>
  </si>
  <si>
    <t>其他应收款-投资-证券清算款</t>
  </si>
  <si>
    <t>其他应收款-投资-其他应收</t>
  </si>
  <si>
    <t>其他应收-投资-证券清算FX clearing</t>
  </si>
  <si>
    <t>其他应收-投资-证券清算Suspense</t>
  </si>
  <si>
    <t>其他应收-保险-挂账-银行</t>
  </si>
  <si>
    <t>预付账款-保险-营销员佣金</t>
  </si>
  <si>
    <t>预付账款-Citi SF</t>
  </si>
  <si>
    <t>预付账款-保险-其他</t>
  </si>
  <si>
    <t>预付账款-日常-固定资产</t>
  </si>
  <si>
    <t>预付账款-日常-其他</t>
  </si>
  <si>
    <t>应收分保未到期责任准备金</t>
  </si>
  <si>
    <t>应收分保未决赔款准备金-已发已报</t>
  </si>
  <si>
    <t>应收分保未决赔款准备金-已发未报</t>
  </si>
  <si>
    <t>应收分保寿险责任准备金</t>
  </si>
  <si>
    <t>内部往来-资产-北京</t>
  </si>
  <si>
    <t>关联方往来-AIA HO</t>
  </si>
  <si>
    <t>内部往来-保险-北京</t>
  </si>
  <si>
    <r>
      <rPr>
        <sz val="9"/>
        <rFont val="宋体"/>
        <family val="3"/>
        <charset val="134"/>
      </rPr>
      <t>机械及动力设备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</si>
  <si>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机械及动力设备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</si>
  <si>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交通运输设备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</si>
  <si>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交通运输设备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</si>
  <si>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计算机及辅助设备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</si>
  <si>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计算机及辅助设备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</si>
  <si>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</si>
  <si>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</si>
  <si>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t>固定资产清理-机械及动力设备</t>
  </si>
  <si>
    <r>
      <rPr>
        <sz val="9"/>
        <rFont val="宋体"/>
        <family val="3"/>
        <charset val="134"/>
      </rPr>
      <t>融资租入固定资产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</si>
  <si>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融资租入固定资产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</si>
  <si>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在建工程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租赁房屋装修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</si>
  <si>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核心计算机软件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</si>
  <si>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核心计算机软件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</si>
  <si>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研发支出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资本化支出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</si>
  <si>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软件使用权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</si>
  <si>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软件使用权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</si>
  <si>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租赁房屋装修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</si>
  <si>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租赁房屋装修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</si>
  <si>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俱乐部会员费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</si>
  <si>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俱乐部会员费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</si>
  <si>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</si>
  <si>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</si>
  <si>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t>长期待摊-花旗费用-原值</t>
  </si>
  <si>
    <t>长期待摊-花旗费用-累计摊销</t>
  </si>
  <si>
    <t>待摊费用-日常</t>
  </si>
  <si>
    <r>
      <rPr>
        <sz val="9"/>
        <rFont val="宋体"/>
        <family val="3"/>
        <charset val="134"/>
      </rPr>
      <t>递延所得税资产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报表重分类</t>
    </r>
  </si>
  <si>
    <t>递延所得税资产-累计亏损</t>
  </si>
  <si>
    <t>递延所得税负债-无法转回的可抵扣暂时性差异(VA)</t>
  </si>
  <si>
    <t>递延所得税负债-公允价值变动(URA)</t>
  </si>
  <si>
    <t>递延资产(DAC)</t>
  </si>
  <si>
    <t>销售推动资产(SIA)</t>
  </si>
  <si>
    <t>递延资产(DAC)-未赚佣金</t>
  </si>
  <si>
    <t>递延资产(DAC)-分保未赚佣金</t>
  </si>
  <si>
    <t>递延资产(DAC)-Shadow Adj</t>
  </si>
  <si>
    <t>销售推动资产(SIA)-Shadow Adj</t>
  </si>
  <si>
    <t>递延资产(DAC)-Access Fee</t>
  </si>
  <si>
    <t>递延资产(DAC)-Service Fee</t>
  </si>
  <si>
    <t>其他资产-礼品</t>
  </si>
  <si>
    <t>衍生金融负债-IFRS</t>
  </si>
  <si>
    <t>债券回购-面值</t>
  </si>
  <si>
    <t>未到期责任准备金</t>
  </si>
  <si>
    <t>未决赔款准备金-已发已报</t>
  </si>
  <si>
    <t>未决赔款准备金-已发已报(调整)</t>
  </si>
  <si>
    <r>
      <rPr>
        <sz val="9"/>
        <rFont val="宋体"/>
        <family val="3"/>
        <charset val="134"/>
      </rPr>
      <t>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已发未报</t>
    </r>
  </si>
  <si>
    <r>
      <rPr>
        <sz val="9"/>
        <rFont val="宋体"/>
        <family val="3"/>
        <charset val="134"/>
      </rPr>
      <t>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已发未报</t>
    </r>
    <r>
      <rPr>
        <sz val="9"/>
        <rFont val="Arial"/>
        <family val="2"/>
      </rPr>
      <t>(self-ins)</t>
    </r>
  </si>
  <si>
    <t>未决赔款准备金-理赔费用</t>
  </si>
  <si>
    <t>投连险账户价值-认购</t>
  </si>
  <si>
    <t>投连险账户价值-赎回</t>
  </si>
  <si>
    <t>投连险账户价值-转入</t>
  </si>
  <si>
    <t>投连险账户价值-转出</t>
  </si>
  <si>
    <t>投连险账户价值-账户管理费</t>
  </si>
  <si>
    <t>投连险账户价值-风险管理费</t>
  </si>
  <si>
    <t>投连险账户价值-资产管理费</t>
  </si>
  <si>
    <t>投连险账户价值-留存利润</t>
  </si>
  <si>
    <t>寿险责任准备金（精算）</t>
  </si>
  <si>
    <t>寿险责任准备金-保险合同（精算URL）</t>
  </si>
  <si>
    <t>寿险责任准备金(URL)-Shadow Adj</t>
  </si>
  <si>
    <t>非单位寿险责任准备金</t>
  </si>
  <si>
    <t>寿险责任准备金-特别分红储备-保户/PSPS</t>
  </si>
  <si>
    <t>投资合同准备金(INV-FVTPL）</t>
  </si>
  <si>
    <t>投资合同准备金(INV-AC)</t>
  </si>
  <si>
    <t>保险合同准备金(INS-ILP)</t>
  </si>
  <si>
    <t>寿险责任准备金-Deferred Profits Liabilities (DPL)</t>
  </si>
  <si>
    <t>寿险责任准备金-DPL(Non-deductiable Comission)</t>
  </si>
  <si>
    <t>寿险责任准备金-投资合同-Deferred Fee Income</t>
  </si>
  <si>
    <t>保险合同准备金(INS-UL)</t>
  </si>
  <si>
    <t>长期健康险责任准备金</t>
  </si>
  <si>
    <t>预收保费-系统-OLAS/IGM</t>
  </si>
  <si>
    <t>预收保费-系统-CPS</t>
  </si>
  <si>
    <t>预收保费-系统-ETA</t>
  </si>
  <si>
    <t>预收保费-精算</t>
  </si>
  <si>
    <t>预收保费-手工</t>
  </si>
  <si>
    <r>
      <rPr>
        <sz val="9"/>
        <rFont val="宋体"/>
        <family val="3"/>
        <charset val="134"/>
      </rPr>
      <t>应付手续费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中行托管费</t>
    </r>
  </si>
  <si>
    <r>
      <rPr>
        <sz val="9"/>
        <rFont val="宋体"/>
        <family val="3"/>
        <charset val="134"/>
      </rPr>
      <t>应付手续费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兼业代理</t>
    </r>
  </si>
  <si>
    <t>应付手续费-第3方名义</t>
  </si>
  <si>
    <t>应付手续费-银保手续费</t>
  </si>
  <si>
    <r>
      <rPr>
        <sz val="9"/>
        <rFont val="宋体"/>
        <family val="3"/>
        <charset val="134"/>
      </rPr>
      <t>应付手续费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花旗银保手续费</t>
    </r>
  </si>
  <si>
    <t>应付佣金-营销员及主管佣金</t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</si>
  <si>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佣金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系统过渡</t>
    </r>
    <r>
      <rPr>
        <sz val="9"/>
        <rFont val="Arial"/>
        <family val="2"/>
      </rPr>
      <t>)</t>
    </r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</si>
  <si>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营销员奖金及福利</t>
    </r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</si>
  <si>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主管奖金及福利</t>
    </r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</si>
  <si>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营销员公积金</t>
    </r>
    <r>
      <rPr>
        <sz val="9"/>
        <rFont val="Arial"/>
        <family val="2"/>
      </rPr>
      <t>APF(V)</t>
    </r>
  </si>
  <si>
    <t>应付佣金-主管公积金ALPF(V)</t>
  </si>
  <si>
    <t>应付佣金-暂扣佣金</t>
  </si>
  <si>
    <t>应付佣金-对应应收保费(精算)</t>
  </si>
  <si>
    <t>应付分保账款-分出保费</t>
  </si>
  <si>
    <t>应付分保账款-分保保证金</t>
  </si>
  <si>
    <t>应付职工薪酬-工资奖金-工资</t>
  </si>
  <si>
    <t>应付职工薪酬-工资奖金-奖金</t>
  </si>
  <si>
    <t>应付职工薪酬-工资奖金-津贴补贴</t>
  </si>
  <si>
    <t>应付职工薪酬-工资奖金-SSPF(V)</t>
  </si>
  <si>
    <t>应付职工薪酬-STI bonus</t>
  </si>
  <si>
    <t>应付职工薪酬-Sales Incentive</t>
  </si>
  <si>
    <t>应付职工薪酬-工资奖金-SSPF(U)</t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</si>
  <si>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医疗保险</t>
    </r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</si>
  <si>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基本养老保险</t>
    </r>
  </si>
  <si>
    <t>应付职工薪酬-社保-失业保险</t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</si>
  <si>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工伤保险</t>
    </r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</si>
  <si>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生育保险</t>
    </r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</si>
  <si>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住房公积金</t>
    </r>
  </si>
  <si>
    <t>应付职工薪酬-LeavePayProvision</t>
  </si>
  <si>
    <r>
      <rPr>
        <sz val="9"/>
        <rFont val="宋体"/>
        <family val="3"/>
        <charset val="134"/>
      </rPr>
      <t>应交营业税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</si>
  <si>
    <r>
      <rPr>
        <sz val="9"/>
        <rFont val="宋体"/>
        <family val="3"/>
        <charset val="134"/>
      </rPr>
      <t>应交营业税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保险退税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已批</t>
    </r>
    <r>
      <rPr>
        <sz val="9"/>
        <rFont val="Arial"/>
        <family val="2"/>
      </rPr>
      <t>)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</si>
  <si>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&amp;</t>
    </r>
    <r>
      <rPr>
        <sz val="9"/>
        <rFont val="宋体"/>
        <family val="3"/>
        <charset val="134"/>
      </rPr>
      <t>投资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</si>
  <si>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</si>
  <si>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保险退税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已批</t>
    </r>
    <r>
      <rPr>
        <sz val="9"/>
        <rFont val="Arial"/>
        <family val="2"/>
      </rPr>
      <t>)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</si>
  <si>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境外付汇</t>
    </r>
  </si>
  <si>
    <r>
      <rPr>
        <sz val="9"/>
        <rFont val="宋体"/>
        <family val="3"/>
        <charset val="134"/>
      </rPr>
      <t>应交教育费附加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&amp;</t>
    </r>
    <r>
      <rPr>
        <sz val="9"/>
        <rFont val="宋体"/>
        <family val="3"/>
        <charset val="134"/>
      </rPr>
      <t>投资</t>
    </r>
  </si>
  <si>
    <t>应交教育费附加-营销员及主管</t>
  </si>
  <si>
    <t>应交教育费附加-保险退税(已批)</t>
  </si>
  <si>
    <r>
      <rPr>
        <sz val="9"/>
        <rFont val="宋体"/>
        <family val="3"/>
        <charset val="134"/>
      </rPr>
      <t>应交教育费附加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境外付汇</t>
    </r>
  </si>
  <si>
    <t>应交防洪费-保险</t>
  </si>
  <si>
    <t>应交防洪费-营销员及主管</t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</si>
  <si>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</t>
    </r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</si>
  <si>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</si>
  <si>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非员工及非营销员</t>
    </r>
  </si>
  <si>
    <t>应交个人所得税-员工-KYH</t>
  </si>
  <si>
    <t>应交个人所得税-营销员及主管-KYH</t>
  </si>
  <si>
    <t>应交个人所得税-非员工及非营销员-KYH</t>
  </si>
  <si>
    <t>应交企业所得税-公司所得</t>
  </si>
  <si>
    <t>应交企业所得税-对外支付</t>
  </si>
  <si>
    <t>应交印花税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</si>
  <si>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(3%)-</t>
    </r>
    <r>
      <rPr>
        <sz val="9"/>
        <rFont val="宋体"/>
        <family val="3"/>
        <charset val="134"/>
      </rPr>
      <t>简易征收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</si>
  <si>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保费收入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</si>
  <si>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逾期利息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</si>
  <si>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贷款利息</t>
    </r>
  </si>
  <si>
    <t>应交增值税-销项(6%)-受托管理费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</si>
  <si>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买卖价差</t>
    </r>
  </si>
  <si>
    <t>应交增值税-销项(6%)-债券利息</t>
  </si>
  <si>
    <t>应交增值税-销项(6%)-投资(其他)</t>
  </si>
  <si>
    <t>应交增值税-销项(6%)-视销(保险)</t>
  </si>
  <si>
    <t>应交增值税-销项(6%)-视销</t>
  </si>
  <si>
    <t>应交增值税-销项(13%)-视同销售</t>
  </si>
  <si>
    <t>应交增值税-销项(17%)-固定资产</t>
  </si>
  <si>
    <t>应交增值税-销项(17%)-视同销售</t>
  </si>
  <si>
    <t>应交增值税-销项-其他</t>
  </si>
  <si>
    <t>应交增值税-未交增值税</t>
  </si>
  <si>
    <t>应交增值税-代扣代缴-营销员</t>
  </si>
  <si>
    <t>应交增值税-代扣代缴-非贸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</si>
  <si>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待摊费用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</si>
  <si>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固定资产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</si>
  <si>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在建工程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</si>
  <si>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无形资产</t>
    </r>
  </si>
  <si>
    <t>应交增值税-进项-长期待摊费用</t>
  </si>
  <si>
    <t>应交增值税-进项-手续费支出</t>
  </si>
  <si>
    <t>应交增值税-进项-其他费用(GOE)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</si>
  <si>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(VEA)</t>
    </r>
  </si>
  <si>
    <t>应交增值税-进项-投收交易费用</t>
  </si>
  <si>
    <t>应交增值税-进项-佣金支出</t>
  </si>
  <si>
    <t>应交增值税-进项-分出保费</t>
  </si>
  <si>
    <t>应交增值税-进项税转出-非常损失</t>
  </si>
  <si>
    <t>应交增值税-减免税款</t>
  </si>
  <si>
    <t>应交其他税费</t>
  </si>
  <si>
    <t>应付赔付款-赔款支出</t>
  </si>
  <si>
    <t>应付赔付款-满期给付</t>
  </si>
  <si>
    <t>应付赔付款-满期给付(系统过渡)</t>
  </si>
  <si>
    <t>应付赔付款-年金给付</t>
  </si>
  <si>
    <t>应付赔付款-年金给付(系统过渡)</t>
  </si>
  <si>
    <t>应付赔付款-死伤医疗给付</t>
  </si>
  <si>
    <t>应付赔付款-死伤医疗(UL过渡)</t>
  </si>
  <si>
    <t>应付赔付款-退保</t>
  </si>
  <si>
    <t>应付赔付款-退保(其他过渡)</t>
  </si>
  <si>
    <t>应付赔付款-退保(APF/LPF/SSPF过渡)</t>
  </si>
  <si>
    <t>应付赔付款-失效</t>
  </si>
  <si>
    <t>应付赔付款-退费</t>
  </si>
  <si>
    <t>应付赔付款-退费(系统过渡)</t>
  </si>
  <si>
    <t>应付赔付款-赔款支出(系统过渡)</t>
  </si>
  <si>
    <t>应付赔付款-年金给付(暂存款)</t>
  </si>
  <si>
    <t>应付赔付款-死伤医疗给付(暂存款)</t>
  </si>
  <si>
    <t>应付保单红利-计提现金红利-公司</t>
  </si>
  <si>
    <t>应付保单红利-应付未付-保户</t>
  </si>
  <si>
    <t>应付保单红利-累积生息-保户</t>
  </si>
  <si>
    <t>应付利息-卖出回购金融资产款</t>
  </si>
  <si>
    <t>预提费用-销售与促销</t>
  </si>
  <si>
    <t>预提费用-其他</t>
  </si>
  <si>
    <t>预提费用-租赁房屋装修复原</t>
  </si>
  <si>
    <t>预提费用-资本化支出</t>
  </si>
  <si>
    <t>预提费用-双百万</t>
  </si>
  <si>
    <t>其他应付-保险-资产/投资转-其他</t>
  </si>
  <si>
    <t>其他应付-保险-资产/投资划转-B</t>
  </si>
  <si>
    <t>其他应付-保险-资产/投资划转-G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</si>
  <si>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投资划转</t>
    </r>
    <r>
      <rPr>
        <sz val="9"/>
        <rFont val="Arial"/>
        <family val="2"/>
      </rPr>
      <t>-C</t>
    </r>
  </si>
  <si>
    <t>其他应付-保险-资产/投资划转-M</t>
  </si>
  <si>
    <t>其他应付-保险-资产/投资转-ILP</t>
  </si>
  <si>
    <t>其他应付-保险-资产/投资划转-UL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</si>
  <si>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投资划转</t>
    </r>
    <r>
      <rPr>
        <sz val="9"/>
        <rFont val="Arial"/>
        <family val="2"/>
      </rPr>
      <t>-D</t>
    </r>
  </si>
  <si>
    <t>其他应付-保险/投资划转GUL/GILP</t>
  </si>
  <si>
    <t>其他应付-投资划转BJ</t>
  </si>
  <si>
    <t>其他应付-投资划转DG</t>
  </si>
  <si>
    <t>其他应付-投资划转GZ</t>
  </si>
  <si>
    <t>其他应付-投资划转JM</t>
  </si>
  <si>
    <t>其他应付-投资划转JS</t>
  </si>
  <si>
    <t>其他应付-投资划转SH</t>
  </si>
  <si>
    <t>其他应付-投资划转SZ</t>
  </si>
  <si>
    <t>其他应付-保险-OLAS/IGM划转</t>
  </si>
  <si>
    <t>其他应付-保险-挂账-保单变更</t>
  </si>
  <si>
    <t>其应付-保险-挂账-质押贷款(还)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</si>
  <si>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挂账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质押贷款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借</t>
    </r>
    <r>
      <rPr>
        <sz val="9"/>
        <rFont val="Arial"/>
        <family val="2"/>
      </rPr>
      <t>)</t>
    </r>
  </si>
  <si>
    <t>其他应付-保险-挂账-止付暂存</t>
  </si>
  <si>
    <t>其他应付-保险-Pension未归属利益</t>
  </si>
  <si>
    <t>其他应付-保险-挂账-系统不平</t>
  </si>
  <si>
    <t>其他应付-保险-挂账-系统尾差</t>
  </si>
  <si>
    <t>其他应付-保险-挂账-系统信息不全</t>
  </si>
  <si>
    <t>其他应付-保险-挂账-银行</t>
  </si>
  <si>
    <t>其他应付-保险-保单间划转（过渡）</t>
  </si>
  <si>
    <t>其他应付-保险-主管风险基金</t>
  </si>
  <si>
    <t>其他应付-保险-单证保证金</t>
  </si>
  <si>
    <t>其他应付-保险-无主保单</t>
  </si>
  <si>
    <t>其他应付-保险-应退保单工本费</t>
  </si>
  <si>
    <t>其他应付-保险-员工保单津贴</t>
  </si>
  <si>
    <t>其他应付-保险-保险保障基金</t>
  </si>
  <si>
    <t>其他应付-保险-其他应付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</si>
  <si>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营销员公积金</t>
    </r>
    <r>
      <rPr>
        <sz val="9"/>
        <rFont val="Arial"/>
        <family val="2"/>
      </rPr>
      <t>(U)</t>
    </r>
  </si>
  <si>
    <t>其他应付-保险-主管公积金(U)</t>
  </si>
  <si>
    <t>其他应付-保险-资产划转(业务间)</t>
  </si>
  <si>
    <t>其他应付-保险-未确认融资费用-融资租入固定资产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</si>
  <si>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公司高管</t>
    </r>
    <r>
      <rPr>
        <sz val="9"/>
        <rFont val="Arial"/>
        <family val="2"/>
      </rPr>
      <t>SSPF for mobility (U )</t>
    </r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</si>
  <si>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-MOM</t>
    </r>
    <r>
      <rPr>
        <sz val="9"/>
        <rFont val="宋体"/>
        <family val="3"/>
        <charset val="134"/>
      </rPr>
      <t>津贴</t>
    </r>
  </si>
  <si>
    <t>其他应付-保险-礼品</t>
  </si>
  <si>
    <t>其他应付款-投资-证券清算款</t>
  </si>
  <si>
    <t>其他应付款-投资-其他应付</t>
  </si>
  <si>
    <t>其他应付款-投资-手续费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</si>
  <si>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应付中行托管费</t>
    </r>
  </si>
  <si>
    <t>其他应付-Non IncTax,FAM</t>
  </si>
  <si>
    <t>其他应付-投资-FAM LOB balance</t>
  </si>
  <si>
    <t>其他应付款-日常-代理人考试费</t>
  </si>
  <si>
    <t>其他应付款-日常-房租</t>
  </si>
  <si>
    <t>其他应付款-日常-审计费</t>
  </si>
  <si>
    <t>其他应付款-日常-其他应付</t>
  </si>
  <si>
    <t>其他应付款-日常-代理人津贴</t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</si>
  <si>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待支付</t>
    </r>
    <r>
      <rPr>
        <sz val="9"/>
        <rFont val="Arial"/>
        <family val="2"/>
      </rPr>
      <t>-recon</t>
    </r>
  </si>
  <si>
    <t>其他应付款-日常-LTI bonus (过渡科目）</t>
  </si>
  <si>
    <t>其他应付款-投资合同-退费(系统过渡)-UL&amp;ILP</t>
  </si>
  <si>
    <t>其他应付款-投资合同-投资款提款(系统过渡)-UL</t>
  </si>
  <si>
    <t>其他应付款-投资合同-投资款提款(系统过渡)-ILP</t>
  </si>
  <si>
    <t>其他应付款-投资合同-投连万能冷静期账户价值</t>
  </si>
  <si>
    <t>其他应付款-保险合同-续保奖金(ILP)</t>
  </si>
  <si>
    <t>其他应付款-投资合同-再保</t>
  </si>
  <si>
    <t>其他应付款-投资合同-续保奖金(ILP)</t>
  </si>
  <si>
    <t>预收投资款-系统-RPS</t>
  </si>
  <si>
    <t>应付股利</t>
  </si>
  <si>
    <t>保户储金及投资款-ASO账户价值</t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</si>
  <si>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-ASO</t>
    </r>
    <r>
      <rPr>
        <sz val="9"/>
        <rFont val="宋体"/>
        <family val="3"/>
        <charset val="134"/>
      </rPr>
      <t>递延收益</t>
    </r>
  </si>
  <si>
    <t>保户储金及投资款-GUL3公共账户价值</t>
  </si>
  <si>
    <t>保户储金及投资款-万能险账户价值</t>
  </si>
  <si>
    <t>保户储金及投资款-万能投连账户价值-等待复效</t>
  </si>
  <si>
    <t>保户储金及投资款-保险合同-续保奖金(UL)</t>
  </si>
  <si>
    <t>保户储金及投资款-GUL万能险账户价值</t>
  </si>
  <si>
    <t>保户储金及投资款-GUL递延管理费</t>
  </si>
  <si>
    <t>保户储金及投资款-SSPF注资</t>
  </si>
  <si>
    <t>Investment contract liability-投资合同-续保奖金(UL)</t>
  </si>
  <si>
    <t>递延所得税负债-其他</t>
  </si>
  <si>
    <t>递延所得税负债-报表重分类</t>
  </si>
  <si>
    <t>其他负债-未决诉讼</t>
  </si>
  <si>
    <r>
      <rPr>
        <sz val="9"/>
        <rFont val="宋体"/>
        <family val="3"/>
        <charset val="134"/>
      </rPr>
      <t>资本公积</t>
    </r>
    <r>
      <rPr>
        <sz val="9"/>
        <rFont val="Arial"/>
        <family val="2"/>
      </rPr>
      <t>-ESPP</t>
    </r>
  </si>
  <si>
    <t>其他负债-ESPP</t>
  </si>
  <si>
    <t>长期应付款-应付融资租赁款</t>
  </si>
  <si>
    <t>递延收益-其他</t>
  </si>
  <si>
    <t>营运资金</t>
  </si>
  <si>
    <t>营运资金(Memo adjust)</t>
  </si>
  <si>
    <t>可售金融资产公允价值-SPR&amp;USR前</t>
  </si>
  <si>
    <t>可售金融资产公允价值变动-SPR</t>
  </si>
  <si>
    <t>其他综合收益-所得税-公允价值变动(URA)</t>
  </si>
  <si>
    <t>其他资本公积（STAT）</t>
  </si>
  <si>
    <t>其他资本公积(DAC)</t>
  </si>
  <si>
    <t>其他资本公积(SIA)</t>
  </si>
  <si>
    <t>其他资本公积(URL)</t>
  </si>
  <si>
    <t>其他资本公积-股份支付</t>
  </si>
  <si>
    <t>其他资本公积-股份支付-PSPS</t>
  </si>
  <si>
    <t xml:space="preserve">盈余公积-法定盈余公积 </t>
  </si>
  <si>
    <t>利润分配 - 应付股利</t>
  </si>
  <si>
    <t>以前年度未分配利润</t>
  </si>
  <si>
    <t>外币报表折算差额</t>
  </si>
  <si>
    <t>保费收入-首年-现金</t>
  </si>
  <si>
    <t>保费收入-首年-应收</t>
  </si>
  <si>
    <t>保费收入-首年-预收</t>
  </si>
  <si>
    <t>保费收入-首年-COI</t>
  </si>
  <si>
    <t>保费收入-首年-应收(VAT)</t>
  </si>
  <si>
    <t>保费收入-首年-预收(VAT)</t>
  </si>
  <si>
    <t>保费收入-续期-现金</t>
  </si>
  <si>
    <t>保费收入-续期-应收(系统)</t>
  </si>
  <si>
    <t>保费收入-续期-预收(系统)</t>
  </si>
  <si>
    <t>保费收入-续期-应收</t>
  </si>
  <si>
    <t>保费收入-续期-预收</t>
  </si>
  <si>
    <t>保费收入-续期-COI</t>
  </si>
  <si>
    <t>保费收入-续期-RB cost</t>
  </si>
  <si>
    <t>保费收入-续期-应收(VAT)</t>
  </si>
  <si>
    <t>保费收入-续期-预收(VAT)</t>
  </si>
  <si>
    <t>保费收入-趸缴-现金</t>
  </si>
  <si>
    <t>保费收入-趸缴-预收(TA)</t>
  </si>
  <si>
    <t>保费收入-趸缴-应收(TA)</t>
  </si>
  <si>
    <t>保费收入-趸缴-保险合同-URL-Amortization</t>
  </si>
  <si>
    <t>保费收入-趸缴-保险合同-URL-Deferral</t>
  </si>
  <si>
    <t>保费收入-趸缴-投资合同-DFI-Amortization</t>
  </si>
  <si>
    <t>保费收入-趸缴-投资合同-DFI-Deferral</t>
  </si>
  <si>
    <t>分出保费</t>
  </si>
  <si>
    <t>提取寿险责任准备金(精算)</t>
  </si>
  <si>
    <t>摊回分保寿险责任准备金</t>
  </si>
  <si>
    <r>
      <rPr>
        <sz val="9"/>
        <rFont val="宋体"/>
        <family val="3"/>
        <charset val="134"/>
      </rPr>
      <t>摊回分保未到期责任准备金</t>
    </r>
    <r>
      <rPr>
        <sz val="9"/>
        <rFont val="Arial"/>
        <family val="2"/>
      </rPr>
      <t xml:space="preserve"> </t>
    </r>
  </si>
  <si>
    <t>投资收益-利息-定存-一年以下</t>
  </si>
  <si>
    <t>投资收益-利息-定存-一年及以上</t>
  </si>
  <si>
    <t>投资收益-利息-协议存款</t>
  </si>
  <si>
    <t>投资收益-一般交易金融资产-利息</t>
  </si>
  <si>
    <t>投资收益-一般交易金融资产-红利</t>
  </si>
  <si>
    <t>投资收益-一般交易金融资产-买卖</t>
  </si>
  <si>
    <t>投资收益-指定交易金融资产-利息</t>
  </si>
  <si>
    <t>投资收益-衍生金融资产-买卖FAM</t>
  </si>
  <si>
    <t>投资收益-买入返售金融资产-利息</t>
  </si>
  <si>
    <t>投资收益-可供出售金融资产-利息</t>
  </si>
  <si>
    <t>投资收益-可供出售金融资产-红利</t>
  </si>
  <si>
    <t>投资收益-可供出售金融资-溢折价</t>
  </si>
  <si>
    <t>投资收益-可供出售金融资产-买卖</t>
  </si>
  <si>
    <t>投资收益-可供出售-利息(销项)</t>
  </si>
  <si>
    <t>投资收益-持有至到期投资-利息</t>
  </si>
  <si>
    <t>投资收益-持有至到期投资-溢折价</t>
  </si>
  <si>
    <t>投资收益-持有至到期投资-买卖</t>
  </si>
  <si>
    <t>投资收益-持有至到期-利息(销项)</t>
  </si>
  <si>
    <t>投资收益-贷款-利息</t>
  </si>
  <si>
    <t>投资收益-贷款-利息(销项)</t>
  </si>
  <si>
    <t>投资收益-费用</t>
  </si>
  <si>
    <t>投资收益-IME reclass (IFRS)</t>
  </si>
  <si>
    <t>投资收益－费用（H 股红利WHT）</t>
  </si>
  <si>
    <t>投资收益-买卖(销项)</t>
  </si>
  <si>
    <t>投资收益-分摊科目-投资费用（Mean fund ratio）</t>
  </si>
  <si>
    <t>投资收益-分摊科目-利息收入（Mean fund ratio）</t>
  </si>
  <si>
    <t>投资收益-分摊科目-红利股利收入（Mean fund ratio）</t>
  </si>
  <si>
    <t>投资收益-分摊科目-Finance Cost(Mean Fund Ratio)</t>
  </si>
  <si>
    <t>投资收益-投连账户利润结转</t>
  </si>
  <si>
    <t>投资收益-FVO-溢折价</t>
  </si>
  <si>
    <t>投资收益-FVO-买卖</t>
  </si>
  <si>
    <t>投资收益-FVO-红利</t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</si>
  <si>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</si>
  <si>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</si>
  <si>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</si>
  <si>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t>公允价值变动-指定交易金融资产(FV change)</t>
  </si>
  <si>
    <t>公允价值变动-PSPS</t>
  </si>
  <si>
    <t>汇兑损益-已实现</t>
  </si>
  <si>
    <t>汇兑损益-未实现</t>
  </si>
  <si>
    <t>利息收入-活期存款</t>
  </si>
  <si>
    <t>利息收入-三个月以内定期存款</t>
  </si>
  <si>
    <t>利息收入-结算备付金</t>
  </si>
  <si>
    <t>利息收入-保单复效及生效日回溯</t>
  </si>
  <si>
    <t>利息收入-保单质押贷款</t>
  </si>
  <si>
    <t>管理费收入-ASO</t>
  </si>
  <si>
    <t>管理费收入-TPA</t>
  </si>
  <si>
    <t>退保手续费</t>
  </si>
  <si>
    <t>其他业务收入-投资合同-提款手续费</t>
  </si>
  <si>
    <t>其他业务收入-投资合同-销售手续费</t>
  </si>
  <si>
    <t>其他业务收入-投资合同-保单管理费</t>
  </si>
  <si>
    <t>其他业务收入-投资合同-账户转换费</t>
  </si>
  <si>
    <t>其他业务收入-投资合同-资产管理费</t>
  </si>
  <si>
    <t>其他业务收入-投资合同-初始费用（首年）</t>
  </si>
  <si>
    <t>其他业务收入-投资合同-初始费用（续期）</t>
  </si>
  <si>
    <t>其他业务收入-投资合同-初始费用（趸交）</t>
  </si>
  <si>
    <t>其他业务收入-保户储金-保单管理费</t>
  </si>
  <si>
    <t>其他业务收入-投资合同-再保（佣金）</t>
  </si>
  <si>
    <t>其他业务收入-投资合同-再保(成员盈利分配)</t>
  </si>
  <si>
    <t>其他业务收入-其他</t>
  </si>
  <si>
    <r>
      <rPr>
        <sz val="9"/>
        <rFont val="宋体"/>
        <family val="3"/>
        <charset val="134"/>
      </rPr>
      <t>营业外收入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资产处置收入</t>
    </r>
  </si>
  <si>
    <t>营业外收入-其他-日常</t>
  </si>
  <si>
    <t>营业外收入-其他-保险</t>
  </si>
  <si>
    <t>营业外收入-其他-退费</t>
  </si>
  <si>
    <t>营业外收入-其他-赔款支出/死伤医疗给付</t>
  </si>
  <si>
    <t>营业外收入-其他-年金给付</t>
  </si>
  <si>
    <t>营业外收入-其他-退保</t>
  </si>
  <si>
    <t>营业外收入-其他-红利</t>
  </si>
  <si>
    <t>营业外收入-其他-满期给付</t>
  </si>
  <si>
    <t>营业外收入-其他-营销员</t>
  </si>
  <si>
    <t>营业外收入-其他-其他</t>
  </si>
  <si>
    <t>退保金-失效</t>
  </si>
  <si>
    <t>退保金-退保</t>
  </si>
  <si>
    <t>退保金-风险管理费</t>
  </si>
  <si>
    <t>赔付支出-赔款支出</t>
  </si>
  <si>
    <t>赔付支出-满期给付</t>
  </si>
  <si>
    <t>赔付支出-年金给付</t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</si>
  <si>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生存现金给付</t>
    </r>
  </si>
  <si>
    <t>赔付支出-死伤医疗给付</t>
  </si>
  <si>
    <t>赔付支出-理赔费用</t>
  </si>
  <si>
    <t>摊回给付支出</t>
  </si>
  <si>
    <t>摊回赔款支出</t>
  </si>
  <si>
    <t>赔付支出-客户特殊补偿款</t>
  </si>
  <si>
    <t>赔付支出-年金给付(利息)</t>
  </si>
  <si>
    <t>提取未决赔款-已发已报</t>
  </si>
  <si>
    <t>提取未决赔款-已发未报</t>
  </si>
  <si>
    <t>提取未决赔款-理赔费用</t>
  </si>
  <si>
    <r>
      <rPr>
        <sz val="9"/>
        <rFont val="宋体"/>
        <family val="3"/>
        <charset val="134"/>
      </rPr>
      <t>提取未决赔款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已发已报（</t>
    </r>
    <r>
      <rPr>
        <sz val="9"/>
        <rFont val="Arial"/>
        <family val="2"/>
      </rPr>
      <t>GMD</t>
    </r>
    <r>
      <rPr>
        <sz val="9"/>
        <rFont val="宋体"/>
        <family val="3"/>
        <charset val="134"/>
      </rPr>
      <t>）</t>
    </r>
  </si>
  <si>
    <t>提取未决赔-已发未报(self-ins)</t>
  </si>
  <si>
    <t>提取寿险责任准备金(精算URL)</t>
  </si>
  <si>
    <t>提取非单位寿险责任准备金(精算)</t>
  </si>
  <si>
    <t>提取寿险准备金-投资合同-Dep Ac</t>
  </si>
  <si>
    <t>提取寿险准备金-保险合同-INS ILP</t>
  </si>
  <si>
    <t>提取寿险准备金-保险合同-INS AC</t>
  </si>
  <si>
    <t>提取寿险准备金-投资合同-INV FV ILP</t>
  </si>
  <si>
    <t>提取寿险准备金-投资合同-INV AC</t>
  </si>
  <si>
    <t>提取寿险准备金-投资合同-INV FV UL</t>
  </si>
  <si>
    <t>提取寿险责任准备金(other income)</t>
  </si>
  <si>
    <t xml:space="preserve">提取寿险责任准备金-DPL(精算IFRS) </t>
  </si>
  <si>
    <t xml:space="preserve">提取寿险责任准备金-DPL(NDC)(精算IFRS) </t>
  </si>
  <si>
    <t>提取长期健康险责任准备金</t>
  </si>
  <si>
    <t>摊回分保未决赔款准备金-已发已报</t>
  </si>
  <si>
    <t>摊回分保未决赔款准备金-已发未报</t>
  </si>
  <si>
    <r>
      <rPr>
        <sz val="9"/>
        <rFont val="宋体"/>
        <family val="3"/>
        <charset val="134"/>
      </rPr>
      <t>摊回分保未决赔款准备金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已发已报（精算）</t>
    </r>
  </si>
  <si>
    <t>摊回分保长期健康险责任准备金</t>
  </si>
  <si>
    <t>摊回分保寿险责任准备金URL</t>
  </si>
  <si>
    <t>保单红利支出-计提现金红利-公司</t>
  </si>
  <si>
    <t>保单红利支出-计提现金红利-客户</t>
  </si>
  <si>
    <t>保单红利支出-增额红利-公司</t>
  </si>
  <si>
    <t>保单红利支出-增额红利-客户</t>
  </si>
  <si>
    <t>保单红利支出-增额红利-RB cost</t>
  </si>
  <si>
    <t>保单红利支出-累积生息利息支出</t>
  </si>
  <si>
    <t>保单红利支出-特别分红储备-客户</t>
  </si>
  <si>
    <t>保单红利支出-PSPS-Operating</t>
  </si>
  <si>
    <t>保单红利支出-PSPS-Non Operating</t>
  </si>
  <si>
    <t>税金及附加-保费-退税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</si>
  <si>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保险相关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</si>
  <si>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退税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</si>
  <si>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</si>
  <si>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(AFS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</si>
  <si>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(HTM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</si>
  <si>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(FVO bond)</t>
    </r>
  </si>
  <si>
    <t>税金及附加-教育费附加-保险相关</t>
  </si>
  <si>
    <t>税金及附加-教育费附加-退税</t>
  </si>
  <si>
    <t>税金及附加-教育费附加-买卖价差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</si>
  <si>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(AFS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</si>
  <si>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(HTM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</si>
  <si>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(FVO bond)</t>
    </r>
  </si>
  <si>
    <t>税金及附加-其他-保险相关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</si>
  <si>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</si>
  <si>
    <t>税金及附加-分摊专用-首年</t>
  </si>
  <si>
    <t>税金及附加-分摊专用-续期</t>
  </si>
  <si>
    <t>税金及附加-分摊专用-趸缴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</si>
  <si>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印花税</t>
    </r>
  </si>
  <si>
    <t>手续费支出-签约费-AF</t>
  </si>
  <si>
    <t>手续费支出-签约费-SF</t>
  </si>
  <si>
    <t>手续费支出-首年</t>
  </si>
  <si>
    <t>手续费支出-续年</t>
  </si>
  <si>
    <t>手续费支出-趸缴</t>
  </si>
  <si>
    <t>佣金支出-直接-首年</t>
  </si>
  <si>
    <t>佣金支出-直接-首年应付</t>
  </si>
  <si>
    <t>佣金支出-直接-首年预付</t>
  </si>
  <si>
    <t>佣金支出-直接-续年</t>
  </si>
  <si>
    <t>佣金支出-直接-续年应付</t>
  </si>
  <si>
    <t>佣金支出-直接-续年预付</t>
  </si>
  <si>
    <t>佣金支出-直接-趸缴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</si>
  <si>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新人培训津贴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</si>
  <si>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营销员季度奖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</si>
  <si>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佣金支出-间接-营销员续保奖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</si>
  <si>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-LIC</t>
    </r>
    <r>
      <rPr>
        <sz val="9"/>
        <rFont val="宋体"/>
        <family val="3"/>
        <charset val="134"/>
      </rPr>
      <t>每月业绩奖金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</si>
  <si>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佣金支出-间接-LIC季度奖-首年</t>
  </si>
  <si>
    <t>佣金支出-间接-LIC续保奖</t>
  </si>
  <si>
    <t>佣金支出-间接-FP/PM展业津贴-首年</t>
  </si>
  <si>
    <t>佣金支出-间接-特别产品奖金-首年</t>
  </si>
  <si>
    <t>佣金支出-间接-长期服务基金</t>
  </si>
  <si>
    <t>佣金支出-间接-Broker月绩奖-首年</t>
  </si>
  <si>
    <t>佣金支出-间接-Broker年终奖-首年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</si>
  <si>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保全员特别奖金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</si>
  <si>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见习处经理特别津贴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</si>
  <si>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佣金支出-间接-LC-FT奖金-首年-CHO</t>
  </si>
  <si>
    <t>佣金支出-间接-新人培训津贴-趸缴</t>
  </si>
  <si>
    <t>佣金支出-间接-营销员季度奖-趸缴</t>
  </si>
  <si>
    <t>佣金支出-间接-LIC每月业绩奖金-趸缴</t>
  </si>
  <si>
    <t>佣金支出-间接-LIC季度奖-趸缴</t>
  </si>
  <si>
    <t>佣金支出-间接-FP/PM展业津贴-趸缴</t>
  </si>
  <si>
    <t>佣金支出-间接-保全员特别奖金-趸缴</t>
  </si>
  <si>
    <t>佣金支出-间接-见习处经理特别津贴-趸缴</t>
  </si>
  <si>
    <t>佣金支出-间接-LC-FT奖金-趸缴-CHO</t>
  </si>
  <si>
    <t>佣金支出-间接-GA津贴-首年</t>
  </si>
  <si>
    <t>佣金支出-间接-GA津贴-趸缴</t>
  </si>
  <si>
    <t>佣金支出-间接-LC-FT奖金-首年-Local</t>
  </si>
  <si>
    <t>佣金支出-间接-LC-FT奖金-趸缴-Local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</si>
  <si>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-DA</t>
    </r>
    <r>
      <rPr>
        <sz val="9"/>
        <rFont val="宋体"/>
        <family val="3"/>
        <charset val="134"/>
      </rPr>
      <t>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</si>
  <si>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佣金支出-间接-DA津贴-趸缴</t>
  </si>
  <si>
    <t>佣金支出-间接-业务主管年终奖-首年</t>
  </si>
  <si>
    <t>佣金支出-间接-MDRT特别奖金-首年</t>
  </si>
  <si>
    <t>佣金支出-间接-业务主管管理基金-首年</t>
  </si>
  <si>
    <t>佣金支出-间接-主管增员辅导奖金-首年</t>
  </si>
  <si>
    <t>佣金支出-间接-MoA一代育成奖金-首年</t>
  </si>
  <si>
    <t>佣金支出-间接-MoA二代育成奖金-首年</t>
  </si>
  <si>
    <t>佣金支出-间接-助理业务总监业绩特别津贴-首年</t>
  </si>
  <si>
    <t>佣金支出-间接-助理业务总监有效人力特别津贴-首年</t>
  </si>
  <si>
    <t>佣金支出-间接-业务主管增组奖金-首年</t>
  </si>
  <si>
    <t>佣金支出-间接-营业部管理奖金-首年</t>
  </si>
  <si>
    <t>佣金支出-间接-营业部拓展津贴-首年</t>
  </si>
  <si>
    <t>佣金支出-间接-MoM育成奖金-首年</t>
  </si>
  <si>
    <t>佣金支出-间接-业务主管增部奖金-首年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</si>
  <si>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营业部业绩增长奖金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</si>
  <si>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佣金支出-间接-营业部人力增长奖金-首年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</si>
  <si>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卓越总监奖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</si>
  <si>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佣金支出-间接-直辖组月度管理奖金-首年</t>
  </si>
  <si>
    <t>佣金支出-间接-直辖组年度管理奖金-首年</t>
  </si>
  <si>
    <t>佣金支出-间接-MOA-FT奖金-首年-CHO</t>
  </si>
  <si>
    <t>佣金支出-间接-MOM-FT奖金-首年-CHO</t>
  </si>
  <si>
    <t>佣金支出-间接-业务主管年终奖-趸缴</t>
  </si>
  <si>
    <t>佣金支出-间接-MDRT特别奖金-趸缴</t>
  </si>
  <si>
    <t>佣金支出-间接-业务主管管理基金-趸缴</t>
  </si>
  <si>
    <t>佣金支出-间接-主管增员辅导奖金-趸缴</t>
  </si>
  <si>
    <t>佣金支出-间接-MoA一代育成奖金-趸缴</t>
  </si>
  <si>
    <t>佣金支出-间接-MoA二代育成奖金-趸缴</t>
  </si>
  <si>
    <t>佣金支出-间接-助理业务总监业绩特别津贴-趸缴</t>
  </si>
  <si>
    <t>佣金支出-间接-助理业务总监有效人力特别津贴-趸缴</t>
  </si>
  <si>
    <t>佣金支出-间接-业务主管增组奖金-趸缴</t>
  </si>
  <si>
    <t>佣金支出-间接-营业部管理奖金-趸缴</t>
  </si>
  <si>
    <t>佣金支出-间接-营业部拓展津贴-趸缴</t>
  </si>
  <si>
    <t>佣金支出-间接-MoM育成奖金-趸缴</t>
  </si>
  <si>
    <t>佣金支出-间接-业务主管增部奖金-趸缴</t>
  </si>
  <si>
    <t>佣金支出-间接-营业部业绩增长奖金-趸缴</t>
  </si>
  <si>
    <t>佣金支出-间接-营业部人力增长奖金-趸缴</t>
  </si>
  <si>
    <t>佣金支出-间接-卓越总监奖-趸缴</t>
  </si>
  <si>
    <t>佣金支出-间接-直辖组月度管理奖金-趸缴</t>
  </si>
  <si>
    <t>佣金支出-间接-直辖组年度管理奖金-趸缴</t>
  </si>
  <si>
    <t>佣金支出-间接-MOA-FT奖金-趸缴-CHO</t>
  </si>
  <si>
    <t>佣金支出-间接-MOM-FT奖金-趸缴-CHO</t>
  </si>
  <si>
    <t>佣金支出-间接-MOA晋级奖金-首年</t>
  </si>
  <si>
    <t>佣金支出-间接-MOA晋级奖金-趸缴</t>
  </si>
  <si>
    <t>佣金支出-间接-DOM年度激励奖金-首年</t>
  </si>
  <si>
    <t>佣金支出-间接-DOM年度激励奖金-趸缴</t>
  </si>
  <si>
    <t>佣金支出-间接-营销员额外福利-首年</t>
  </si>
  <si>
    <t>佣金支出-间接-新人推荐奖金-首年</t>
  </si>
  <si>
    <t>佣金支出-间接-业务主管额外福利-首年</t>
  </si>
  <si>
    <t>佣金支出-间接-团体险主管津贴GL</t>
  </si>
  <si>
    <t>佣金支出-间接-团体险主管津贴GM</t>
  </si>
  <si>
    <t>佣金支出-间接-团体险主管津贴GA</t>
  </si>
  <si>
    <t>佣金支出-间接-团体险主管津贴GTA</t>
  </si>
  <si>
    <t>佣金支出-间接-个险与团险OR分摊-首年</t>
  </si>
  <si>
    <t>佣金支出-间接-营销员额外福利-趸缴</t>
  </si>
  <si>
    <t>佣金支出-间接-新人推荐奖金-趸缴</t>
  </si>
  <si>
    <t>佣金支出-间接-业务主管额外福利-趸缴</t>
  </si>
  <si>
    <t>佣金支出-间接-个险与团险OR分摊-趸缴</t>
  </si>
  <si>
    <t>佣金支出-间接-竞赛奖金及奖品-首年</t>
  </si>
  <si>
    <t>佣金支出-间接-竞赛出行费用-首年</t>
  </si>
  <si>
    <t>佣金支出-间接-竞赛奖金及奖品-趸缴</t>
  </si>
  <si>
    <t>佣金支出-间接-竞赛出行费用-趸缴</t>
  </si>
  <si>
    <t>佣金支出-间接-花旗津贴-首年</t>
  </si>
  <si>
    <t>佣金支出-间接-花旗津贴-续年</t>
  </si>
  <si>
    <t>佣金支出-间接-花旗津贴-趸缴</t>
  </si>
  <si>
    <t>递延保单获取成本-VEA deferral</t>
  </si>
  <si>
    <t>递延保单获取成本-GOE deferral</t>
  </si>
  <si>
    <t>递延保单获取成本-Amortization</t>
  </si>
  <si>
    <t>递延保单获取成本-Other Amortization</t>
  </si>
  <si>
    <t>递延保单获取成本-未赚佣金变动</t>
  </si>
  <si>
    <t>递延保单获取成本-分保未赚佣金变动</t>
  </si>
  <si>
    <t>递延保单获取成本-AF-VEA defer</t>
  </si>
  <si>
    <t>递延保单获取成本-SF-VEA defer</t>
  </si>
  <si>
    <t>递延保单获取成本-AF-Amortise</t>
  </si>
  <si>
    <t>递延保单获取成本-SF-Amortise</t>
  </si>
  <si>
    <r>
      <rPr>
        <sz val="9"/>
        <rFont val="宋体"/>
        <family val="3"/>
        <charset val="134"/>
      </rPr>
      <t>资产减值损失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</si>
  <si>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资产减值损失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</si>
  <si>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t>资产减值损失-持有至到期投资</t>
  </si>
  <si>
    <t>资产减值损失-其他应收-保险-首年</t>
  </si>
  <si>
    <t>资产减值损失-其他应收款-日常</t>
  </si>
  <si>
    <t>工资及福利费-工资奖金-员工工资</t>
  </si>
  <si>
    <t>工资及福利费-工资奖金-员工加班</t>
  </si>
  <si>
    <t>工资福利费-工资奖金-临时工工资</t>
  </si>
  <si>
    <t>工资及福利费-工资奖金-员工奖金</t>
  </si>
  <si>
    <t>工资福利-工资奖金-AM销售奖金-首年</t>
  </si>
  <si>
    <t>工资福利-工资奖金-AM销售奖金-趸缴</t>
  </si>
  <si>
    <t>工资及福利费-工资奖金-STI bonus</t>
  </si>
  <si>
    <t>工资福利-工资奖金-Sales Incentive</t>
  </si>
  <si>
    <t>工资福利-工资奖金-AM竞赛奖金-首年</t>
  </si>
  <si>
    <t>工资福利-工资奖金-AM竞赛奖金-趸缴</t>
  </si>
  <si>
    <t>工资福利费-工资奖金-外包员工工资</t>
  </si>
  <si>
    <t>工资福利费-职工福利-社保-医保</t>
  </si>
  <si>
    <t>工资福利-职工福利-社保-养老</t>
  </si>
  <si>
    <t>工资福利费-职工福利-社保-失业</t>
  </si>
  <si>
    <t>工资福利费-职工福利-社保-工伤</t>
  </si>
  <si>
    <t>工资福利费-职工福利-社保-生育</t>
  </si>
  <si>
    <t>工资及福利费-职工福利-公积金</t>
  </si>
  <si>
    <r>
      <rPr>
        <sz val="9"/>
        <rFont val="宋体"/>
        <family val="3"/>
        <charset val="134"/>
      </rPr>
      <t>工资福利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职工福利</t>
    </r>
    <r>
      <rPr>
        <sz val="9"/>
        <rFont val="Arial"/>
        <family val="2"/>
      </rPr>
      <t>-SSPF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(U)</t>
    </r>
  </si>
  <si>
    <t>工资福利-职工福利-SSPF(公)</t>
  </si>
  <si>
    <t>工资及福利费-职工福利-迁职费</t>
  </si>
  <si>
    <t>工资及福利费-职工福利-其他</t>
  </si>
  <si>
    <t>工资及福利费-职工福利-高管</t>
  </si>
  <si>
    <t>工资及福利费-职工福利-特殊补贴</t>
  </si>
  <si>
    <t>工资及福利-职工-股份支付(RSU)</t>
  </si>
  <si>
    <t>工资及福利-职工-股份支付(SO)</t>
  </si>
  <si>
    <t>工资及福利费-工资奖金-LTI bonus</t>
  </si>
  <si>
    <t>工资及福利-职工-股份支付(ESPP)</t>
  </si>
  <si>
    <r>
      <rPr>
        <sz val="9"/>
        <rFont val="宋体"/>
        <family val="3"/>
        <charset val="134"/>
      </rPr>
      <t>工资及福利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</si>
  <si>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工资及福利-员工单津贴-续年</t>
  </si>
  <si>
    <t>工资及福利-员工单津贴-趸缴</t>
  </si>
  <si>
    <t>工资及福利-职工福利-外包员工</t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</si>
  <si>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职工福利</t>
    </r>
    <r>
      <rPr>
        <sz val="9"/>
        <rFont val="Arial"/>
        <family val="2"/>
      </rPr>
      <t>-ASO</t>
    </r>
  </si>
  <si>
    <t>工资及福利费-职工福利-非ASO</t>
  </si>
  <si>
    <t>工资及福利费-LeavePayProvision</t>
  </si>
  <si>
    <t>租赁费-办公场所</t>
  </si>
  <si>
    <t>物业管理费</t>
  </si>
  <si>
    <t>租赁费-办公场所-FMF</t>
  </si>
  <si>
    <t>折旧-机械及动力设备</t>
  </si>
  <si>
    <t>折旧-交通运输设备</t>
  </si>
  <si>
    <t>折旧-计算机及辅助设备</t>
  </si>
  <si>
    <r>
      <rPr>
        <sz val="9"/>
        <rFont val="宋体"/>
        <family val="3"/>
        <charset val="134"/>
      </rPr>
      <t>折旧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</si>
  <si>
    <r>
      <rPr>
        <sz val="9"/>
        <rFont val="宋体"/>
        <family val="3"/>
        <charset val="134"/>
      </rPr>
      <t>折旧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电信设备</t>
    </r>
  </si>
  <si>
    <t>无形资产摊销-核心计算机软件</t>
  </si>
  <si>
    <t>长期待摊费用摊销-装修</t>
  </si>
  <si>
    <t>长期待摊费用摊销-俱乐部会员费</t>
  </si>
  <si>
    <t>电子设备运转费-软件采购</t>
  </si>
  <si>
    <t>折旧-融资租入固定资产</t>
  </si>
  <si>
    <t>无形资产摊销-软件使用权</t>
  </si>
  <si>
    <t>业务宣传费-其他营销费用-首年</t>
  </si>
  <si>
    <t>业务宣传费-会务费-首年</t>
  </si>
  <si>
    <t>业务宣传费-广告费用-品牌相关</t>
  </si>
  <si>
    <t>业务宣传费-宣传推广费(GOE)</t>
  </si>
  <si>
    <t>业务宣传费-市场推广费用-趸缴</t>
  </si>
  <si>
    <t>业务宣传费-市场推广预提-DM&amp;Banc-首年</t>
  </si>
  <si>
    <t>业务宣传费-银行渠道培训费-首年</t>
  </si>
  <si>
    <t>业务宣传费-广告费用-非品牌相关</t>
  </si>
  <si>
    <t>业务宣传费-其他营销费用（DM)</t>
  </si>
  <si>
    <t>业务宣传费-银保销售人员培训费</t>
  </si>
  <si>
    <t>业务宣传费-银保销售人员竞赛奖励-首年</t>
  </si>
  <si>
    <t>业务宣传费-其他营销费用-趸缴</t>
  </si>
  <si>
    <t>业务宣传费-会务费-趸缴</t>
  </si>
  <si>
    <t>业务宣传费-市场推广预提-DM&amp;Banc-趸缴</t>
  </si>
  <si>
    <t>业务宣传费-银行渠道培训费-趸缴</t>
  </si>
  <si>
    <t>业务宣传费-银保销售人员竞赛奖励-趸缴</t>
  </si>
  <si>
    <t>业务宣传费-康友会-Full Incentive Rewards-首年</t>
  </si>
  <si>
    <t>业务宣传费-康友会-Full Engagement/Instant  Rewards-首年</t>
  </si>
  <si>
    <t>业务宣传费-康友会-Trial Engagement Rewards-首年</t>
  </si>
  <si>
    <t>业务宣传费-康友会-Full Incentive Rewards-续期</t>
  </si>
  <si>
    <t>业务宣传费-康友会-Full Engagement Rewards-续期</t>
  </si>
  <si>
    <t>业务招待费—VEA相关-首年</t>
  </si>
  <si>
    <t>业务招待费-公司</t>
  </si>
  <si>
    <t>业务招待费—VEA相关-趸缴</t>
  </si>
  <si>
    <t>差旅费-国内</t>
  </si>
  <si>
    <t>差旅费-国外</t>
  </si>
  <si>
    <t>会务费</t>
  </si>
  <si>
    <t>职工教育费-员工培训-China HR</t>
  </si>
  <si>
    <r>
      <rPr>
        <sz val="9"/>
        <rFont val="宋体"/>
        <family val="3"/>
        <charset val="134"/>
      </rPr>
      <t>职工教育费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员工培训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本地部门</t>
    </r>
  </si>
  <si>
    <t>职工教育费-员工培训-Local HR</t>
  </si>
  <si>
    <t>职工教育费-考试费</t>
  </si>
  <si>
    <t>职工教育费-曼谷培训</t>
  </si>
  <si>
    <t>电子设备运转费-硬件采购</t>
  </si>
  <si>
    <t>电子设备运转费-软件维护</t>
  </si>
  <si>
    <t>电子设备运转费-硬件维护</t>
  </si>
  <si>
    <t>电子设备运转费-杂费</t>
  </si>
  <si>
    <t>电子设备运转费-租金及服务费</t>
  </si>
  <si>
    <t>电子设备运转费-helpdesk服务费</t>
  </si>
  <si>
    <t>电子设备运转费-数据通信费</t>
  </si>
  <si>
    <t>电子设备运转-集团内-软件</t>
  </si>
  <si>
    <t>电子设备运转-集团内-服务</t>
  </si>
  <si>
    <t>电子设备运转-系统技术开发服务</t>
  </si>
  <si>
    <t>电子设备运转-Ingeium Enhancement</t>
  </si>
  <si>
    <t>电子设备运转-DCM</t>
  </si>
  <si>
    <t>上交管理费-HOSF</t>
  </si>
  <si>
    <t>上交管理费-培训费用</t>
  </si>
  <si>
    <t>提取保险保障基金-首年</t>
  </si>
  <si>
    <t>提取保险保障基金-趸缴</t>
  </si>
  <si>
    <t>提取保险保障基金-续期</t>
  </si>
  <si>
    <t>银行结算费-退保理赔</t>
  </si>
  <si>
    <t>银行结算费-代收保费-首年</t>
  </si>
  <si>
    <t>银行结算费-投资FAM</t>
  </si>
  <si>
    <t>银行结算费-其他</t>
  </si>
  <si>
    <t>银行结算费-代收保费-趸缴</t>
  </si>
  <si>
    <t>银行结算费-代收保费-续期</t>
  </si>
  <si>
    <t>邮电费-通讯费</t>
  </si>
  <si>
    <t>邮电费-邮寄费</t>
  </si>
  <si>
    <t>邮电费-员工手机通讯费</t>
  </si>
  <si>
    <t>修理费-维修费用</t>
  </si>
  <si>
    <t>修理费-装修费用</t>
  </si>
  <si>
    <t>修理费-设备维护</t>
  </si>
  <si>
    <t>公杂费-办公文具</t>
  </si>
  <si>
    <t>公杂费-书刊订阅</t>
  </si>
  <si>
    <t>公杂费-交通费用</t>
  </si>
  <si>
    <t>公杂费-员工招聘费</t>
  </si>
  <si>
    <t>公杂费-低值易耗品</t>
  </si>
  <si>
    <t>公杂费-其他杂费</t>
  </si>
  <si>
    <t>企业财产保险</t>
  </si>
  <si>
    <t>印刷费</t>
  </si>
  <si>
    <t>印刷费-保单相关-首年</t>
  </si>
  <si>
    <t>印刷费-保单相关-趸缴</t>
  </si>
  <si>
    <t>审计费</t>
  </si>
  <si>
    <t>审计费-ILP</t>
  </si>
  <si>
    <t>水电费</t>
  </si>
  <si>
    <t>诉讼费</t>
  </si>
  <si>
    <t>托管费-中行托管费</t>
  </si>
  <si>
    <t>托管费-中行会计主体佣金</t>
  </si>
  <si>
    <t>学会会费</t>
  </si>
  <si>
    <t>残疾人保障金</t>
  </si>
  <si>
    <t>车辆费用</t>
  </si>
  <si>
    <t>其他费用-Par GOE</t>
  </si>
  <si>
    <t>其他费用-提取主管风险基金-首年</t>
  </si>
  <si>
    <t>其他费用-体检费-首年</t>
  </si>
  <si>
    <t>其他费用-中行退保手续费</t>
  </si>
  <si>
    <t>其他费用-营销员培训</t>
  </si>
  <si>
    <t>其他费用-其他服务费</t>
  </si>
  <si>
    <t>其他费用-inv .expense reclass</t>
  </si>
  <si>
    <t>其他费用-Capex reclass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</si>
  <si>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-FC-</t>
    </r>
    <r>
      <rPr>
        <sz val="9"/>
        <rFont val="宋体"/>
        <family val="3"/>
        <charset val="134"/>
      </rPr>
      <t>个人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</si>
  <si>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其他费用-GOE IDA</t>
  </si>
  <si>
    <t>其他费用-其他服务费-集团内</t>
  </si>
  <si>
    <t>其他费用-提取主管风险基金-趸缴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</si>
  <si>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-FC-</t>
    </r>
    <r>
      <rPr>
        <sz val="9"/>
        <rFont val="宋体"/>
        <family val="3"/>
        <charset val="134"/>
      </rPr>
      <t>个人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</si>
  <si>
    <t>其他费用-VEA reclass-staff cost</t>
  </si>
  <si>
    <t>其他费用-Call Center-团队-续期</t>
  </si>
  <si>
    <t>其他费用-Ingenium reclass</t>
  </si>
  <si>
    <t>其他费用-GOSF recl (NII portion)</t>
  </si>
  <si>
    <t>其他费用-体检费-趸缴</t>
  </si>
  <si>
    <t>其他费用-身份认证服务-首年</t>
  </si>
  <si>
    <t>其他费用-身份认证服务-趸缴</t>
  </si>
  <si>
    <t>其他费用-GOE channel</t>
  </si>
  <si>
    <t>其他费用-VEA recl-non staff cost</t>
  </si>
  <si>
    <t>其他费用-第三方服务费（保险）</t>
  </si>
  <si>
    <t>其他费用-人事相关服务费</t>
  </si>
  <si>
    <t>其他费用-可抵扣进项税(GOE)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</si>
  <si>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首年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分摊</t>
    </r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</si>
  <si>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续期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分摊</t>
    </r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</si>
  <si>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趸交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分摊</t>
    </r>
  </si>
  <si>
    <t>其他费用-视同销售(保险)VAT</t>
  </si>
  <si>
    <t>其他费用-视同销售(外购GOE)VAT</t>
  </si>
  <si>
    <t>其他费用-视销(外购VEA)-首年</t>
  </si>
  <si>
    <t>其他费用-视销(外购VEA)-续期</t>
  </si>
  <si>
    <t>其他费用-视销(外购VEA)-趸交</t>
  </si>
  <si>
    <t>其他费用-柯达服务费</t>
  </si>
  <si>
    <t>其他费用-营销员招募</t>
  </si>
  <si>
    <t>其他费用-客户服务费</t>
  </si>
  <si>
    <t>摊回分保费用</t>
  </si>
  <si>
    <r>
      <rPr>
        <sz val="9"/>
        <rFont val="宋体"/>
        <family val="3"/>
        <charset val="134"/>
      </rPr>
      <t>摊回分保纯益手续费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</si>
  <si>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r>
      <rPr>
        <sz val="9"/>
        <rFont val="宋体"/>
        <family val="3"/>
        <charset val="134"/>
      </rPr>
      <t>摊回分保纯益手续费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续期</t>
    </r>
  </si>
  <si>
    <r>
      <rPr>
        <sz val="9"/>
        <rFont val="宋体"/>
        <family val="3"/>
        <charset val="134"/>
      </rPr>
      <t>摊回分保纯益手续费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趸交</t>
    </r>
  </si>
  <si>
    <t>工会经费</t>
  </si>
  <si>
    <t>利息支出-卖出回购金融资产款</t>
  </si>
  <si>
    <t>利息支出-融资费用-融资租入固定资产</t>
  </si>
  <si>
    <t>利息支出-卖出回购金融资产款(out)</t>
  </si>
  <si>
    <t>手续费及佣金支出-ASO</t>
  </si>
  <si>
    <t>管理费支出－TPA</t>
  </si>
  <si>
    <t>其他业务成本－TPA</t>
  </si>
  <si>
    <r>
      <rPr>
        <sz val="9"/>
        <rFont val="宋体"/>
        <family val="3"/>
        <charset val="134"/>
      </rPr>
      <t>其他业务成本－投资合同</t>
    </r>
    <r>
      <rPr>
        <sz val="9"/>
        <rFont val="Arial"/>
        <family val="2"/>
      </rPr>
      <t xml:space="preserve"> -</t>
    </r>
    <r>
      <rPr>
        <sz val="9"/>
        <rFont val="宋体"/>
        <family val="3"/>
        <charset val="134"/>
      </rPr>
      <t>再保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保单管理费</t>
    </r>
    <r>
      <rPr>
        <sz val="9"/>
        <rFont val="Arial"/>
        <family val="2"/>
      </rPr>
      <t>)</t>
    </r>
  </si>
  <si>
    <t>其他业务成本－投资合同 -再保(premium charge)</t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</si>
  <si>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首年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</si>
  <si>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</si>
  <si>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</si>
  <si>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  <r>
      <rPr>
        <sz val="10"/>
        <color theme="1"/>
        <rFont val="Arial"/>
        <family val="2"/>
      </rPr>
      <t>-Topup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</si>
  <si>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</si>
  <si>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佣金支出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首年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</si>
  <si>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佣金支出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</si>
  <si>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佣金支出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</si>
  <si>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直接佣金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</si>
  <si>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间接佣金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保户储金奖金及福利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</si>
  <si>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</si>
  <si>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  <r>
      <rPr>
        <sz val="10"/>
        <color theme="1"/>
        <rFont val="Arial"/>
        <family val="2"/>
      </rPr>
      <t>(</t>
    </r>
    <r>
      <rPr>
        <sz val="10"/>
        <color theme="1"/>
        <rFont val="等线"/>
        <family val="2"/>
      </rPr>
      <t>死伤医疗给付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</si>
  <si>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  <r>
      <rPr>
        <sz val="10"/>
        <color theme="1"/>
        <rFont val="Arial"/>
        <family val="2"/>
      </rPr>
      <t>(</t>
    </r>
    <r>
      <rPr>
        <sz val="10"/>
        <color theme="1"/>
        <rFont val="等线"/>
        <family val="2"/>
      </rPr>
      <t>年金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</si>
  <si>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</si>
  <si>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认购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</si>
  <si>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支付续保奖金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</si>
  <si>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支付大额奖金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</si>
  <si>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摊销大额奖金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</si>
  <si>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投资款提款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</si>
  <si>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成员盈利分配</t>
    </r>
  </si>
  <si>
    <t>其他业务成本-投资合同-冷静期利息</t>
  </si>
  <si>
    <t>其他业务成本-投资合同-其他(手工)</t>
  </si>
  <si>
    <t>其他业务成本-投资合同-投资损益</t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</si>
  <si>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公共账户盈利分配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</si>
  <si>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保险合同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提取续保奖金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</si>
  <si>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认购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</si>
  <si>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投资款提款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</si>
  <si>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成员盈利分配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</si>
  <si>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提取续保奖金</t>
    </r>
    <r>
      <rPr>
        <sz val="10"/>
        <color theme="1"/>
        <rFont val="Arial"/>
        <family val="2"/>
      </rPr>
      <t xml:space="preserve"> (UL) IFRS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</si>
  <si>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投资收益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冷静期退费</t>
    </r>
  </si>
  <si>
    <t>营业外支出-资产处置损失</t>
  </si>
  <si>
    <t>营业外支出-捐赠支出</t>
  </si>
  <si>
    <t>营业外支出-罚款损失</t>
  </si>
  <si>
    <t>营业外支出-其他-日常</t>
  </si>
  <si>
    <t>营业外支出-其他-保险</t>
  </si>
  <si>
    <t>营业外支出-其他-营销员</t>
  </si>
  <si>
    <t>营业外支出-其他-退费</t>
  </si>
  <si>
    <t>营业外支出-其他-赔款支出/死伤医疗给付</t>
  </si>
  <si>
    <t>营业外支出-其他-年金给付</t>
  </si>
  <si>
    <t>营业外支出-其他-退保</t>
  </si>
  <si>
    <t>营业外支出-其他-红利</t>
  </si>
  <si>
    <t>营业外支出-其他-满期给付</t>
  </si>
  <si>
    <t>营业外支出-无法冲销VAT</t>
  </si>
  <si>
    <t>当期所得税</t>
  </si>
  <si>
    <t>当期所得税(RCG)</t>
  </si>
  <si>
    <t>当期所得税（Non-operating Others）</t>
  </si>
  <si>
    <t>递延所得税</t>
  </si>
  <si>
    <t>递延所得税(RCG)</t>
  </si>
  <si>
    <t>递延所得税（Non-operating Others）</t>
  </si>
  <si>
    <t>参考公允价值-持有至到期投资</t>
  </si>
  <si>
    <t>参考公允价值-贷款</t>
  </si>
  <si>
    <t>参考公允价值-URCG</t>
  </si>
  <si>
    <r>
      <rPr>
        <sz val="9"/>
        <rFont val="宋体"/>
        <family val="3"/>
        <charset val="134"/>
      </rPr>
      <t>非单位准备金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分保</t>
    </r>
  </si>
  <si>
    <r>
      <rPr>
        <sz val="9"/>
        <rFont val="宋体"/>
        <family val="3"/>
        <charset val="134"/>
      </rPr>
      <t>提取非单位准备金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分保</t>
    </r>
  </si>
  <si>
    <t>OCOA name (EN)</t>
  </si>
  <si>
    <t>Non Negotiable TDs =&lt; 90 days, FAM excl</t>
  </si>
  <si>
    <t>Money Market Funds (Cash &amp; Cash Equi.)</t>
  </si>
  <si>
    <t>Derivatives Assets,Fair Value Option,FAM excl</t>
  </si>
  <si>
    <t>Reverse Repo =&lt; 90 days</t>
  </si>
  <si>
    <t>Reverse Repo &gt;90 days &lt;1 year</t>
  </si>
  <si>
    <t>Reverse Repo &gt;=1 year</t>
  </si>
  <si>
    <t>Reverse Repo =&lt; 90 days, FAM excl</t>
  </si>
  <si>
    <t>Reverse Repo &gt;90 days &lt;1 year, FAM excl</t>
  </si>
  <si>
    <t>Reverse Repo &gt;=1 year, FAM excl</t>
  </si>
  <si>
    <t>Non Neg TDs &gt; 90 days &lt;1 year, FAM excl</t>
  </si>
  <si>
    <t>Long Term Deposits&gt;=1 year, FAM excl</t>
  </si>
  <si>
    <t>Available for Sales Securities-NominalVal,FAM excl</t>
  </si>
  <si>
    <t>Money Market Funds (Cash &amp; Cash Equiv), FAM excl</t>
  </si>
  <si>
    <t>Money Market Funds (Deposits), FAM excl</t>
  </si>
  <si>
    <t>AFS Securities-Unamort Prem/Disc, FAM excl</t>
  </si>
  <si>
    <t>AFS Securities-Mark to Market change,FAM excl</t>
  </si>
  <si>
    <t>AFS Securities-Prov for Impairment,FAM excl</t>
  </si>
  <si>
    <t>Bonds, Available for Sale, FAM excl</t>
  </si>
  <si>
    <t>Held to Maturity Securities-Nominal Value,FAM excl</t>
  </si>
  <si>
    <t>Held to Maturity Secur-Unamort Prem/Disc,FAM excl</t>
  </si>
  <si>
    <t># 49  OCOA to create in S4
- 11 个保费相关科目，应收保费按按账龄拆分（监管报告），保费收入、预收保费按系统分 （ 对账需求）。
- 17 个投连险账户价值，保户储金及投资款科目：ILP AV roll-forward , 保户储金及投资款-ASO递延收益/万能险账户价值/GUL万能险账户价值… R3 OCOA PH's contract deposits for UL products,Acc.Int.</t>
  </si>
  <si>
    <t>Policy Loans</t>
  </si>
  <si>
    <t>Collateral &amp; Guaranteed Loans, FAM excl</t>
  </si>
  <si>
    <t>Unsecured &amp; Non-guaranteed Loans, FAM excl</t>
  </si>
  <si>
    <t>Stocks, Fair Value Option, FAM excl</t>
  </si>
  <si>
    <t>Mutual Funds, Fair Value Option, FAM excl</t>
  </si>
  <si>
    <t>Bonds, Fair Value Option, FAM excl</t>
  </si>
  <si>
    <t>Accrued Investments Income, Dividend, FAM, OIM</t>
  </si>
  <si>
    <t>Accrued Investment Income - Dividend</t>
  </si>
  <si>
    <t>Accrued Investments Income, Interest,Bank Interest</t>
  </si>
  <si>
    <t>Accrued Investments Income, Interest</t>
  </si>
  <si>
    <t>Interest Receivable - Reverse Repos, FAM excl</t>
  </si>
  <si>
    <t>Interest Receivable - Normal Deposits, FAM excl</t>
  </si>
  <si>
    <t>Interest Receivable - AFS Securities,FAM excl</t>
  </si>
  <si>
    <t>Interest Receivable - HTM Securities,FAM excl</t>
  </si>
  <si>
    <t>Accrued Investments Income, Interest, Policy Loan</t>
  </si>
  <si>
    <t>Interest Receivable - Loans, LS, FAM excl</t>
  </si>
  <si>
    <t>Accrued Investments Income,Interest, FAM excl</t>
  </si>
  <si>
    <t>Due Premium</t>
  </si>
  <si>
    <t>Insurance receivable - LS/Reg Adj.</t>
  </si>
  <si>
    <t>Reinsurance Claims Recoverable</t>
  </si>
  <si>
    <t>Agent's related Receivables</t>
  </si>
  <si>
    <t>Other receivable - Misc Receivable</t>
  </si>
  <si>
    <t>Other receivables</t>
  </si>
  <si>
    <t>Financial Reinsurance Receivables</t>
  </si>
  <si>
    <t>Other Assets - Real Estate Deposits</t>
  </si>
  <si>
    <t>Receivables, Others, Other Assets</t>
  </si>
  <si>
    <t>Other Assets - Other Deposits</t>
  </si>
  <si>
    <t>Receivables, from Sales of Investments</t>
  </si>
  <si>
    <t>FX Clearing Account, FAM excl</t>
  </si>
  <si>
    <t>System Interface Suspense</t>
  </si>
  <si>
    <t>Payment request clearing, FAM, OIM</t>
  </si>
  <si>
    <t>Prepaid Commission Reserves</t>
  </si>
  <si>
    <t>Prepayment - Service Fee</t>
  </si>
  <si>
    <t>Prepaid Expenses</t>
  </si>
  <si>
    <t>Unearned Premium Reserves, Outward</t>
  </si>
  <si>
    <t>Outstanding Claim Reserves, Outward</t>
  </si>
  <si>
    <t>IBNR, Outward</t>
  </si>
  <si>
    <t>Benefit Reserves, Outward</t>
  </si>
  <si>
    <t>Receivables, Intercompany</t>
  </si>
  <si>
    <t>Other Fixed Assets,-F&amp;E, Costs, Recon</t>
  </si>
  <si>
    <t>Other Fixed Assets, F&amp;E, AccDep, Recon</t>
  </si>
  <si>
    <t>Other Fixed Assets, Automobile, Costs, Recon</t>
  </si>
  <si>
    <t>Other Fixed Assets, Automobile, Acc Dep, Recon</t>
  </si>
  <si>
    <t>Other Fixed Assets, Computer HW, Costs, Recon</t>
  </si>
  <si>
    <t>Other Fixed Assets, Computer HW, Acc Dep, Recon</t>
  </si>
  <si>
    <t>Non IT fixed asset/general-CIP, Recon</t>
  </si>
  <si>
    <t>Purchased/internal generated PC SW(IA),Costs,Recon</t>
  </si>
  <si>
    <t>Purchased/internal generate PC SW(IA),AccDep,Recon</t>
  </si>
  <si>
    <t>Computer software, Construction in progress, Recon</t>
  </si>
  <si>
    <t>Other Intangible Asset, Costs, Recon</t>
  </si>
  <si>
    <t>Other Intangible Asset, Acc Dep, Recon</t>
  </si>
  <si>
    <t>Leasehold improvements, cost, Recon</t>
  </si>
  <si>
    <t>Leasehold improvements, accumulated dep, Recon</t>
  </si>
  <si>
    <t>Intangible assets, Access Fee, Cost</t>
  </si>
  <si>
    <t>Intangible assets, Access Fee, Accum amortization</t>
  </si>
  <si>
    <t>Deferred Tax Assets</t>
  </si>
  <si>
    <t>Deferred Tax, Valuation Allowance</t>
  </si>
  <si>
    <t>Deferred Tax Liabilities, URA/(D)</t>
  </si>
  <si>
    <t>Deferred Acq/Orig Costs, DiRect</t>
  </si>
  <si>
    <t>Deferred Sales Inducement</t>
  </si>
  <si>
    <t>UNEARNED COMMISSION</t>
  </si>
  <si>
    <t>UNEARNED COMM OUTWARD REINSURANCE</t>
  </si>
  <si>
    <t>Deferred Acq/Orig Costs, DiRect, Shadow Adj.</t>
  </si>
  <si>
    <t>Deferred Sales Inducement, Shadow Adj.</t>
  </si>
  <si>
    <t>Deferred Acq/Orig Costs, Access Fee, Direct</t>
  </si>
  <si>
    <t>Deferred Acq/Orig Costs, Service Fee, Direct</t>
  </si>
  <si>
    <t>Prepaid expense, gift voucher/gift card</t>
  </si>
  <si>
    <t>Derivatives Liabilities, FVO, FAM excl</t>
  </si>
  <si>
    <t>Securities Sold Under Repo (out-scope), FAM excl</t>
  </si>
  <si>
    <t>Securities Sold Under Repo (out-scope)</t>
  </si>
  <si>
    <t>Unearned Premium Reserves, Direct</t>
  </si>
  <si>
    <t>Outstanding Claim Reserves, Direct</t>
  </si>
  <si>
    <t>Outstanding Claim Reserves, Direct, LS/Reg Adj.</t>
  </si>
  <si>
    <t>IBNR, Direct</t>
  </si>
  <si>
    <t>Loss Expenses Reserves, Direct</t>
  </si>
  <si>
    <t>Benefit Reserves, Direct</t>
  </si>
  <si>
    <t>Unearned Revenue Liabilities, Direct</t>
  </si>
  <si>
    <t>Unearned Revenue Liabilities, Direct, Shadow adj.</t>
  </si>
  <si>
    <t>Non Unit Reserves, Direct</t>
  </si>
  <si>
    <t>PSPS Reserves</t>
  </si>
  <si>
    <t>Investment Contracts Liabilities at FVTPL</t>
  </si>
  <si>
    <t>Investment Contracts Liabilities at Amortised Cost</t>
  </si>
  <si>
    <t>Deferred Profits Liabilities</t>
  </si>
  <si>
    <t>Deferred Profits Liab, Non-Deductible Commission</t>
  </si>
  <si>
    <t>Deferred Fee Income Liabilities</t>
  </si>
  <si>
    <t>PH's contract deposits for Universal Life products</t>
  </si>
  <si>
    <t>Prepaid Premium</t>
  </si>
  <si>
    <t>Prepaid Premium, Finance adjustment</t>
  </si>
  <si>
    <t>Accrual, Acq. Costs Related, Bancassurance</t>
  </si>
  <si>
    <t>Accrual, Acq Costs Related, Commission</t>
  </si>
  <si>
    <t>Due Commission</t>
  </si>
  <si>
    <t>Reinsurance Premium Payables</t>
  </si>
  <si>
    <t>Funds pay. held under Reinsurance treaties</t>
  </si>
  <si>
    <t>Accrual, HR Related</t>
  </si>
  <si>
    <t>Employee Related Payable,Defined Contribution Plan</t>
  </si>
  <si>
    <t>Accrual, HR Related, contractual bonus</t>
  </si>
  <si>
    <t>Provision for Leave Pay</t>
  </si>
  <si>
    <t>Current Income Tax Liabilities</t>
  </si>
  <si>
    <t>Accrual, Local tax, Tax W/H on stamp tax, OP</t>
  </si>
  <si>
    <t>Accrual, Local Tax, Non Income Tax</t>
  </si>
  <si>
    <t>Disbursement Clearing Accounts, For claims payment</t>
  </si>
  <si>
    <t>Disbursement Clearing Accounts</t>
  </si>
  <si>
    <t>Policy Dividend/ Coupon Funds</t>
  </si>
  <si>
    <t>Policy Dividend/ Coupon Funds, Accrued Interest</t>
  </si>
  <si>
    <t>Accrual Investment Expense,Interest, FAM excl</t>
  </si>
  <si>
    <t>Accrual Investment Expense, Interest</t>
  </si>
  <si>
    <t>Accrual, Others</t>
  </si>
  <si>
    <t>Accrual, Reinstatement Cost - Lease Agreement</t>
  </si>
  <si>
    <t>Suspense Accounts, U&amp;I/POS/Corp Account Adjustment</t>
  </si>
  <si>
    <t>Other PH Funds, LID, Cash With Application</t>
  </si>
  <si>
    <t>Other PH Funds, LID, Cash Without Application</t>
  </si>
  <si>
    <t>Cash, IB, CN11 Operating, CNY, 9999999999</t>
  </si>
  <si>
    <t>Cash, IB, CN11 Operating, CNY, 9999999999 - IN</t>
  </si>
  <si>
    <t>Cash, IB, CN11 Operating, CNY, 9999999999 - OUT</t>
  </si>
  <si>
    <t>Cash, IB, CN12 Operating, CNY, 9999999999 - IN</t>
  </si>
  <si>
    <t>Cash, IB, CN12 Operating, CNY, 9999999999 - OUT</t>
  </si>
  <si>
    <t>Cash, IB, CN13 Operating, CNY, 9999999999 - IN</t>
  </si>
  <si>
    <t>Cash, IB, CN13 Operating, CNY, 9999999999 - OUT</t>
  </si>
  <si>
    <t>Cash, IB, CN14 Operating, CNY, 9999999999 - IN</t>
  </si>
  <si>
    <t>Cash, IB, CN14 Operating, CNY, 9999999999 - OUT</t>
  </si>
  <si>
    <t>Cash In Bank, IB, Contra (Non-FAM) - IN</t>
  </si>
  <si>
    <t>Cash In Bank, IB, Contra (Non-FAM) - OUT</t>
  </si>
  <si>
    <t>Cash, IB, CN16 Operating, CNY, 9999999999 - IN</t>
  </si>
  <si>
    <t>Cash, IB, CN16 Operating, CNY, 9999999999 - OUT</t>
  </si>
  <si>
    <t>Cash, IB, CN17 Operating, CNY, 9999999999 - IN</t>
  </si>
  <si>
    <t>Cash, IB, CN17 Operating, CNY, 9999999999 - OUT</t>
  </si>
  <si>
    <t>Payment receivable-BJ</t>
  </si>
  <si>
    <t>Payment receivable-DG</t>
  </si>
  <si>
    <t>Payment receivable-GZ</t>
  </si>
  <si>
    <t>Payment receivable-JM</t>
  </si>
  <si>
    <t>Payment receivable-JS</t>
  </si>
  <si>
    <t>Payment receivable-SH</t>
  </si>
  <si>
    <t>Payment receivable-SZ</t>
  </si>
  <si>
    <t>Suspense Accounts, Others</t>
  </si>
  <si>
    <t>Suspense Account, Policy Loan Repayment</t>
  </si>
  <si>
    <t>Other PH Funds - GP CRB(Pension Pre-paid Premium)</t>
  </si>
  <si>
    <t>Suspense Accounts, Imbalance</t>
  </si>
  <si>
    <t>Suspense Account - Unknown Bank Deposit</t>
  </si>
  <si>
    <t>Accrual, Acq. Costs Related, Agents Bal.</t>
  </si>
  <si>
    <t>Other Deposit Payables</t>
  </si>
  <si>
    <t>Segment/LOB balancing  - manual reclass</t>
  </si>
  <si>
    <t>Capital Lease Obligations/Liabilities</t>
  </si>
  <si>
    <t>Investment Purchase Payables</t>
  </si>
  <si>
    <t>Other Payables, Investment Related</t>
  </si>
  <si>
    <t>Accrual Investment Related, FAM, OIM</t>
  </si>
  <si>
    <t>Accrual, Local Tax, Non Income Tax (FAM)</t>
  </si>
  <si>
    <t>LOB Balancing Account</t>
  </si>
  <si>
    <t>Third Party Payable</t>
  </si>
  <si>
    <t>Prepaid Rental</t>
  </si>
  <si>
    <t>Other Payables, Intercompany, Recon</t>
  </si>
  <si>
    <t>Contribution from parent - AIA RSU Scheme</t>
  </si>
  <si>
    <t>Future Premium Deposit Funds</t>
  </si>
  <si>
    <t>Sales Inducement Liabilities</t>
  </si>
  <si>
    <t>Financial Reinsurance Payable</t>
  </si>
  <si>
    <t>Dividend/Surplus Remittance Payables</t>
  </si>
  <si>
    <t>Other Payables, Third Party, ASO Deposits - Group</t>
  </si>
  <si>
    <t>Deferred Income Tax Liabilities</t>
  </si>
  <si>
    <t>Legal Contingency</t>
  </si>
  <si>
    <t>Contribution from parent - AIA ESPP Scheme</t>
  </si>
  <si>
    <t>Other Payables, Interco</t>
  </si>
  <si>
    <t>Branch Interfund</t>
  </si>
  <si>
    <t>URA/(D), Market Value Change, FAM excl</t>
  </si>
  <si>
    <t>URA/(D), PSPS</t>
  </si>
  <si>
    <t>URA/(D), Deferred Tax</t>
  </si>
  <si>
    <t>Additional Paid in Capital</t>
  </si>
  <si>
    <t>Shadow Adjustment, DAC</t>
  </si>
  <si>
    <t>Shadow Adjustment, SIA</t>
  </si>
  <si>
    <t>Shadow Adjustment, URL</t>
  </si>
  <si>
    <t>Other Reserve-AIA RSU Scheme (Equity Settled)</t>
  </si>
  <si>
    <t>Other Reserve - AIA SO Scheme</t>
  </si>
  <si>
    <t>Other Reserve - AIA ESPP Scheme</t>
  </si>
  <si>
    <t>Retained Earnings - Legal Reserves</t>
  </si>
  <si>
    <t>Dividend to shareholders</t>
  </si>
  <si>
    <t>Retained Earnings</t>
  </si>
  <si>
    <t>Foreign curr translation,consolidation-sys b/f</t>
  </si>
  <si>
    <t>Premium Collected, First Year, Direct</t>
  </si>
  <si>
    <t>Due Premium, First Year</t>
  </si>
  <si>
    <t>Due Premium, First Year, Prepaid Premium</t>
  </si>
  <si>
    <t>Fees Income , COI, Ins. Risk Chg, FY</t>
  </si>
  <si>
    <t>Premium Collected, Renewal, Direct</t>
  </si>
  <si>
    <t>Due Premium, Renewal</t>
  </si>
  <si>
    <t>Due Premium, Renewal, Prepaid Premium</t>
  </si>
  <si>
    <t>Fees Income , COI, Ins. Risk Chg, Renewal</t>
  </si>
  <si>
    <t>Premium Collected, Single, Direct</t>
  </si>
  <si>
    <t>Change in Unearned Revenue Liability-Amortization</t>
  </si>
  <si>
    <t>Change in Unearned Revenue Liability-deferral</t>
  </si>
  <si>
    <t>Change in Deferred Fee Income-Amortization</t>
  </si>
  <si>
    <t>Change in Deferred Fee Income-deferral</t>
  </si>
  <si>
    <t>Premium Collected, First Year, Outward</t>
  </si>
  <si>
    <t>Premium Collected, Renewal, Outward</t>
  </si>
  <si>
    <t>Premium Collected, Single, Outward</t>
  </si>
  <si>
    <t>Change in BenefitsReserve, Direct</t>
  </si>
  <si>
    <t>Change in UEPR Direct (Short Duration)</t>
  </si>
  <si>
    <t>Change in BenefitsReserve, Outward</t>
  </si>
  <si>
    <t>Change in UEPR, Outward</t>
  </si>
  <si>
    <t>Non Neg TDs&gt;90d &lt;1y, Interest Received, FAM excl</t>
  </si>
  <si>
    <t>Non Neg TDs&gt;90d &lt;1y, Chg in Acc Int, FAM excl</t>
  </si>
  <si>
    <t>Long Term Deposits&gt;=1y,Interest Received, FAM excl</t>
  </si>
  <si>
    <t>Long Term Deposits&gt;=1y, Chg in Acc Int, FAM excl</t>
  </si>
  <si>
    <t>Bonds, Fair Value Option, Change in Acc Int</t>
  </si>
  <si>
    <t>MMF (C&amp;C) Dividend Received, S&amp;V A/C</t>
  </si>
  <si>
    <t>Stocks, Fair Value Option, Change in Acc Div</t>
  </si>
  <si>
    <t>Mutual Fund, Fair Value Option, Dividend Received</t>
  </si>
  <si>
    <t>Stocks, Fair Value Option, RG Market</t>
  </si>
  <si>
    <t>Bonds, Fair Value Option, RG Market</t>
  </si>
  <si>
    <t>Mutual Fund, Fair Value Option, RG Market</t>
  </si>
  <si>
    <t>Bonds, FVO, Interest Received, fAM excl</t>
  </si>
  <si>
    <t>Bonds, FVO, Change in Acc Int, FAM excl</t>
  </si>
  <si>
    <t>Derivatives FVO RG Market, FAM excl</t>
  </si>
  <si>
    <t>Derivatives FVO RL Market, FAM excl</t>
  </si>
  <si>
    <t>Reverse Repo =&lt;90d, Int Received, FAM excl</t>
  </si>
  <si>
    <t>Reverse Repo =&lt;90d, Chg in Acc Int, FAM excl</t>
  </si>
  <si>
    <t>Reverse Repo &gt;90d&lt;1yr, Int Received, FAM excl</t>
  </si>
  <si>
    <t>Reverse Repo &gt;90d&lt;1yr, Chg in Acc Int, FAM excl</t>
  </si>
  <si>
    <t>Reverse Repo=&lt;90 days, Change in Acc Int</t>
  </si>
  <si>
    <t>Reverse Repo &gt;90d &lt;1yr, Interest Received</t>
  </si>
  <si>
    <t>Bonds, AFS, Interest Received, FAM excl</t>
  </si>
  <si>
    <t>Bonds, AFS, Change in Acc Int, FAM excl</t>
  </si>
  <si>
    <t>Common Stocks, AFS, Dividend Received, FAM excl</t>
  </si>
  <si>
    <t>nRed P Stocks, AFS, Dividend Received, FAM excl</t>
  </si>
  <si>
    <t>MF, AFS, Dividend Received, FAM excl</t>
  </si>
  <si>
    <t>MMF (C&amp;C), Dividend Received, FAM excl</t>
  </si>
  <si>
    <t>Bonds, AFS, Amort of Prem/Disc, FAM excl</t>
  </si>
  <si>
    <t>Bonds, AFS, RG Market (non-ALM), FAM excl</t>
  </si>
  <si>
    <t>Bonds, AFS, RL Market (non-ALM), FAM excl</t>
  </si>
  <si>
    <t>Common Stocks, AFS, RG Market, FAM excl</t>
  </si>
  <si>
    <t>Common Stocks, AFS, RL Market, FAM excl</t>
  </si>
  <si>
    <t>MF, AFS, RG Market, FAM excl</t>
  </si>
  <si>
    <t>MF, AFS, RL Market, FAM excl</t>
  </si>
  <si>
    <t>Bonds, HTM, Interest Received, FAM excl</t>
  </si>
  <si>
    <t>Bonds, HTM, Change in Acc Int, FAM excl</t>
  </si>
  <si>
    <t>Bonds, HTM, Amort Prem/Disc, FAM excl</t>
  </si>
  <si>
    <t>Bonds, HTM, RG Market, FAM excl</t>
  </si>
  <si>
    <t>Bonds, HTM, RL Market, FAM excl</t>
  </si>
  <si>
    <t>C&amp;G Loans Interest Received, FAM excl</t>
  </si>
  <si>
    <t>C&amp;G Loans Chg in Acc Int, FAM excl</t>
  </si>
  <si>
    <t>Unsecured &amp; Non-guaranteed Loans,Int Rcvd,FAM excl</t>
  </si>
  <si>
    <t>Unsecured &amp; Non-guar Loans,Chg in Acc Int,FAM excl</t>
  </si>
  <si>
    <t>Investment Expense, Other Expense (FAM)</t>
  </si>
  <si>
    <t>Investment Expense,Other Expense,Reclass from GOE</t>
  </si>
  <si>
    <t>Withholding tax expenses-NII, FAM excl</t>
  </si>
  <si>
    <t>Inv mgt exp - Mean Fund allocation</t>
  </si>
  <si>
    <t>Interest income - Mean Fund allocation</t>
  </si>
  <si>
    <t>Dividend income - Mean Fund allocation</t>
  </si>
  <si>
    <t>Finance cost - Mean Fund allocation - NII</t>
  </si>
  <si>
    <t>Bonds, FVO, Amort of Prem/Disc, FAM excl</t>
  </si>
  <si>
    <t>Bonds, FVO, RG Market, FAM excl</t>
  </si>
  <si>
    <t>Bonds, FVO, RL Market, FAM excl</t>
  </si>
  <si>
    <t>Stocks, FVO, RG Market, FAM excl</t>
  </si>
  <si>
    <t>Stocks, FVO, RL Market, FAM excl</t>
  </si>
  <si>
    <t>MF, FVO, RG Market, FAM excl</t>
  </si>
  <si>
    <t>MF, FVO, RL Market, FAM excl</t>
  </si>
  <si>
    <t>Stocks, FVO, Dividend Received, FAM excl</t>
  </si>
  <si>
    <t>MF, FVO, Dividend Received, FAM excl</t>
  </si>
  <si>
    <t>Preferred Stk, FVO, Dividend Received, FAM excl</t>
  </si>
  <si>
    <t>Bonds, Fair Value Option, UG/(L) Market</t>
  </si>
  <si>
    <t>Stocks, Fair Value Option, UG/(L) Market</t>
  </si>
  <si>
    <t>Mutual Fund, Fair Value Option, UG/(L) Market</t>
  </si>
  <si>
    <t>Stocks, FVO, UG/(L) Market, FAM excl</t>
  </si>
  <si>
    <t>MF, FVO, UG/(L) Market, FAM excl</t>
  </si>
  <si>
    <t>Bonds, FVO, UG/(L) Market, FAM excl</t>
  </si>
  <si>
    <t>Change in PSPS Reserves-RCG/(L)</t>
  </si>
  <si>
    <t>FX, RG/L, System</t>
  </si>
  <si>
    <t>FX, RG/L, Operation</t>
  </si>
  <si>
    <t>Investment Cash, Interest Received, FAM</t>
  </si>
  <si>
    <t>Cash in Bank, Interest Received</t>
  </si>
  <si>
    <t>Non Neg TDs=&lt;90d, Interest Received, FAM excl</t>
  </si>
  <si>
    <t>Non Neg TDs=&lt;90d, Chg in Acc Int, FAM excl</t>
  </si>
  <si>
    <t>Non Neg TDs=&lt;90d, Interest Received</t>
  </si>
  <si>
    <t>Investment Cash, Interest Received</t>
  </si>
  <si>
    <t>Other Investment Income, Interest, Reinstatement</t>
  </si>
  <si>
    <t>Policy Loans, Int. Received</t>
  </si>
  <si>
    <t>Other Revenue, Administration Charges</t>
  </si>
  <si>
    <t>Fees Income , Surrender Charge</t>
  </si>
  <si>
    <t>Fees Income , Front End Load Fees</t>
  </si>
  <si>
    <t>Fees Income , Policy Administration Fees</t>
  </si>
  <si>
    <t>Fees Income , Policy Admin Fees,Fund Switching Fee</t>
  </si>
  <si>
    <t>Other Revenue, Service Fees Income</t>
  </si>
  <si>
    <t>Fees Income , Monthly Maintenance Fees</t>
  </si>
  <si>
    <t>Fees Income, Premium Charges, First Year</t>
  </si>
  <si>
    <t>Fees Income, Premium Charges, Renewal</t>
  </si>
  <si>
    <t>Fees Income, Premium Charges, Single</t>
  </si>
  <si>
    <t>Other Reveue, Commissions Income</t>
  </si>
  <si>
    <t>Other Investment Income</t>
  </si>
  <si>
    <t>Other Expenses, Other Income / Deduction (GOE)</t>
  </si>
  <si>
    <t>Realized gains, third party, other fixed assets</t>
  </si>
  <si>
    <t>Other ope. expenses,  Miscellaneous office expense</t>
  </si>
  <si>
    <t>Death and Other Claims Paid, Direct, Minor Claim</t>
  </si>
  <si>
    <t>Cash Benefits Paid, Maturity, Direct,CouponPayment</t>
  </si>
  <si>
    <t>Cash Benefits Paid, Maturity, Direct, Endowment</t>
  </si>
  <si>
    <t>Cash Benefits Paid, Surender, Direct, Auto Sur.</t>
  </si>
  <si>
    <t>Cash Benefits Paid, Surender, Direct</t>
  </si>
  <si>
    <t>Death and Other Claims Paid, Direct</t>
  </si>
  <si>
    <t>Cash Benefits Paid, Maturity, Direct</t>
  </si>
  <si>
    <t>Cash Benefits Paid, Maturity, Direct, Annuity</t>
  </si>
  <si>
    <t>Cash Benefits Paid, Coupon, Direct</t>
  </si>
  <si>
    <t>Death &amp; Other Claims Paid, Direct, Ind. Med. Life</t>
  </si>
  <si>
    <t>Death &amp; Other Claims Paid, Related Expenses</t>
  </si>
  <si>
    <t>Death and Other Claims Paid, Outward</t>
  </si>
  <si>
    <t>Death &amp; Other Claims Paid, Outward, Claim Recovery</t>
  </si>
  <si>
    <t>Interest Paid to PH, Coupon Accum</t>
  </si>
  <si>
    <t>Change in Outstanding Claim Res, Direct</t>
  </si>
  <si>
    <t>Change in IBNR, Direct</t>
  </si>
  <si>
    <t>Chg in Ben Res, Dir, Non-Unit Res, Act. Adj.</t>
  </si>
  <si>
    <t>Changes in Insurance Contract Liab for ILP</t>
  </si>
  <si>
    <t>Changes in Investment Contract Liab for ILP</t>
  </si>
  <si>
    <t>Change in Investment Contract Liability for nonULP</t>
  </si>
  <si>
    <t>Change in Deferred Profits Liabilities</t>
  </si>
  <si>
    <t>Change in DPL, Non-Deductible Commission</t>
  </si>
  <si>
    <t>Change in Outstanding Claim Res, Outward</t>
  </si>
  <si>
    <t>Change in IBNR, Outward</t>
  </si>
  <si>
    <t>Cash Ben Paid, Div, Direct, For Prem Reduction</t>
  </si>
  <si>
    <t>Cash Benefits Paid, Dividend, Direct</t>
  </si>
  <si>
    <t>Change in Maturity Dividend Res, Direct, R.B. Res</t>
  </si>
  <si>
    <t>Interest Paid to PH, Dividend Accum</t>
  </si>
  <si>
    <t>Change in PSPS Reserves-non RCG/(L)</t>
  </si>
  <si>
    <t>Change in PSPS reserves-Other Non-Operating Items</t>
  </si>
  <si>
    <t>Acq Exp-Taxes, Lic &amp; Fees, FY, Premium Tax</t>
  </si>
  <si>
    <t>Acq Exp-Taxes, Lic &amp; Fees, Renewal, Prem Tax</t>
  </si>
  <si>
    <t>Acq Exp-Taxes, Lic &amp; Fees, Single, Prem Tax</t>
  </si>
  <si>
    <t>Access Fee, First Year</t>
  </si>
  <si>
    <t>Service Fee, First Year</t>
  </si>
  <si>
    <t>Commissions Paid First Year, Direct</t>
  </si>
  <si>
    <t>Due Commissions, First Year</t>
  </si>
  <si>
    <t>Due Commissions, First Year, Preapaid Commission</t>
  </si>
  <si>
    <t>Commissions Paid Renewal, Direct</t>
  </si>
  <si>
    <t>Due Commissions, Renewal</t>
  </si>
  <si>
    <t>Due Commissions, Renewal, Prepaid Commission</t>
  </si>
  <si>
    <t>Commissions Paid  Single, Direct</t>
  </si>
  <si>
    <t>Distri Remun, Renewal, Persistency Bonus</t>
  </si>
  <si>
    <t>Distri Remun, FY, Production Bonus</t>
  </si>
  <si>
    <t>Distri Remun, Renewal, Contri to Agents' P Fund</t>
  </si>
  <si>
    <t>Distributors' Remunerations, FY, Broker Compen.</t>
  </si>
  <si>
    <t>Distri Remun, FY, Fringe Benefits, Taxable</t>
  </si>
  <si>
    <t>Distri Remun, SG, Fringe Benefits, O/R alloc</t>
  </si>
  <si>
    <t>Distri LDR Remun, SG, Fringe Benefits, O/R alloc</t>
  </si>
  <si>
    <t>Prizes &amp; Awards, First Year</t>
  </si>
  <si>
    <t>Convention expenses, First Year</t>
  </si>
  <si>
    <t>Prizes &amp; Awards, Single</t>
  </si>
  <si>
    <t>Convention expenses, Single</t>
  </si>
  <si>
    <t>Commission &amp; acquisition exp - Deferral, Direct</t>
  </si>
  <si>
    <t>Operating Expenses - Deferral, Direct</t>
  </si>
  <si>
    <t>Commission &amp; Oper Exps - Amortization Normal</t>
  </si>
  <si>
    <t>Commission &amp; Oper Exps - Amortization Others</t>
  </si>
  <si>
    <t>Comm &amp; Acq Exp, Access Fee, Deferral, Direct</t>
  </si>
  <si>
    <t>Comm &amp; Acq Exp, Service Fee, Deferral, Direct</t>
  </si>
  <si>
    <t>Comm &amp; Oper Exp, Access Fee, Amort Normal</t>
  </si>
  <si>
    <t>Comm &amp; Oper Exp, Service Fee, Amort Normal</t>
  </si>
  <si>
    <t>Common Stocks, AFS, Market Write Down, FAM excl</t>
  </si>
  <si>
    <t>MF, AFS, Market Write Down, FAM excl</t>
  </si>
  <si>
    <t>Bonds, HTM, Market Write Down, FAM excl</t>
  </si>
  <si>
    <t>A/R, Insurance Related, Chg in BD Allowance</t>
  </si>
  <si>
    <t>A/R, Non-Insurance Related,Chg in BD Allowance</t>
  </si>
  <si>
    <t>Personnel, Sal., Regular compensation, Salaries</t>
  </si>
  <si>
    <t>Personnel, Salaries, Overtime, Overtime allowances</t>
  </si>
  <si>
    <t>Salary for temporary staff</t>
  </si>
  <si>
    <t>Personnel, Salaries, Bonus, Contractual</t>
  </si>
  <si>
    <t>Banca,DirectDistributionCosts-Insurance SpecialiFY</t>
  </si>
  <si>
    <t>Banca,DirectDistributionCosts-Insurance SpecialiSG</t>
  </si>
  <si>
    <t>Personnel, Salaries, Bonus, Group STI</t>
  </si>
  <si>
    <t>Personnel, Salaries, Bonus, Discretionary</t>
  </si>
  <si>
    <t>Banca,DirectDistCosts-Ins Specialist Override FY</t>
  </si>
  <si>
    <t>Banca,DirectDistCosts-Ins Specialist Override SG</t>
  </si>
  <si>
    <t>Prof., consult.&amp; serv. fees, (3rd party), Others</t>
  </si>
  <si>
    <t>Employee's welfare,  Medical and insurance</t>
  </si>
  <si>
    <t>Pension exp., Defined contribution (incl 401k)</t>
  </si>
  <si>
    <t>Employee welfare, Employment insurance</t>
  </si>
  <si>
    <t>Employee welfare, Industrial accident Insuarance</t>
  </si>
  <si>
    <t>Employee's Welfare, Fitness Centre Recovery</t>
  </si>
  <si>
    <t>Employee welfare, Tax&amp;Dues, National Pension</t>
  </si>
  <si>
    <t>Employee's welfare,  Relocation</t>
  </si>
  <si>
    <t>Restructuring Charges, Personnel related</t>
  </si>
  <si>
    <t>Personnel Stock - AIA RSU Scheme</t>
  </si>
  <si>
    <t>Personnel Stock - AIA SO Scheme</t>
  </si>
  <si>
    <t>Personnel, Sal., Defer.compen. LT Incentive Plan</t>
  </si>
  <si>
    <t>Personnel Stock - AIA ESPP Scheme</t>
  </si>
  <si>
    <t>Employee's welfare,  annual, unpaid and sick leave</t>
  </si>
  <si>
    <t>Premises, Rent and related - Rent -3rdparty</t>
  </si>
  <si>
    <t>Premises, Rent and related - Management fees</t>
  </si>
  <si>
    <t>Premises, Rent and related - Rent-inter-company</t>
  </si>
  <si>
    <t>Dep, and amort., Furniture and equipment</t>
  </si>
  <si>
    <t>Dep, and amort., Automobiles</t>
  </si>
  <si>
    <t>Dep, and amort., Computer hardware, Owned</t>
  </si>
  <si>
    <t>Amort- Purchased/internal generate PC software(IA)</t>
  </si>
  <si>
    <t>Dep, and amort., Leasehold improvements</t>
  </si>
  <si>
    <t>DPcharges, 3rd party, Software expenses</t>
  </si>
  <si>
    <t>Dep, and amort., Other intangible assets</t>
  </si>
  <si>
    <t>Sales promotion and entertainment, FY</t>
  </si>
  <si>
    <t>Adv. &amp; Sales, Media Space, Coroprate</t>
  </si>
  <si>
    <t>Adv. &amp; Sales, Brochures &amp; Promot. mate., Corporate</t>
  </si>
  <si>
    <t>Sales promotion and entertainment, Single</t>
  </si>
  <si>
    <t>Prize &amp; Awards, First Year, Sales &amp; promotion</t>
  </si>
  <si>
    <t>Adv. &amp; Sales, Media Space, Product</t>
  </si>
  <si>
    <t>Marketing costs</t>
  </si>
  <si>
    <t>Other Opex,Welfare-Training&amp;Dev-Non Contr-staff</t>
  </si>
  <si>
    <t>Sales Promotion and Entertainment, SG,O/R alloc</t>
  </si>
  <si>
    <t>Prize &amp; Awards, SG, O/R alloc</t>
  </si>
  <si>
    <t>Mass Marketing Expenses, FY, Non-CMG, Lead Gen</t>
  </si>
  <si>
    <t>Mass Marketing Expenses, FY, Non-CMG, Prod Adv</t>
  </si>
  <si>
    <t>Mass Marketing Expenses, FY, Non-CMG, Call Centre</t>
  </si>
  <si>
    <t>Mass Marketing Expenses, Renewal</t>
  </si>
  <si>
    <t>Corporate entertainment expenses</t>
  </si>
  <si>
    <t>Travel and related expenses, Conference expenses</t>
  </si>
  <si>
    <t>Other Opex, Welfare - Others - Non Contractual</t>
  </si>
  <si>
    <t>Employee's welfare, Tuition</t>
  </si>
  <si>
    <t>DPcharges, 3rd party, Hardware expenses</t>
  </si>
  <si>
    <t>DPcharges, 3rd party, Software maint. cost</t>
  </si>
  <si>
    <t>DPcharges, 3rd party, Hardware maint. Cost</t>
  </si>
  <si>
    <t>DPcharges, 3rd party, other DP charges</t>
  </si>
  <si>
    <t>DPcharges, 3rd party, Data communication charges</t>
  </si>
  <si>
    <t>Data processing Inter-co SW Expenses</t>
  </si>
  <si>
    <t>DPcharges, Inter-company, MIS charge</t>
  </si>
  <si>
    <t>IT Consultant Fees</t>
  </si>
  <si>
    <t>Other non-operating costs</t>
  </si>
  <si>
    <t>Restructuring Charges, Others</t>
  </si>
  <si>
    <t>Inter-co fee, Regional office service fee</t>
  </si>
  <si>
    <t>Inter-co fee, RO - other service fee</t>
  </si>
  <si>
    <t>Acq Exp-Taxes, Lic &amp; Fees, Ren, Med Fee, APS Fee</t>
  </si>
  <si>
    <t>Acq Exp-Collection expense, First Year</t>
  </si>
  <si>
    <t>Investment Expense, Other Expense</t>
  </si>
  <si>
    <t>Other ope. exp., Bank serv fees and brokerage fee</t>
  </si>
  <si>
    <t>Acq Exp-Collection expense, Single</t>
  </si>
  <si>
    <t>Acq Exp-Collection expense, Renewal</t>
  </si>
  <si>
    <t>Comm., t/phone - local, Fixed line rental expenses</t>
  </si>
  <si>
    <t>Communications, Postage</t>
  </si>
  <si>
    <t>Comm., local, mobile/blackberry call/rental exp.</t>
  </si>
  <si>
    <t>Premises, Repairs and maintenances - Premises</t>
  </si>
  <si>
    <t>Premises, Sundry improvements / renovation</t>
  </si>
  <si>
    <t>Premises, Office equipment maintenance</t>
  </si>
  <si>
    <t>Paper and Stationery, Office Supplies</t>
  </si>
  <si>
    <t>Books and Subscription</t>
  </si>
  <si>
    <t>Travel, Local transport, Automobile exp.</t>
  </si>
  <si>
    <t>Other operating expenses, Recruiting expenses</t>
  </si>
  <si>
    <t>Premises, Sundry office equipment</t>
  </si>
  <si>
    <t>Insurance exp., Others</t>
  </si>
  <si>
    <t>Printing and Computer Supplies</t>
  </si>
  <si>
    <t>Statutory auditor-  audit services</t>
  </si>
  <si>
    <t>Investment Expense, Audit Fee, S&amp;V A/C</t>
  </si>
  <si>
    <t>Premises, Utilities - heat, light and water</t>
  </si>
  <si>
    <t>Prof., consult.&amp; serv. fees, Legal &amp; notarial fees</t>
  </si>
  <si>
    <t>Investment Expense, Custodian Fee (FAM)</t>
  </si>
  <si>
    <t>Investment Expense, Custodian Fee</t>
  </si>
  <si>
    <t>Other ope. exp., Bureau and association dues</t>
  </si>
  <si>
    <t>Other ope. exp., Local transportation, others</t>
  </si>
  <si>
    <t>Distri LDR Remun, FY, Product Inc Bonus, O/R allo</t>
  </si>
  <si>
    <t>Acq Exp-Taxes, Lic &amp; Fees, FY, Med Fee, Exam Fee</t>
  </si>
  <si>
    <t>Other opearting expenses - Agents Training</t>
  </si>
  <si>
    <t>Expenses reclass - Net Investment Income (NII)</t>
  </si>
  <si>
    <t>Reclassified Exp - Capitalised Expenses</t>
  </si>
  <si>
    <t>Interdepartmental Expense Allocation (IDA)</t>
  </si>
  <si>
    <t>Inter-company, other service fee</t>
  </si>
  <si>
    <t>Distri LDR Remun, SG, Product Inc Bonus, O/R allo</t>
  </si>
  <si>
    <t>Reclassified Exp - to Commission &amp; Other Acq Costs</t>
  </si>
  <si>
    <t>Expenses reclass - from GSF to Inv Mgmt Exp</t>
  </si>
  <si>
    <t>Acq Exp-Taxes, Lic &amp; Fees, Single,Med Fee,APS Fee</t>
  </si>
  <si>
    <t>Acq Exp-Merchant Fee, First Year</t>
  </si>
  <si>
    <t>Channel allocation</t>
  </si>
  <si>
    <t>Reclass Exp-To VEA-Other than Sales Staff Costs</t>
  </si>
  <si>
    <t>Acq Exp, Single, Policy Printing Exp</t>
  </si>
  <si>
    <t>Agency, RecruitExp, Financing scheme, Others</t>
  </si>
  <si>
    <t>Commissions Paid Renewal, Outward</t>
  </si>
  <si>
    <t>Profits Commissions First Year Outward</t>
  </si>
  <si>
    <t>Profits Commissions Renewal Outward</t>
  </si>
  <si>
    <t>Profits Commissions Single, Outward</t>
  </si>
  <si>
    <t>Repo Interest Expenses, FAM excl</t>
  </si>
  <si>
    <t>Repo Interest Expenses, Chg in Acct Int, FAM excl</t>
  </si>
  <si>
    <t>Repo Interest Expenses</t>
  </si>
  <si>
    <t>Repo Int Exp (fr out-scope repo), FAM excl</t>
  </si>
  <si>
    <t>Repo IntExp ChgAcct Int(fr out-scope repo)FAM excl</t>
  </si>
  <si>
    <t>Other Operatoin Expense, Operation system</t>
  </si>
  <si>
    <t>Premium Collected, Single, Direct, Top-Up Prem</t>
  </si>
  <si>
    <t>Change in Prem Def Reserve, Direct</t>
  </si>
  <si>
    <t>Cash Ben Paid, Div, Direct, Bonus,Loyal/FY Ex All.</t>
  </si>
  <si>
    <t>Change in Sales Inducement Asset, Direct</t>
  </si>
  <si>
    <t>Interest Paid to PH, Universal Life</t>
  </si>
  <si>
    <t>Change in SIL direct</t>
  </si>
  <si>
    <t>Realized losses, third party, other fixed assets</t>
  </si>
  <si>
    <t>Other ope. exp., Charitable contribut. &amp; donations</t>
  </si>
  <si>
    <t>Other ope. Expenses, surcharge, Penalty</t>
  </si>
  <si>
    <t>Other Expenses, Overage and Shortage</t>
  </si>
  <si>
    <t>Death &amp; Other Claims Paid, Direct,Claim Settle Exp</t>
  </si>
  <si>
    <t>Current tax - non-RCGL - operating</t>
  </si>
  <si>
    <t>Realized Capital Gains/(Losses) Taxes-Current</t>
  </si>
  <si>
    <t>Current Tax Non-operating Others</t>
  </si>
  <si>
    <t>Deferred tax - non-RCGL - operating</t>
  </si>
  <si>
    <t>Realized Capital Gains/(Losses) Taxes-Deferred</t>
  </si>
  <si>
    <t>Deferred Tax Non-operating Others</t>
  </si>
  <si>
    <t>Non Unit Reserves, Outward</t>
  </si>
  <si>
    <t>Chg in Ben Res, Outw, Non-Unit Res, Act. Adj.</t>
  </si>
  <si>
    <t>Expected Capital appreciation on equity securities</t>
  </si>
  <si>
    <t>Reversal of Inv Income On Assets Leveraged By Repo</t>
  </si>
  <si>
    <t>LT OPAT - Contra account</t>
  </si>
  <si>
    <t>Def tax-LT securities in excess of div income</t>
  </si>
  <si>
    <t>Deferred tax non-operating- Contra LT OPAT</t>
  </si>
  <si>
    <t>Change in PSPS Reserve-Op (Capital App on Ety Sec)</t>
  </si>
  <si>
    <t>Chg in PSPS Res-Op(inv spread for repo agreements)</t>
  </si>
  <si>
    <t>Chg in PSPS Res non-operating (contra to LT OPAT)</t>
  </si>
  <si>
    <t>Securities Sold Under Repo (in-scope)</t>
  </si>
  <si>
    <t>Repo Interest Expenses - reclass</t>
  </si>
  <si>
    <t>Repo Interest Expenses Chg in Acct Int - reclass</t>
  </si>
  <si>
    <t>Repo Int Exp (from in-scope repo), FAM excl</t>
  </si>
  <si>
    <t>Repo Int Exp-ChgAcct Int(fr in-scope repo)FAM excl</t>
  </si>
  <si>
    <r>
      <t xml:space="preserve">整理 </t>
    </r>
    <r>
      <rPr>
        <b/>
        <sz val="9"/>
        <rFont val="宋体"/>
        <family val="3"/>
        <charset val="134"/>
      </rPr>
      <t>分类</t>
    </r>
  </si>
  <si>
    <r>
      <t xml:space="preserve">114000 </t>
    </r>
    <r>
      <rPr>
        <sz val="10"/>
        <color theme="1"/>
        <rFont val="宋体"/>
        <family val="3"/>
        <charset val="134"/>
      </rPr>
      <t>待</t>
    </r>
    <r>
      <rPr>
        <sz val="10"/>
        <color theme="1"/>
        <rFont val="Arial"/>
        <family val="2"/>
      </rPr>
      <t>group</t>
    </r>
    <r>
      <rPr>
        <sz val="10"/>
        <color theme="1"/>
        <rFont val="宋体"/>
        <family val="3"/>
        <charset val="134"/>
      </rPr>
      <t>开</t>
    </r>
    <r>
      <rPr>
        <sz val="10"/>
        <color theme="1"/>
        <rFont val="Arial"/>
        <family val="2"/>
      </rPr>
      <t>code,FAM</t>
    </r>
  </si>
  <si>
    <r>
      <t xml:space="preserve">141000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</si>
  <si>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t>141000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 FAM</t>
    </r>
  </si>
  <si>
    <r>
      <t xml:space="preserve">141300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 FAM</t>
    </r>
  </si>
  <si>
    <r>
      <t>141300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 FAM</t>
    </r>
  </si>
  <si>
    <r>
      <t xml:space="preserve">260000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Group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</si>
  <si>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rPr>
        <sz val="9"/>
        <rFont val="宋体"/>
        <family val="3"/>
        <charset val="134"/>
      </rPr>
      <t>应收分保长期健康险责任准备金</t>
    </r>
  </si>
  <si>
    <r>
      <rPr>
        <sz val="9"/>
        <rFont val="宋体"/>
        <family val="3"/>
        <charset val="134"/>
      </rPr>
      <t>提取未到期责任准备金</t>
    </r>
  </si>
  <si>
    <r>
      <t xml:space="preserve">704000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Group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</si>
  <si>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t xml:space="preserve">704001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Group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</si>
  <si>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t xml:space="preserve">141000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Gorup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code,FAM</t>
    </r>
  </si>
  <si>
    <r>
      <t>141000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Gorup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 FAM</t>
    </r>
  </si>
  <si>
    <r>
      <t xml:space="preserve">141300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Gorup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 FAM</t>
    </r>
  </si>
  <si>
    <r>
      <t>141300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Gorup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 FAM</t>
    </r>
  </si>
  <si>
    <r>
      <t xml:space="preserve">260000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Group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code,FAM</t>
    </r>
  </si>
  <si>
    <t>其他应收款-日常- RCE办公室</t>
  </si>
  <si>
    <t>内部往来-保险</t>
  </si>
  <si>
    <t>递延保单获取成本(IFRS)</t>
  </si>
  <si>
    <t>递延保单获取成本-未赚佣金(IFRS)</t>
  </si>
  <si>
    <t>递延保单获取成本-分保未赚佣金(IFRS)</t>
  </si>
  <si>
    <t>递延保单获取成本-影子调整(IFRS)</t>
  </si>
  <si>
    <t>递延保单获取成本-花旗签约费(IFRS)</t>
  </si>
  <si>
    <t>递延保单获取成本-花旗服务费(IFRS)</t>
  </si>
  <si>
    <t>应收保费-财务</t>
  </si>
  <si>
    <t>应付手续费-非花旗银保手续费</t>
  </si>
  <si>
    <t>应付佣金-主管公积金-已归属</t>
  </si>
  <si>
    <t>应付手续费-第三方名义</t>
  </si>
  <si>
    <t>应付职工薪酬-短期激励奖金</t>
  </si>
  <si>
    <t>应交企业所得税-代扣代缴</t>
  </si>
  <si>
    <t>应付保单红利-公司红利</t>
  </si>
  <si>
    <t>应付保单红利-保户红利-应付未付</t>
  </si>
  <si>
    <t>应付保单红利-保户红利-累积生息</t>
  </si>
  <si>
    <t>保户储金及投资款-GUL公共账户价值</t>
  </si>
  <si>
    <t>保户储金及投资款-GUL账户价值</t>
  </si>
  <si>
    <t>其他资本公积-股份支付-PSPS调整</t>
  </si>
  <si>
    <r>
      <t xml:space="preserve">704000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Group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code,FAM</t>
    </r>
  </si>
  <si>
    <r>
      <t xml:space="preserve">704001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Group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code,FAM</t>
    </r>
  </si>
  <si>
    <t>SUN Code</t>
    <phoneticPr fontId="4" type="noConversion"/>
  </si>
  <si>
    <t>Stat</t>
    <phoneticPr fontId="4" type="noConversion"/>
  </si>
  <si>
    <t>IFRS</t>
    <phoneticPr fontId="4" type="noConversion"/>
  </si>
  <si>
    <t>11020101A1</t>
  </si>
  <si>
    <t>11020101A2</t>
  </si>
  <si>
    <t>11020101A3</t>
  </si>
  <si>
    <t>11020101A4</t>
  </si>
  <si>
    <t>11020101A5</t>
  </si>
  <si>
    <t>11020101A6</t>
  </si>
  <si>
    <t xml:space="preserve">11020101A7 </t>
  </si>
  <si>
    <t>11020101A8</t>
  </si>
  <si>
    <t>11020101A9</t>
  </si>
  <si>
    <t>11020101B0</t>
  </si>
  <si>
    <t>11020101B1</t>
  </si>
  <si>
    <t>11020101B2</t>
  </si>
  <si>
    <t>11020101B3</t>
  </si>
  <si>
    <t>11020103A1</t>
  </si>
  <si>
    <t>11020103A2</t>
  </si>
  <si>
    <t>11020103A3</t>
  </si>
  <si>
    <t>11020103A4</t>
  </si>
  <si>
    <t>11020103A5</t>
  </si>
  <si>
    <t>11020103A7</t>
  </si>
  <si>
    <t>11020103A9</t>
  </si>
  <si>
    <t>11020103B1</t>
  </si>
  <si>
    <t>11020103B2</t>
  </si>
  <si>
    <t>11020103B3</t>
  </si>
  <si>
    <t>11020103B4</t>
  </si>
  <si>
    <t>11020103B6</t>
  </si>
  <si>
    <t>11020103B7</t>
  </si>
  <si>
    <t>11020103B8</t>
  </si>
  <si>
    <t>11020103C0</t>
  </si>
  <si>
    <t>11020103C5</t>
  </si>
  <si>
    <t>11020103C6</t>
  </si>
  <si>
    <t>11020103C9</t>
  </si>
  <si>
    <t>11020103D0</t>
  </si>
  <si>
    <t>11020103D2</t>
  </si>
  <si>
    <t>11020103D3</t>
  </si>
  <si>
    <t>11020103D4</t>
  </si>
  <si>
    <t>11020103D5</t>
  </si>
  <si>
    <t>11020103D6</t>
  </si>
  <si>
    <t>11020103D7</t>
  </si>
  <si>
    <t>11020103D8</t>
  </si>
  <si>
    <t>11020103D9</t>
  </si>
  <si>
    <t>11020103E0</t>
  </si>
  <si>
    <t>11020103E1</t>
  </si>
  <si>
    <t>11020103E2</t>
  </si>
  <si>
    <t>11020103E3</t>
  </si>
  <si>
    <t>新增</t>
  </si>
  <si>
    <t>LTOPAT</t>
  </si>
  <si>
    <t>New ICBC CNY 4</t>
  </si>
  <si>
    <t>New ICBC CNY 8</t>
  </si>
  <si>
    <t>New ICBC CNY 6</t>
  </si>
  <si>
    <t>New ICBC CNY 13</t>
  </si>
  <si>
    <t>New ICBC CNY 9</t>
  </si>
  <si>
    <t>New ICBC CNY 3</t>
  </si>
  <si>
    <t>New ICBC CNY 5</t>
  </si>
  <si>
    <t>New ICBC CNY 12</t>
  </si>
  <si>
    <t>New ICBC CNY 7</t>
  </si>
  <si>
    <t>New ICBC CNY 11</t>
  </si>
  <si>
    <t>New ICBC CNY 14</t>
  </si>
  <si>
    <t>To close</t>
  </si>
  <si>
    <t>New ICBC CNY 10</t>
  </si>
  <si>
    <t>New ABC CNY 4</t>
  </si>
  <si>
    <t>New ABC CNY 5</t>
  </si>
  <si>
    <t>New ABC CNY 3</t>
  </si>
  <si>
    <t>New BOC CNY 2</t>
  </si>
  <si>
    <t>New BOC CNY 3</t>
  </si>
  <si>
    <t>New BOC CNY 4</t>
  </si>
  <si>
    <t>New_BOC_CNY1</t>
  </si>
  <si>
    <t>New_BOC_CNY2</t>
  </si>
  <si>
    <t>New_BOC_CNY3</t>
  </si>
  <si>
    <t>New_BOC_CNY4</t>
  </si>
  <si>
    <t>New_BOC_CNY5</t>
  </si>
  <si>
    <t>New BOCOM CNY 1</t>
  </si>
  <si>
    <t>New CMB CNY 2</t>
  </si>
  <si>
    <t>New CMB CNY 1</t>
  </si>
  <si>
    <t>New CMBC CNY 1</t>
  </si>
  <si>
    <t>New SPDB CNY 1</t>
  </si>
  <si>
    <t>New SPDB CNY 2</t>
  </si>
  <si>
    <t>New CGB CNY 1</t>
  </si>
  <si>
    <t>New BOJS CNY  1</t>
  </si>
  <si>
    <t>New BOS CNY 1</t>
  </si>
  <si>
    <t>New BOSU CNY 1</t>
  </si>
  <si>
    <t>New BOGZ CNY 1</t>
  </si>
  <si>
    <t>New BONJ CNY 1</t>
  </si>
  <si>
    <t>New RCB CNY 1</t>
  </si>
  <si>
    <t>New CITIC CNY 3</t>
  </si>
  <si>
    <t>New CITIC CNY 2</t>
  </si>
  <si>
    <t>New CITIC CNY 1</t>
  </si>
  <si>
    <t>New_SCB_CNY1</t>
  </si>
  <si>
    <t>New SCB CNY 1</t>
  </si>
  <si>
    <t>New DBS CNY 1</t>
  </si>
  <si>
    <t>New_DBS_CNY1</t>
  </si>
  <si>
    <t>New BEA CNY 1</t>
  </si>
  <si>
    <t>New_SMBC_CNY1</t>
  </si>
  <si>
    <t>New UOB CNY 1</t>
  </si>
  <si>
    <t>New_BMO_CNY1</t>
  </si>
  <si>
    <t>New ABC USD 2</t>
  </si>
  <si>
    <t>New_BMO_USD1</t>
  </si>
  <si>
    <t>New ABC HKD 1</t>
  </si>
  <si>
    <t>11030101;11030102;11030103;11030104;11030105;11030107;11030108;11030109;11030110;11030111;11030112;11030113;11030114;11030115;11030116;11030117;11030141;11030142;11030143;11030144;11030145;11030146;11030147;11030148;11030149;11030201;11030202;11030203;11030204;11030205;11030206;11030207;11030208;11030209;11030210;11030211;11030212;11030213;11030214;11030215;11030216;11030217;11030241;11030242;11030243;11030244;11030245;11030246;11030247;11030248;11030249;11030250;11030251;11030301;11030302;11030303;11030304;11030305;11030306;11030307;11030308;11030309;11030310;11030311;11030312;11030313;11030314;11030315;11030316;11030341;11030342;11030343;11030344;11030345;11030346;11030347;11030348;11030349</t>
  </si>
  <si>
    <t>done</t>
    <phoneticPr fontId="4" type="noConversion"/>
  </si>
  <si>
    <t>Done</t>
    <phoneticPr fontId="4" type="noConversion"/>
  </si>
  <si>
    <t>1204010101;1204010102;1204010103;1204010104;1204010105;1204010106;1204010107;1204010108;1204010109;1204010110;1204010111;1204010112;1204010113;1204010114;1204010115;1204010116;1204010141;1204010142;1204010143;1204010144;1204010145;1204010146;1204010147;1204010148;1204010149;1204010201;1204010202;1204010203;1204010204;1204010205;1204010206;1204010207;1204010208;1204010209;1204010210;1204010211;1204010212;1204010213;1204010214;1204010215;1204010216;1204010241;1204010242;1204010243;1204010244;1204010245;1204010247;1204010248;1204010249;1204010250;1204010251;1204010301;1204010302;1204010303;1204010304;1204010305;1204010306;1204010307;1204010308;1204010309;1204010310;1204010311;1204010312;1204010313;1204010314;1204010315;1204010341;1204010342;1204010343;1204010344;1204010345;1204010346;1204010347;1204010348;1204010349</t>
  </si>
  <si>
    <t>1204020101;1204020102;1204020103;1204020104;1204020105;1204020106;1204020107;1204020108;1204020109;1204020110;1204020111;1204020112;1204020113;1204020114;1204020115;1204020116;1204020141;1204020142;1204020143;1204020144;1204020145;1204020146;1204020147;1204020148;1204020149;1204020201;1204020202;1204020203;1204020204;1204020205;1204020206;1204020207;1204020208;1204020209;1204020210;1204020211;1204020212;1204020213;1204020214;1204020215;1204020216;1204020241;1204020242;1204020243;1204020244;1204020245;1204020246;1204020247;1204020248;1204020249;1204020301;1204020302;1204020303;1204020304;1204020305;1204020306;1204020307;1204020308;1204020309;1204020310;1204020311;1204020312;1204020313;1204020314;1204020315;1204020316;1204020341;1204020342;1204020343;1204020344;1204020345;1204020346;1204020347;1204020348;1204020349</t>
  </si>
  <si>
    <t>120501;120504;120505</t>
  </si>
  <si>
    <r>
      <t xml:space="preserve">114000 </t>
    </r>
    <r>
      <rPr>
        <sz val="9"/>
        <color theme="1"/>
        <rFont val="宋体"/>
        <family val="3"/>
        <charset val="134"/>
      </rPr>
      <t>待</t>
    </r>
    <r>
      <rPr>
        <sz val="9"/>
        <color theme="1"/>
        <rFont val="Arial"/>
        <family val="2"/>
      </rPr>
      <t>group</t>
    </r>
    <r>
      <rPr>
        <sz val="9"/>
        <color theme="1"/>
        <rFont val="宋体"/>
        <family val="3"/>
        <charset val="134"/>
      </rPr>
      <t>开</t>
    </r>
    <r>
      <rPr>
        <sz val="9"/>
        <color theme="1"/>
        <rFont val="Arial"/>
        <family val="2"/>
      </rPr>
      <t>code,FAM</t>
    </r>
  </si>
  <si>
    <t>Y</t>
    <phoneticPr fontId="4" type="noConversion"/>
  </si>
  <si>
    <t>120801;120804;</t>
  </si>
  <si>
    <t>130101;130103;130201</t>
  </si>
  <si>
    <t>130101;130201</t>
  </si>
  <si>
    <t>科目代码</t>
  </si>
  <si>
    <t>110101</t>
  </si>
  <si>
    <t>110102</t>
  </si>
  <si>
    <t>110103</t>
  </si>
  <si>
    <t>1102010101</t>
  </si>
  <si>
    <t>1102010103</t>
  </si>
  <si>
    <t>1102010104</t>
  </si>
  <si>
    <t>1102010106</t>
  </si>
  <si>
    <t>1102010107</t>
  </si>
  <si>
    <t>1102010108</t>
  </si>
  <si>
    <t>1102010110</t>
  </si>
  <si>
    <t>1102010111</t>
  </si>
  <si>
    <t>1102010112</t>
  </si>
  <si>
    <t>1102010113</t>
  </si>
  <si>
    <t>1102010114</t>
  </si>
  <si>
    <t>1102010115</t>
  </si>
  <si>
    <t>1102010116</t>
  </si>
  <si>
    <t>1102010117</t>
  </si>
  <si>
    <t>1102010122</t>
  </si>
  <si>
    <t>1102010124</t>
  </si>
  <si>
    <t>1102010127</t>
  </si>
  <si>
    <t>1102010128</t>
  </si>
  <si>
    <t>1102010130</t>
  </si>
  <si>
    <t>1102010131</t>
  </si>
  <si>
    <t>1102010132</t>
  </si>
  <si>
    <t>1102010133</t>
  </si>
  <si>
    <t>1102010135</t>
  </si>
  <si>
    <t>1102010136</t>
  </si>
  <si>
    <t>1102010137</t>
  </si>
  <si>
    <t>1102010139</t>
  </si>
  <si>
    <t>1102010142</t>
  </si>
  <si>
    <t>1102010144</t>
  </si>
  <si>
    <t>1102010147</t>
  </si>
  <si>
    <t>1102010148</t>
  </si>
  <si>
    <t>1102010151</t>
  </si>
  <si>
    <t>1102010156</t>
  </si>
  <si>
    <t>1102010157</t>
  </si>
  <si>
    <t>1102010158</t>
  </si>
  <si>
    <t>1102010159</t>
  </si>
  <si>
    <t>1102010160</t>
  </si>
  <si>
    <t>1102010161</t>
  </si>
  <si>
    <t>1102010163</t>
  </si>
  <si>
    <t>1102010164</t>
  </si>
  <si>
    <t>1102010165</t>
  </si>
  <si>
    <t>1102010166</t>
  </si>
  <si>
    <t>1102010167</t>
  </si>
  <si>
    <t>1102010168</t>
  </si>
  <si>
    <t>1102010169</t>
  </si>
  <si>
    <t>1102010170</t>
  </si>
  <si>
    <t>1102010171</t>
  </si>
  <si>
    <t>1102010172</t>
  </si>
  <si>
    <t>1102010173</t>
  </si>
  <si>
    <t>1102010174</t>
  </si>
  <si>
    <t>1102010175</t>
  </si>
  <si>
    <t>1102010176</t>
  </si>
  <si>
    <t>1102010177</t>
  </si>
  <si>
    <t>1102010178</t>
  </si>
  <si>
    <t>1102010179</t>
  </si>
  <si>
    <t>1102010182</t>
  </si>
  <si>
    <t>1102010183</t>
  </si>
  <si>
    <t>1102010184</t>
  </si>
  <si>
    <t>1102010186</t>
  </si>
  <si>
    <t>1102010187</t>
  </si>
  <si>
    <t>1102010188</t>
  </si>
  <si>
    <t>1102010189</t>
  </si>
  <si>
    <t>1102010192</t>
  </si>
  <si>
    <t>1102010197</t>
  </si>
  <si>
    <t>1102010198</t>
  </si>
  <si>
    <t>1102010199</t>
  </si>
  <si>
    <t>1102010201</t>
  </si>
  <si>
    <t>1102010223</t>
  </si>
  <si>
    <t>1102010224</t>
  </si>
  <si>
    <t>1102010225</t>
  </si>
  <si>
    <t>1102010229</t>
  </si>
  <si>
    <t>1102010230</t>
  </si>
  <si>
    <t>1102010232</t>
  </si>
  <si>
    <t>1102010233</t>
  </si>
  <si>
    <t>1102010234</t>
  </si>
  <si>
    <t>1102010235</t>
  </si>
  <si>
    <t>1102010236</t>
  </si>
  <si>
    <t>1102010237</t>
  </si>
  <si>
    <t>1102010238</t>
  </si>
  <si>
    <t>1102010239</t>
  </si>
  <si>
    <t>1102010301</t>
  </si>
  <si>
    <t>1102010302</t>
  </si>
  <si>
    <t>1102010304</t>
  </si>
  <si>
    <t>1102010305</t>
  </si>
  <si>
    <t>1102010306</t>
  </si>
  <si>
    <t>1102010307</t>
  </si>
  <si>
    <t>1102010308</t>
  </si>
  <si>
    <t>1102010309</t>
  </si>
  <si>
    <t>1102010310</t>
  </si>
  <si>
    <t>1102010311</t>
  </si>
  <si>
    <t>1102010312</t>
  </si>
  <si>
    <t>1102010313</t>
  </si>
  <si>
    <t>1102010321</t>
  </si>
  <si>
    <t>1102010322</t>
  </si>
  <si>
    <t>1102010323</t>
  </si>
  <si>
    <t>1102010324</t>
  </si>
  <si>
    <t>1102010326</t>
  </si>
  <si>
    <t>1102010328</t>
  </si>
  <si>
    <t>1102010329</t>
  </si>
  <si>
    <t>1102010330</t>
  </si>
  <si>
    <t>1102010331</t>
  </si>
  <si>
    <t>1102010336</t>
  </si>
  <si>
    <t>1102010337</t>
  </si>
  <si>
    <t>1102010338</t>
  </si>
  <si>
    <t>1102010339</t>
  </si>
  <si>
    <t>1102010340</t>
  </si>
  <si>
    <t>1102010342</t>
  </si>
  <si>
    <t>1102010348</t>
  </si>
  <si>
    <t>1102010350</t>
  </si>
  <si>
    <t>1102010351</t>
  </si>
  <si>
    <t>1102010352</t>
  </si>
  <si>
    <t>1102010353</t>
  </si>
  <si>
    <t>1102010354</t>
  </si>
  <si>
    <t>1102010355</t>
  </si>
  <si>
    <t>1102010356</t>
  </si>
  <si>
    <t>1102010357</t>
  </si>
  <si>
    <t>1102010362</t>
  </si>
  <si>
    <t>1102010365</t>
  </si>
  <si>
    <t>1102010367</t>
  </si>
  <si>
    <t>1102010369</t>
  </si>
  <si>
    <t>1102010370</t>
  </si>
  <si>
    <t>1102010371</t>
  </si>
  <si>
    <t>1102010372</t>
  </si>
  <si>
    <t>1102010373</t>
  </si>
  <si>
    <t>1102010374</t>
  </si>
  <si>
    <t>1102010375</t>
  </si>
  <si>
    <t>1102010376</t>
  </si>
  <si>
    <t>1102010377</t>
  </si>
  <si>
    <t>1102010379</t>
  </si>
  <si>
    <t>1102010380</t>
  </si>
  <si>
    <t>1102010381</t>
  </si>
  <si>
    <t>1102010382</t>
  </si>
  <si>
    <t>1102010383</t>
  </si>
  <si>
    <t>1102010384</t>
  </si>
  <si>
    <t>1102010385</t>
  </si>
  <si>
    <t>1102010386</t>
  </si>
  <si>
    <t>1102010387</t>
  </si>
  <si>
    <t>1102010395</t>
  </si>
  <si>
    <t>1102010396</t>
  </si>
  <si>
    <t>1102010397</t>
  </si>
  <si>
    <t>1102010398</t>
  </si>
  <si>
    <t>1102010403</t>
  </si>
  <si>
    <t>1102010407</t>
  </si>
  <si>
    <t>1102010413</t>
  </si>
  <si>
    <t>1102010416</t>
  </si>
  <si>
    <t>1102010417</t>
  </si>
  <si>
    <t>1102010419</t>
  </si>
  <si>
    <t>1102010420</t>
  </si>
  <si>
    <t>1102010421</t>
  </si>
  <si>
    <t>1102010422</t>
  </si>
  <si>
    <t>1102010424</t>
  </si>
  <si>
    <t>1102010425</t>
  </si>
  <si>
    <t>1102010426</t>
  </si>
  <si>
    <t>1102010427</t>
  </si>
  <si>
    <t>1102010428</t>
  </si>
  <si>
    <t>1102010430</t>
  </si>
  <si>
    <t>1102010431</t>
  </si>
  <si>
    <t>1102010433</t>
  </si>
  <si>
    <t>1102010434</t>
  </si>
  <si>
    <t>1102010435</t>
  </si>
  <si>
    <t>1102010436</t>
  </si>
  <si>
    <t>1102010437</t>
  </si>
  <si>
    <t>1102010438</t>
  </si>
  <si>
    <t>1102010439</t>
  </si>
  <si>
    <t>1102010440</t>
  </si>
  <si>
    <t>1102010441</t>
  </si>
  <si>
    <t>1102010442</t>
  </si>
  <si>
    <t>1102010443</t>
  </si>
  <si>
    <t>1102010502</t>
  </si>
  <si>
    <t>1102010503</t>
  </si>
  <si>
    <t>1102010504</t>
  </si>
  <si>
    <t>1102010507</t>
  </si>
  <si>
    <t>1102010525</t>
  </si>
  <si>
    <t>1102010526</t>
  </si>
  <si>
    <t>1102010707</t>
  </si>
  <si>
    <t>1102010708</t>
  </si>
  <si>
    <t>1102010709</t>
  </si>
  <si>
    <t>1102010710</t>
  </si>
  <si>
    <t>1102010711</t>
  </si>
  <si>
    <t>1102010712</t>
  </si>
  <si>
    <t>1102010713</t>
  </si>
  <si>
    <t>1102010714</t>
  </si>
  <si>
    <t>1102010715</t>
  </si>
  <si>
    <t>1102010801</t>
  </si>
  <si>
    <t>1102010805</t>
  </si>
  <si>
    <t>1102011005</t>
  </si>
  <si>
    <t>1102011006</t>
  </si>
  <si>
    <t>1102011007</t>
  </si>
  <si>
    <t>1102011008</t>
  </si>
  <si>
    <t>1102011009</t>
  </si>
  <si>
    <t>1102011010</t>
  </si>
  <si>
    <t>1102011011</t>
  </si>
  <si>
    <t>1102011012</t>
  </si>
  <si>
    <t>1102011013</t>
  </si>
  <si>
    <t>1102011014</t>
  </si>
  <si>
    <t>1102011015</t>
  </si>
  <si>
    <t>1102011016</t>
  </si>
  <si>
    <t>1102011017</t>
  </si>
  <si>
    <t>1102011102</t>
  </si>
  <si>
    <t>1102011402</t>
  </si>
  <si>
    <t>1102011403</t>
  </si>
  <si>
    <t>1102011502</t>
  </si>
  <si>
    <t>1102011601</t>
  </si>
  <si>
    <t>1102011801</t>
  </si>
  <si>
    <t>1102012001</t>
  </si>
  <si>
    <t>1102012101</t>
  </si>
  <si>
    <t>1102012601</t>
  </si>
  <si>
    <t>1102012604</t>
  </si>
  <si>
    <t>1102013001</t>
  </si>
  <si>
    <t>1102013002</t>
  </si>
  <si>
    <t>1102013003</t>
  </si>
  <si>
    <t>1102013005</t>
  </si>
  <si>
    <t>1102013006</t>
  </si>
  <si>
    <t>1102013007</t>
  </si>
  <si>
    <t>1102013010</t>
  </si>
  <si>
    <t>1102013011</t>
  </si>
  <si>
    <t>1102013012</t>
  </si>
  <si>
    <t>1102013013</t>
  </si>
  <si>
    <t>1102013014</t>
  </si>
  <si>
    <t>1102013015</t>
  </si>
  <si>
    <t>1102013016</t>
  </si>
  <si>
    <t>1102013101</t>
  </si>
  <si>
    <t>1102013201</t>
  </si>
  <si>
    <t>1102014102</t>
  </si>
  <si>
    <t>1102014103</t>
  </si>
  <si>
    <t>1102014104</t>
  </si>
  <si>
    <t>1102014105</t>
  </si>
  <si>
    <t>1102014106</t>
  </si>
  <si>
    <t>1102014107</t>
  </si>
  <si>
    <t>1102014108</t>
  </si>
  <si>
    <t>1102014109</t>
  </si>
  <si>
    <t>1102014110</t>
  </si>
  <si>
    <t>1102014111</t>
  </si>
  <si>
    <t>1102014112</t>
  </si>
  <si>
    <t>1102014113</t>
  </si>
  <si>
    <t>1102014201</t>
  </si>
  <si>
    <t>1102014204</t>
  </si>
  <si>
    <t>1102014301</t>
  </si>
  <si>
    <t>1102014302</t>
  </si>
  <si>
    <t>1102014306</t>
  </si>
  <si>
    <t>1102014308</t>
  </si>
  <si>
    <t>1102014309</t>
  </si>
  <si>
    <t>1102014602</t>
  </si>
  <si>
    <t>1102014801</t>
  </si>
  <si>
    <t>1102014901</t>
  </si>
  <si>
    <t>1102015001</t>
  </si>
  <si>
    <t>1102015101</t>
  </si>
  <si>
    <t>1102015102</t>
  </si>
  <si>
    <t>1102015103</t>
  </si>
  <si>
    <t>1102015104</t>
  </si>
  <si>
    <t>1102015105</t>
  </si>
  <si>
    <t>1102015106</t>
  </si>
  <si>
    <t>1102015107</t>
  </si>
  <si>
    <t>1102020101</t>
  </si>
  <si>
    <t>1102020116</t>
  </si>
  <si>
    <t>1102020117</t>
  </si>
  <si>
    <t>1102020207</t>
  </si>
  <si>
    <t>1102020301</t>
  </si>
  <si>
    <t>1102020303</t>
  </si>
  <si>
    <t>1102020306</t>
  </si>
  <si>
    <t>1102020309</t>
  </si>
  <si>
    <t>1102020310</t>
  </si>
  <si>
    <t>1102020315</t>
  </si>
  <si>
    <t>1102020317</t>
  </si>
  <si>
    <t>1102020319</t>
  </si>
  <si>
    <t>1102020405</t>
  </si>
  <si>
    <t>1102020901</t>
  </si>
  <si>
    <t>1102024101</t>
  </si>
  <si>
    <t>1102024104</t>
  </si>
  <si>
    <t>1102024105</t>
  </si>
  <si>
    <t>1102024106</t>
  </si>
  <si>
    <t>1102024107</t>
  </si>
  <si>
    <t>1102024108</t>
  </si>
  <si>
    <t>1102024109</t>
  </si>
  <si>
    <t>1102024110</t>
  </si>
  <si>
    <t>1102024111</t>
  </si>
  <si>
    <t>1102024112</t>
  </si>
  <si>
    <t>1102024113</t>
  </si>
  <si>
    <t>1102024202</t>
  </si>
  <si>
    <t>1102025101</t>
  </si>
  <si>
    <t>1102025102</t>
  </si>
  <si>
    <t>1102025103</t>
  </si>
  <si>
    <t>1102025104</t>
  </si>
  <si>
    <t>1102025105</t>
  </si>
  <si>
    <t>1102025106</t>
  </si>
  <si>
    <t>1102025107</t>
  </si>
  <si>
    <t>1102030201</t>
  </si>
  <si>
    <t>1102034101</t>
  </si>
  <si>
    <t>1102034102</t>
  </si>
  <si>
    <t>1102034103</t>
  </si>
  <si>
    <t>1102034104</t>
  </si>
  <si>
    <t>1102034105</t>
  </si>
  <si>
    <t>1102034106</t>
  </si>
  <si>
    <t>1102034107</t>
  </si>
  <si>
    <t>1102034108</t>
  </si>
  <si>
    <t>1102034109</t>
  </si>
  <si>
    <t>1102034110</t>
  </si>
  <si>
    <t>1102034111</t>
  </si>
  <si>
    <t>1102035101</t>
  </si>
  <si>
    <t>1102035102</t>
  </si>
  <si>
    <t>1102035103</t>
  </si>
  <si>
    <t>1102035104</t>
  </si>
  <si>
    <t>1102035105</t>
  </si>
  <si>
    <t>1102035106</t>
  </si>
  <si>
    <t>1102035107</t>
  </si>
  <si>
    <t>1102040101</t>
  </si>
  <si>
    <t>1102040102</t>
  </si>
  <si>
    <t>1102050101</t>
  </si>
  <si>
    <t>1102050102</t>
  </si>
  <si>
    <t>1102060101</t>
  </si>
  <si>
    <t>1102060102</t>
  </si>
  <si>
    <t>1102070101</t>
  </si>
  <si>
    <t>1102070102</t>
  </si>
  <si>
    <t>1102080101</t>
  </si>
  <si>
    <t>1102080102</t>
  </si>
  <si>
    <t>1102090101</t>
  </si>
  <si>
    <t>1102090102</t>
  </si>
  <si>
    <t>1102100101</t>
  </si>
  <si>
    <t>1102100102</t>
  </si>
  <si>
    <t>1102110101</t>
  </si>
  <si>
    <t>1102110102</t>
  </si>
  <si>
    <t>11030101</t>
  </si>
  <si>
    <t>11030102</t>
  </si>
  <si>
    <t>11030103</t>
  </si>
  <si>
    <t>11030104</t>
  </si>
  <si>
    <t>11030105</t>
  </si>
  <si>
    <t>11030107</t>
  </si>
  <si>
    <t>11030108</t>
  </si>
  <si>
    <t>11030109</t>
  </si>
  <si>
    <t>11030110</t>
  </si>
  <si>
    <t>11030111</t>
  </si>
  <si>
    <t>11030112</t>
  </si>
  <si>
    <t>11030113</t>
  </si>
  <si>
    <t>11030114</t>
  </si>
  <si>
    <t>11030115</t>
  </si>
  <si>
    <t>11030116</t>
  </si>
  <si>
    <t>11030117</t>
  </si>
  <si>
    <t>11030141</t>
  </si>
  <si>
    <t>11030142</t>
  </si>
  <si>
    <t>11030143</t>
  </si>
  <si>
    <t>11030144</t>
  </si>
  <si>
    <t>11030145</t>
  </si>
  <si>
    <t>11030146</t>
  </si>
  <si>
    <t>11030147</t>
  </si>
  <si>
    <t>11030148</t>
  </si>
  <si>
    <t>11030149</t>
  </si>
  <si>
    <t>11030201</t>
  </si>
  <si>
    <t>11030202</t>
  </si>
  <si>
    <t>11030203</t>
  </si>
  <si>
    <t>11030204</t>
  </si>
  <si>
    <t>11030205</t>
  </si>
  <si>
    <t>11030206</t>
  </si>
  <si>
    <t>11030207</t>
  </si>
  <si>
    <t>11030208</t>
  </si>
  <si>
    <t>11030209</t>
  </si>
  <si>
    <t>11030210</t>
  </si>
  <si>
    <t>11030211</t>
  </si>
  <si>
    <t>11030212</t>
  </si>
  <si>
    <t>11030213</t>
  </si>
  <si>
    <t>11030214</t>
  </si>
  <si>
    <t>11030215</t>
  </si>
  <si>
    <t>11030216</t>
  </si>
  <si>
    <t>11030217</t>
  </si>
  <si>
    <t>11030241</t>
  </si>
  <si>
    <t>11030242</t>
  </si>
  <si>
    <t>11030243</t>
  </si>
  <si>
    <t>11030244</t>
  </si>
  <si>
    <t>11030245</t>
  </si>
  <si>
    <t>11030246</t>
  </si>
  <si>
    <t>11030247</t>
  </si>
  <si>
    <t>11030248</t>
  </si>
  <si>
    <t>11030249</t>
  </si>
  <si>
    <t>11030250</t>
  </si>
  <si>
    <t>11030251</t>
  </si>
  <si>
    <t>11030301</t>
  </si>
  <si>
    <t>11030302</t>
  </si>
  <si>
    <t>11030303</t>
  </si>
  <si>
    <t>11030304</t>
  </si>
  <si>
    <t>11030305</t>
  </si>
  <si>
    <t>11030306</t>
  </si>
  <si>
    <t>11030307</t>
  </si>
  <si>
    <t>11030308</t>
  </si>
  <si>
    <t>11030309</t>
  </si>
  <si>
    <t>11030310</t>
  </si>
  <si>
    <t>11030311</t>
  </si>
  <si>
    <t>11030312</t>
  </si>
  <si>
    <t>11030313</t>
  </si>
  <si>
    <t>11030314</t>
  </si>
  <si>
    <t>11030315</t>
  </si>
  <si>
    <t>11030316</t>
  </si>
  <si>
    <t>11030341</t>
  </si>
  <si>
    <t>11030342</t>
  </si>
  <si>
    <t>11030343</t>
  </si>
  <si>
    <t>11030344</t>
  </si>
  <si>
    <t>11030345</t>
  </si>
  <si>
    <t>11030346</t>
  </si>
  <si>
    <t>11030347</t>
  </si>
  <si>
    <t>11030348</t>
  </si>
  <si>
    <t>11030349</t>
  </si>
  <si>
    <t>110401</t>
  </si>
  <si>
    <t>12010101</t>
  </si>
  <si>
    <t>12010102</t>
  </si>
  <si>
    <t>12010202</t>
  </si>
  <si>
    <t>12010301</t>
  </si>
  <si>
    <t>12010302</t>
  </si>
  <si>
    <t>12020101</t>
  </si>
  <si>
    <t>12020102</t>
  </si>
  <si>
    <t>12020103</t>
  </si>
  <si>
    <t>12030101</t>
  </si>
  <si>
    <t>12030102</t>
  </si>
  <si>
    <t>1204010101</t>
  </si>
  <si>
    <t>1204010102</t>
  </si>
  <si>
    <t>1204010103</t>
  </si>
  <si>
    <t>1204010104</t>
  </si>
  <si>
    <t>1204010105</t>
  </si>
  <si>
    <t>1204010106</t>
  </si>
  <si>
    <t>1204010107</t>
  </si>
  <si>
    <t>1204010108</t>
  </si>
  <si>
    <t>1204010109</t>
  </si>
  <si>
    <t>1204010110</t>
  </si>
  <si>
    <t>1204010111</t>
  </si>
  <si>
    <t>1204010112</t>
  </si>
  <si>
    <t>1204010113</t>
  </si>
  <si>
    <t>1204010114</t>
  </si>
  <si>
    <t>1204010115</t>
  </si>
  <si>
    <t>1204010116</t>
  </si>
  <si>
    <t>1204010141</t>
  </si>
  <si>
    <t>1204010142</t>
  </si>
  <si>
    <t>1204010143</t>
  </si>
  <si>
    <t>1204010144</t>
  </si>
  <si>
    <t>1204010145</t>
  </si>
  <si>
    <t>1204010146</t>
  </si>
  <si>
    <t>1204010147</t>
  </si>
  <si>
    <t>1204010148</t>
  </si>
  <si>
    <t>1204010149</t>
  </si>
  <si>
    <t>1204010201</t>
  </si>
  <si>
    <t>1204010202</t>
  </si>
  <si>
    <t>1204010203</t>
  </si>
  <si>
    <t>1204010204</t>
  </si>
  <si>
    <t>1204010205</t>
  </si>
  <si>
    <t>1204010206</t>
  </si>
  <si>
    <t>1204010207</t>
  </si>
  <si>
    <t>1204010208</t>
  </si>
  <si>
    <t>1204010209</t>
  </si>
  <si>
    <t>1204010210</t>
  </si>
  <si>
    <t>1204010211</t>
  </si>
  <si>
    <t>1204010212</t>
  </si>
  <si>
    <t>1204010213</t>
  </si>
  <si>
    <t>1204010214</t>
  </si>
  <si>
    <t>1204010215</t>
  </si>
  <si>
    <t>1204010216</t>
  </si>
  <si>
    <t>1204010241</t>
  </si>
  <si>
    <t>1204010242</t>
  </si>
  <si>
    <t>1204010243</t>
  </si>
  <si>
    <t>1204010244</t>
  </si>
  <si>
    <t>1204010245</t>
  </si>
  <si>
    <t>1204010247</t>
  </si>
  <si>
    <t>1204010248</t>
  </si>
  <si>
    <t>1204010249</t>
  </si>
  <si>
    <t>1204010250</t>
  </si>
  <si>
    <t>1204010251</t>
  </si>
  <si>
    <t>1204010301</t>
  </si>
  <si>
    <t>1204010302</t>
  </si>
  <si>
    <t>1204010303</t>
  </si>
  <si>
    <t>1204010304</t>
  </si>
  <si>
    <t>1204010305</t>
  </si>
  <si>
    <t>1204010306</t>
  </si>
  <si>
    <t>1204010307</t>
  </si>
  <si>
    <t>1204010308</t>
  </si>
  <si>
    <t>1204010309</t>
  </si>
  <si>
    <t>1204010310</t>
  </si>
  <si>
    <t>1204010311</t>
  </si>
  <si>
    <t>1204010312</t>
  </si>
  <si>
    <t>1204010313</t>
  </si>
  <si>
    <t>1204010314</t>
  </si>
  <si>
    <t>1204010315</t>
  </si>
  <si>
    <t>1204010341</t>
  </si>
  <si>
    <t>1204010342</t>
  </si>
  <si>
    <t>1204010343</t>
  </si>
  <si>
    <t>1204010344</t>
  </si>
  <si>
    <t>1204010345</t>
  </si>
  <si>
    <t>1204010346</t>
  </si>
  <si>
    <t>1204010347</t>
  </si>
  <si>
    <t>1204010348</t>
  </si>
  <si>
    <t>1204010349</t>
  </si>
  <si>
    <t>1204020101</t>
  </si>
  <si>
    <t>1204020102</t>
  </si>
  <si>
    <t>1204020103</t>
  </si>
  <si>
    <t>1204020104</t>
  </si>
  <si>
    <t>1204020105</t>
  </si>
  <si>
    <t>1204020106</t>
  </si>
  <si>
    <t>1204020107</t>
  </si>
  <si>
    <t>1204020108</t>
  </si>
  <si>
    <t>1204020109</t>
  </si>
  <si>
    <t>1204020110</t>
  </si>
  <si>
    <t>1204020111</t>
  </si>
  <si>
    <t>1204020112</t>
  </si>
  <si>
    <t>1204020113</t>
  </si>
  <si>
    <t>1204020114</t>
  </si>
  <si>
    <t>1204020115</t>
  </si>
  <si>
    <t>1204020116</t>
  </si>
  <si>
    <t>1204020141</t>
  </si>
  <si>
    <t>1204020142</t>
  </si>
  <si>
    <t>1204020143</t>
  </si>
  <si>
    <t>1204020144</t>
  </si>
  <si>
    <t>1204020145</t>
  </si>
  <si>
    <t>1204020146</t>
  </si>
  <si>
    <t>1204020147</t>
  </si>
  <si>
    <t>1204020148</t>
  </si>
  <si>
    <t>1204020149</t>
  </si>
  <si>
    <t>1204020201</t>
  </si>
  <si>
    <t>1204020202</t>
  </si>
  <si>
    <t>1204020203</t>
  </si>
  <si>
    <t>1204020204</t>
  </si>
  <si>
    <t>1204020205</t>
  </si>
  <si>
    <t>1204020206</t>
  </si>
  <si>
    <t>1204020207</t>
  </si>
  <si>
    <t>1204020208</t>
  </si>
  <si>
    <t>1204020209</t>
  </si>
  <si>
    <t>1204020210</t>
  </si>
  <si>
    <t>1204020211</t>
  </si>
  <si>
    <t>1204020212</t>
  </si>
  <si>
    <t>1204020213</t>
  </si>
  <si>
    <t>1204020214</t>
  </si>
  <si>
    <t>1204020215</t>
  </si>
  <si>
    <t>1204020216</t>
  </si>
  <si>
    <t>1204020241</t>
  </si>
  <si>
    <t>1204020242</t>
  </si>
  <si>
    <t>1204020243</t>
  </si>
  <si>
    <t>1204020244</t>
  </si>
  <si>
    <t>1204020245</t>
  </si>
  <si>
    <t>1204020246</t>
  </si>
  <si>
    <t>1204020247</t>
  </si>
  <si>
    <t>1204020248</t>
  </si>
  <si>
    <t>1204020249</t>
  </si>
  <si>
    <t>1204020301</t>
  </si>
  <si>
    <t>1204020302</t>
  </si>
  <si>
    <t>1204020303</t>
  </si>
  <si>
    <t>1204020304</t>
  </si>
  <si>
    <t>1204020305</t>
  </si>
  <si>
    <t>1204020306</t>
  </si>
  <si>
    <t>1204020307</t>
  </si>
  <si>
    <t>1204020308</t>
  </si>
  <si>
    <t>1204020309</t>
  </si>
  <si>
    <t>1204020310</t>
  </si>
  <si>
    <t>1204020311</t>
  </si>
  <si>
    <t>1204020312</t>
  </si>
  <si>
    <t>1204020313</t>
  </si>
  <si>
    <t>1204020314</t>
  </si>
  <si>
    <t>1204020315</t>
  </si>
  <si>
    <t>1204020316</t>
  </si>
  <si>
    <t>1204020341</t>
  </si>
  <si>
    <t>1204020342</t>
  </si>
  <si>
    <t>1204020343</t>
  </si>
  <si>
    <t>1204020344</t>
  </si>
  <si>
    <t>1204020345</t>
  </si>
  <si>
    <t>1204020346</t>
  </si>
  <si>
    <t>1204020347</t>
  </si>
  <si>
    <t>1204020348</t>
  </si>
  <si>
    <t>1204020349</t>
  </si>
  <si>
    <t>1204030101</t>
  </si>
  <si>
    <t>1204030102</t>
  </si>
  <si>
    <t>1204030103</t>
  </si>
  <si>
    <t>1204030104</t>
  </si>
  <si>
    <t>1204030105</t>
  </si>
  <si>
    <t>1204030106</t>
  </si>
  <si>
    <t>1204030107</t>
  </si>
  <si>
    <t>1204030108</t>
  </si>
  <si>
    <t>1204030109</t>
  </si>
  <si>
    <t>1204030110</t>
  </si>
  <si>
    <t>1204030111</t>
  </si>
  <si>
    <t>1204030112</t>
  </si>
  <si>
    <t>1204030113</t>
  </si>
  <si>
    <t>1204030114</t>
  </si>
  <si>
    <t>1204030115</t>
  </si>
  <si>
    <t>1204030116</t>
  </si>
  <si>
    <t>1204030141</t>
  </si>
  <si>
    <t>1204030142</t>
  </si>
  <si>
    <t>1204030143</t>
  </si>
  <si>
    <t>1204030144</t>
  </si>
  <si>
    <t>1204030145</t>
  </si>
  <si>
    <t>1204030146</t>
  </si>
  <si>
    <t>1204030147</t>
  </si>
  <si>
    <t>1204030148</t>
  </si>
  <si>
    <t>1204030149</t>
  </si>
  <si>
    <t>1204030150</t>
  </si>
  <si>
    <t>1204030151</t>
  </si>
  <si>
    <t>1204030201</t>
  </si>
  <si>
    <t>1204030202</t>
  </si>
  <si>
    <t>1204030203</t>
  </si>
  <si>
    <t>1204030204</t>
  </si>
  <si>
    <t>1204030205</t>
  </si>
  <si>
    <t>1204030206</t>
  </si>
  <si>
    <t>1204030207</t>
  </si>
  <si>
    <t>1204030208</t>
  </si>
  <si>
    <t>1204030209</t>
  </si>
  <si>
    <t>1204030210</t>
  </si>
  <si>
    <t>1204030211</t>
  </si>
  <si>
    <t>1204030212</t>
  </si>
  <si>
    <t>1204030213</t>
  </si>
  <si>
    <t>1204030214</t>
  </si>
  <si>
    <t>1204030215</t>
  </si>
  <si>
    <t>1204030216</t>
  </si>
  <si>
    <t>1204030241</t>
  </si>
  <si>
    <t>1204030242</t>
  </si>
  <si>
    <t>1204030243</t>
  </si>
  <si>
    <t>1204030244</t>
  </si>
  <si>
    <t>1204030245</t>
  </si>
  <si>
    <t>1204030246</t>
  </si>
  <si>
    <t>1204030247</t>
  </si>
  <si>
    <t>1204030248</t>
  </si>
  <si>
    <t>1204030249</t>
  </si>
  <si>
    <t>1204030301</t>
  </si>
  <si>
    <t>1204030302</t>
  </si>
  <si>
    <t>1204030303</t>
  </si>
  <si>
    <t>1204030304</t>
  </si>
  <si>
    <t>1204030305</t>
  </si>
  <si>
    <t>1204030306</t>
  </si>
  <si>
    <t>1204030307</t>
  </si>
  <si>
    <t>1204030308</t>
  </si>
  <si>
    <t>1204030309</t>
  </si>
  <si>
    <t>1204030310</t>
  </si>
  <si>
    <t>1204030311</t>
  </si>
  <si>
    <t>1204030312</t>
  </si>
  <si>
    <t>1204030313</t>
  </si>
  <si>
    <t>1204030314</t>
  </si>
  <si>
    <t>1204030315</t>
  </si>
  <si>
    <t>1204030316</t>
  </si>
  <si>
    <t>1204030341</t>
  </si>
  <si>
    <t>1204030342</t>
  </si>
  <si>
    <t>1204030343</t>
  </si>
  <si>
    <t>1204030344</t>
  </si>
  <si>
    <t>1204030345</t>
  </si>
  <si>
    <t>1204030346</t>
  </si>
  <si>
    <t>1204030347</t>
  </si>
  <si>
    <t>1204030348</t>
  </si>
  <si>
    <t>1204030349</t>
  </si>
  <si>
    <t>120501</t>
  </si>
  <si>
    <t>120502</t>
  </si>
  <si>
    <t>120504</t>
  </si>
  <si>
    <t>120505</t>
  </si>
  <si>
    <t>120506</t>
  </si>
  <si>
    <t>120601</t>
  </si>
  <si>
    <t>120602</t>
  </si>
  <si>
    <t>120604</t>
  </si>
  <si>
    <t>120701</t>
  </si>
  <si>
    <t>120703</t>
  </si>
  <si>
    <t>120704</t>
  </si>
  <si>
    <t>120801</t>
  </si>
  <si>
    <t>120802</t>
  </si>
  <si>
    <t>120803</t>
  </si>
  <si>
    <t>120804</t>
  </si>
  <si>
    <t>121001</t>
  </si>
  <si>
    <t>130101</t>
  </si>
  <si>
    <t>130102</t>
  </si>
  <si>
    <t>130103</t>
  </si>
  <si>
    <t>130201</t>
  </si>
  <si>
    <t>130301</t>
  </si>
  <si>
    <t>130302</t>
  </si>
  <si>
    <t>130303</t>
  </si>
  <si>
    <t>130304</t>
  </si>
  <si>
    <t>130305</t>
  </si>
  <si>
    <t>130306</t>
  </si>
  <si>
    <t>130307</t>
  </si>
  <si>
    <t>130308</t>
  </si>
  <si>
    <t>130309</t>
  </si>
  <si>
    <t>130310</t>
  </si>
  <si>
    <t>130311</t>
  </si>
  <si>
    <t>130312</t>
  </si>
  <si>
    <t>130313</t>
  </si>
  <si>
    <t>130314</t>
  </si>
  <si>
    <t>130315</t>
  </si>
  <si>
    <t>13040101</t>
  </si>
  <si>
    <t>13040102</t>
  </si>
  <si>
    <t>13040103</t>
  </si>
  <si>
    <t>13040104</t>
  </si>
  <si>
    <t>130402</t>
  </si>
  <si>
    <t>130403</t>
  </si>
  <si>
    <t>130404</t>
  </si>
  <si>
    <t>130405</t>
  </si>
  <si>
    <t>130502</t>
  </si>
  <si>
    <t>130503</t>
  </si>
  <si>
    <t>130504</t>
  </si>
  <si>
    <t>130505</t>
  </si>
  <si>
    <t>13060101</t>
  </si>
  <si>
    <t>13060102</t>
  </si>
  <si>
    <t>13060103</t>
  </si>
  <si>
    <t>13060105</t>
  </si>
  <si>
    <t>13060106</t>
  </si>
  <si>
    <t>13060107</t>
  </si>
  <si>
    <t>13060108</t>
  </si>
  <si>
    <t>13060109</t>
  </si>
  <si>
    <t>13060110</t>
  </si>
  <si>
    <t>13060111</t>
  </si>
  <si>
    <t>13060301</t>
  </si>
  <si>
    <t>13060302</t>
  </si>
  <si>
    <t>13060304</t>
  </si>
  <si>
    <t>13060306</t>
  </si>
  <si>
    <t>13060307</t>
  </si>
  <si>
    <t>13060308</t>
  </si>
  <si>
    <t>13060309</t>
  </si>
  <si>
    <t>13060401</t>
  </si>
  <si>
    <t>13060402</t>
  </si>
  <si>
    <t>13060404</t>
  </si>
  <si>
    <t>13060405</t>
  </si>
  <si>
    <t>13060501</t>
  </si>
  <si>
    <t>13070101</t>
  </si>
  <si>
    <t>13070106</t>
  </si>
  <si>
    <t>13070100</t>
  </si>
  <si>
    <t>13070107</t>
  </si>
  <si>
    <t>13070201</t>
  </si>
  <si>
    <t>13070200</t>
  </si>
  <si>
    <t>140101</t>
  </si>
  <si>
    <t>14020101</t>
  </si>
  <si>
    <t>14020201</t>
  </si>
  <si>
    <t>140302</t>
  </si>
  <si>
    <t>140402</t>
  </si>
  <si>
    <t>150101</t>
  </si>
  <si>
    <t>150102</t>
  </si>
  <si>
    <t>150103</t>
  </si>
  <si>
    <t>15010401</t>
  </si>
  <si>
    <t>15010402</t>
  </si>
  <si>
    <t>15010403</t>
  </si>
  <si>
    <t>15010404</t>
  </si>
  <si>
    <t>15010405</t>
  </si>
  <si>
    <t>15010406</t>
  </si>
  <si>
    <t>15010407</t>
  </si>
  <si>
    <t>15010408</t>
  </si>
  <si>
    <t>15010409</t>
  </si>
  <si>
    <t>15010410</t>
  </si>
  <si>
    <t>15010411</t>
  </si>
  <si>
    <t>15010412</t>
  </si>
  <si>
    <t>15010413</t>
  </si>
  <si>
    <t>15010414</t>
  </si>
  <si>
    <t>150105</t>
  </si>
  <si>
    <t>150106</t>
  </si>
  <si>
    <t>15010701</t>
  </si>
  <si>
    <t>15010702</t>
  </si>
  <si>
    <t>15010703</t>
  </si>
  <si>
    <t>15010704</t>
  </si>
  <si>
    <t>15010705</t>
  </si>
  <si>
    <t>15010706</t>
  </si>
  <si>
    <t>15010707</t>
  </si>
  <si>
    <t>15010708</t>
  </si>
  <si>
    <t>15010709</t>
  </si>
  <si>
    <t>15010710</t>
  </si>
  <si>
    <t>15010711</t>
  </si>
  <si>
    <t>15010712</t>
  </si>
  <si>
    <t>150108</t>
  </si>
  <si>
    <t>150301</t>
  </si>
  <si>
    <t>150303</t>
  </si>
  <si>
    <t>150304</t>
  </si>
  <si>
    <t>150305</t>
  </si>
  <si>
    <t>150306</t>
  </si>
  <si>
    <t>150307</t>
  </si>
  <si>
    <t>150311</t>
  </si>
  <si>
    <t>150312</t>
  </si>
  <si>
    <t>150314</t>
  </si>
  <si>
    <t>150316</t>
  </si>
  <si>
    <t>150401</t>
  </si>
  <si>
    <t>150402</t>
  </si>
  <si>
    <t>150403</t>
  </si>
  <si>
    <t>15040401</t>
  </si>
  <si>
    <t>15040412</t>
  </si>
  <si>
    <t>150405</t>
  </si>
  <si>
    <t>150406</t>
  </si>
  <si>
    <t>15040701</t>
  </si>
  <si>
    <t>150501</t>
  </si>
  <si>
    <t>150502</t>
  </si>
  <si>
    <t>150503</t>
  </si>
  <si>
    <t>15050401</t>
  </si>
  <si>
    <t>15050402</t>
  </si>
  <si>
    <t>15050403</t>
  </si>
  <si>
    <t>15050404</t>
  </si>
  <si>
    <t>15050405</t>
  </si>
  <si>
    <t>15050406</t>
  </si>
  <si>
    <t>15050407</t>
  </si>
  <si>
    <t>15050408</t>
  </si>
  <si>
    <t>15050409</t>
  </si>
  <si>
    <t>15050410</t>
  </si>
  <si>
    <t>15050411</t>
  </si>
  <si>
    <t>15050412</t>
  </si>
  <si>
    <t>15050413</t>
  </si>
  <si>
    <t>15050414</t>
  </si>
  <si>
    <t>150505</t>
  </si>
  <si>
    <t>150506</t>
  </si>
  <si>
    <t>15050701</t>
  </si>
  <si>
    <t>15050702</t>
  </si>
  <si>
    <t>15050703</t>
  </si>
  <si>
    <t>15050704</t>
  </si>
  <si>
    <t>15050705</t>
  </si>
  <si>
    <t>15050706</t>
  </si>
  <si>
    <t>15050707</t>
  </si>
  <si>
    <t>15050708</t>
  </si>
  <si>
    <t>15050709</t>
  </si>
  <si>
    <t>15050710</t>
  </si>
  <si>
    <t>15050711</t>
  </si>
  <si>
    <t>15050712</t>
  </si>
  <si>
    <t>150508</t>
  </si>
  <si>
    <t>160101</t>
  </si>
  <si>
    <t>160102</t>
  </si>
  <si>
    <t>1602010101</t>
  </si>
  <si>
    <t>1602010102</t>
  </si>
  <si>
    <t>16020201</t>
  </si>
  <si>
    <t>16020202</t>
  </si>
  <si>
    <t>16020203</t>
  </si>
  <si>
    <t>16020301</t>
  </si>
  <si>
    <t>16020302</t>
  </si>
  <si>
    <t>16020303</t>
  </si>
  <si>
    <t>16020401</t>
  </si>
  <si>
    <t>16020402</t>
  </si>
  <si>
    <t>16020501</t>
  </si>
  <si>
    <t>16020502</t>
  </si>
  <si>
    <t>16020503</t>
  </si>
  <si>
    <t>16020602</t>
  </si>
  <si>
    <t>16020603</t>
  </si>
  <si>
    <t>16020604</t>
  </si>
  <si>
    <t>16020605</t>
  </si>
  <si>
    <t>16020701</t>
  </si>
  <si>
    <t>16020702</t>
  </si>
  <si>
    <t>16030101</t>
  </si>
  <si>
    <t>16030102</t>
  </si>
  <si>
    <t>16040101</t>
  </si>
  <si>
    <t>16040102</t>
  </si>
  <si>
    <t>16040201</t>
  </si>
  <si>
    <t>16040202</t>
  </si>
  <si>
    <t>16040203</t>
  </si>
  <si>
    <t>16040301</t>
  </si>
  <si>
    <t>16040302</t>
  </si>
  <si>
    <t>16040303</t>
  </si>
  <si>
    <t>16040401</t>
  </si>
  <si>
    <t>16040402</t>
  </si>
  <si>
    <t>16040501</t>
  </si>
  <si>
    <t>16040502</t>
  </si>
  <si>
    <t>16040511</t>
  </si>
  <si>
    <t>16040512</t>
  </si>
  <si>
    <t>16050101</t>
  </si>
  <si>
    <t>16050102</t>
  </si>
  <si>
    <t>16050201</t>
  </si>
  <si>
    <t>16050202</t>
  </si>
  <si>
    <t>16050301</t>
  </si>
  <si>
    <t>16050302</t>
  </si>
  <si>
    <t>16050501</t>
  </si>
  <si>
    <t>16050502</t>
  </si>
  <si>
    <t>160601</t>
  </si>
  <si>
    <t>16070101</t>
  </si>
  <si>
    <t>16070102</t>
  </si>
  <si>
    <t>16070103</t>
  </si>
  <si>
    <t>16070104</t>
  </si>
  <si>
    <t>16070105</t>
  </si>
  <si>
    <t>16070106</t>
  </si>
  <si>
    <t>16070107</t>
  </si>
  <si>
    <t>16070109</t>
  </si>
  <si>
    <t>160702</t>
  </si>
  <si>
    <t>16070301</t>
  </si>
  <si>
    <t>16070302</t>
  </si>
  <si>
    <t>16070401</t>
  </si>
  <si>
    <t>16070402</t>
  </si>
  <si>
    <t>160706</t>
  </si>
  <si>
    <t>16070501</t>
  </si>
  <si>
    <t>160000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</si>
  <si>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</si>
  <si>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</si>
  <si>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</si>
  <si>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</si>
  <si>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</si>
  <si>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</si>
  <si>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</si>
  <si>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</si>
  <si>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</si>
  <si>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21010101</t>
  </si>
  <si>
    <t>21010102</t>
  </si>
  <si>
    <t>21010103</t>
  </si>
  <si>
    <t>21020101</t>
  </si>
  <si>
    <t>21020102</t>
  </si>
  <si>
    <t>220101</t>
  </si>
  <si>
    <t>22020101</t>
  </si>
  <si>
    <t>22020109</t>
  </si>
  <si>
    <t>22020201</t>
  </si>
  <si>
    <t>22020203</t>
  </si>
  <si>
    <t>22020301</t>
  </si>
  <si>
    <t>22030501</t>
  </si>
  <si>
    <t>22030502</t>
  </si>
  <si>
    <t>22030503</t>
  </si>
  <si>
    <t>22030504</t>
  </si>
  <si>
    <t>22030505</t>
  </si>
  <si>
    <t>22030506</t>
  </si>
  <si>
    <t>22030508</t>
  </si>
  <si>
    <t>22030507</t>
  </si>
  <si>
    <t>220306</t>
  </si>
  <si>
    <t>220307</t>
  </si>
  <si>
    <t>220308</t>
  </si>
  <si>
    <t>220309</t>
  </si>
  <si>
    <t>220312</t>
  </si>
  <si>
    <t>220314</t>
  </si>
  <si>
    <t>220315</t>
  </si>
  <si>
    <t>220317</t>
  </si>
  <si>
    <t>220318</t>
  </si>
  <si>
    <t>220319</t>
  </si>
  <si>
    <t>220320</t>
  </si>
  <si>
    <t>220321</t>
  </si>
  <si>
    <t>220402</t>
  </si>
  <si>
    <t>23010101</t>
  </si>
  <si>
    <t>23010102</t>
  </si>
  <si>
    <t>23010104</t>
  </si>
  <si>
    <t>230102</t>
  </si>
  <si>
    <t>230103</t>
  </si>
  <si>
    <t>23020101</t>
  </si>
  <si>
    <t>23020104</t>
  </si>
  <si>
    <t>23020105</t>
  </si>
  <si>
    <t>23020107</t>
  </si>
  <si>
    <t>23020108</t>
  </si>
  <si>
    <t>23020109</t>
  </si>
  <si>
    <t>2302020101</t>
  </si>
  <si>
    <t>2302020102</t>
  </si>
  <si>
    <t>23020202</t>
  </si>
  <si>
    <t>23020203</t>
  </si>
  <si>
    <t>23020205</t>
  </si>
  <si>
    <t>23020206</t>
  </si>
  <si>
    <t>23020207</t>
  </si>
  <si>
    <t>23020208</t>
  </si>
  <si>
    <t>230301</t>
  </si>
  <si>
    <t>230302</t>
  </si>
  <si>
    <t>23040101</t>
  </si>
  <si>
    <t>23040102</t>
  </si>
  <si>
    <t>23040103</t>
  </si>
  <si>
    <t>23040104</t>
  </si>
  <si>
    <t>23040106</t>
  </si>
  <si>
    <t>23040107</t>
  </si>
  <si>
    <t>23040108</t>
  </si>
  <si>
    <t>23040201</t>
  </si>
  <si>
    <t>23040202</t>
  </si>
  <si>
    <t>23040203</t>
  </si>
  <si>
    <t>23040204</t>
  </si>
  <si>
    <t>23040205</t>
  </si>
  <si>
    <t>23040206</t>
  </si>
  <si>
    <t>230403</t>
  </si>
  <si>
    <t>23050101</t>
  </si>
  <si>
    <t>23050102</t>
  </si>
  <si>
    <t>23050103</t>
  </si>
  <si>
    <t>23050104</t>
  </si>
  <si>
    <t>23050105</t>
  </si>
  <si>
    <t>23050106</t>
  </si>
  <si>
    <t>23050107</t>
  </si>
  <si>
    <t>23050201</t>
  </si>
  <si>
    <t>23050202</t>
  </si>
  <si>
    <t>23050203</t>
  </si>
  <si>
    <t>23050204</t>
  </si>
  <si>
    <t>23050205</t>
  </si>
  <si>
    <t>23050207</t>
  </si>
  <si>
    <t>23050301</t>
  </si>
  <si>
    <t>23050302</t>
  </si>
  <si>
    <t>23050303</t>
  </si>
  <si>
    <t>23050304</t>
  </si>
  <si>
    <t>23050305</t>
  </si>
  <si>
    <t>23050307</t>
  </si>
  <si>
    <t>23050401</t>
  </si>
  <si>
    <t>23050402</t>
  </si>
  <si>
    <t>23050403</t>
  </si>
  <si>
    <t>23050404</t>
  </si>
  <si>
    <t>23050405</t>
  </si>
  <si>
    <t>23050407</t>
  </si>
  <si>
    <t>23050501</t>
  </si>
  <si>
    <t>23050502</t>
  </si>
  <si>
    <t>23050503</t>
  </si>
  <si>
    <t>23050504</t>
  </si>
  <si>
    <t>23050505</t>
  </si>
  <si>
    <t>23050507</t>
  </si>
  <si>
    <t>23050601</t>
  </si>
  <si>
    <t>23050602</t>
  </si>
  <si>
    <t>23050603</t>
  </si>
  <si>
    <t>23050604</t>
  </si>
  <si>
    <t>23050605</t>
  </si>
  <si>
    <t>23050606</t>
  </si>
  <si>
    <t>23050701</t>
  </si>
  <si>
    <t>23050702</t>
  </si>
  <si>
    <t>230508</t>
  </si>
  <si>
    <t>230509</t>
  </si>
  <si>
    <t>230510</t>
  </si>
  <si>
    <t>2305110101</t>
  </si>
  <si>
    <t>2305110201</t>
  </si>
  <si>
    <t>2305110202</t>
  </si>
  <si>
    <t>2305110203</t>
  </si>
  <si>
    <t>2305110204</t>
  </si>
  <si>
    <t>2305110205</t>
  </si>
  <si>
    <t>2305110206</t>
  </si>
  <si>
    <t>2305110207</t>
  </si>
  <si>
    <t>2305110208</t>
  </si>
  <si>
    <t>2305110209</t>
  </si>
  <si>
    <t>2305110301</t>
  </si>
  <si>
    <t>2305110302</t>
  </si>
  <si>
    <t>2305110401</t>
  </si>
  <si>
    <t>2305110501</t>
  </si>
  <si>
    <t>2305110502</t>
  </si>
  <si>
    <t>2305110601</t>
  </si>
  <si>
    <t>2305110701</t>
  </si>
  <si>
    <t>2305110801</t>
  </si>
  <si>
    <t>2305110802</t>
  </si>
  <si>
    <t>2305110901</t>
  </si>
  <si>
    <t>2305110902</t>
  </si>
  <si>
    <t>2305110903</t>
  </si>
  <si>
    <t>2305110904</t>
  </si>
  <si>
    <t>2305110905</t>
  </si>
  <si>
    <t>2305110906</t>
  </si>
  <si>
    <t>2305110907</t>
  </si>
  <si>
    <t>2305110908</t>
  </si>
  <si>
    <t>2305110909</t>
  </si>
  <si>
    <t>2305110910</t>
  </si>
  <si>
    <t>2305110911</t>
  </si>
  <si>
    <t>2305111001</t>
  </si>
  <si>
    <t>23051111</t>
  </si>
  <si>
    <t>230500</t>
  </si>
  <si>
    <t>230601</t>
  </si>
  <si>
    <t>230603</t>
  </si>
  <si>
    <t>230604</t>
  </si>
  <si>
    <t>230605</t>
  </si>
  <si>
    <t>230606</t>
  </si>
  <si>
    <t>230607</t>
  </si>
  <si>
    <t>230608</t>
  </si>
  <si>
    <t>230609</t>
  </si>
  <si>
    <t>23061003</t>
  </si>
  <si>
    <t>23061004</t>
  </si>
  <si>
    <t>230611</t>
  </si>
  <si>
    <t>230612</t>
  </si>
  <si>
    <t>230613</t>
  </si>
  <si>
    <t>230615</t>
  </si>
  <si>
    <t>230616</t>
  </si>
  <si>
    <t>230617</t>
  </si>
  <si>
    <t>23070101</t>
  </si>
  <si>
    <t>23070302</t>
  </si>
  <si>
    <t>23070401</t>
  </si>
  <si>
    <t>23070503</t>
  </si>
  <si>
    <t>230801</t>
  </si>
  <si>
    <t>230904</t>
  </si>
  <si>
    <t>230905</t>
  </si>
  <si>
    <t>230906</t>
  </si>
  <si>
    <t>230907</t>
  </si>
  <si>
    <t>230908</t>
  </si>
  <si>
    <t>230909</t>
  </si>
  <si>
    <t>230910</t>
  </si>
  <si>
    <t>2310010100</t>
  </si>
  <si>
    <t>2310010101</t>
  </si>
  <si>
    <t>2310010102</t>
  </si>
  <si>
    <t>2310010103</t>
  </si>
  <si>
    <t>2310010104</t>
  </si>
  <si>
    <t>2310010105</t>
  </si>
  <si>
    <t>2310010106</t>
  </si>
  <si>
    <t>2310010107</t>
  </si>
  <si>
    <t>2310010108</t>
  </si>
  <si>
    <t>2310010110</t>
  </si>
  <si>
    <t>2310010111</t>
  </si>
  <si>
    <t>2310010112</t>
  </si>
  <si>
    <t>2310010113</t>
  </si>
  <si>
    <t>2310010114</t>
  </si>
  <si>
    <t>2310010115</t>
  </si>
  <si>
    <t>2310010116</t>
  </si>
  <si>
    <t>2310010117</t>
  </si>
  <si>
    <t>2310010118</t>
  </si>
  <si>
    <t>2310010119</t>
  </si>
  <si>
    <t>23100102</t>
  </si>
  <si>
    <t>2310010301</t>
  </si>
  <si>
    <t>2310010303</t>
  </si>
  <si>
    <t>2310010304</t>
  </si>
  <si>
    <t>2310010305</t>
  </si>
  <si>
    <t>2310010306</t>
  </si>
  <si>
    <t>2310010307</t>
  </si>
  <si>
    <t>2310010308</t>
  </si>
  <si>
    <t>2310010309</t>
  </si>
  <si>
    <t>2310010310</t>
  </si>
  <si>
    <t>2310010311</t>
  </si>
  <si>
    <t>23100104</t>
  </si>
  <si>
    <t>23100105</t>
  </si>
  <si>
    <t>23100107</t>
  </si>
  <si>
    <t>23100108</t>
  </si>
  <si>
    <t>23100109</t>
  </si>
  <si>
    <t>23100110</t>
  </si>
  <si>
    <t>23100111</t>
  </si>
  <si>
    <t>23100113</t>
  </si>
  <si>
    <t>23100116</t>
  </si>
  <si>
    <t>23100117</t>
  </si>
  <si>
    <t>23100120</t>
  </si>
  <si>
    <t>23100122</t>
  </si>
  <si>
    <t>23100124</t>
  </si>
  <si>
    <t>23100125</t>
  </si>
  <si>
    <t>23100126</t>
  </si>
  <si>
    <t>23100201</t>
  </si>
  <si>
    <t>23100202</t>
  </si>
  <si>
    <t>23100204</t>
  </si>
  <si>
    <t>23100205</t>
  </si>
  <si>
    <t>23100206</t>
  </si>
  <si>
    <t>23100207</t>
  </si>
  <si>
    <t>23100301</t>
  </si>
  <si>
    <t>23100303</t>
  </si>
  <si>
    <t>23100304</t>
  </si>
  <si>
    <t>23100305</t>
  </si>
  <si>
    <t>23100306</t>
  </si>
  <si>
    <t>23100308</t>
  </si>
  <si>
    <t>23100309</t>
  </si>
  <si>
    <t>23100402</t>
  </si>
  <si>
    <t>23100404</t>
  </si>
  <si>
    <t>23100405</t>
  </si>
  <si>
    <t>23100406</t>
  </si>
  <si>
    <t>23100407</t>
  </si>
  <si>
    <t>23100408</t>
  </si>
  <si>
    <t>23100409</t>
  </si>
  <si>
    <t>231101</t>
  </si>
  <si>
    <t>231201</t>
  </si>
  <si>
    <t>240102</t>
  </si>
  <si>
    <t>240103</t>
  </si>
  <si>
    <t>240104</t>
  </si>
  <si>
    <t>240105</t>
  </si>
  <si>
    <t>240106</t>
  </si>
  <si>
    <t>240107</t>
  </si>
  <si>
    <t>240108</t>
  </si>
  <si>
    <t>240109</t>
  </si>
  <si>
    <t>240110</t>
  </si>
  <si>
    <t>240111</t>
  </si>
  <si>
    <t>240112</t>
  </si>
  <si>
    <t>24020101</t>
  </si>
  <si>
    <t>24020102</t>
  </si>
  <si>
    <t>24020103</t>
  </si>
  <si>
    <t>24020104</t>
  </si>
  <si>
    <t>24020105</t>
  </si>
  <si>
    <t>24020106</t>
  </si>
  <si>
    <t>24020107</t>
  </si>
  <si>
    <t>24020201</t>
  </si>
  <si>
    <t>24020202</t>
  </si>
  <si>
    <t>24020301</t>
  </si>
  <si>
    <t>240205</t>
  </si>
  <si>
    <t>240001</t>
  </si>
  <si>
    <t>320308</t>
  </si>
  <si>
    <t>240301</t>
  </si>
  <si>
    <t>240401</t>
  </si>
  <si>
    <t>240402</t>
  </si>
  <si>
    <t>250101</t>
  </si>
  <si>
    <t>250102</t>
  </si>
  <si>
    <t>310101</t>
  </si>
  <si>
    <t>310102</t>
  </si>
  <si>
    <t>320101</t>
  </si>
  <si>
    <t>320102</t>
  </si>
  <si>
    <t>320105</t>
  </si>
  <si>
    <t>320201</t>
  </si>
  <si>
    <t>320301</t>
  </si>
  <si>
    <t>320302</t>
  </si>
  <si>
    <t>320303</t>
  </si>
  <si>
    <t>320304</t>
  </si>
  <si>
    <t>320305</t>
  </si>
  <si>
    <t>320306</t>
  </si>
  <si>
    <t>330101</t>
  </si>
  <si>
    <t>340102</t>
  </si>
  <si>
    <t>350101</t>
  </si>
  <si>
    <t>360101</t>
  </si>
  <si>
    <t>410101</t>
  </si>
  <si>
    <t>410102</t>
  </si>
  <si>
    <t>410103</t>
  </si>
  <si>
    <t>410104</t>
  </si>
  <si>
    <t>410105</t>
  </si>
  <si>
    <t>410106</t>
  </si>
  <si>
    <t>410107</t>
  </si>
  <si>
    <t>410108</t>
  </si>
  <si>
    <t>410109</t>
  </si>
  <si>
    <t>410110</t>
  </si>
  <si>
    <t>410201</t>
  </si>
  <si>
    <t>410202</t>
  </si>
  <si>
    <t>410203</t>
  </si>
  <si>
    <t>410204</t>
  </si>
  <si>
    <t>410205</t>
  </si>
  <si>
    <t>410206</t>
  </si>
  <si>
    <t>410207</t>
  </si>
  <si>
    <t>410209</t>
  </si>
  <si>
    <t>410210</t>
  </si>
  <si>
    <t>410301</t>
  </si>
  <si>
    <t>410302</t>
  </si>
  <si>
    <t>410304</t>
  </si>
  <si>
    <t>410305</t>
  </si>
  <si>
    <t>410306</t>
  </si>
  <si>
    <t>410307</t>
  </si>
  <si>
    <t>410308</t>
  </si>
  <si>
    <t>410401</t>
  </si>
  <si>
    <t>410501</t>
  </si>
  <si>
    <t>410502</t>
  </si>
  <si>
    <t>420101</t>
  </si>
  <si>
    <t>420102</t>
  </si>
  <si>
    <t>420104</t>
  </si>
  <si>
    <t>420106</t>
  </si>
  <si>
    <t>420201</t>
  </si>
  <si>
    <t>420202</t>
  </si>
  <si>
    <t>420203</t>
  </si>
  <si>
    <t>420301</t>
  </si>
  <si>
    <t>420302</t>
  </si>
  <si>
    <t>420303</t>
  </si>
  <si>
    <t>420401</t>
  </si>
  <si>
    <t>420501</t>
  </si>
  <si>
    <t>420502</t>
  </si>
  <si>
    <t>420601</t>
  </si>
  <si>
    <t>420602</t>
  </si>
  <si>
    <t>420603</t>
  </si>
  <si>
    <t>420604</t>
  </si>
  <si>
    <t>420605</t>
  </si>
  <si>
    <t>420606</t>
  </si>
  <si>
    <t>420701</t>
  </si>
  <si>
    <t>420702</t>
  </si>
  <si>
    <t>420703</t>
  </si>
  <si>
    <t>420704</t>
  </si>
  <si>
    <t>420801</t>
  </si>
  <si>
    <t>420802</t>
  </si>
  <si>
    <t>420901</t>
  </si>
  <si>
    <t>420902</t>
  </si>
  <si>
    <t>421001</t>
  </si>
  <si>
    <t>421002</t>
  </si>
  <si>
    <t>421003</t>
  </si>
  <si>
    <t>421004</t>
  </si>
  <si>
    <t>421005</t>
  </si>
  <si>
    <t>421006</t>
  </si>
  <si>
    <t>421103</t>
  </si>
  <si>
    <t>421104</t>
  </si>
  <si>
    <t>421105</t>
  </si>
  <si>
    <t>421106</t>
  </si>
  <si>
    <t>421107</t>
  </si>
  <si>
    <t>421108</t>
  </si>
  <si>
    <t>421109</t>
  </si>
  <si>
    <t>421110</t>
  </si>
  <si>
    <t>421111</t>
  </si>
  <si>
    <t>421112</t>
  </si>
  <si>
    <t>421114</t>
  </si>
  <si>
    <t>421117</t>
  </si>
  <si>
    <t>421118</t>
  </si>
  <si>
    <t>421301</t>
  </si>
  <si>
    <t>421401</t>
  </si>
  <si>
    <t>421402</t>
  </si>
  <si>
    <t>421403</t>
  </si>
  <si>
    <t>421404</t>
  </si>
  <si>
    <t>421405</t>
  </si>
  <si>
    <t>421501</t>
  </si>
  <si>
    <t>430101</t>
  </si>
  <si>
    <t>430201</t>
  </si>
  <si>
    <t>430202</t>
  </si>
  <si>
    <t>430301</t>
  </si>
  <si>
    <t>430302</t>
  </si>
  <si>
    <t>430401</t>
  </si>
  <si>
    <t>430501</t>
  </si>
  <si>
    <t>440101</t>
  </si>
  <si>
    <t>440102</t>
  </si>
  <si>
    <t>440201</t>
  </si>
  <si>
    <t>450101</t>
  </si>
  <si>
    <t>450102</t>
  </si>
  <si>
    <t>450103</t>
  </si>
  <si>
    <t>450104</t>
  </si>
  <si>
    <t>450105</t>
  </si>
  <si>
    <t>450106</t>
  </si>
  <si>
    <t>450107</t>
  </si>
  <si>
    <t>450109</t>
  </si>
  <si>
    <t>450203</t>
  </si>
  <si>
    <t>450204</t>
  </si>
  <si>
    <t>450205</t>
  </si>
  <si>
    <t>450301</t>
  </si>
  <si>
    <t>450501</t>
  </si>
  <si>
    <t>450502</t>
  </si>
  <si>
    <t>450503</t>
  </si>
  <si>
    <t>450504</t>
  </si>
  <si>
    <t>450505</t>
  </si>
  <si>
    <t>450506</t>
  </si>
  <si>
    <t>450508</t>
  </si>
  <si>
    <t>450509</t>
  </si>
  <si>
    <t>450510</t>
  </si>
  <si>
    <t>450511</t>
  </si>
  <si>
    <t>450512</t>
  </si>
  <si>
    <t>450513</t>
  </si>
  <si>
    <t>450514</t>
  </si>
  <si>
    <t>450001</t>
  </si>
  <si>
    <t>459901</t>
  </si>
  <si>
    <t>459902</t>
  </si>
  <si>
    <t>459903</t>
  </si>
  <si>
    <t>459904</t>
  </si>
  <si>
    <t>459905</t>
  </si>
  <si>
    <t>459906</t>
  </si>
  <si>
    <t>459907</t>
  </si>
  <si>
    <t>460101</t>
  </si>
  <si>
    <t>460102</t>
  </si>
  <si>
    <t>460001</t>
  </si>
  <si>
    <t>460003</t>
  </si>
  <si>
    <t>46000301</t>
  </si>
  <si>
    <t>46000302</t>
  </si>
  <si>
    <t>46000303</t>
  </si>
  <si>
    <t>46000304</t>
  </si>
  <si>
    <t>46000305</t>
  </si>
  <si>
    <t>46000306</t>
  </si>
  <si>
    <t>46000307</t>
  </si>
  <si>
    <t>46000308</t>
  </si>
  <si>
    <t>510101</t>
  </si>
  <si>
    <t>510102</t>
  </si>
  <si>
    <t>510104</t>
  </si>
  <si>
    <t>510201</t>
  </si>
  <si>
    <t>510202</t>
  </si>
  <si>
    <t>510203</t>
  </si>
  <si>
    <t>510204</t>
  </si>
  <si>
    <t>510205</t>
  </si>
  <si>
    <t>510206</t>
  </si>
  <si>
    <t>510207</t>
  </si>
  <si>
    <t>510210</t>
  </si>
  <si>
    <t>510211</t>
  </si>
  <si>
    <t>510212</t>
  </si>
  <si>
    <t>51030101</t>
  </si>
  <si>
    <t>51030102</t>
  </si>
  <si>
    <t>51030103</t>
  </si>
  <si>
    <t>51030104</t>
  </si>
  <si>
    <t>51030105</t>
  </si>
  <si>
    <t>51030201</t>
  </si>
  <si>
    <t>51030219</t>
  </si>
  <si>
    <t>51030220</t>
  </si>
  <si>
    <t>5103022201</t>
  </si>
  <si>
    <t>5103022202</t>
  </si>
  <si>
    <t>5103022203</t>
  </si>
  <si>
    <t>5103022204</t>
  </si>
  <si>
    <t>5103022205</t>
  </si>
  <si>
    <t>5103022206</t>
  </si>
  <si>
    <t>51030225</t>
  </si>
  <si>
    <t>51030226</t>
  </si>
  <si>
    <t>51030227</t>
  </si>
  <si>
    <t>510303</t>
  </si>
  <si>
    <t>51030401</t>
  </si>
  <si>
    <t>51030402</t>
  </si>
  <si>
    <t>51030403</t>
  </si>
  <si>
    <t>510305</t>
  </si>
  <si>
    <t>510306</t>
  </si>
  <si>
    <t>510307</t>
  </si>
  <si>
    <t>51040101</t>
  </si>
  <si>
    <t>51040102</t>
  </si>
  <si>
    <t>51040201</t>
  </si>
  <si>
    <t>51040202</t>
  </si>
  <si>
    <t>51040203</t>
  </si>
  <si>
    <t>51040301</t>
  </si>
  <si>
    <t>51040302</t>
  </si>
  <si>
    <t>510404</t>
  </si>
  <si>
    <t>51040501</t>
  </si>
  <si>
    <t>51040502</t>
  </si>
  <si>
    <t>51040503</t>
  </si>
  <si>
    <t>51040504</t>
  </si>
  <si>
    <t>5105010101</t>
  </si>
  <si>
    <t>5105010102</t>
  </si>
  <si>
    <t>5105010103</t>
  </si>
  <si>
    <t>5105010104</t>
  </si>
  <si>
    <t>51050102</t>
  </si>
  <si>
    <t>51050103</t>
  </si>
  <si>
    <t>51050104</t>
  </si>
  <si>
    <t>5105020101</t>
  </si>
  <si>
    <t>5105020102</t>
  </si>
  <si>
    <t>5105020103</t>
  </si>
  <si>
    <t>5105020104</t>
  </si>
  <si>
    <t>51050202</t>
  </si>
  <si>
    <t>51050203</t>
  </si>
  <si>
    <t>51050204</t>
  </si>
  <si>
    <t>5105030101</t>
  </si>
  <si>
    <t>5105030102</t>
  </si>
  <si>
    <t>5105030103</t>
  </si>
  <si>
    <t>5105030104</t>
  </si>
  <si>
    <t>51050302</t>
  </si>
  <si>
    <t>51050303</t>
  </si>
  <si>
    <t>51050304</t>
  </si>
  <si>
    <t>5105040101</t>
  </si>
  <si>
    <t>5105040102</t>
  </si>
  <si>
    <t>5105040103</t>
  </si>
  <si>
    <t>5105040104</t>
  </si>
  <si>
    <t>51050402</t>
  </si>
  <si>
    <t>51050403</t>
  </si>
  <si>
    <t>51050404</t>
  </si>
  <si>
    <t>5105050101</t>
  </si>
  <si>
    <t>5105050102</t>
  </si>
  <si>
    <t>5105050103</t>
  </si>
  <si>
    <t>5105050104</t>
  </si>
  <si>
    <t>51050502</t>
  </si>
  <si>
    <t>51050503</t>
  </si>
  <si>
    <t>51050504</t>
  </si>
  <si>
    <t>51050601</t>
  </si>
  <si>
    <t>51050602</t>
  </si>
  <si>
    <t>51050603</t>
  </si>
  <si>
    <t>510500</t>
  </si>
  <si>
    <t>510507</t>
  </si>
  <si>
    <t>51060001</t>
  </si>
  <si>
    <t>51060002</t>
  </si>
  <si>
    <t>510601</t>
  </si>
  <si>
    <t>510602</t>
  </si>
  <si>
    <t>510603</t>
  </si>
  <si>
    <t>51060401</t>
  </si>
  <si>
    <t>51060402</t>
  </si>
  <si>
    <t>51060403</t>
  </si>
  <si>
    <t>51060404</t>
  </si>
  <si>
    <t>51060405</t>
  </si>
  <si>
    <t>51060406</t>
  </si>
  <si>
    <t>51060407</t>
  </si>
  <si>
    <t>5106050101</t>
  </si>
  <si>
    <t>5106050102</t>
  </si>
  <si>
    <t>5106050104</t>
  </si>
  <si>
    <t>5106050105</t>
  </si>
  <si>
    <t>5106050106</t>
  </si>
  <si>
    <t>5106050108</t>
  </si>
  <si>
    <t>5106050109</t>
  </si>
  <si>
    <t>5106050111</t>
  </si>
  <si>
    <t>5106050112</t>
  </si>
  <si>
    <t>5106050113</t>
  </si>
  <si>
    <t>5106050114</t>
  </si>
  <si>
    <t>5106050115</t>
  </si>
  <si>
    <t>5106050116</t>
  </si>
  <si>
    <t>5106050117</t>
  </si>
  <si>
    <t>5106050118</t>
  </si>
  <si>
    <t>5106050119</t>
  </si>
  <si>
    <t>5106050120</t>
  </si>
  <si>
    <t>5106050121</t>
  </si>
  <si>
    <t>5106050122</t>
  </si>
  <si>
    <t>5106050123</t>
  </si>
  <si>
    <t>5106050124</t>
  </si>
  <si>
    <t>5106050125</t>
  </si>
  <si>
    <t>5106050126</t>
  </si>
  <si>
    <t>5106050127</t>
  </si>
  <si>
    <t>5106050128</t>
  </si>
  <si>
    <t>5106050129</t>
  </si>
  <si>
    <t>5106050130</t>
  </si>
  <si>
    <t>5106050131</t>
  </si>
  <si>
    <t>5106050132</t>
  </si>
  <si>
    <t>5106050133</t>
  </si>
  <si>
    <t>5106050134</t>
  </si>
  <si>
    <t>5106050135</t>
  </si>
  <si>
    <t>5106050136</t>
  </si>
  <si>
    <t>5106050137</t>
  </si>
  <si>
    <t>5106050138</t>
  </si>
  <si>
    <t>5106050139</t>
  </si>
  <si>
    <t>5106050140</t>
  </si>
  <si>
    <t>5106050141</t>
  </si>
  <si>
    <t>5106050202</t>
  </si>
  <si>
    <t>5106050203</t>
  </si>
  <si>
    <t>5106050204</t>
  </si>
  <si>
    <t>5106050207</t>
  </si>
  <si>
    <t>5106050209</t>
  </si>
  <si>
    <t>5106050210</t>
  </si>
  <si>
    <t>5106050211</t>
  </si>
  <si>
    <t>5106050212</t>
  </si>
  <si>
    <t>5106050213</t>
  </si>
  <si>
    <t>5106050214</t>
  </si>
  <si>
    <t>5106050215</t>
  </si>
  <si>
    <t>5106050216</t>
  </si>
  <si>
    <t>5106050217</t>
  </si>
  <si>
    <t>5106050218</t>
  </si>
  <si>
    <t>5106050219</t>
  </si>
  <si>
    <t>5106050220</t>
  </si>
  <si>
    <t>5106050221</t>
  </si>
  <si>
    <t>5106050222</t>
  </si>
  <si>
    <t>5106050223</t>
  </si>
  <si>
    <t>5106050224</t>
  </si>
  <si>
    <t>5106050225</t>
  </si>
  <si>
    <t>5106050226</t>
  </si>
  <si>
    <t>5106050227</t>
  </si>
  <si>
    <t>5106050228</t>
  </si>
  <si>
    <t>5106050229</t>
  </si>
  <si>
    <t>5106050230</t>
  </si>
  <si>
    <t>5106050231</t>
  </si>
  <si>
    <t>5106050232</t>
  </si>
  <si>
    <t>5106050233</t>
  </si>
  <si>
    <t>5106050234</t>
  </si>
  <si>
    <t>5106050235</t>
  </si>
  <si>
    <t>5106050236</t>
  </si>
  <si>
    <t>5106050237</t>
  </si>
  <si>
    <t>5106050238</t>
  </si>
  <si>
    <t>5106050239</t>
  </si>
  <si>
    <t>5106050240</t>
  </si>
  <si>
    <t>5106050241</t>
  </si>
  <si>
    <t>5106050242</t>
  </si>
  <si>
    <t>5106050243</t>
  </si>
  <si>
    <t>5106050244</t>
  </si>
  <si>
    <t>5106050245</t>
  </si>
  <si>
    <t>5106050246</t>
  </si>
  <si>
    <t>5106050247</t>
  </si>
  <si>
    <t>5106050248</t>
  </si>
  <si>
    <t>5106050249</t>
  </si>
  <si>
    <t>5106050250</t>
  </si>
  <si>
    <t>5106050251</t>
  </si>
  <si>
    <t>5106050252</t>
  </si>
  <si>
    <t>5106050253</t>
  </si>
  <si>
    <t>5106050254</t>
  </si>
  <si>
    <t>5106050255</t>
  </si>
  <si>
    <t>5106050256</t>
  </si>
  <si>
    <t>5106050257</t>
  </si>
  <si>
    <t>5106050258</t>
  </si>
  <si>
    <t>5106050259</t>
  </si>
  <si>
    <t>5106050301</t>
  </si>
  <si>
    <t>5106050302</t>
  </si>
  <si>
    <t>5106050303</t>
  </si>
  <si>
    <t>5106050304</t>
  </si>
  <si>
    <t>5106050305</t>
  </si>
  <si>
    <t>5106050306</t>
  </si>
  <si>
    <t>5106050307</t>
  </si>
  <si>
    <t>5106050308</t>
  </si>
  <si>
    <t>5106050309</t>
  </si>
  <si>
    <t>5106050310</t>
  </si>
  <si>
    <t>5106050311</t>
  </si>
  <si>
    <t>5106050312</t>
  </si>
  <si>
    <t>5106050401</t>
  </si>
  <si>
    <t>5106050403</t>
  </si>
  <si>
    <t>5106050409</t>
  </si>
  <si>
    <t>5106050410</t>
  </si>
  <si>
    <t>5106050001</t>
  </si>
  <si>
    <t>5106050002</t>
  </si>
  <si>
    <t>5106050003</t>
  </si>
  <si>
    <t>5106050501</t>
  </si>
  <si>
    <t>5106050502</t>
  </si>
  <si>
    <t>5106050503</t>
  </si>
  <si>
    <t>5106050504</t>
  </si>
  <si>
    <t>5106050505</t>
  </si>
  <si>
    <t>5106050506</t>
  </si>
  <si>
    <t>5106050507</t>
  </si>
  <si>
    <t>5106050508</t>
  </si>
  <si>
    <t>5106050509</t>
  </si>
  <si>
    <t>5106050510</t>
  </si>
  <si>
    <t>51060601</t>
  </si>
  <si>
    <t>51060602</t>
  </si>
  <si>
    <t>51060603</t>
  </si>
  <si>
    <t>51060701</t>
  </si>
  <si>
    <t>51060702</t>
  </si>
  <si>
    <t>51060703</t>
  </si>
  <si>
    <t>510701</t>
  </si>
  <si>
    <t>510702</t>
  </si>
  <si>
    <t>510705</t>
  </si>
  <si>
    <t>510708</t>
  </si>
  <si>
    <t>510709</t>
  </si>
  <si>
    <t>510710</t>
  </si>
  <si>
    <t>510711</t>
  </si>
  <si>
    <t>510712</t>
  </si>
  <si>
    <t>510713</t>
  </si>
  <si>
    <t>52010101</t>
  </si>
  <si>
    <t>52010102</t>
  </si>
  <si>
    <t>52010103</t>
  </si>
  <si>
    <t>52010104</t>
  </si>
  <si>
    <t>52010105</t>
  </si>
  <si>
    <t>52010108</t>
  </si>
  <si>
    <t>52010110</t>
  </si>
  <si>
    <t>52010112</t>
  </si>
  <si>
    <t>52010113</t>
  </si>
  <si>
    <t>52010114</t>
  </si>
  <si>
    <t>52010115</t>
  </si>
  <si>
    <t>52010116</t>
  </si>
  <si>
    <t>52010117</t>
  </si>
  <si>
    <t>52010201</t>
  </si>
  <si>
    <t>52010202</t>
  </si>
  <si>
    <t>52010203</t>
  </si>
  <si>
    <t>52010204</t>
  </si>
  <si>
    <t>52010205</t>
  </si>
  <si>
    <t>52010206</t>
  </si>
  <si>
    <t>52010207</t>
  </si>
  <si>
    <t>52010208</t>
  </si>
  <si>
    <t>52010211</t>
  </si>
  <si>
    <t>52010212</t>
  </si>
  <si>
    <t>52010213</t>
  </si>
  <si>
    <t>52010214</t>
  </si>
  <si>
    <t>52010215</t>
  </si>
  <si>
    <t>52010216</t>
  </si>
  <si>
    <t>52010217</t>
  </si>
  <si>
    <t>52010218</t>
  </si>
  <si>
    <t>52010219</t>
  </si>
  <si>
    <t>52010220</t>
  </si>
  <si>
    <t>52010221</t>
  </si>
  <si>
    <t>52010222</t>
  </si>
  <si>
    <t>52010223</t>
  </si>
  <si>
    <t>52010224</t>
  </si>
  <si>
    <t>52010225</t>
  </si>
  <si>
    <t>520103</t>
  </si>
  <si>
    <t>520104</t>
  </si>
  <si>
    <t>520201</t>
  </si>
  <si>
    <t>520202</t>
  </si>
  <si>
    <t>520301</t>
  </si>
  <si>
    <t>520303</t>
  </si>
  <si>
    <t>520304</t>
  </si>
  <si>
    <t>520305</t>
  </si>
  <si>
    <t>52030602</t>
  </si>
  <si>
    <t>52030603</t>
  </si>
  <si>
    <t>520307</t>
  </si>
  <si>
    <t>520308</t>
  </si>
  <si>
    <t>520309</t>
  </si>
  <si>
    <t>520310</t>
  </si>
  <si>
    <t>520300</t>
  </si>
  <si>
    <t>520311</t>
  </si>
  <si>
    <t>520312</t>
  </si>
  <si>
    <t>520313</t>
  </si>
  <si>
    <t>520315</t>
  </si>
  <si>
    <t>520401</t>
  </si>
  <si>
    <t>520402</t>
  </si>
  <si>
    <t>520404</t>
  </si>
  <si>
    <t>520406</t>
  </si>
  <si>
    <t>520407</t>
  </si>
  <si>
    <t>520408</t>
  </si>
  <si>
    <t>520417</t>
  </si>
  <si>
    <t>520418</t>
  </si>
  <si>
    <t>520419</t>
  </si>
  <si>
    <t>520420</t>
  </si>
  <si>
    <t>520423</t>
  </si>
  <si>
    <t>520424</t>
  </si>
  <si>
    <t>520425</t>
  </si>
  <si>
    <t>520426</t>
  </si>
  <si>
    <t>520428</t>
  </si>
  <si>
    <t>520429</t>
  </si>
  <si>
    <t>520430</t>
  </si>
  <si>
    <t>520431</t>
  </si>
  <si>
    <t>520435</t>
  </si>
  <si>
    <t>520436</t>
  </si>
  <si>
    <t>520438</t>
  </si>
  <si>
    <t>52043902</t>
  </si>
  <si>
    <t>52043903</t>
  </si>
  <si>
    <t>52043904</t>
  </si>
  <si>
    <t>52043905</t>
  </si>
  <si>
    <t>52043906</t>
  </si>
  <si>
    <t>520501</t>
  </si>
  <si>
    <t>520504</t>
  </si>
  <si>
    <t>520505</t>
  </si>
  <si>
    <t>520601</t>
  </si>
  <si>
    <t>520602</t>
  </si>
  <si>
    <t>520607</t>
  </si>
  <si>
    <t>520701</t>
  </si>
  <si>
    <t>520702</t>
  </si>
  <si>
    <t>520704</t>
  </si>
  <si>
    <t>520705</t>
  </si>
  <si>
    <t>520706</t>
  </si>
  <si>
    <t>520801</t>
  </si>
  <si>
    <t>520802</t>
  </si>
  <si>
    <t>520803</t>
  </si>
  <si>
    <t>520804</t>
  </si>
  <si>
    <t>520805</t>
  </si>
  <si>
    <t>520806</t>
  </si>
  <si>
    <t>52080701</t>
  </si>
  <si>
    <t>52080801</t>
  </si>
  <si>
    <t>52080802</t>
  </si>
  <si>
    <t>52080803</t>
  </si>
  <si>
    <t>520810</t>
  </si>
  <si>
    <t>520811</t>
  </si>
  <si>
    <t>520812</t>
  </si>
  <si>
    <t>520901</t>
  </si>
  <si>
    <t>520902</t>
  </si>
  <si>
    <t>520904</t>
  </si>
  <si>
    <t>520905</t>
  </si>
  <si>
    <t>520906</t>
  </si>
  <si>
    <t>521001</t>
  </si>
  <si>
    <t>521002</t>
  </si>
  <si>
    <t>521003</t>
  </si>
  <si>
    <t>521101</t>
  </si>
  <si>
    <t>521102</t>
  </si>
  <si>
    <t>521103</t>
  </si>
  <si>
    <t>521104</t>
  </si>
  <si>
    <t>521105</t>
  </si>
  <si>
    <t>521106</t>
  </si>
  <si>
    <t>521201</t>
  </si>
  <si>
    <t>521206</t>
  </si>
  <si>
    <t>521207</t>
  </si>
  <si>
    <t>521209</t>
  </si>
  <si>
    <t>521301</t>
  </si>
  <si>
    <t>521302</t>
  </si>
  <si>
    <t>521303</t>
  </si>
  <si>
    <t>521401</t>
  </si>
  <si>
    <t>521402</t>
  </si>
  <si>
    <t>521403</t>
  </si>
  <si>
    <t>521404</t>
  </si>
  <si>
    <t>521405</t>
  </si>
  <si>
    <t>521406</t>
  </si>
  <si>
    <t>521501</t>
  </si>
  <si>
    <t>521601</t>
  </si>
  <si>
    <t>521603</t>
  </si>
  <si>
    <t>521604</t>
  </si>
  <si>
    <t>521701</t>
  </si>
  <si>
    <t>521702</t>
  </si>
  <si>
    <t>521801</t>
  </si>
  <si>
    <t>521901</t>
  </si>
  <si>
    <t>522001</t>
  </si>
  <si>
    <t>522002</t>
  </si>
  <si>
    <t>522003</t>
  </si>
  <si>
    <t>522004</t>
  </si>
  <si>
    <t>522101</t>
  </si>
  <si>
    <t>522201</t>
  </si>
  <si>
    <t>522301</t>
  </si>
  <si>
    <t>52000101</t>
  </si>
  <si>
    <t>52000102</t>
  </si>
  <si>
    <t>520003</t>
  </si>
  <si>
    <t>520007</t>
  </si>
  <si>
    <t>520008</t>
  </si>
  <si>
    <t>520009</t>
  </si>
  <si>
    <t>520010</t>
  </si>
  <si>
    <t>520012</t>
  </si>
  <si>
    <t>520014</t>
  </si>
  <si>
    <t>520015</t>
  </si>
  <si>
    <t>520016</t>
  </si>
  <si>
    <t>520017</t>
  </si>
  <si>
    <t>52001801</t>
  </si>
  <si>
    <t>52001802</t>
  </si>
  <si>
    <t>52001803</t>
  </si>
  <si>
    <t>52001804</t>
  </si>
  <si>
    <t>52001805</t>
  </si>
  <si>
    <t>520019</t>
  </si>
  <si>
    <t>520020</t>
  </si>
  <si>
    <t>520021</t>
  </si>
  <si>
    <t>520022</t>
  </si>
  <si>
    <t>520023</t>
  </si>
  <si>
    <t>520024</t>
  </si>
  <si>
    <t>520025</t>
  </si>
  <si>
    <t>520026</t>
  </si>
  <si>
    <t>520027</t>
  </si>
  <si>
    <t>520028</t>
  </si>
  <si>
    <t>520029</t>
  </si>
  <si>
    <t>520030</t>
  </si>
  <si>
    <t>520031</t>
  </si>
  <si>
    <t>520032</t>
  </si>
  <si>
    <t>520033</t>
  </si>
  <si>
    <t>520034</t>
  </si>
  <si>
    <t>520035</t>
  </si>
  <si>
    <t>520036</t>
  </si>
  <si>
    <t>520037</t>
  </si>
  <si>
    <t>52003801</t>
  </si>
  <si>
    <t>52003802</t>
  </si>
  <si>
    <t>52003803</t>
  </si>
  <si>
    <t>520039</t>
  </si>
  <si>
    <t>520040</t>
  </si>
  <si>
    <t>52004101</t>
  </si>
  <si>
    <t>52004102</t>
  </si>
  <si>
    <t>52004103</t>
  </si>
  <si>
    <t>52004201</t>
  </si>
  <si>
    <t>52004202</t>
  </si>
  <si>
    <t>52004203</t>
  </si>
  <si>
    <t>520043</t>
  </si>
  <si>
    <t>520044</t>
  </si>
  <si>
    <t>520045</t>
  </si>
  <si>
    <t>522501</t>
  </si>
  <si>
    <t>522601</t>
  </si>
  <si>
    <t>522701</t>
  </si>
  <si>
    <t>530101</t>
  </si>
  <si>
    <t>530102</t>
  </si>
  <si>
    <t>530103</t>
  </si>
  <si>
    <t>530104</t>
  </si>
  <si>
    <t>530105</t>
  </si>
  <si>
    <t>530301</t>
  </si>
  <si>
    <t>530401</t>
  </si>
  <si>
    <t>530402</t>
  </si>
  <si>
    <t>530403</t>
  </si>
  <si>
    <t>530404</t>
  </si>
  <si>
    <t>530405</t>
  </si>
  <si>
    <t>53050101</t>
  </si>
  <si>
    <t>53050102</t>
  </si>
  <si>
    <t>53050103</t>
  </si>
  <si>
    <t>53050104</t>
  </si>
  <si>
    <t>53050105</t>
  </si>
  <si>
    <t>53050106</t>
  </si>
  <si>
    <t>53050107</t>
  </si>
  <si>
    <t>5305020101</t>
  </si>
  <si>
    <t>5305020102</t>
  </si>
  <si>
    <t>5305020103</t>
  </si>
  <si>
    <t>5305020104</t>
  </si>
  <si>
    <t>5305020105</t>
  </si>
  <si>
    <t>5305020106</t>
  </si>
  <si>
    <t>5305020201</t>
  </si>
  <si>
    <t>5305020202</t>
  </si>
  <si>
    <t>53050301</t>
  </si>
  <si>
    <t>53050302</t>
  </si>
  <si>
    <t>53050303</t>
  </si>
  <si>
    <t>53050304</t>
  </si>
  <si>
    <t>53050305</t>
  </si>
  <si>
    <t>53050306</t>
  </si>
  <si>
    <t>53050307</t>
  </si>
  <si>
    <t>5305040101</t>
  </si>
  <si>
    <t>5305040102</t>
  </si>
  <si>
    <t>5305040103</t>
  </si>
  <si>
    <t>53050402</t>
  </si>
  <si>
    <t>53050403</t>
  </si>
  <si>
    <t>53050404</t>
  </si>
  <si>
    <t>53050405</t>
  </si>
  <si>
    <t>53050406</t>
  </si>
  <si>
    <t>53050407</t>
  </si>
  <si>
    <t>53050408</t>
  </si>
  <si>
    <t>53050409</t>
  </si>
  <si>
    <t>53050410</t>
  </si>
  <si>
    <t>53050411</t>
  </si>
  <si>
    <t>53050412</t>
  </si>
  <si>
    <t>53050413</t>
  </si>
  <si>
    <t>5305041401</t>
  </si>
  <si>
    <t>5305041402</t>
  </si>
  <si>
    <t>5305041403</t>
  </si>
  <si>
    <t>53050415</t>
  </si>
  <si>
    <t>53050416</t>
  </si>
  <si>
    <t>53050417</t>
  </si>
  <si>
    <t>53050418</t>
  </si>
  <si>
    <t>53050419</t>
  </si>
  <si>
    <t>53050501</t>
  </si>
  <si>
    <t>540101</t>
  </si>
  <si>
    <t>540201</t>
  </si>
  <si>
    <t>540301</t>
  </si>
  <si>
    <t>540401</t>
  </si>
  <si>
    <t>540402</t>
  </si>
  <si>
    <t>540403</t>
  </si>
  <si>
    <t>540404</t>
  </si>
  <si>
    <t>540405</t>
  </si>
  <si>
    <t>540406</t>
  </si>
  <si>
    <t>540407</t>
  </si>
  <si>
    <t>540408</t>
  </si>
  <si>
    <t>540409</t>
  </si>
  <si>
    <t>540410</t>
  </si>
  <si>
    <t>540501</t>
  </si>
  <si>
    <t>550101</t>
  </si>
  <si>
    <t>550102</t>
  </si>
  <si>
    <t>550103</t>
  </si>
  <si>
    <t>550201</t>
  </si>
  <si>
    <t>550202</t>
  </si>
  <si>
    <t>550203</t>
  </si>
  <si>
    <t>570101</t>
  </si>
  <si>
    <t>910101</t>
  </si>
  <si>
    <t>910102</t>
  </si>
  <si>
    <t>910103</t>
  </si>
  <si>
    <t>910104</t>
  </si>
  <si>
    <t>13060301;13060308</t>
  </si>
  <si>
    <t>150301;150303;150304;150305;150306;150307;150311;150312;150314;150316</t>
  </si>
  <si>
    <t>150501;150502;150503;15050401;15050402;15050403;15050404;15050405;15050406;15050407;15050408;15050409;15050410;15050411;15050412;15050413;15050414;150505;150506;15050701;15050702;15050703;15050704;15050705;15050706;15050707;15050708;15050709;15050710;15050711;15050712</t>
  </si>
  <si>
    <t>16070501;24020301</t>
  </si>
  <si>
    <t>21020101;21020102</t>
  </si>
  <si>
    <t>220312;23070503</t>
  </si>
  <si>
    <t>23020208;230904</t>
  </si>
  <si>
    <t>23050201;23050202;23050205;23050207</t>
  </si>
  <si>
    <t>23050301;23050302;23050305;23050307</t>
  </si>
  <si>
    <t>2310010106;2310010107;2310010110;2310010111</t>
  </si>
  <si>
    <t>24020101;24020102;24020103;24020104;24020105;24020106;24020107;24020201;24020202</t>
  </si>
  <si>
    <t>320102;320105</t>
  </si>
  <si>
    <t>410501;51030201;510303</t>
  </si>
  <si>
    <t>410502;510305;510306</t>
  </si>
  <si>
    <t>420203;420203</t>
  </si>
  <si>
    <t>421001;421002</t>
  </si>
  <si>
    <t>51040101;51040301</t>
  </si>
  <si>
    <t>51040102;51040302</t>
  </si>
  <si>
    <t>52010101;52010108</t>
  </si>
  <si>
    <t>52010103;52010104</t>
  </si>
  <si>
    <t>52010224;52010225</t>
  </si>
  <si>
    <t>520308;520309;520315</t>
  </si>
  <si>
    <t>520311;520801</t>
  </si>
  <si>
    <t>521206;521207</t>
  </si>
  <si>
    <t>522001;522003</t>
  </si>
  <si>
    <t>520015;520023</t>
  </si>
  <si>
    <t>530105;LTOPAT</t>
  </si>
  <si>
    <t>21020101;LTOPAT</t>
  </si>
  <si>
    <t>5305040101;5305040102;5305040103</t>
  </si>
  <si>
    <t>53050405;53050418</t>
  </si>
  <si>
    <t>SUN Code</t>
  </si>
  <si>
    <t>Y</t>
  </si>
  <si>
    <t>Y/Reserve</t>
  </si>
  <si>
    <t>16070101;16070102;16070103;16070104;16070105;16070106;16070107;16070109;16070301;16070401;16070402;160706;16070501</t>
  </si>
  <si>
    <t>A</t>
    <phoneticPr fontId="4" type="noConversion"/>
  </si>
  <si>
    <t>I</t>
    <phoneticPr fontId="4" type="noConversion"/>
  </si>
  <si>
    <t>OLD CAS</t>
    <phoneticPr fontId="4" type="noConversion"/>
  </si>
  <si>
    <r>
      <rPr>
        <sz val="9"/>
        <color theme="1"/>
        <rFont val="宋体"/>
        <family val="2"/>
        <charset val="134"/>
      </rPr>
      <t>重复次数</t>
    </r>
    <phoneticPr fontId="4" type="noConversion"/>
  </si>
  <si>
    <r>
      <rPr>
        <sz val="9"/>
        <color theme="1"/>
        <rFont val="宋体"/>
        <family val="2"/>
        <charset val="134"/>
      </rPr>
      <t>仅</t>
    </r>
    <r>
      <rPr>
        <sz val="9"/>
        <color theme="1"/>
        <rFont val="Arial"/>
        <family val="2"/>
      </rPr>
      <t>I</t>
    </r>
    <r>
      <rPr>
        <sz val="9"/>
        <color theme="1"/>
        <rFont val="宋体"/>
        <family val="2"/>
        <charset val="134"/>
      </rPr>
      <t>档有数的科目</t>
    </r>
    <phoneticPr fontId="4" type="noConversion"/>
  </si>
  <si>
    <t>ACCT_CD</t>
  </si>
  <si>
    <t>IFRS_CD</t>
  </si>
  <si>
    <t>BYLINE_CD</t>
  </si>
  <si>
    <t>IS02000000</t>
  </si>
  <si>
    <t>IBY0000</t>
  </si>
  <si>
    <t>IS05082000</t>
  </si>
  <si>
    <t>IBY5411</t>
  </si>
  <si>
    <t>IS04010000</t>
  </si>
  <si>
    <t>IBY1221</t>
  </si>
  <si>
    <t>IS02081100</t>
  </si>
  <si>
    <t>IBY5431</t>
  </si>
  <si>
    <t>IBY5421</t>
  </si>
  <si>
    <t>IBY1121</t>
  </si>
  <si>
    <t>IS01220000</t>
  </si>
  <si>
    <t>IS05081000</t>
  </si>
  <si>
    <t>IBY5212</t>
  </si>
  <si>
    <t>IS01070000</t>
  </si>
  <si>
    <t>IS05031000</t>
  </si>
  <si>
    <t>IBY4111</t>
  </si>
  <si>
    <t>IBY5211</t>
  </si>
  <si>
    <t>IS01160000</t>
  </si>
  <si>
    <t>IS05013000</t>
  </si>
  <si>
    <t>IBY3221</t>
  </si>
  <si>
    <t>IBY2411</t>
  </si>
  <si>
    <t>IBY3121</t>
  </si>
  <si>
    <t>IS01060000</t>
  </si>
  <si>
    <t>IS05040000</t>
  </si>
  <si>
    <t>IBY4313</t>
  </si>
  <si>
    <t>IS05032000</t>
  </si>
  <si>
    <t>IS03031000</t>
  </si>
  <si>
    <t>IS05020000</t>
  </si>
  <si>
    <t>IBY4312</t>
  </si>
  <si>
    <t>IS02010000</t>
  </si>
  <si>
    <t>IS05014000</t>
  </si>
  <si>
    <t>AMOUNT</t>
  </si>
  <si>
    <t>Row Labels</t>
  </si>
  <si>
    <t>(blank)</t>
  </si>
  <si>
    <t>Grand Total</t>
  </si>
  <si>
    <t>Sum of AMOUNT</t>
  </si>
  <si>
    <t>备注</t>
    <phoneticPr fontId="4" type="noConversion"/>
  </si>
  <si>
    <t>ETL Scope</t>
    <phoneticPr fontId="4" type="noConversion"/>
  </si>
  <si>
    <t>Y / ETL Scope</t>
  </si>
  <si>
    <t>其他应收款-保险-退保手续费</t>
  </si>
  <si>
    <t>应收分保长期健康险责任准备金</t>
  </si>
  <si>
    <t>递延所得税资产-报表重分类</t>
  </si>
  <si>
    <t>未决赔款准备金-已发未报</t>
  </si>
  <si>
    <t>应付手续费-中行托管费</t>
  </si>
  <si>
    <t>应付手续费-兼业代理</t>
  </si>
  <si>
    <t>应付手续费-花旗银保手续费</t>
  </si>
  <si>
    <t>应付佣金-营销员奖金及福利</t>
  </si>
  <si>
    <t>应付佣金-主管奖金及福利</t>
  </si>
  <si>
    <t>应付佣金-营销员公积金-已归属</t>
  </si>
  <si>
    <t>应付职工薪酬-社保-医疗保险</t>
  </si>
  <si>
    <t>应付职工薪酬-社保-基本养老保险</t>
  </si>
  <si>
    <t>应付职工薪酬-社保-工伤保险</t>
  </si>
  <si>
    <t>应付职工薪酬-社保-生育保险</t>
  </si>
  <si>
    <t>应付职工薪酬-住房公积金</t>
  </si>
  <si>
    <t>应交教育费附加-境外付汇</t>
  </si>
  <si>
    <t>应交个人所得税-员工</t>
  </si>
  <si>
    <t>应交个人所得税-营销员及主管</t>
  </si>
  <si>
    <t>提取未到期责任准备金</t>
  </si>
  <si>
    <t xml:space="preserve">摊回分保未到期责任准备金 </t>
  </si>
  <si>
    <t>营业外收入-资产处置收入</t>
  </si>
  <si>
    <t>赔付支出-生存现金给付</t>
  </si>
  <si>
    <t>税金及附加-印花税</t>
  </si>
  <si>
    <t>佣金支出-间接-新人培训津贴-首年</t>
  </si>
  <si>
    <t>佣金支出-间接-营销员季度奖-首年</t>
  </si>
  <si>
    <t>佣金支出-间接-LIC每月业绩奖金-首年</t>
  </si>
  <si>
    <t>佣金支出-间接-保全员特别奖金-首年</t>
  </si>
  <si>
    <t>佣金支出-间接-见习处经理特别津贴-首年</t>
  </si>
  <si>
    <t>佣金支出-间接-DA津贴-首年</t>
  </si>
  <si>
    <t>佣金支出-间接-营业部业绩增长奖金-首年</t>
  </si>
  <si>
    <t>佣金支出-间接-卓越总监奖-首年</t>
  </si>
  <si>
    <t>递延保单获取成本-VEA递延(IFRS)</t>
  </si>
  <si>
    <t>递延保单获取成本-GOE递延(IFRS)</t>
  </si>
  <si>
    <t>递延保单获取成本-摊销(IFRS)</t>
  </si>
  <si>
    <t>递延保单获取成本-未赚佣金变动(IFRS)</t>
  </si>
  <si>
    <t>递延保单获取成本-分保未赚佣金变动(IFRS)</t>
  </si>
  <si>
    <t>递延保单获取成本-花旗签约费递延(IFRS)</t>
  </si>
  <si>
    <t>递延保单获取成本-花旗服务费递延(IFRS)</t>
  </si>
  <si>
    <t>递延保单获取成本-花旗签约费摊销(IFRS)</t>
  </si>
  <si>
    <t>递延保单获取成本-花旗服务费摊销(IFRS)</t>
  </si>
  <si>
    <t>摊回分保纯益手续费-首年</t>
  </si>
  <si>
    <t>投连万能业务规模保费-续期(Old)</t>
  </si>
  <si>
    <t>投连万能业务规模保费-趸缴(Old)</t>
  </si>
  <si>
    <t>投连万能业务规模保费-追加(Old)</t>
  </si>
  <si>
    <t>保户储金业务规模保费-续期(Old)</t>
  </si>
  <si>
    <t>其他业务成本-佣金支出-间接-趸缴-保户储金</t>
  </si>
  <si>
    <t>投连万能业务退保金(Old)</t>
  </si>
  <si>
    <t>投连万能业务退保金-死伤医疗给付(Old)</t>
  </si>
  <si>
    <t>投连万能业务退保金-年金给付(Old)</t>
  </si>
  <si>
    <t>保户储金业务退保金(Old)</t>
  </si>
  <si>
    <t>投连万能业务账户价值变动-规模保费(Old)</t>
  </si>
  <si>
    <t>其他业务成本-投资合同-支付大额奖金</t>
  </si>
  <si>
    <t>其他业务成本-投资合同-摊销大额奖金(IFRS)</t>
  </si>
  <si>
    <t>投连万能业务账户价值变动-退保金(Old)</t>
  </si>
  <si>
    <t>其他业务成本-投资合同-成员盈利分配</t>
  </si>
  <si>
    <t>其他业务成本-投资合同-公共账户盈利分配</t>
  </si>
  <si>
    <t>保户储金业务账户价值变动-规模保费(Old)</t>
  </si>
  <si>
    <t>保户储金业务账户价值变动-退保金(Old)</t>
  </si>
  <si>
    <t>长期营运溢利-抵消(IFRS)</t>
  </si>
  <si>
    <t>递延所得税-权益投资预期资本增值(IFRS)</t>
  </si>
  <si>
    <t>营业外收入-保险-退费</t>
  </si>
  <si>
    <t>营业外收入-保险-赔款支出/死伤医疗给付</t>
  </si>
  <si>
    <t>营业外收入-保险-年金给付</t>
  </si>
  <si>
    <t>营业外收入-保险-退保</t>
  </si>
  <si>
    <t>营业外收入-保险-红利</t>
  </si>
  <si>
    <t>营业外收入-保险-满期给付</t>
  </si>
  <si>
    <t>其他应付款-保险-挂账-OLAS/IGM划转</t>
  </si>
  <si>
    <t>其他应付款-保险-挂账-保单变更</t>
  </si>
  <si>
    <t>其他应付款-保险-挂账-止付暂存</t>
  </si>
  <si>
    <t>其他应付款-保险-团体万能未归属利益</t>
  </si>
  <si>
    <t>其他应付款-保险-挂账-系统不平</t>
  </si>
  <si>
    <t>其他应付款-保险-挂账-系统尾差</t>
  </si>
  <si>
    <t>其他应付款-保险-挂账-系统信息不全</t>
  </si>
  <si>
    <t>其他应付款-保险-挂账-银行</t>
  </si>
  <si>
    <t>其他应付款-保险-主管风险基金</t>
  </si>
  <si>
    <t>其他应付款-保险-单证保证金</t>
  </si>
  <si>
    <t>其他应付款-保险-无主保单</t>
  </si>
  <si>
    <t>其他应付款-保险-应退保单工本费</t>
  </si>
  <si>
    <t>其他应付款-保险-保险保障基金</t>
  </si>
  <si>
    <t>其他应付款-保险-其他应付款</t>
  </si>
  <si>
    <t>其他应付款-保险-营销员补充养老金-未归属</t>
  </si>
  <si>
    <t>其他应付款-保险-主管补充养老金-未归属</t>
  </si>
  <si>
    <t>其他应付款-保险-MOM津贴</t>
  </si>
  <si>
    <t>其他应付款-保险-礼品</t>
  </si>
  <si>
    <t>NA</t>
    <phoneticPr fontId="4" type="noConversion"/>
  </si>
  <si>
    <t>Y</t>
    <phoneticPr fontId="4" type="noConversion"/>
  </si>
  <si>
    <t>NA</t>
    <phoneticPr fontId="4" type="noConversion"/>
  </si>
  <si>
    <t>Y</t>
    <phoneticPr fontId="4" type="noConversion"/>
  </si>
  <si>
    <t>NA</t>
    <phoneticPr fontId="4" type="noConversion"/>
  </si>
  <si>
    <t>Y/Reserve</t>
    <phoneticPr fontId="4" type="noConversion"/>
  </si>
  <si>
    <t>NA</t>
    <phoneticPr fontId="4" type="noConversion"/>
  </si>
  <si>
    <t>Y</t>
    <phoneticPr fontId="4" type="noConversion"/>
  </si>
  <si>
    <t>Y</t>
    <phoneticPr fontId="4" type="noConversion"/>
  </si>
  <si>
    <t>NA</t>
    <phoneticPr fontId="4" type="noConversion"/>
  </si>
  <si>
    <t>Y</t>
    <phoneticPr fontId="4" type="noConversion"/>
  </si>
  <si>
    <t>NA</t>
    <phoneticPr fontId="4" type="noConversion"/>
  </si>
  <si>
    <t>Y</t>
    <phoneticPr fontId="4" type="noConversion"/>
  </si>
  <si>
    <t>NA</t>
    <phoneticPr fontId="4" type="noConversion"/>
  </si>
  <si>
    <t>GCOA</t>
    <phoneticPr fontId="4" type="noConversion"/>
  </si>
  <si>
    <t>其他资本公积</t>
  </si>
  <si>
    <t>5105010104;5105020104;5105030104</t>
    <phoneticPr fontId="4" type="noConversion"/>
  </si>
  <si>
    <t>23050204;23050304;23050104</t>
    <phoneticPr fontId="4" type="noConversion"/>
  </si>
  <si>
    <t>FAM</t>
    <phoneticPr fontId="4" type="noConversion"/>
  </si>
  <si>
    <t>Y</t>
    <phoneticPr fontId="4" type="noConversion"/>
  </si>
  <si>
    <t>NA</t>
    <phoneticPr fontId="4" type="noConversion"/>
  </si>
  <si>
    <t>B100000110</t>
  </si>
  <si>
    <t>B100000103</t>
  </si>
  <si>
    <t>B100000104</t>
  </si>
  <si>
    <t>B100000105</t>
  </si>
  <si>
    <t>B100000106</t>
  </si>
  <si>
    <t>B100000107</t>
  </si>
  <si>
    <t>B100000108</t>
  </si>
  <si>
    <t>B100000109</t>
  </si>
  <si>
    <t>B100000111</t>
  </si>
  <si>
    <t>B100000112</t>
  </si>
  <si>
    <t>B100000113</t>
  </si>
  <si>
    <t>B10000</t>
  </si>
  <si>
    <t>Account Category</t>
  </si>
  <si>
    <t>Value Range</t>
  </si>
  <si>
    <t>Chart of Accounts</t>
  </si>
  <si>
    <t>Account Group</t>
  </si>
  <si>
    <t>From G/L account</t>
  </si>
  <si>
    <t>To G/L account</t>
  </si>
  <si>
    <t>Meaning</t>
  </si>
  <si>
    <t>BPC ByLine (IFRS)</t>
  </si>
  <si>
    <t>Segment</t>
  </si>
  <si>
    <t>BPC ByLine (IFRS) Description</t>
  </si>
  <si>
    <t>IRBY</t>
  </si>
  <si>
    <t>IRBY name</t>
  </si>
  <si>
    <t>T1X2</t>
  </si>
  <si>
    <t>T1X2 des</t>
  </si>
  <si>
    <t>INS/INV</t>
  </si>
  <si>
    <t>1.     Assets</t>
  </si>
  <si>
    <t xml:space="preserve">100000 – 299999 </t>
  </si>
  <si>
    <t>AIA</t>
  </si>
  <si>
    <t>10</t>
  </si>
  <si>
    <t>100000</t>
  </si>
  <si>
    <t>109999</t>
  </si>
  <si>
    <t>10 Debit Securities</t>
  </si>
  <si>
    <t>IBY1111</t>
  </si>
  <si>
    <t>All</t>
  </si>
  <si>
    <t>Premium - FY</t>
  </si>
  <si>
    <t>IRBY1110</t>
  </si>
  <si>
    <t>Premium - First Year</t>
  </si>
  <si>
    <t>CL</t>
  </si>
  <si>
    <t>Credit Life</t>
  </si>
  <si>
    <t>INS</t>
  </si>
  <si>
    <t>2.     Liabilities</t>
  </si>
  <si>
    <t>300000 – 449999</t>
  </si>
  <si>
    <t>11</t>
  </si>
  <si>
    <t>110000</t>
  </si>
  <si>
    <t>119999</t>
  </si>
  <si>
    <t>11 Deposits and Short Term Inv</t>
  </si>
  <si>
    <t>IBY1211</t>
  </si>
  <si>
    <t>Premium - Ren</t>
  </si>
  <si>
    <t>IRBY1210</t>
  </si>
  <si>
    <t>Premium - Renewal</t>
  </si>
  <si>
    <t>DA</t>
  </si>
  <si>
    <t>Pension UL</t>
  </si>
  <si>
    <t>3.     Equities</t>
  </si>
  <si>
    <t xml:space="preserve">450000 – 499999 </t>
  </si>
  <si>
    <t>12</t>
  </si>
  <si>
    <t>120000</t>
  </si>
  <si>
    <t>129999</t>
  </si>
  <si>
    <t>12 Loans and Receivables</t>
  </si>
  <si>
    <t>IBY1311</t>
  </si>
  <si>
    <t>Premium - Single</t>
  </si>
  <si>
    <t>IRBY1300</t>
  </si>
  <si>
    <t>DB</t>
  </si>
  <si>
    <t>Pension ILP</t>
  </si>
  <si>
    <t>4.     Insurance Revenue</t>
  </si>
  <si>
    <t xml:space="preserve">500000 – 599999 </t>
  </si>
  <si>
    <t>13</t>
  </si>
  <si>
    <t>130000</t>
  </si>
  <si>
    <t>139999</t>
  </si>
  <si>
    <t>13 Derivative Assets</t>
  </si>
  <si>
    <t>IBY2111</t>
  </si>
  <si>
    <t>Inward Reins - Premium - First Year</t>
  </si>
  <si>
    <t>IRBY2100</t>
  </si>
  <si>
    <t>Inward reins</t>
  </si>
  <si>
    <t>DF</t>
  </si>
  <si>
    <t>Deferrd Fixed Annuity</t>
  </si>
  <si>
    <t>5.     Insurance Expenses</t>
  </si>
  <si>
    <t xml:space="preserve">600000 – 699999 </t>
  </si>
  <si>
    <t>14</t>
  </si>
  <si>
    <t>140000</t>
  </si>
  <si>
    <t>149999</t>
  </si>
  <si>
    <t>14 Equity securities</t>
  </si>
  <si>
    <t>IBY2121</t>
  </si>
  <si>
    <t>Inward Reins - Premium - Renewal</t>
  </si>
  <si>
    <t>DV</t>
  </si>
  <si>
    <t>Deferrd Variable Annuity</t>
  </si>
  <si>
    <t>6.     Investment Revenue</t>
  </si>
  <si>
    <t xml:space="preserve">700000 – 729999 </t>
  </si>
  <si>
    <t>15</t>
  </si>
  <si>
    <t>150000</t>
  </si>
  <si>
    <t>159999</t>
  </si>
  <si>
    <t>15 Separate &amp; Var acct assets</t>
  </si>
  <si>
    <t>IBY2131</t>
  </si>
  <si>
    <t>Inward Reins - Premium - Single</t>
  </si>
  <si>
    <t>FA</t>
  </si>
  <si>
    <t>IRS-OL</t>
  </si>
  <si>
    <t>7.     Gains and Losses</t>
  </si>
  <si>
    <t xml:space="preserve">730000 – 789999 </t>
  </si>
  <si>
    <t>20</t>
  </si>
  <si>
    <t>200000</t>
  </si>
  <si>
    <t>209999</t>
  </si>
  <si>
    <t>20 Property, Plant &amp; Equipment</t>
  </si>
  <si>
    <t>IBY2211</t>
  </si>
  <si>
    <t>Outward Reins - First Year</t>
  </si>
  <si>
    <t>IRBY2200</t>
  </si>
  <si>
    <t>Outward reins</t>
  </si>
  <si>
    <t>GA</t>
  </si>
  <si>
    <t>Group Accident</t>
  </si>
  <si>
    <t>8.     Investment  Expenses</t>
  </si>
  <si>
    <t xml:space="preserve">790000 – 791999 </t>
  </si>
  <si>
    <t>21</t>
  </si>
  <si>
    <t>210000</t>
  </si>
  <si>
    <t>219999</t>
  </si>
  <si>
    <t>21 Investment Real Estate</t>
  </si>
  <si>
    <t>IBY2221</t>
  </si>
  <si>
    <t>Outward Reins - Renewal</t>
  </si>
  <si>
    <t>GL</t>
  </si>
  <si>
    <t>Group Life</t>
  </si>
  <si>
    <t>9.     Foreign Currency Translation</t>
  </si>
  <si>
    <t xml:space="preserve">798000 – 799999 </t>
  </si>
  <si>
    <t>22</t>
  </si>
  <si>
    <t>220000</t>
  </si>
  <si>
    <t>229999</t>
  </si>
  <si>
    <t>22 Intangible assets</t>
  </si>
  <si>
    <t>IBY2231</t>
  </si>
  <si>
    <t>Outward Reins - Single</t>
  </si>
  <si>
    <t>GM</t>
  </si>
  <si>
    <t>Group Medical</t>
  </si>
  <si>
    <t>10.  General and Operating Expenses (GOE)</t>
  </si>
  <si>
    <t>800000 – 879999</t>
  </si>
  <si>
    <t>23</t>
  </si>
  <si>
    <t>230000</t>
  </si>
  <si>
    <t>239999</t>
  </si>
  <si>
    <t>23 Investment in Associates</t>
  </si>
  <si>
    <t>Premium - FY Due</t>
  </si>
  <si>
    <t>IRBY1120</t>
  </si>
  <si>
    <t>Premium - First Year - Due</t>
  </si>
  <si>
    <t>GP</t>
  </si>
  <si>
    <t>Group Permanent UL</t>
  </si>
  <si>
    <t>11.  Taxes</t>
  </si>
  <si>
    <t xml:space="preserve">880000 – 889999 </t>
  </si>
  <si>
    <t>24</t>
  </si>
  <si>
    <t>240000</t>
  </si>
  <si>
    <t>249999</t>
  </si>
  <si>
    <t>24 Investment in Subsidiaries</t>
  </si>
  <si>
    <t>Premium - Ren Due</t>
  </si>
  <si>
    <t>IRBY1220</t>
  </si>
  <si>
    <t>Premium - Renewal - Due</t>
  </si>
  <si>
    <t>GQ</t>
  </si>
  <si>
    <t>Group Permanent ILP</t>
  </si>
  <si>
    <t>12.  Other Expenses</t>
  </si>
  <si>
    <t>890000 – 899999 (Except for 899000)</t>
  </si>
  <si>
    <t>25</t>
  </si>
  <si>
    <t>250000</t>
  </si>
  <si>
    <t>259999</t>
  </si>
  <si>
    <t>25 Trade Receivables</t>
  </si>
  <si>
    <t>IBY2112</t>
  </si>
  <si>
    <t>Inward Reins - Profit com - First Year</t>
  </si>
  <si>
    <t>MG</t>
  </si>
  <si>
    <t>Mortgage</t>
  </si>
  <si>
    <t>13.  Dividend to Shareholders</t>
  </si>
  <si>
    <t>26</t>
  </si>
  <si>
    <t>260000</t>
  </si>
  <si>
    <t>269999</t>
  </si>
  <si>
    <t>26 Accrued Investment Income</t>
  </si>
  <si>
    <t>IBY2122</t>
  </si>
  <si>
    <t>Inward Reins - Profit Commission - Renewal</t>
  </si>
  <si>
    <t>OL</t>
  </si>
  <si>
    <t>Ordinary Life</t>
  </si>
  <si>
    <t>14.  Control and Suspense</t>
  </si>
  <si>
    <t xml:space="preserve">900000 – 999999 </t>
  </si>
  <si>
    <t>27</t>
  </si>
  <si>
    <t>270000</t>
  </si>
  <si>
    <t>279999</t>
  </si>
  <si>
    <t>27 Other Assets</t>
  </si>
  <si>
    <t>IBY2132</t>
  </si>
  <si>
    <t>Inward Reins - Profit Commission - Single</t>
  </si>
  <si>
    <t>HN</t>
  </si>
  <si>
    <t>HNW-Npar</t>
  </si>
  <si>
    <t>28</t>
  </si>
  <si>
    <t>280000</t>
  </si>
  <si>
    <t>289999</t>
  </si>
  <si>
    <t>28 Cash &amp; cash equivalents</t>
  </si>
  <si>
    <t>IBY2212</t>
  </si>
  <si>
    <t>Outward Reins - Profit com - First Year</t>
  </si>
  <si>
    <t>HP</t>
  </si>
  <si>
    <t>HNW-par</t>
  </si>
  <si>
    <t>29</t>
  </si>
  <si>
    <t>290000</t>
  </si>
  <si>
    <t>299999</t>
  </si>
  <si>
    <t>29 Assets Held For Sales</t>
  </si>
  <si>
    <t>IBY2222</t>
  </si>
  <si>
    <t>Outward Reins - Profit com - Renewal</t>
  </si>
  <si>
    <t>HO</t>
  </si>
  <si>
    <t>HNW-par(PH 90%)</t>
  </si>
  <si>
    <t>30</t>
  </si>
  <si>
    <t>300000</t>
  </si>
  <si>
    <t>309999</t>
  </si>
  <si>
    <t>30 Insurance Contracts Liab</t>
  </si>
  <si>
    <t>IBY2232</t>
  </si>
  <si>
    <t>Outward Reins - Profit com - Single</t>
  </si>
  <si>
    <t>PA</t>
  </si>
  <si>
    <t>Personal Accident</t>
  </si>
  <si>
    <t>31</t>
  </si>
  <si>
    <t>310000</t>
  </si>
  <si>
    <t>319999</t>
  </si>
  <si>
    <t>31 Future Policy Benefit Liab</t>
  </si>
  <si>
    <t>Change in Insurance Contract Liabilities - Direct</t>
  </si>
  <si>
    <t>IRBY4110</t>
  </si>
  <si>
    <t>Change in insurance contract liabilities</t>
  </si>
  <si>
    <t>UL</t>
  </si>
  <si>
    <t>Universal Life</t>
  </si>
  <si>
    <t>35</t>
  </si>
  <si>
    <t>350000</t>
  </si>
  <si>
    <t>359999</t>
  </si>
  <si>
    <t>35 Policyholders' Contract Dep</t>
  </si>
  <si>
    <t>IBY2311</t>
  </si>
  <si>
    <t>Fee Income</t>
  </si>
  <si>
    <t>IRBY2300</t>
  </si>
  <si>
    <t>Expected fee income</t>
  </si>
  <si>
    <t>UA</t>
  </si>
  <si>
    <t>UL-UCX1501</t>
  </si>
  <si>
    <t>37</t>
  </si>
  <si>
    <t>370000</t>
  </si>
  <si>
    <t>379999</t>
  </si>
  <si>
    <t>37 Other Policyholders' Funds</t>
  </si>
  <si>
    <t>IBY3411</t>
  </si>
  <si>
    <t>Surrenders - Direct</t>
  </si>
  <si>
    <t>IRBY3400</t>
  </si>
  <si>
    <t>Surrenders</t>
  </si>
  <si>
    <t>IL</t>
  </si>
  <si>
    <t>Investment Linked</t>
  </si>
  <si>
    <t>38</t>
  </si>
  <si>
    <t>380000</t>
  </si>
  <si>
    <t>399999</t>
  </si>
  <si>
    <t>38 Unearned revenues; reserves</t>
  </si>
  <si>
    <t>Premium (Reserves)</t>
  </si>
  <si>
    <t>IRBY2400</t>
  </si>
  <si>
    <t>Premium (reserves)</t>
  </si>
  <si>
    <t>VA</t>
  </si>
  <si>
    <t>IRS-UL</t>
  </si>
  <si>
    <t>40</t>
  </si>
  <si>
    <t>400000</t>
  </si>
  <si>
    <t>409999</t>
  </si>
  <si>
    <t>40 Financial Liabilities</t>
  </si>
  <si>
    <t>IBY2511</t>
  </si>
  <si>
    <t>Other Revenue</t>
  </si>
  <si>
    <t>IRBY2500</t>
  </si>
  <si>
    <t>Other revenue</t>
  </si>
  <si>
    <t>OX</t>
  </si>
  <si>
    <t>OL PAR</t>
  </si>
  <si>
    <t>41</t>
  </si>
  <si>
    <t>410000</t>
  </si>
  <si>
    <t>419999</t>
  </si>
  <si>
    <t>41 Tax Liabilities</t>
  </si>
  <si>
    <t>IBY3111</t>
  </si>
  <si>
    <t>Claims - Direct</t>
  </si>
  <si>
    <t>IRBY3110</t>
  </si>
  <si>
    <t>Claims</t>
  </si>
  <si>
    <t>OS</t>
  </si>
  <si>
    <t>OL PAR(SPE)</t>
  </si>
  <si>
    <t>42</t>
  </si>
  <si>
    <t>420000</t>
  </si>
  <si>
    <t>429999</t>
  </si>
  <si>
    <t>42 Trade &amp; Other Payables</t>
  </si>
  <si>
    <t>IBY3131</t>
  </si>
  <si>
    <t>Inward Reins Claims</t>
  </si>
  <si>
    <t>IRBY3130</t>
  </si>
  <si>
    <t>Inward reins. claims</t>
  </si>
  <si>
    <t>HA</t>
  </si>
  <si>
    <t>HNW/HEM-PA</t>
  </si>
  <si>
    <t>43</t>
  </si>
  <si>
    <t>430000</t>
  </si>
  <si>
    <t>439999</t>
  </si>
  <si>
    <t>43 Provisions</t>
  </si>
  <si>
    <t>IBY4311</t>
  </si>
  <si>
    <t>Outward Reins. Claims</t>
  </si>
  <si>
    <t>IRBY4311</t>
  </si>
  <si>
    <t>Outward Reins. claims</t>
  </si>
  <si>
    <t>CK</t>
  </si>
  <si>
    <t>Common Stock - offshore (non H share)</t>
  </si>
  <si>
    <t>INV</t>
  </si>
  <si>
    <t>44</t>
  </si>
  <si>
    <t>440000</t>
  </si>
  <si>
    <t>449999</t>
  </si>
  <si>
    <t>44 Liabilities held for sale</t>
  </si>
  <si>
    <t>Claims (Reserves) - Direct</t>
  </si>
  <si>
    <t>IRBY3120</t>
  </si>
  <si>
    <t>Claims (reserves)</t>
  </si>
  <si>
    <t>CA</t>
  </si>
  <si>
    <t>Common Stock-A-Share</t>
  </si>
  <si>
    <t>45</t>
  </si>
  <si>
    <t>450000</t>
  </si>
  <si>
    <t>459999</t>
  </si>
  <si>
    <t>45 Share capital</t>
  </si>
  <si>
    <t>IBY3141</t>
  </si>
  <si>
    <t>Inward Reins Claims (Reserves)</t>
  </si>
  <si>
    <t>IRBY3140</t>
  </si>
  <si>
    <t>Inward reins. claims (reserves)</t>
  </si>
  <si>
    <t>CH</t>
  </si>
  <si>
    <t>Common Stock-offshore H-Share</t>
  </si>
  <si>
    <t>46</t>
  </si>
  <si>
    <t>460000</t>
  </si>
  <si>
    <t>469999</t>
  </si>
  <si>
    <t>46 Other comprehensive income</t>
  </si>
  <si>
    <t>Outward Reins. Claims (Reserves)</t>
  </si>
  <si>
    <t>IRBY4312</t>
  </si>
  <si>
    <t>Outward Reins. claims (reserves)</t>
  </si>
  <si>
    <t>CX</t>
  </si>
  <si>
    <t>Corp/Fixed</t>
  </si>
  <si>
    <t>47</t>
  </si>
  <si>
    <t>470000</t>
  </si>
  <si>
    <t>479999</t>
  </si>
  <si>
    <t>47 Retained Earnings</t>
  </si>
  <si>
    <t>IBY3511</t>
  </si>
  <si>
    <t>Maturities - Direct</t>
  </si>
  <si>
    <t>IRBY3500</t>
  </si>
  <si>
    <t>Maturities</t>
  </si>
  <si>
    <t>CF</t>
  </si>
  <si>
    <t>Corp/Floating</t>
  </si>
  <si>
    <t>48</t>
  </si>
  <si>
    <t>480000</t>
  </si>
  <si>
    <t>489999</t>
  </si>
  <si>
    <t>48 Treasury Stock</t>
  </si>
  <si>
    <t>IBY3211</t>
  </si>
  <si>
    <t>Dividends, Rating Refunds - Direct</t>
  </si>
  <si>
    <t>IRBY3210</t>
  </si>
  <si>
    <t>Div, rating refunds, sales inducement asset</t>
  </si>
  <si>
    <t>GB</t>
  </si>
  <si>
    <t>Government</t>
  </si>
  <si>
    <t>49</t>
  </si>
  <si>
    <t>490000</t>
  </si>
  <si>
    <t>499999</t>
  </si>
  <si>
    <t>49 Non-controling interest</t>
  </si>
  <si>
    <t>IBY3513</t>
  </si>
  <si>
    <t>Maturities - Outward</t>
  </si>
  <si>
    <t>IB</t>
  </si>
  <si>
    <t>Infrastruction Bond</t>
  </si>
  <si>
    <t>50</t>
  </si>
  <si>
    <t>500000</t>
  </si>
  <si>
    <t>589999</t>
  </si>
  <si>
    <t>50 Gross Premium</t>
  </si>
  <si>
    <t>IBY3413</t>
  </si>
  <si>
    <t>Surrenders - Outward</t>
  </si>
  <si>
    <t>MF</t>
  </si>
  <si>
    <t>Mutual Fund</t>
  </si>
  <si>
    <t>59</t>
  </si>
  <si>
    <t>590000</t>
  </si>
  <si>
    <t>599999</t>
  </si>
  <si>
    <t>59 Other Revenue</t>
  </si>
  <si>
    <t>IBY3213</t>
  </si>
  <si>
    <t>Dividends, Rating Refunds - Outward</t>
  </si>
  <si>
    <t>RP</t>
  </si>
  <si>
    <t>Repo</t>
  </si>
  <si>
    <t>60</t>
  </si>
  <si>
    <t>600000</t>
  </si>
  <si>
    <t>609999</t>
  </si>
  <si>
    <t>60 Change in Policy and Contr</t>
  </si>
  <si>
    <t>Div, Rating Refunds (Reserves) - Direct</t>
  </si>
  <si>
    <t>IRBY3220</t>
  </si>
  <si>
    <t>Div, rating refunds, sales inducement asset (reserves)</t>
  </si>
  <si>
    <t>NL</t>
  </si>
  <si>
    <t>Negotiable Deposit &gt; 1 year</t>
  </si>
  <si>
    <t>61</t>
  </si>
  <si>
    <t>610000</t>
  </si>
  <si>
    <t>629999</t>
  </si>
  <si>
    <t>61 Change in Future Policy Ben</t>
  </si>
  <si>
    <t>IBY3222</t>
  </si>
  <si>
    <t>Div, Rating Refunds (Reserves) - Inward</t>
  </si>
  <si>
    <t>FB</t>
  </si>
  <si>
    <t>Financial bond</t>
  </si>
  <si>
    <t>66</t>
  </si>
  <si>
    <t>660000</t>
  </si>
  <si>
    <t>669999</t>
  </si>
  <si>
    <t>66 Commissions</t>
  </si>
  <si>
    <t>IBY3223</t>
  </si>
  <si>
    <t>Div, Rating Refunds (Reserves) - Outward</t>
  </si>
  <si>
    <t>MM</t>
  </si>
  <si>
    <t>Money market fund</t>
  </si>
  <si>
    <t>67</t>
  </si>
  <si>
    <t>670000</t>
  </si>
  <si>
    <t>679999</t>
  </si>
  <si>
    <t>67 Change in Deferred Acq Cost</t>
  </si>
  <si>
    <t>IBY3311</t>
  </si>
  <si>
    <t>Interest on DA - Direct</t>
  </si>
  <si>
    <t>IRBY3300</t>
  </si>
  <si>
    <t>Interest on DA / interest credited</t>
  </si>
  <si>
    <t>FD</t>
  </si>
  <si>
    <t>Fixed deposit</t>
  </si>
  <si>
    <t>69</t>
  </si>
  <si>
    <t>690000</t>
  </si>
  <si>
    <t>699999</t>
  </si>
  <si>
    <t>69 Other Acquisition Costs</t>
  </si>
  <si>
    <t>IBY4112</t>
  </si>
  <si>
    <t>Change in Insurance Contract Liabilities - Inward</t>
  </si>
  <si>
    <t>CM</t>
  </si>
  <si>
    <t>Common Stock-ILP related</t>
  </si>
  <si>
    <t>70</t>
  </si>
  <si>
    <t>700000</t>
  </si>
  <si>
    <t>709999</t>
  </si>
  <si>
    <t>70 Interest Income</t>
  </si>
  <si>
    <t>Outward Reins. Ins./Inv Contract Liab</t>
  </si>
  <si>
    <t>IRBY4313</t>
  </si>
  <si>
    <t>Outward Reins. ins./Inv contract liab</t>
  </si>
  <si>
    <t>CB</t>
  </si>
  <si>
    <t>Common Stock-A-Share-ILP related</t>
  </si>
  <si>
    <t>71</t>
  </si>
  <si>
    <t>710000</t>
  </si>
  <si>
    <t>719999</t>
  </si>
  <si>
    <t>71 Dividend Income</t>
  </si>
  <si>
    <t>IBY4113</t>
  </si>
  <si>
    <t>Change in PSPS</t>
  </si>
  <si>
    <t>CI</t>
  </si>
  <si>
    <t>Common Stock-H-Share-ILP related</t>
  </si>
  <si>
    <t>72</t>
  </si>
  <si>
    <t>720000</t>
  </si>
  <si>
    <t>729999</t>
  </si>
  <si>
    <t>72 Other Investment Income</t>
  </si>
  <si>
    <t>IBY4114</t>
  </si>
  <si>
    <t>Change In PSPS Reserves - Operating (For LT Return)</t>
  </si>
  <si>
    <t>CY</t>
  </si>
  <si>
    <t>Corp/Fixed-ILP related</t>
  </si>
  <si>
    <t>73</t>
  </si>
  <si>
    <t>730000</t>
  </si>
  <si>
    <t>739999</t>
  </si>
  <si>
    <t>73 Realized CG, Bonds</t>
  </si>
  <si>
    <t>IBY8113</t>
  </si>
  <si>
    <t>Tax - Change in PSPS</t>
  </si>
  <si>
    <t>IRBY8110</t>
  </si>
  <si>
    <t>Tax - LT Operating Profit Total</t>
  </si>
  <si>
    <t>CG</t>
  </si>
  <si>
    <t>Corp/Floating-ILP related</t>
  </si>
  <si>
    <t>74</t>
  </si>
  <si>
    <t>740000</t>
  </si>
  <si>
    <t>749999</t>
  </si>
  <si>
    <t>74 Realized CG, Equity</t>
  </si>
  <si>
    <t>Policyholders' Tax on Operating Profit</t>
  </si>
  <si>
    <t>GC</t>
  </si>
  <si>
    <t>Government-ILP related</t>
  </si>
  <si>
    <t>75</t>
  </si>
  <si>
    <t>750000</t>
  </si>
  <si>
    <t>759999</t>
  </si>
  <si>
    <t>75 Unrealized CG, Bonds</t>
  </si>
  <si>
    <t>IBY0241</t>
  </si>
  <si>
    <t>Corres. Chg in Ins Contract Liab for PAR funds</t>
  </si>
  <si>
    <t>IRBY0240</t>
  </si>
  <si>
    <t>Corresponding changes in insurance contract liab for Participating funds</t>
  </si>
  <si>
    <t>IC</t>
  </si>
  <si>
    <t>Infrastruction Bond-ILP related</t>
  </si>
  <si>
    <t>76</t>
  </si>
  <si>
    <t>760000</t>
  </si>
  <si>
    <t>769999</t>
  </si>
  <si>
    <t>76 Unrealized CG, Equity</t>
  </si>
  <si>
    <t>IBY0261</t>
  </si>
  <si>
    <t>Change in Contract Liab for Policyholders's Tax</t>
  </si>
  <si>
    <t>IRBY0260</t>
  </si>
  <si>
    <t>Changes in insurance and investment contract liabilities for Policyholders' tax on non-operating investment return (PAR)</t>
  </si>
  <si>
    <t>MH</t>
  </si>
  <si>
    <t>Mutual Fund-ILP related</t>
  </si>
  <si>
    <t>77</t>
  </si>
  <si>
    <t>770000</t>
  </si>
  <si>
    <t>779999</t>
  </si>
  <si>
    <t>77 Impairment, Bonds</t>
  </si>
  <si>
    <t>Corresponding change in insur contract liab for PAR funds</t>
  </si>
  <si>
    <t>RQ</t>
  </si>
  <si>
    <t>Repo-ILP related</t>
  </si>
  <si>
    <t>78</t>
  </si>
  <si>
    <t>780000</t>
  </si>
  <si>
    <t>789999</t>
  </si>
  <si>
    <t>78 Impairment, Equity</t>
  </si>
  <si>
    <t>Change in contract liab for policyholders' tax</t>
  </si>
  <si>
    <t>NM</t>
  </si>
  <si>
    <t>Negotiable Deposit &gt; 1 year-ILP related</t>
  </si>
  <si>
    <t>79</t>
  </si>
  <si>
    <t>790000</t>
  </si>
  <si>
    <t>799999</t>
  </si>
  <si>
    <t>79 Investment Expenses</t>
  </si>
  <si>
    <t>IBY0341</t>
  </si>
  <si>
    <t>Change in PSPS Reserves (Tax Impact) - Other non-op items</t>
  </si>
  <si>
    <t>IRBY0340</t>
  </si>
  <si>
    <t>Changes In Insurance and Investment Contract Liabilities for Policyholders' Tax on Other Non-Operating Items</t>
  </si>
  <si>
    <t>FC</t>
  </si>
  <si>
    <t>Financial bond-ILP related</t>
  </si>
  <si>
    <t>80</t>
  </si>
  <si>
    <t>800000</t>
  </si>
  <si>
    <t>809999</t>
  </si>
  <si>
    <t>80 Personnel Expenses</t>
  </si>
  <si>
    <t>IBY0321</t>
  </si>
  <si>
    <t>Other Non-Operating Items</t>
  </si>
  <si>
    <t>IRBY0320</t>
  </si>
  <si>
    <t>Other non-operating items</t>
  </si>
  <si>
    <t>MN</t>
  </si>
  <si>
    <t>Money market fund-ILP related</t>
  </si>
  <si>
    <t>81</t>
  </si>
  <si>
    <t>810000</t>
  </si>
  <si>
    <t>819999</t>
  </si>
  <si>
    <t>81 Depreciation &amp; Amortization</t>
  </si>
  <si>
    <t>IBY4211</t>
  </si>
  <si>
    <t>Investment Contract Benefits</t>
  </si>
  <si>
    <t>IRBY4210</t>
  </si>
  <si>
    <t>Investment contract benefits</t>
  </si>
  <si>
    <t>FE</t>
  </si>
  <si>
    <t>Fixed deposit-ILP related</t>
  </si>
  <si>
    <t>82</t>
  </si>
  <si>
    <t>820000</t>
  </si>
  <si>
    <t>829999</t>
  </si>
  <si>
    <t>82 Data Processing Expenses</t>
  </si>
  <si>
    <t>IBY0231</t>
  </si>
  <si>
    <t>Corres. Chg in Ins and Cont. Liab for Unit-Linked Cont</t>
  </si>
  <si>
    <t>IRBY0230</t>
  </si>
  <si>
    <t>Corresponding changes in ins and inv contract liab for investment-linked contracts</t>
  </si>
  <si>
    <t>NB</t>
  </si>
  <si>
    <t>Dummy code for blank ILP T code mapping</t>
  </si>
  <si>
    <t>83</t>
  </si>
  <si>
    <t>830000</t>
  </si>
  <si>
    <t>839999</t>
  </si>
  <si>
    <t>83 Interco Service Fees</t>
  </si>
  <si>
    <t>IBY5111</t>
  </si>
  <si>
    <t>Acq. Exp. First Year</t>
  </si>
  <si>
    <t>IRBY5110</t>
  </si>
  <si>
    <t>Acquisition Exp. - First Year</t>
  </si>
  <si>
    <t>TL</t>
  </si>
  <si>
    <t>Trust loan</t>
  </si>
  <si>
    <t>84</t>
  </si>
  <si>
    <t>840000</t>
  </si>
  <si>
    <t>849999</t>
  </si>
  <si>
    <t>84 Other GOE</t>
  </si>
  <si>
    <t>IBY5121</t>
  </si>
  <si>
    <t>Acq. Exp. Renewal</t>
  </si>
  <si>
    <t>IRBY5120</t>
  </si>
  <si>
    <t>Acquisition Exp. - Renewal</t>
  </si>
  <si>
    <t>FL</t>
  </si>
  <si>
    <r>
      <rPr>
        <sz val="10"/>
        <rFont val="Arial"/>
        <family val="2"/>
      </rPr>
      <t xml:space="preserve">Financial loan ( </t>
    </r>
    <r>
      <rPr>
        <sz val="10"/>
        <rFont val="宋体"/>
        <family val="3"/>
        <charset val="134"/>
      </rPr>
      <t>银行理财产品）</t>
    </r>
  </si>
  <si>
    <t>87</t>
  </si>
  <si>
    <t>870000</t>
  </si>
  <si>
    <t>879999</t>
  </si>
  <si>
    <t>87 Other Expenses</t>
  </si>
  <si>
    <t>IBY5131</t>
  </si>
  <si>
    <t>Acq. Exp. Single</t>
  </si>
  <si>
    <t>IRBY5130</t>
  </si>
  <si>
    <t>Acquisition Exp. - Single</t>
  </si>
  <si>
    <t>OE</t>
  </si>
  <si>
    <t>Other Equity Infrastruction Bond ( e.g. perpetual bond)</t>
  </si>
  <si>
    <t>88</t>
  </si>
  <si>
    <t>880000</t>
  </si>
  <si>
    <t>889999</t>
  </si>
  <si>
    <t>88 Current &amp; Deferred Taxes</t>
  </si>
  <si>
    <t>IBY5311</t>
  </si>
  <si>
    <t>Acq. Exp. Inward - First Year</t>
  </si>
  <si>
    <t>IRBY5310</t>
  </si>
  <si>
    <t>Acquisition Exp. - Rein comm</t>
  </si>
  <si>
    <t>AM</t>
  </si>
  <si>
    <t>Assets management product(Debts)</t>
  </si>
  <si>
    <t>89</t>
  </si>
  <si>
    <t>890000</t>
  </si>
  <si>
    <t>899999</t>
  </si>
  <si>
    <t>89 Noncontrolling Interests</t>
  </si>
  <si>
    <t>IBY5312</t>
  </si>
  <si>
    <t>Acq. Exp. Inward - Renewal</t>
  </si>
  <si>
    <t>EM</t>
  </si>
  <si>
    <t>Assets management product(Equity)</t>
  </si>
  <si>
    <t>99</t>
  </si>
  <si>
    <t>990000</t>
  </si>
  <si>
    <t>999999</t>
  </si>
  <si>
    <t>99 Interface Control Accounts</t>
  </si>
  <si>
    <t>IBY5313</t>
  </si>
  <si>
    <t>Acq. Exp. Inward - Single</t>
  </si>
  <si>
    <t>CZ</t>
  </si>
  <si>
    <t>Corp/Fixed offshore</t>
  </si>
  <si>
    <t>IBY5321</t>
  </si>
  <si>
    <t>Acq. Exp. Outward - First Year</t>
  </si>
  <si>
    <t>CJ</t>
  </si>
  <si>
    <t>Corp/Floating offshore</t>
  </si>
  <si>
    <t>IBY5322</t>
  </si>
  <si>
    <t>Acq. Exp. Outward - Renewal</t>
  </si>
  <si>
    <t>GH</t>
  </si>
  <si>
    <t>Government offshore</t>
  </si>
  <si>
    <t>IBY5323</t>
  </si>
  <si>
    <t>Acq. Exp. Outward - Single</t>
  </si>
  <si>
    <t>MI</t>
  </si>
  <si>
    <t>Mutual Fund offshore</t>
  </si>
  <si>
    <t>Acq. Exp. Due/Unearned - First Year</t>
  </si>
  <si>
    <t>IRBY5210</t>
  </si>
  <si>
    <t>Acquisition Exp. - Due</t>
  </si>
  <si>
    <t>FH</t>
  </si>
  <si>
    <t>Financial bond offshore</t>
  </si>
  <si>
    <t>Acq. Exp. Due/Unearned - Renewal</t>
  </si>
  <si>
    <t>MO</t>
  </si>
  <si>
    <t>Money market fund offshore</t>
  </si>
  <si>
    <t>IBY5213</t>
  </si>
  <si>
    <t>Acq. Exp. Due/Unearned - Single</t>
  </si>
  <si>
    <t>MB</t>
  </si>
  <si>
    <t>Mortgage backed security</t>
  </si>
  <si>
    <t>Change In DAC - Commission - Deferral</t>
  </si>
  <si>
    <t>IRBY5410</t>
  </si>
  <si>
    <t>Change In DAC - commission - deferral</t>
  </si>
  <si>
    <t>CD</t>
  </si>
  <si>
    <r>
      <rPr>
        <sz val="10"/>
        <rFont val="Arial"/>
        <family val="2"/>
      </rPr>
      <t>Negotiable certificates of deposit (</t>
    </r>
    <r>
      <rPr>
        <sz val="10"/>
        <rFont val="宋体"/>
        <family val="3"/>
        <charset val="134"/>
      </rPr>
      <t>同业存单）</t>
    </r>
  </si>
  <si>
    <t>Change In DAC - Operating Exps - Deferral</t>
  </si>
  <si>
    <t>IRBY5420</t>
  </si>
  <si>
    <t>Change In DAC - operating exps - deferral</t>
  </si>
  <si>
    <t>RE</t>
  </si>
  <si>
    <r>
      <rPr>
        <sz val="10"/>
        <rFont val="Arial"/>
        <family val="2"/>
      </rPr>
      <t>Real estate debt plan(</t>
    </r>
    <r>
      <rPr>
        <sz val="10"/>
        <rFont val="宋体"/>
        <family val="3"/>
        <charset val="134"/>
      </rPr>
      <t>不动产债权投资计划</t>
    </r>
    <r>
      <rPr>
        <sz val="10"/>
        <rFont val="Arial"/>
        <family val="2"/>
      </rPr>
      <t>)</t>
    </r>
  </si>
  <si>
    <t>Change In DAC - Comm &amp; Oper Exps - Amort Normal</t>
  </si>
  <si>
    <t>IRBY5430</t>
  </si>
  <si>
    <t>Change In DAC - comm &amp; oper exps - amort. Normal</t>
  </si>
  <si>
    <t>IBY5441</t>
  </si>
  <si>
    <t>Change In DAC - Comm &amp; Oper Exps - Amort Others</t>
  </si>
  <si>
    <t>IRBY5440</t>
  </si>
  <si>
    <t>Change In DAC - comm &amp; oper exps - amort. Others</t>
  </si>
  <si>
    <t>IBY7111</t>
  </si>
  <si>
    <t>Interest Income</t>
  </si>
  <si>
    <t>IRBY7110</t>
  </si>
  <si>
    <t>IBY0211</t>
  </si>
  <si>
    <t>Inv Income related to Unit-Linked Contracts</t>
  </si>
  <si>
    <t>IRBY0210</t>
  </si>
  <si>
    <t>Investment income related to Inv-Linked contracts</t>
  </si>
  <si>
    <t>IBY6221</t>
  </si>
  <si>
    <t>Finance Costs</t>
  </si>
  <si>
    <t>IRBY6220</t>
  </si>
  <si>
    <t>Finance costs</t>
  </si>
  <si>
    <t>IBY6222</t>
  </si>
  <si>
    <t>IBY8351</t>
  </si>
  <si>
    <t>IRBY8350</t>
  </si>
  <si>
    <t>Add: Out-scope Repo interest expense</t>
  </si>
  <si>
    <t>IBY6231</t>
  </si>
  <si>
    <t>IRBY6230</t>
  </si>
  <si>
    <t>Less: Out-scope Repo interest expense</t>
  </si>
  <si>
    <t>IBY0171</t>
  </si>
  <si>
    <t>Other Realised Gains/(Loss)</t>
  </si>
  <si>
    <t>IRBY0170</t>
  </si>
  <si>
    <t>Other realised Gains/(Losses)</t>
  </si>
  <si>
    <t>IBY0151</t>
  </si>
  <si>
    <t>Net Fair Value Movement Of Derivatives</t>
  </si>
  <si>
    <t>IRBY0100</t>
  </si>
  <si>
    <t>Investment experience for Inv-Linked contracts</t>
  </si>
  <si>
    <t>IBY7121</t>
  </si>
  <si>
    <t>Dividend Income</t>
  </si>
  <si>
    <t>IRBY7120</t>
  </si>
  <si>
    <t>Dividend Income - 3rd party</t>
  </si>
  <si>
    <t>IBY6311</t>
  </si>
  <si>
    <t>Share of Profit/(Loss) fr Asso. and Joint Ventures</t>
  </si>
  <si>
    <t>IRBY6310</t>
  </si>
  <si>
    <t>Share of P/(L) from associates &amp; joint ventures</t>
  </si>
  <si>
    <t>IBY0411</t>
  </si>
  <si>
    <t>Dividend Income - Intercompany</t>
  </si>
  <si>
    <t>IRBY0410</t>
  </si>
  <si>
    <t>Dividends from subsidiaries</t>
  </si>
  <si>
    <t>IBY7131</t>
  </si>
  <si>
    <t>Rental Income</t>
  </si>
  <si>
    <t>IRBY7180</t>
  </si>
  <si>
    <t>Rental Income - 3rd party</t>
  </si>
  <si>
    <t>IBY7161</t>
  </si>
  <si>
    <t>Imputed Rental Income</t>
  </si>
  <si>
    <t>IRBY7160</t>
  </si>
  <si>
    <t>Rental Income - Imputed Rental</t>
  </si>
  <si>
    <t>IBY0064</t>
  </si>
  <si>
    <t>Net Foreign Exchange Gains/(Loss)-Others</t>
  </si>
  <si>
    <t>IRBY0160</t>
  </si>
  <si>
    <t>Net foreign exchange Gains/(Losses)</t>
  </si>
  <si>
    <t>IBY0111</t>
  </si>
  <si>
    <t>Net Realised Gain/(Loss) From Debt Securities - AF</t>
  </si>
  <si>
    <t>IRBY0110</t>
  </si>
  <si>
    <t>Net realised Gain/(Losses) from debt securities - AFS after amortisation</t>
  </si>
  <si>
    <t>IBY0061</t>
  </si>
  <si>
    <t>Net Foreign Exchange Gains/(Loss)-Fixed Income</t>
  </si>
  <si>
    <t>IBY7191</t>
  </si>
  <si>
    <t>Amortisation of ALM AFS bonds disposal gains/(losses)</t>
  </si>
  <si>
    <t>IRBY7190</t>
  </si>
  <si>
    <t xml:space="preserve">Add: Amortisation of ALM AFS bonds disposal gains/(losses) </t>
  </si>
  <si>
    <t>IBY0131</t>
  </si>
  <si>
    <t>except L31</t>
  </si>
  <si>
    <t>Net Gains/(Loss) Of Debt Securities - FVTPL</t>
  </si>
  <si>
    <t>IRBY0130</t>
  </si>
  <si>
    <t>Net Gains/(Losses) of debt securities - FVTPL</t>
  </si>
  <si>
    <t>L31</t>
  </si>
  <si>
    <t>IBY0062</t>
  </si>
  <si>
    <t>Net Foreign Exchange Gains/(Loss)-Equity</t>
  </si>
  <si>
    <t>IBY0063</t>
  </si>
  <si>
    <t>Net Foreign Exchange Gains/(Loss)-Derivaties</t>
  </si>
  <si>
    <t>IBY0141</t>
  </si>
  <si>
    <t>Net Gains/(Loss) Of Equities Securities - FVTPL</t>
  </si>
  <si>
    <t>IRBY0140</t>
  </si>
  <si>
    <t>Net Gains/(Losses) of equities securities - FVTPL</t>
  </si>
  <si>
    <t>IBY7211</t>
  </si>
  <si>
    <t>Expected Capital Appreciation on Equity Securities</t>
  </si>
  <si>
    <t>IRBY7210</t>
  </si>
  <si>
    <t>Expected capital appreciation on equity securities</t>
  </si>
  <si>
    <t>IBY7221</t>
  </si>
  <si>
    <t>Expected Capital Appreciation on Investment Properties</t>
  </si>
  <si>
    <t>IRBY7220</t>
  </si>
  <si>
    <t>Expected capital appreciation on investment properties</t>
  </si>
  <si>
    <t>IBY7231</t>
  </si>
  <si>
    <t>Expected Capital Appreciation on Own-Used Properties</t>
  </si>
  <si>
    <t>IRBY7230</t>
  </si>
  <si>
    <t>Expected capital appreciation on own-used properties</t>
  </si>
  <si>
    <t>IBY7171</t>
  </si>
  <si>
    <t>Impact from Cross Currency Swap &amp; Interest Rate Swap</t>
  </si>
  <si>
    <t>IRBY7170</t>
  </si>
  <si>
    <t>Impact from cross currency swap &amp; interest rate swap</t>
  </si>
  <si>
    <t>IBY7151</t>
  </si>
  <si>
    <t>Reversal of Investment Income on Assets Leveraged by Repurchase Agreements</t>
  </si>
  <si>
    <t>IRBY7150</t>
  </si>
  <si>
    <t>Less: Investment income on assets leveraged by repurchase agreements (Out-scope)</t>
  </si>
  <si>
    <t>IBY0371</t>
  </si>
  <si>
    <t>LT OPAT - Contra Account</t>
  </si>
  <si>
    <t>IRBY0370</t>
  </si>
  <si>
    <t>IBY0181</t>
  </si>
  <si>
    <t>Net fair value movements of investment properties</t>
  </si>
  <si>
    <t>IRBY0180</t>
  </si>
  <si>
    <t>Net fair value movement of Investment properties</t>
  </si>
  <si>
    <t>IBY2312</t>
  </si>
  <si>
    <t>Incremental fee income based on expected AUM</t>
  </si>
  <si>
    <t>IBY0121</t>
  </si>
  <si>
    <t>Impairment Of Debt Securities - AFS</t>
  </si>
  <si>
    <t>IRBY0120</t>
  </si>
  <si>
    <t>Impairment of debt securities - AFS</t>
  </si>
  <si>
    <t>IBY0191</t>
  </si>
  <si>
    <t>Net fair value movement of own-used properties</t>
  </si>
  <si>
    <t>IRBY0190</t>
  </si>
  <si>
    <t>Revaluation surplus on own-used properties</t>
  </si>
  <si>
    <t>IBY0381</t>
  </si>
  <si>
    <t>IRBY0380</t>
  </si>
  <si>
    <t>Less: Revaluation surplus on own-used properties</t>
  </si>
  <si>
    <t>IBY6201</t>
  </si>
  <si>
    <t>Inv Mgt Exp (x Vitality Exp)-Fixed Income &amp; Equity</t>
  </si>
  <si>
    <t>IRBY6210</t>
  </si>
  <si>
    <t>IBY0221</t>
  </si>
  <si>
    <t>Inv Mgmt Exps related to Unit-Linked Contracts</t>
  </si>
  <si>
    <t>IRBY0220</t>
  </si>
  <si>
    <t>Investment management exps related to Inv-Linked contracts</t>
  </si>
  <si>
    <t>IBY6212</t>
  </si>
  <si>
    <t>Other Expense - Vitality</t>
  </si>
  <si>
    <t>IBY6202</t>
  </si>
  <si>
    <t>Invest Mgmt Exp (Excl Vitality Exp)-Real Estate</t>
  </si>
  <si>
    <t>IBY6011</t>
  </si>
  <si>
    <t>Permanent Staff</t>
  </si>
  <si>
    <t>IRBY6110</t>
  </si>
  <si>
    <t>Employee benefit expenses</t>
  </si>
  <si>
    <t>IBY6012</t>
  </si>
  <si>
    <t>Contract Staff</t>
  </si>
  <si>
    <t>IBY6055</t>
  </si>
  <si>
    <t>Other Expenses</t>
  </si>
  <si>
    <t>IRBY6140</t>
  </si>
  <si>
    <t>Other operating expenses</t>
  </si>
  <si>
    <t>IBY6060</t>
  </si>
  <si>
    <t>Intercompany Fees - Rent</t>
  </si>
  <si>
    <t>IRBY6130</t>
  </si>
  <si>
    <t>Operating lease rentals (excl amortisation of own-used leasehold land)</t>
  </si>
  <si>
    <t>IBY6031</t>
  </si>
  <si>
    <t>Rent and Related Expenses</t>
  </si>
  <si>
    <t>IBY6032</t>
  </si>
  <si>
    <t>Imputed Rent</t>
  </si>
  <si>
    <t>IBY6066</t>
  </si>
  <si>
    <t>Premises related expense (other than rental related cost)</t>
  </si>
  <si>
    <t>IBY6054</t>
  </si>
  <si>
    <t>Office Equipment &amp; Maintenance</t>
  </si>
  <si>
    <t xml:space="preserve">IBY6021 </t>
  </si>
  <si>
    <t>Depreciation For Real Estate/ Furniture and Fixtures/ Leasehold Improvement</t>
  </si>
  <si>
    <t>IRBY6120</t>
  </si>
  <si>
    <t>Depreciation and amortisation (excl depreciation of own-used properties)</t>
  </si>
  <si>
    <t>IBY0361</t>
  </si>
  <si>
    <t>Depreciation of property held for use</t>
  </si>
  <si>
    <t>IRBY0360</t>
  </si>
  <si>
    <t>Depreciation and amortisation of own-used properties and own-used leasehold land</t>
  </si>
  <si>
    <t>IBY6022</t>
  </si>
  <si>
    <t>Depreciation for Computer Hardware / Software</t>
  </si>
  <si>
    <t>IBY6023</t>
  </si>
  <si>
    <t>Other Depreciation</t>
  </si>
  <si>
    <t>IBY6021</t>
  </si>
  <si>
    <t>Depreciation For Real Estate / Furniture and Fixtures / Leasehold Improvement</t>
  </si>
  <si>
    <t>IBY6024</t>
  </si>
  <si>
    <t>Amortization of Other Intangible Assets</t>
  </si>
  <si>
    <t>IBY0362</t>
  </si>
  <si>
    <t>Amortisation of own-used leasehold land</t>
  </si>
  <si>
    <t>IBY6048</t>
  </si>
  <si>
    <t>IT Hardware - Third Party</t>
  </si>
  <si>
    <t>IBY6047</t>
  </si>
  <si>
    <t>IT Outsourced Consultant Fee - Third Party</t>
  </si>
  <si>
    <t>IBY6058</t>
  </si>
  <si>
    <t>Inter-company Fees - Information Technology and Related</t>
  </si>
  <si>
    <t>IBY6049</t>
  </si>
  <si>
    <t>IT Software - Third Party</t>
  </si>
  <si>
    <t>IBY6050</t>
  </si>
  <si>
    <t>IT Other Charges &amp; Expenses - Third Party</t>
  </si>
  <si>
    <t>IBY6057</t>
  </si>
  <si>
    <t>Group Office Service Fee</t>
  </si>
  <si>
    <t>IBY6059</t>
  </si>
  <si>
    <t>Intercompany Fees - Shared Services</t>
  </si>
  <si>
    <t>IBY6041</t>
  </si>
  <si>
    <t>Corporate Advertising</t>
  </si>
  <si>
    <t>IBY6051</t>
  </si>
  <si>
    <t>Insurance</t>
  </si>
  <si>
    <t>IBY6042</t>
  </si>
  <si>
    <t>Travel, Entertainment &amp; Meetings</t>
  </si>
  <si>
    <t>IBY6053</t>
  </si>
  <si>
    <t>Printing and Stationery</t>
  </si>
  <si>
    <t>IBY6063</t>
  </si>
  <si>
    <t>Reclass to Investment Management Expenses</t>
  </si>
  <si>
    <t>IBY6062</t>
  </si>
  <si>
    <t>Capitalized Expenses</t>
  </si>
  <si>
    <t>IBY6064</t>
  </si>
  <si>
    <t>Reclass to Commissions and Other Acquistion Costs</t>
  </si>
  <si>
    <t>IBY6043</t>
  </si>
  <si>
    <t>Audit Fee</t>
  </si>
  <si>
    <t>IBY6045</t>
  </si>
  <si>
    <t>Other Consultant Fee</t>
  </si>
  <si>
    <t>IBY6044</t>
  </si>
  <si>
    <t>Legal Fee</t>
  </si>
  <si>
    <t>IBY6046</t>
  </si>
  <si>
    <t>External Share Service and Outsourced Services</t>
  </si>
  <si>
    <t>IBY6056</t>
  </si>
  <si>
    <t>Other Non-income Taxes</t>
  </si>
  <si>
    <t>IBY6052</t>
  </si>
  <si>
    <t>Charity and Donation</t>
  </si>
  <si>
    <t>IBY0301</t>
  </si>
  <si>
    <t>Restructuring Costs</t>
  </si>
  <si>
    <t>IRBY0310</t>
  </si>
  <si>
    <t>Restructuring costs</t>
  </si>
  <si>
    <t>IBY8111</t>
  </si>
  <si>
    <t>Tax - Operating Profit Current</t>
  </si>
  <si>
    <t>IBY0511</t>
  </si>
  <si>
    <t>Tax - RCG Current</t>
  </si>
  <si>
    <t>IRBY0510</t>
  </si>
  <si>
    <t>Tax on Non-operating investment return</t>
  </si>
  <si>
    <t>IBY0541</t>
  </si>
  <si>
    <t>Policyholders' Tax on Non-op items</t>
  </si>
  <si>
    <t>IBY0521</t>
  </si>
  <si>
    <t>Tax - Non Operating Profit Current</t>
  </si>
  <si>
    <t>IRBY0520</t>
  </si>
  <si>
    <t>Other non operating tax items</t>
  </si>
  <si>
    <t>IBY8112</t>
  </si>
  <si>
    <t>Deferred tax - operating</t>
  </si>
  <si>
    <t>Deferred Tax - Operating Profit</t>
  </si>
  <si>
    <t>IBY0512</t>
  </si>
  <si>
    <t>Tax - RCG Deferred</t>
  </si>
  <si>
    <t>IBY0522</t>
  </si>
  <si>
    <t>Tax - Non Operating Profit Deferred</t>
  </si>
  <si>
    <t>IBY9111</t>
  </si>
  <si>
    <t>Non-Controlling Interests (Operating)</t>
  </si>
  <si>
    <t>IRBY9110</t>
  </si>
  <si>
    <t>Non-controlling interests (operating)</t>
  </si>
  <si>
    <t>IBY0711</t>
  </si>
  <si>
    <t>Non-Controlling Interests</t>
  </si>
  <si>
    <t>IRBY0710</t>
  </si>
  <si>
    <t>Non-controlling interests</t>
  </si>
  <si>
    <t>IBY0251</t>
  </si>
  <si>
    <t>Corres. Chg in 3rd Pty Int. in Consol. Inv Funds</t>
  </si>
  <si>
    <t>IRBY0200</t>
  </si>
  <si>
    <t>IBY8221</t>
  </si>
  <si>
    <t>Less: Expected capital appreciation on Equity securities</t>
  </si>
  <si>
    <t>IRBY8220</t>
  </si>
  <si>
    <t>IBY8251</t>
  </si>
  <si>
    <t>Less: Expected capital appreciation on investment properties</t>
  </si>
  <si>
    <t>IRBY8250</t>
  </si>
  <si>
    <t>IBY8281</t>
  </si>
  <si>
    <t>Less: Expected capital appreciation on own-used properties</t>
  </si>
  <si>
    <t>IRBY8280</t>
  </si>
  <si>
    <t>Net fair value movement of derivatives</t>
  </si>
  <si>
    <t>IRBY0150</t>
  </si>
  <si>
    <t>IBY8321</t>
  </si>
  <si>
    <t>Less: Impact from cross currency swap &amp; interest rate swap</t>
  </si>
  <si>
    <t>IRBY8320</t>
  </si>
  <si>
    <t>IBY8341</t>
  </si>
  <si>
    <t>Add: Investment income on assets leveraged by repurchase agreements (out-scope)</t>
  </si>
  <si>
    <t>IRBY8340</t>
  </si>
  <si>
    <t>IBY0331</t>
  </si>
  <si>
    <t>Changes in insurance and investment contract liabilities for Policyholders' tax on operating profit before tax</t>
  </si>
  <si>
    <t>IRBY0330</t>
  </si>
  <si>
    <t>Corresponding changes in 3rd party interests in consolidated investment funds</t>
  </si>
  <si>
    <t>IRBY0250</t>
  </si>
  <si>
    <t>Policyholders' tax on non-operating items</t>
  </si>
  <si>
    <t>IRBY0540</t>
  </si>
  <si>
    <t>IBY0531</t>
  </si>
  <si>
    <t>Policyholders' tax on operating profit before tax</t>
  </si>
  <si>
    <t>IRBY0530</t>
  </si>
  <si>
    <t>IBY6131</t>
  </si>
  <si>
    <t>101000</t>
  </si>
  <si>
    <t>103000</t>
  </si>
  <si>
    <t>114000</t>
  </si>
  <si>
    <t>114011</t>
  </si>
  <si>
    <t>114301</t>
  </si>
  <si>
    <t>114311</t>
  </si>
  <si>
    <t>124000</t>
  </si>
  <si>
    <t>124300</t>
  </si>
  <si>
    <t>124500</t>
  </si>
  <si>
    <t>141000</t>
  </si>
  <si>
    <t>141300</t>
  </si>
  <si>
    <t>143000</t>
  </si>
  <si>
    <t>143300</t>
  </si>
  <si>
    <t>144400</t>
  </si>
  <si>
    <t>144410</t>
  </si>
  <si>
    <t>201110</t>
  </si>
  <si>
    <t>201120</t>
  </si>
  <si>
    <t>201310</t>
  </si>
  <si>
    <t>201320</t>
  </si>
  <si>
    <t>201410</t>
  </si>
  <si>
    <t>201420</t>
  </si>
  <si>
    <t>201610</t>
  </si>
  <si>
    <t>201620</t>
  </si>
  <si>
    <t>201910</t>
  </si>
  <si>
    <t>220100</t>
  </si>
  <si>
    <t>220120</t>
  </si>
  <si>
    <t>220130</t>
  </si>
  <si>
    <t>220140</t>
  </si>
  <si>
    <t>220300</t>
  </si>
  <si>
    <t>221210</t>
  </si>
  <si>
    <t>221220</t>
  </si>
  <si>
    <t>221231</t>
  </si>
  <si>
    <t>223001</t>
  </si>
  <si>
    <t>223011</t>
  </si>
  <si>
    <t>223101</t>
  </si>
  <si>
    <t>223111</t>
  </si>
  <si>
    <t>250100</t>
  </si>
  <si>
    <t>251100</t>
  </si>
  <si>
    <t>252000</t>
  </si>
  <si>
    <t>253030</t>
  </si>
  <si>
    <t>253040</t>
  </si>
  <si>
    <t>253060</t>
  </si>
  <si>
    <t>261000</t>
  </si>
  <si>
    <t>270001</t>
  </si>
  <si>
    <t>271100</t>
  </si>
  <si>
    <t>271200</t>
  </si>
  <si>
    <t>275001</t>
  </si>
  <si>
    <t>276000</t>
  </si>
  <si>
    <t>276100</t>
  </si>
  <si>
    <t>282997</t>
  </si>
  <si>
    <t>285001</t>
  </si>
  <si>
    <t>286001</t>
  </si>
  <si>
    <t>301000</t>
  </si>
  <si>
    <t>301200</t>
  </si>
  <si>
    <t>302000</t>
  </si>
  <si>
    <t>303000</t>
  </si>
  <si>
    <t>303200</t>
  </si>
  <si>
    <t>310010</t>
  </si>
  <si>
    <t>310200</t>
  </si>
  <si>
    <t>310210</t>
  </si>
  <si>
    <t>310300</t>
  </si>
  <si>
    <t>313000</t>
  </si>
  <si>
    <t>351000</t>
  </si>
  <si>
    <t>354000</t>
  </si>
  <si>
    <t>371000</t>
  </si>
  <si>
    <t>372000</t>
  </si>
  <si>
    <t>373000</t>
  </si>
  <si>
    <t>381000</t>
  </si>
  <si>
    <t>381200</t>
  </si>
  <si>
    <t>401000</t>
  </si>
  <si>
    <t>401010</t>
  </si>
  <si>
    <t>401100</t>
  </si>
  <si>
    <t>402000</t>
  </si>
  <si>
    <t>403200</t>
  </si>
  <si>
    <t>403201</t>
  </si>
  <si>
    <t>403400</t>
  </si>
  <si>
    <t>411000</t>
  </si>
  <si>
    <t>411100</t>
  </si>
  <si>
    <t>420100</t>
  </si>
  <si>
    <t>420130</t>
  </si>
  <si>
    <t>420200</t>
  </si>
  <si>
    <t>420300</t>
  </si>
  <si>
    <t>420500</t>
  </si>
  <si>
    <t>420510</t>
  </si>
  <si>
    <t>421000</t>
  </si>
  <si>
    <t>421200</t>
  </si>
  <si>
    <t>422000</t>
  </si>
  <si>
    <t>422100</t>
  </si>
  <si>
    <t>423000</t>
  </si>
  <si>
    <t>423001</t>
  </si>
  <si>
    <t>423004</t>
  </si>
  <si>
    <t>423010</t>
  </si>
  <si>
    <t>423200</t>
  </si>
  <si>
    <t>423210</t>
  </si>
  <si>
    <t>423400</t>
  </si>
  <si>
    <t>424000</t>
  </si>
  <si>
    <t>424210</t>
  </si>
  <si>
    <t>424300</t>
  </si>
  <si>
    <t>424400</t>
  </si>
  <si>
    <t>425000</t>
  </si>
  <si>
    <t>431000</t>
  </si>
  <si>
    <t>450010</t>
  </si>
  <si>
    <t>451000</t>
  </si>
  <si>
    <t>454000</t>
  </si>
  <si>
    <t>460200</t>
  </si>
  <si>
    <t>461000</t>
  </si>
  <si>
    <t>461100</t>
  </si>
  <si>
    <t>461200</t>
  </si>
  <si>
    <t>464100</t>
  </si>
  <si>
    <t>465000</t>
  </si>
  <si>
    <t>471000</t>
  </si>
  <si>
    <t>472400</t>
  </si>
  <si>
    <t>500010</t>
  </si>
  <si>
    <t>500020</t>
  </si>
  <si>
    <t>500210</t>
  </si>
  <si>
    <t>501000</t>
  </si>
  <si>
    <t>501010</t>
  </si>
  <si>
    <t>502201</t>
  </si>
  <si>
    <t>504000</t>
  </si>
  <si>
    <t>504100</t>
  </si>
  <si>
    <t>504200</t>
  </si>
  <si>
    <t>504400</t>
  </si>
  <si>
    <t>504500</t>
  </si>
  <si>
    <t>504800</t>
  </si>
  <si>
    <t>505000</t>
  </si>
  <si>
    <t>505001</t>
  </si>
  <si>
    <t>505200</t>
  </si>
  <si>
    <t>505201</t>
  </si>
  <si>
    <t>591000</t>
  </si>
  <si>
    <t>592000</t>
  </si>
  <si>
    <t>593000</t>
  </si>
  <si>
    <t>601000</t>
  </si>
  <si>
    <t>601200</t>
  </si>
  <si>
    <t>602000</t>
  </si>
  <si>
    <t>602200</t>
  </si>
  <si>
    <t>603000</t>
  </si>
  <si>
    <t>603200</t>
  </si>
  <si>
    <t>605000</t>
  </si>
  <si>
    <t>605010</t>
  </si>
  <si>
    <t>605020</t>
  </si>
  <si>
    <t>605030</t>
  </si>
  <si>
    <t>606001</t>
  </si>
  <si>
    <t>606011</t>
  </si>
  <si>
    <t>607010</t>
  </si>
  <si>
    <t>607020</t>
  </si>
  <si>
    <t>607030</t>
  </si>
  <si>
    <t>610010</t>
  </si>
  <si>
    <t>610200</t>
  </si>
  <si>
    <t>610210</t>
  </si>
  <si>
    <t>610400</t>
  </si>
  <si>
    <t>612000</t>
  </si>
  <si>
    <t>612001</t>
  </si>
  <si>
    <t>612005</t>
  </si>
  <si>
    <t>612100</t>
  </si>
  <si>
    <t>612120</t>
  </si>
  <si>
    <t>612210</t>
  </si>
  <si>
    <t>615000</t>
  </si>
  <si>
    <t>618000</t>
  </si>
  <si>
    <t>620000</t>
  </si>
  <si>
    <t>620010</t>
  </si>
  <si>
    <t>660010</t>
  </si>
  <si>
    <t>660020</t>
  </si>
  <si>
    <t>660210</t>
  </si>
  <si>
    <t>661000</t>
  </si>
  <si>
    <t>661010</t>
  </si>
  <si>
    <t>670010</t>
  </si>
  <si>
    <t>670020</t>
  </si>
  <si>
    <t>670040</t>
  </si>
  <si>
    <t>670050</t>
  </si>
  <si>
    <t>670060</t>
  </si>
  <si>
    <t>670070</t>
  </si>
  <si>
    <t>690010</t>
  </si>
  <si>
    <t>690020</t>
  </si>
  <si>
    <t>690102</t>
  </si>
  <si>
    <t>690103</t>
  </si>
  <si>
    <t>690123</t>
  </si>
  <si>
    <t>691000</t>
  </si>
  <si>
    <t>691020</t>
  </si>
  <si>
    <t>693010</t>
  </si>
  <si>
    <t>695100</t>
  </si>
  <si>
    <t>695120</t>
  </si>
  <si>
    <t>695200</t>
  </si>
  <si>
    <t>695220</t>
  </si>
  <si>
    <t>695300</t>
  </si>
  <si>
    <t>695320</t>
  </si>
  <si>
    <t>695502</t>
  </si>
  <si>
    <t>695503</t>
  </si>
  <si>
    <t>695601</t>
  </si>
  <si>
    <t>695602</t>
  </si>
  <si>
    <t>695622</t>
  </si>
  <si>
    <t>697000</t>
  </si>
  <si>
    <t>697010</t>
  </si>
  <si>
    <t>697020</t>
  </si>
  <si>
    <t>697200</t>
  </si>
  <si>
    <t>697210</t>
  </si>
  <si>
    <t>697220</t>
  </si>
  <si>
    <t>700001</t>
  </si>
  <si>
    <t>700002</t>
  </si>
  <si>
    <t>701000</t>
  </si>
  <si>
    <t>701001</t>
  </si>
  <si>
    <t>701002</t>
  </si>
  <si>
    <t>703000</t>
  </si>
  <si>
    <t>703001</t>
  </si>
  <si>
    <t>703002</t>
  </si>
  <si>
    <t>704000</t>
  </si>
  <si>
    <t>704001</t>
  </si>
  <si>
    <t>704020</t>
  </si>
  <si>
    <t>704021</t>
  </si>
  <si>
    <t>704310</t>
  </si>
  <si>
    <t>704311</t>
  </si>
  <si>
    <t>704320</t>
  </si>
  <si>
    <t>704321</t>
  </si>
  <si>
    <t>704381</t>
  </si>
  <si>
    <t>704390</t>
  </si>
  <si>
    <t>704391</t>
  </si>
  <si>
    <t>704392</t>
  </si>
  <si>
    <t>704393</t>
  </si>
  <si>
    <t>704394</t>
  </si>
  <si>
    <t>704395</t>
  </si>
  <si>
    <t>704396</t>
  </si>
  <si>
    <t>704397</t>
  </si>
  <si>
    <t>705000</t>
  </si>
  <si>
    <t>705001</t>
  </si>
  <si>
    <t>705300</t>
  </si>
  <si>
    <t>705500</t>
  </si>
  <si>
    <t>705501</t>
  </si>
  <si>
    <t>707020</t>
  </si>
  <si>
    <t>707031</t>
  </si>
  <si>
    <t>707210</t>
  </si>
  <si>
    <t>707320</t>
  </si>
  <si>
    <t>707321</t>
  </si>
  <si>
    <t>711000</t>
  </si>
  <si>
    <t>711100</t>
  </si>
  <si>
    <t>711300</t>
  </si>
  <si>
    <t>713000</t>
  </si>
  <si>
    <t>713001</t>
  </si>
  <si>
    <t>713200</t>
  </si>
  <si>
    <t>713300</t>
  </si>
  <si>
    <t>714211</t>
  </si>
  <si>
    <t>714410</t>
  </si>
  <si>
    <t>720200</t>
  </si>
  <si>
    <t>730001</t>
  </si>
  <si>
    <t>731000</t>
  </si>
  <si>
    <t>731001</t>
  </si>
  <si>
    <t>733000</t>
  </si>
  <si>
    <t>733001</t>
  </si>
  <si>
    <t>736000</t>
  </si>
  <si>
    <t>736001</t>
  </si>
  <si>
    <t>741000</t>
  </si>
  <si>
    <t>741001</t>
  </si>
  <si>
    <t>741300</t>
  </si>
  <si>
    <t>741301</t>
  </si>
  <si>
    <t>743000</t>
  </si>
  <si>
    <t>743001</t>
  </si>
  <si>
    <t>743300</t>
  </si>
  <si>
    <t>743301</t>
  </si>
  <si>
    <t>747000</t>
  </si>
  <si>
    <t>747400</t>
  </si>
  <si>
    <t>747500</t>
  </si>
  <si>
    <t>749000</t>
  </si>
  <si>
    <t>753000</t>
  </si>
  <si>
    <t>759000</t>
  </si>
  <si>
    <t>759600</t>
  </si>
  <si>
    <t>763000</t>
  </si>
  <si>
    <t>763300</t>
  </si>
  <si>
    <t>781000</t>
  </si>
  <si>
    <t>781300</t>
  </si>
  <si>
    <t>790200</t>
  </si>
  <si>
    <t>790211</t>
  </si>
  <si>
    <t>798000</t>
  </si>
  <si>
    <t>798100</t>
  </si>
  <si>
    <t>800010</t>
  </si>
  <si>
    <t>800020</t>
  </si>
  <si>
    <t>800030</t>
  </si>
  <si>
    <t>800040</t>
  </si>
  <si>
    <t>800060</t>
  </si>
  <si>
    <t>800080</t>
  </si>
  <si>
    <t>800090</t>
  </si>
  <si>
    <t>801020</t>
  </si>
  <si>
    <t>801050</t>
  </si>
  <si>
    <t>801052</t>
  </si>
  <si>
    <t>810010</t>
  </si>
  <si>
    <t>810030</t>
  </si>
  <si>
    <t>810040</t>
  </si>
  <si>
    <t>811010</t>
  </si>
  <si>
    <t>812020</t>
  </si>
  <si>
    <t>812050</t>
  </si>
  <si>
    <t>812060</t>
  </si>
  <si>
    <t>812080</t>
  </si>
  <si>
    <t>812100</t>
  </si>
  <si>
    <t>812110</t>
  </si>
  <si>
    <t>820010</t>
  </si>
  <si>
    <t>820015</t>
  </si>
  <si>
    <t>821010</t>
  </si>
  <si>
    <t>822010</t>
  </si>
  <si>
    <t>832010</t>
  </si>
  <si>
    <t>832021</t>
  </si>
  <si>
    <t>840010</t>
  </si>
  <si>
    <t>840020</t>
  </si>
  <si>
    <t>841010</t>
  </si>
  <si>
    <t>842010</t>
  </si>
  <si>
    <t>842020</t>
  </si>
  <si>
    <t>842021</t>
  </si>
  <si>
    <t>843010</t>
  </si>
  <si>
    <t>843020</t>
  </si>
  <si>
    <t>844010</t>
  </si>
  <si>
    <t>845000</t>
  </si>
  <si>
    <t>845001</t>
  </si>
  <si>
    <t>845002</t>
  </si>
  <si>
    <t>845010</t>
  </si>
  <si>
    <t>845030</t>
  </si>
  <si>
    <t>845050</t>
  </si>
  <si>
    <t>845060</t>
  </si>
  <si>
    <t>846010</t>
  </si>
  <si>
    <t>847010</t>
  </si>
  <si>
    <t>847020</t>
  </si>
  <si>
    <t>847030</t>
  </si>
  <si>
    <t>847050</t>
  </si>
  <si>
    <t>847060</t>
  </si>
  <si>
    <t>847080</t>
  </si>
  <si>
    <t>847090</t>
  </si>
  <si>
    <t>848030</t>
  </si>
  <si>
    <t>848040</t>
  </si>
  <si>
    <t>881000</t>
  </si>
  <si>
    <t>881010</t>
  </si>
  <si>
    <t>881200</t>
  </si>
  <si>
    <t>882000</t>
  </si>
  <si>
    <t>882001</t>
  </si>
  <si>
    <t>882010</t>
  </si>
  <si>
    <t>882030</t>
  </si>
  <si>
    <t>882200</t>
  </si>
  <si>
    <t>899000</t>
  </si>
  <si>
    <t>A10000</t>
  </si>
  <si>
    <t>新增</t>
    <phoneticPr fontId="4" type="noConversion"/>
  </si>
  <si>
    <t>Y</t>
    <phoneticPr fontId="4" type="noConversion"/>
  </si>
  <si>
    <t>NA</t>
    <phoneticPr fontId="4" type="noConversion"/>
  </si>
  <si>
    <t>新增</t>
    <phoneticPr fontId="4" type="noConversion"/>
  </si>
  <si>
    <t>byline上按Group要求放在SIA(Sean没吵赢)，而没有和提取续保奖金一起放在Investment contract benefits</t>
  </si>
  <si>
    <t>保险合同没有大额，不新开</t>
  </si>
  <si>
    <t>ETL</t>
  </si>
  <si>
    <t>系统账IGM/RPS，保留</t>
  </si>
  <si>
    <t>CAS下仅有一年一次的13期调整，精算为保险/投资合同续保奖金提取的准备金，没有分开的要求，或者+plan code区分</t>
  </si>
  <si>
    <t>CAS下投资合同部分合并在保险合同科目一年一度计提</t>
  </si>
  <si>
    <r>
      <t>和提取续保奖金配套，投资</t>
    </r>
    <r>
      <rPr>
        <sz val="9"/>
        <color rgb="FFFF0000"/>
        <rFont val="Arial"/>
        <family val="2"/>
      </rPr>
      <t>/</t>
    </r>
    <r>
      <rPr>
        <sz val="9"/>
        <color rgb="FFFF0000"/>
        <rFont val="宋体"/>
        <family val="3"/>
        <charset val="134"/>
      </rPr>
      <t>保险合同各开一个，但需要考虑系统账是否可以拆分</t>
    </r>
    <phoneticPr fontId="4" type="noConversion"/>
  </si>
  <si>
    <t>52043905;52043906</t>
    <phoneticPr fontId="4" type="noConversion"/>
  </si>
  <si>
    <t>520401;520407;520418;52043902;52043903;52043904;520423</t>
    <phoneticPr fontId="4" type="noConversion"/>
  </si>
  <si>
    <t>410104;410102;410109</t>
    <phoneticPr fontId="4" type="noConversion"/>
  </si>
  <si>
    <t>410105;410103;410110</t>
    <phoneticPr fontId="4" type="noConversion"/>
  </si>
  <si>
    <t>410204;410202;410202</t>
    <phoneticPr fontId="4" type="noConversion"/>
  </si>
  <si>
    <t>410205;410203;410210</t>
    <phoneticPr fontId="4" type="noConversion"/>
  </si>
  <si>
    <t>520022;520032</t>
    <phoneticPr fontId="4" type="noConversion"/>
  </si>
  <si>
    <t>B10000</t>
    <phoneticPr fontId="4" type="noConversion"/>
  </si>
  <si>
    <t>450501;459901</t>
    <phoneticPr fontId="4" type="noConversion"/>
  </si>
  <si>
    <t>need to follow up</t>
    <phoneticPr fontId="4" type="noConversion"/>
  </si>
  <si>
    <t>450203;450204</t>
    <phoneticPr fontId="4" type="noConversion"/>
  </si>
  <si>
    <t>2310010113;2310010114;2310010115;2310010116;2310010117;2310010118;2310010119</t>
    <phoneticPr fontId="4" type="noConversion"/>
  </si>
  <si>
    <t>定期存款-1年及以上</t>
  </si>
  <si>
    <t>可供出售金融资产-股票-成本</t>
  </si>
  <si>
    <t>可供出售金融资产-基金-成本</t>
  </si>
  <si>
    <t>可供出售金融资产-货币基金(存款)-成本</t>
  </si>
  <si>
    <t>可供出售金融资产-货币基金(现金等价物)-成本</t>
  </si>
  <si>
    <t>计算机及辅助设备-原值</t>
  </si>
  <si>
    <t>融资租入固定资产-原值</t>
  </si>
  <si>
    <t>计算机及辅助设备-累计折旧</t>
  </si>
  <si>
    <t>融资租入固定资产-累计折旧</t>
  </si>
  <si>
    <t>交通运输设备-原值</t>
  </si>
  <si>
    <t>交通运输设备-累计折旧</t>
  </si>
  <si>
    <t>机械及动力设备-原值</t>
  </si>
  <si>
    <t>办公设备-原值</t>
  </si>
  <si>
    <t>机械及动力设备-累计折旧</t>
  </si>
  <si>
    <t>办公设备-累计折旧</t>
  </si>
  <si>
    <t>长期待摊-租赁房屋装修-原值</t>
  </si>
  <si>
    <t>长期待摊-租赁房屋装修-累计摊销</t>
  </si>
  <si>
    <t>在建工程-租赁房屋装修</t>
  </si>
  <si>
    <t>计算机软件-原值</t>
  </si>
  <si>
    <t>计算机软件-累计摊销</t>
  </si>
  <si>
    <t>研发支出-资本化支出</t>
  </si>
  <si>
    <t>软件使用权-原值</t>
  </si>
  <si>
    <t>长期待摊-俱乐部会员费-原值</t>
  </si>
  <si>
    <t>长期待摊-花旗签约费-原值(IFRS)</t>
  </si>
  <si>
    <t>软件使用权-累计摊销</t>
  </si>
  <si>
    <t>长期待摊-俱乐部会员费-累计摊销</t>
  </si>
  <si>
    <t>长期待摊-花旗签约费-累计摊销(IFRS)</t>
  </si>
  <si>
    <t>应收利息(IFRS)</t>
  </si>
  <si>
    <t>应收利息-定期存款</t>
  </si>
  <si>
    <t>长期待摊-其他-原值</t>
  </si>
  <si>
    <t>长期待摊-其他-累计摊销</t>
  </si>
  <si>
    <t>递延所得税负债-无法转回的可抵扣暂时性差异</t>
  </si>
  <si>
    <t>买入返售金融资产-3个月及以内-面值</t>
  </si>
  <si>
    <t>寿险责任准备金</t>
  </si>
  <si>
    <t>寿险责任准备金-递延利润</t>
  </si>
  <si>
    <t>寿险责任准备金-递延不可抵扣佣金</t>
  </si>
  <si>
    <t>寿险责任准备金-PSPS</t>
  </si>
  <si>
    <t>应付赔付款-年金给付暂存款</t>
  </si>
  <si>
    <t>应付赔付款-死伤医疗给付暂存款</t>
  </si>
  <si>
    <t>寿险责任准备金-未赚收益(IFRS)</t>
  </si>
  <si>
    <t>寿险责任准备金-未赚收益-影子调整(IFRS)</t>
  </si>
  <si>
    <t>寿险责任准备金-投连万能风险保障(IFRS)</t>
  </si>
  <si>
    <t>应收分保寿险责任准备金-投连万能风险保障(IFRS)</t>
  </si>
  <si>
    <t>寿险责任准备金-投资合同-公允价值计量(IFRS)</t>
  </si>
  <si>
    <t>保户储金及投资款-投资合同-万能续保奖金(IFRS)</t>
  </si>
  <si>
    <t>寿险责任准备金-投资合同-摊余成本计量(IFRS)</t>
  </si>
  <si>
    <t>寿险责任准备金-投资合同-递延服务费(IFRS)</t>
  </si>
  <si>
    <t>衍生金融负债(IFRS)</t>
  </si>
  <si>
    <t>卖出回购金融资产款-面值</t>
  </si>
  <si>
    <t>卖出回购金融资产款-资产负债匹配(IFRS)</t>
  </si>
  <si>
    <t>其他应付款-日常-未确认融资费用-融资租入固定资产</t>
  </si>
  <si>
    <t>长期应付款-日常-应付融资租赁款</t>
  </si>
  <si>
    <t>应付佣金-佣金(系统过渡)</t>
  </si>
  <si>
    <t>应付职工薪酬-销售激励奖金</t>
  </si>
  <si>
    <t>应交个人所得税-客户</t>
  </si>
  <si>
    <t>应交个人所得税-客户-其他</t>
  </si>
  <si>
    <t>应交税金及附加-城建税-公司</t>
  </si>
  <si>
    <t>应交教育费附加-公司</t>
  </si>
  <si>
    <t>应交增值税-应缴未缴</t>
  </si>
  <si>
    <t>其他应付款-保险-GUL/GILP账户价值划转</t>
  </si>
  <si>
    <t>其他应付款-保险-保单利益划转(系统过渡)</t>
  </si>
  <si>
    <t>其他应付款-保险-挂账-还质押贷款</t>
  </si>
  <si>
    <t>其他应付款-保险-挂账-借质押贷款</t>
  </si>
  <si>
    <t>其他应收款-投资-证券清算FX clearing</t>
  </si>
  <si>
    <t>其他应收款-投资-证券清算SuspenseSystem Interface Suspense</t>
  </si>
  <si>
    <t>其他应收款-投资-证券清算SuspenseOIM Suspense</t>
  </si>
  <si>
    <t>应付赔付款-万能险退保(系统过渡)</t>
  </si>
  <si>
    <t>应付赔付款-投连险退保(系统过渡)</t>
  </si>
  <si>
    <t>其他负债-员工股权计划</t>
  </si>
  <si>
    <t>其他应付款-投资-LOB结平</t>
  </si>
  <si>
    <t>其他应付款-保险-LOB结平</t>
  </si>
  <si>
    <t>其他资本公积-股份支付-RSU(IFRS)</t>
  </si>
  <si>
    <t>其他资本公积-可售金融资产公允价值</t>
  </si>
  <si>
    <t>其他资本公积-可售金融资产公允价值-递延所得税</t>
  </si>
  <si>
    <t>其他资本公积-递延保单获取成本(IFRS)</t>
  </si>
  <si>
    <t>其他资本公积-未赚管理费收入(IFRS)</t>
  </si>
  <si>
    <t>其他资本公积-可售金融资产公允价值变动-PSPS调整</t>
  </si>
  <si>
    <t>营运资金-花旗费用调整(IFRS)</t>
  </si>
  <si>
    <t>其他业务收入-投资合同-初始费用</t>
  </si>
  <si>
    <t>保费收入-趸缴-保险合同-未赚收益-摊销(IFRS)</t>
  </si>
  <si>
    <t>保费收入-趸缴-保险合同-未赚收益-递延(IFRS)</t>
  </si>
  <si>
    <t>保费收入-趸缴-投资合同-递延服务费-摊销(IFRS)</t>
  </si>
  <si>
    <t>保费收入-续期-增额红利调整(IFRS)</t>
  </si>
  <si>
    <t>保费收入-趸缴-投资合同-递延服务费-递延(IFRS)</t>
  </si>
  <si>
    <t>其他业务收入-SPUL再保-佣金</t>
  </si>
  <si>
    <t>其他业务收入-退保手续费</t>
  </si>
  <si>
    <t>提取未决赔款-已发已报-个险</t>
  </si>
  <si>
    <t>提取未决赔款-已发已报-团险</t>
  </si>
  <si>
    <t>摊回分保未决赔款准备金-已发已报(精算)</t>
  </si>
  <si>
    <t>提取未决赔-已发未报(福利保单)</t>
  </si>
  <si>
    <t>保单红利支出-客户-现金红利</t>
  </si>
  <si>
    <t>保单红利支出-公司</t>
  </si>
  <si>
    <t>提取寿险责任准备金</t>
  </si>
  <si>
    <t>提取寿险责任准备金-未赚收益(IFRS)</t>
  </si>
  <si>
    <t>提取寿险责任准备金-减额交清结转</t>
  </si>
  <si>
    <t>提取寿险责任准备金-投连万能风险保障(IFRS)</t>
  </si>
  <si>
    <t>提取寿险准备金-投资合同-成本摊销(IFRS)</t>
  </si>
  <si>
    <t>摊回分保寿险责任准备金-投连万能风险保障(IFRS)</t>
  </si>
  <si>
    <t xml:space="preserve">提取寿险责任准备金-递延利润(IFRS) </t>
  </si>
  <si>
    <t xml:space="preserve">提取寿险责任准备金-递延不可抵扣佣金(IFRS) </t>
  </si>
  <si>
    <t>保单红利支出-PSPS</t>
  </si>
  <si>
    <t>保单红利支出-PSPS-营运溢利(IFRS)</t>
  </si>
  <si>
    <t>其他业务成本-投资合同-佣金支出-直接-首年</t>
  </si>
  <si>
    <t>其他业务成本-投资合同-佣金支出-直接-续期</t>
  </si>
  <si>
    <t>其他业务成本-保户储金-佣金支出-直接-续期</t>
  </si>
  <si>
    <t>其他业务成本-投资合同-佣金支出-直接-趸缴</t>
  </si>
  <si>
    <t>佣金支出-间接-团险主管津贴GL</t>
  </si>
  <si>
    <t>佣金支出-间接-团险主管津贴GM</t>
  </si>
  <si>
    <t>佣金支出-间接-团险主管津贴GA</t>
  </si>
  <si>
    <t>佣金支出-间接-团险主管津贴GTA</t>
  </si>
  <si>
    <t>佣金支出-间接-个团险分摊-首年</t>
  </si>
  <si>
    <t>佣金支出-间接-个团险分摊-趸缴</t>
  </si>
  <si>
    <t>营业费用-业务宣传费-其他营销费用-续期</t>
  </si>
  <si>
    <t>营业费用-业务宣传费-银保销售人员竞赛奖励-首年</t>
  </si>
  <si>
    <t>营业费用-业务宣传费-银保销售人员竞赛奖励-趸缴</t>
  </si>
  <si>
    <t>营业费用-业务宣传费-银行渠道培训费-首年</t>
  </si>
  <si>
    <t>营业费用-业务宣传费-会务费-首年</t>
  </si>
  <si>
    <t>营业费用-业务宣传费-银行渠道培训费-趸缴</t>
  </si>
  <si>
    <t>营业费用-业务宣传费-会务费-趸缴</t>
  </si>
  <si>
    <t>营业费用-业务宣传费-市场推广费用-首年</t>
  </si>
  <si>
    <t>营业费用-业务招待费-VEA相关-首年</t>
  </si>
  <si>
    <t>营业费用-业务宣传费-市场推广费用-趸缴</t>
  </si>
  <si>
    <t>营业费用-业务宣传费-其他营销费用-趸缴</t>
  </si>
  <si>
    <t>营业费用-业务招待费-VEA相关-趸缴</t>
  </si>
  <si>
    <t>手续费支出-花旗签约费(IFRS)</t>
  </si>
  <si>
    <t>手续费支出-花旗服务费(IFRS)</t>
  </si>
  <si>
    <t>营业费用-工资福利-工资奖金-AM销售奖金-首年</t>
  </si>
  <si>
    <t>营业费用-工资福利-工资奖金-AM竞赛奖金-首年</t>
  </si>
  <si>
    <t>营业费用-工资福利-工资奖金-AM销售奖金-趸缴</t>
  </si>
  <si>
    <t>营业费用-工资福利-工资奖金-AM竞赛奖金-趸缴</t>
  </si>
  <si>
    <t>营业费用-其他-体检费-首年</t>
  </si>
  <si>
    <t>营业费用-其他-可抵扣进项VEA-首年-分摊</t>
  </si>
  <si>
    <t>营业费用-印刷费-保单相关-首年</t>
  </si>
  <si>
    <t>税金及附加-城建税-保险-首年</t>
  </si>
  <si>
    <t>税金及附加-城建税-保险-续期</t>
  </si>
  <si>
    <t>税金及附加-城建税-保险-趸缴</t>
  </si>
  <si>
    <t>税金及附加-教育费附加-保险-首年</t>
  </si>
  <si>
    <t>税金及附加-教育费附加-保险-续期</t>
  </si>
  <si>
    <t>税金及附加-教育费附加-保险-趸缴</t>
  </si>
  <si>
    <t>税金及附加-其他-保险-首年</t>
  </si>
  <si>
    <t>税金及附加-其他-保险-续期</t>
  </si>
  <si>
    <t>税金及附加-其他-保险-趸缴</t>
  </si>
  <si>
    <t>营业费用-其他-外购VEA相关的视同销售-首年</t>
  </si>
  <si>
    <t>营业费用-其他-外购VEA相关的可抵扣进项税-续期-分摊</t>
  </si>
  <si>
    <t>营业费用-其他-外购VEA相关的视同销售-续期</t>
  </si>
  <si>
    <t>营业费用-印刷费-保单相关-趸缴</t>
  </si>
  <si>
    <t>营业费用-其他-体检费-趸缴</t>
  </si>
  <si>
    <t>营业费用-其他-保险相关的视同销售增值税</t>
  </si>
  <si>
    <t>营业费用-其他-外购VEA相关的可抵扣进项税-趸交-分摊</t>
  </si>
  <si>
    <t>营业费用-其他-外购VEA相关的视同销售-趸交</t>
  </si>
  <si>
    <t>营业费用-其他-身份认证服务-首年</t>
  </si>
  <si>
    <t>营业费用-其他-身份认证服务-趸缴</t>
  </si>
  <si>
    <t>税金及附加-城建税-投资-持有至到期投资-利息</t>
  </si>
  <si>
    <t>税金及附加-教育费附加-投资-持有至到期投资-利息</t>
  </si>
  <si>
    <t>投资收益-可供出售金融资产-利息(销项)</t>
  </si>
  <si>
    <t>税金及附加-城建税-投资-可供出售金融资产-利息</t>
  </si>
  <si>
    <t>税金及附加-教育费附加-投资-可供出售金融资产-利息</t>
  </si>
  <si>
    <t>投资收益-可供出售金融资产-溢折价</t>
  </si>
  <si>
    <t>投资收益-指定交易金融资产-实收利息(IFRS)</t>
  </si>
  <si>
    <t>税金及附加-城建税-投资-公允价值选择权-债券-利息</t>
  </si>
  <si>
    <t>税金及附加-教育费附加-投资--债券-利息</t>
  </si>
  <si>
    <t>投资收益-指定交易金融资产-预提利息(IFRS)</t>
  </si>
  <si>
    <t>投资收益-公允价值选择权-债券-溢折价(IFRS)</t>
  </si>
  <si>
    <t>投资收益-定期存款-1年及以上-实收利息</t>
  </si>
  <si>
    <t>投资收益-协议存款-实收利息</t>
  </si>
  <si>
    <t>投资收益-定期存款-1年及以上-预提利息</t>
  </si>
  <si>
    <t>投资收益-协议存款-预提利息</t>
  </si>
  <si>
    <t>投资收益-定期存款-1年及以下-实收利息</t>
  </si>
  <si>
    <t>投资收益-定期存款-1年及以下-预提利息</t>
  </si>
  <si>
    <t>投资收益-买入返售金融资产-3个月至1年-实收利息</t>
  </si>
  <si>
    <t>投资收益-买入返售金融资产-3个月至1年-预提利息</t>
  </si>
  <si>
    <t>投资收益-买入返售金融资产-3个月及以内-实收利息</t>
  </si>
  <si>
    <t>投资收益-买入返售金融资产-3个月及以内-预提利息</t>
  </si>
  <si>
    <t>利息支出-卖出回购金融资产款-实付</t>
  </si>
  <si>
    <t>利息支出-卖出回购金融资产款-预提</t>
  </si>
  <si>
    <t>利息支出-卖出回购金融资产款-资产负债匹配-实付(IFRS)</t>
  </si>
  <si>
    <t>利息支出-卖出回购金融资产款-资产负债匹配-预提(IFRS)</t>
  </si>
  <si>
    <t>投资收益-贷款及应收款项-非标投资(有抵押)-实收利息</t>
  </si>
  <si>
    <t>投资收益-贷款及应收款项-非标投资-利息(销项)</t>
  </si>
  <si>
    <t>投资收益-贷款及应收款项-非标投资(有抵押)-预提利息</t>
  </si>
  <si>
    <t>投资收益-贷款及应收款项-非标投资(无抵押)-实收利息</t>
  </si>
  <si>
    <t>投资收益-贷款及应收款项-非标投资(无抵押)-预提利息</t>
  </si>
  <si>
    <t>利息收入-3个月以内定期存款-实收</t>
  </si>
  <si>
    <t>利息收入-3个月以内定期存款-预提</t>
  </si>
  <si>
    <t>投资收益-可供出售金融资产-股票-红利</t>
  </si>
  <si>
    <t>投资收益-可供出售金融资产-优先股-红利</t>
  </si>
  <si>
    <t>投资收益-可供出售金融资产-基金-红利</t>
  </si>
  <si>
    <t>投资收益-公允价值选择权-股票-红利(IFRS)</t>
  </si>
  <si>
    <t>投资收益-公允价值选择权-优先股-红利(IFRS)</t>
  </si>
  <si>
    <t>投资收益-公允价值选择权-基金-红利(IFRS)</t>
  </si>
  <si>
    <t>投资收益-可供出售金融资产-货币基金-红利</t>
  </si>
  <si>
    <t>其他业务收入-SPUL再保-成员盈利分配</t>
  </si>
  <si>
    <t>投资收益-持有至到期投资-买卖利得</t>
  </si>
  <si>
    <t>投资收益-持有至到期投资-买卖损失</t>
  </si>
  <si>
    <t>投资收益-可供出售金融资产-债券-买卖利得</t>
  </si>
  <si>
    <t>投资收益-可供出售金融资产-债券-买卖损失</t>
  </si>
  <si>
    <t>投资收益-公允价值选择权-债券-买卖利得(IFRS)</t>
  </si>
  <si>
    <t>投资收益-公允价值选择权-债券-买卖损失(IFRS)</t>
  </si>
  <si>
    <t>投资收益-衍生金融资产-买卖利得</t>
  </si>
  <si>
    <t>投资收益-衍生金融资产-买卖损失</t>
  </si>
  <si>
    <t>投资收益-可供出售金融资产-股票-买卖利得</t>
  </si>
  <si>
    <t>投资收益-可供出售金融资产-股票-买卖损失</t>
  </si>
  <si>
    <t>投资收益-可供出售金融资产-基金-买卖利得</t>
  </si>
  <si>
    <t>投资收益-可供出售金融资产-基金-买卖损失</t>
  </si>
  <si>
    <t>投资收益-公允价值选择权-股票-买卖利得(IFRS)</t>
  </si>
  <si>
    <t>投资收益-公允价值选择权-股票-买卖损失(IFRS)</t>
  </si>
  <si>
    <t>投资收益-公允价值选择权-基金-买卖利得(IFRS)</t>
  </si>
  <si>
    <t>投资收益-公允价值选择权-基金-买卖损失(IFRS)</t>
  </si>
  <si>
    <t>投资收益-权益投资预期资本增值(IFRS)</t>
  </si>
  <si>
    <t>投资收益-买卖价差(销项)</t>
  </si>
  <si>
    <t>公允价值变动-指定交易金融资产-债券(IFRS)</t>
  </si>
  <si>
    <t>公允价值变动-指定交易金融资产-股票(IFRS)</t>
  </si>
  <si>
    <t>公允价值变动-指定交易金融资产-基金(IFRS)</t>
  </si>
  <si>
    <t>资产减值损失-可供出售金融资产-股票</t>
  </si>
  <si>
    <t>资产减值损失-可供出售金融资产-基金</t>
  </si>
  <si>
    <t>营业费用-托管费-中行托管费</t>
  </si>
  <si>
    <t>营业费用-托管费-中行会计主体佣金</t>
  </si>
  <si>
    <t>其他业务成本－SPUL再保-保单管理费</t>
  </si>
  <si>
    <t>其他业务成本－SPUL再保-销售手续费</t>
  </si>
  <si>
    <t>营业费用-工资及福利费-工资奖金-员工工资</t>
  </si>
  <si>
    <t>营业费用-工资及福利费-工资奖金-员工加班</t>
  </si>
  <si>
    <t>营业费用-工资及福利费-工资奖金-员工奖金</t>
  </si>
  <si>
    <t>营业费用-工资及福利费-工资奖金-销售激励奖金</t>
  </si>
  <si>
    <t>营业费用-工资及福利费-工资奖金-短期激励奖金</t>
  </si>
  <si>
    <t>营业费用-工资及福利费-工资奖金-临时工工资</t>
  </si>
  <si>
    <t>营业费用-工资及福利费-工资奖金-长期激励奖金</t>
  </si>
  <si>
    <t>营业费用-工资及福利费-职工-股份支付-RSU</t>
  </si>
  <si>
    <t>营业费用-工资及福利费-职工-股份支付-ESPP</t>
  </si>
  <si>
    <t>营业费用-工资及福利费-职工-股份支付-SO</t>
  </si>
  <si>
    <t>营业费用-工资及福利费-职工福利-社保-养老</t>
  </si>
  <si>
    <t>营业费用-工资及福利费-职工福利-补充养老金未归属投资收益</t>
  </si>
  <si>
    <t>营业费用-工资福利-职工福利-补充养老金公司供款</t>
  </si>
  <si>
    <t>营业费用-工资及福利费-职工福利-社保-医保</t>
  </si>
  <si>
    <t>营业费用-工资及福利费-职工福利-社保-失业</t>
  </si>
  <si>
    <t>营业费用-工资及福利费-职工福利-社保-工伤</t>
  </si>
  <si>
    <t>营业费用-工资及福利费-职工福利-公积金</t>
  </si>
  <si>
    <t>营业费用-工资及福利费-职工福利-社保-生育</t>
  </si>
  <si>
    <t>营业费用-工资及福利费-职工福利-其他</t>
  </si>
  <si>
    <t>营业费用-工资及福利费-职工福利-高管</t>
  </si>
  <si>
    <t>营业费用-工资及福利费-职工福利-ASO</t>
  </si>
  <si>
    <t>营业费用-工资及福利费-职工福利-非ASO</t>
  </si>
  <si>
    <t>营业费用-工资及福利费-未休假期补偿</t>
  </si>
  <si>
    <t>营业费用-工资及福利费-职工福利-迁职费</t>
  </si>
  <si>
    <t>营业费用-业务宣传费-银保销售人员培训费</t>
  </si>
  <si>
    <t>营业费用-职工教育费-员工培训-本地部门</t>
  </si>
  <si>
    <t>营业费用-职工教育费-员工培训-Local HR</t>
  </si>
  <si>
    <t>营业费用-职工教育费-曼谷培训</t>
  </si>
  <si>
    <t>营业费用-职工教育费-员工培训-China HR</t>
  </si>
  <si>
    <t>营业费用-职工教育费-考试费</t>
  </si>
  <si>
    <t>营业费用-租赁费-办公场所</t>
  </si>
  <si>
    <t>营业费用-物业管理费</t>
  </si>
  <si>
    <t>营业费用-水电费</t>
  </si>
  <si>
    <t>营业费用-公杂费-低值易耗品</t>
  </si>
  <si>
    <t>营业费用-折旧-计算机及辅助设备</t>
  </si>
  <si>
    <t>营业费用-折旧-融资租入固定资产</t>
  </si>
  <si>
    <t>营业费用-折旧-交通运输设备</t>
  </si>
  <si>
    <t>营业费用-折旧-机械及动力设备</t>
  </si>
  <si>
    <t>营业费用-折旧-办公设备-家具</t>
  </si>
  <si>
    <t>营业费用-折旧-办公设备-电信设备</t>
  </si>
  <si>
    <t>营业费用-长期待摊-装修</t>
  </si>
  <si>
    <t>营业费用-无形资产摊销-计算机软件</t>
  </si>
  <si>
    <t>营业费用-长期待摊-俱乐部会员费</t>
  </si>
  <si>
    <t>营业费用-电子设备运转费-系统技术开发服务</t>
  </si>
  <si>
    <t>营业费用-电子设备运转费-数据通信费</t>
  </si>
  <si>
    <t>营业费用-电子设备运转费-租金及服务费</t>
  </si>
  <si>
    <t>营业费用-电子设备运转费-helpdesk服务费</t>
  </si>
  <si>
    <t>营业费用-电子设备运转费-杂费</t>
  </si>
  <si>
    <t>营业费用-上交管理费-GOSF</t>
  </si>
  <si>
    <t>营业费用-上交管理费-培训费用</t>
  </si>
  <si>
    <t>营业费用-业务宣传费-广告费用-品牌相关</t>
  </si>
  <si>
    <t>营业费用-业务宣传费-广告费用-非品牌相关</t>
  </si>
  <si>
    <t>营业费用-业务宣传费-宣传推广费-GOE</t>
  </si>
  <si>
    <t>营业费用-企业财产保险</t>
  </si>
  <si>
    <t>营业费用-差旅费-国内</t>
  </si>
  <si>
    <t>营业费用-差旅费-国外</t>
  </si>
  <si>
    <t>营业费用-业务招待费-公司</t>
  </si>
  <si>
    <t>营业费用-印刷费</t>
  </si>
  <si>
    <t>营业费用-邮电费-通讯费</t>
  </si>
  <si>
    <t>营业费用-邮电费-员工手机通讯费</t>
  </si>
  <si>
    <t>营业费用-审计费</t>
  </si>
  <si>
    <t>营业费用-诉讼费</t>
  </si>
  <si>
    <t>营业费用-工资及福利费-工资奖金-外包员工</t>
  </si>
  <si>
    <t>营业费用-工资及福利费-职工福利-外包员工</t>
  </si>
  <si>
    <t>营业费用-其他-其他服务费</t>
  </si>
  <si>
    <t>营业费用-其他-人事外包服务费</t>
  </si>
  <si>
    <t>营业费用-其他-柯达服务费</t>
  </si>
  <si>
    <t>营业费用-其他-客户服务费</t>
  </si>
  <si>
    <t>营业费用-公杂费-员工招聘费</t>
  </si>
  <si>
    <t>营业费用-其他-可抵扣进项税-GOE</t>
  </si>
  <si>
    <t>营业费用-其他-视同销售-外购GOE增值税</t>
  </si>
  <si>
    <t>营业费用-会务费</t>
  </si>
  <si>
    <t>营业费用-公杂费-交通费用</t>
  </si>
  <si>
    <t>营业费用-车辆费用</t>
  </si>
  <si>
    <t>营业费用-学会会费</t>
  </si>
  <si>
    <t>营业费用-工会经费</t>
  </si>
  <si>
    <t>营业费用-邮电费-邮寄费</t>
  </si>
  <si>
    <t>营业费用-银行结算费-其他</t>
  </si>
  <si>
    <t>营业费用-公杂费-其他杂费</t>
  </si>
  <si>
    <t>营业费用-其他-营销员培训</t>
  </si>
  <si>
    <t>营业费用-工资及福利费-职工福利-特殊补贴</t>
  </si>
  <si>
    <t>营业费用-电子设备运转-DCM</t>
  </si>
  <si>
    <t>营业费用-电子设备运转-Ingeium Enhancement</t>
  </si>
  <si>
    <t>当期所得税-买卖价差</t>
  </si>
  <si>
    <t>当期所得税-其他(IFRS)</t>
  </si>
  <si>
    <t>递延所得税-买卖价差(IFRS)</t>
  </si>
  <si>
    <t>递延所得税-其他(IFRS)</t>
  </si>
  <si>
    <t>参考公允价值-贷款及应收款项-非标投资</t>
  </si>
  <si>
    <t>参考公允价值-未实现资本利得</t>
  </si>
  <si>
    <t>230607;230608</t>
    <phoneticPr fontId="4" type="noConversion"/>
  </si>
  <si>
    <t>230609;23061003</t>
    <phoneticPr fontId="4" type="noConversion"/>
  </si>
  <si>
    <t>230613;23100402</t>
    <phoneticPr fontId="4" type="noConversion"/>
  </si>
  <si>
    <t>310101;320301</t>
    <phoneticPr fontId="4" type="noConversion"/>
  </si>
  <si>
    <t>Y</t>
    <phoneticPr fontId="4" type="noConversion"/>
  </si>
  <si>
    <t>NA</t>
    <phoneticPr fontId="4" type="noConversion"/>
  </si>
  <si>
    <t>520201;520202</t>
    <phoneticPr fontId="4" type="noConversion"/>
  </si>
  <si>
    <t>Current Deposit</t>
  </si>
  <si>
    <t>280002</t>
  </si>
  <si>
    <t>280001</t>
  </si>
  <si>
    <t>282005</t>
  </si>
  <si>
    <t>282046</t>
  </si>
  <si>
    <t>282004</t>
  </si>
  <si>
    <t>282013</t>
  </si>
  <si>
    <t>282010</t>
  </si>
  <si>
    <t>282000</t>
  </si>
  <si>
    <t>282006</t>
  </si>
  <si>
    <t>282003</t>
  </si>
  <si>
    <t>282018</t>
  </si>
  <si>
    <t>281006</t>
  </si>
  <si>
    <t>280200</t>
  </si>
  <si>
    <t>现金-库存现金</t>
  </si>
  <si>
    <t>现金-备用金</t>
  </si>
  <si>
    <t>现金-cash clearing</t>
  </si>
  <si>
    <t>活期存款-RMB-工行-社保7843</t>
  </si>
  <si>
    <t>活期存款-RMB-工行-基本0557</t>
  </si>
  <si>
    <t>活期存款-RMB-工行-海陵1TZ36016</t>
  </si>
  <si>
    <t>活期存款-RMB-工行-东莞2655</t>
  </si>
  <si>
    <t>活期存款-RMB-工行-东莞2779</t>
  </si>
  <si>
    <t>活期存款-RMB-工行-东莞2806</t>
  </si>
  <si>
    <t>活期存款-RMB-工行-东莞2930</t>
  </si>
  <si>
    <t>活期存款-RMB-工行-上海3472</t>
  </si>
  <si>
    <t>活期存款-RMB-工行-上海3623</t>
  </si>
  <si>
    <t>活期存款-RMB-工行-上海3747</t>
  </si>
  <si>
    <t>活期存款-RMB-工行-上海3596</t>
  </si>
  <si>
    <t>活期存款-RMB-工行-上海3871</t>
  </si>
  <si>
    <t>活期存款-RMB-工行-上海3348</t>
  </si>
  <si>
    <t>活期存款-RMB-工行-佛山1318</t>
  </si>
  <si>
    <t>活期存款-RMB-中行-托管PAR</t>
  </si>
  <si>
    <t>活期存款-RMB-中行-托管NPAR</t>
  </si>
  <si>
    <t>活期存款-RMB-中行-托管UL</t>
  </si>
  <si>
    <t>活期存款-RMB-中行-托管GUL</t>
  </si>
  <si>
    <t>活期存款-RMB-中行-托管GULPF</t>
  </si>
  <si>
    <t>活期存款-RMB-中行-托管7YPAR</t>
  </si>
  <si>
    <t>活期存款-RMB-中行-杭州1482</t>
  </si>
  <si>
    <t>活期存款-RMB-中行-托管UCX1501</t>
  </si>
  <si>
    <t>活期存款-RMB-中行-杭州9521</t>
  </si>
  <si>
    <t>活期存款-RMB-中行-杭州3299</t>
  </si>
  <si>
    <t>活期存款-RMB-中行-杭州5237</t>
  </si>
  <si>
    <t>活期存款-RMB-中行-杭州9630</t>
  </si>
  <si>
    <t>活期存款-RMB-中行-杭州5959</t>
  </si>
  <si>
    <t>活期存款-RMB-中行-杭州5880</t>
  </si>
  <si>
    <t>活期存款-RMB-建行-东莞5547</t>
  </si>
  <si>
    <t>活期存款-RMB-建行-广州0077</t>
  </si>
  <si>
    <t>活期存款-RMB-建行-广州0062</t>
  </si>
  <si>
    <t>活期存款-RMB-建行-广州0071</t>
  </si>
  <si>
    <t>活期存款-RMB-建行-广州0065</t>
  </si>
  <si>
    <t>活期存款-RMB-建行-广州0061</t>
  </si>
  <si>
    <t>活期存款-RMB-建行-广州0063</t>
  </si>
  <si>
    <t>活期存款-RMB-建行-广州0064</t>
  </si>
  <si>
    <t>活期存款-RMB-建行-苏州0625</t>
  </si>
  <si>
    <t>活期存款-RMB-建行-安慧0585-收-保费</t>
  </si>
  <si>
    <t>活期存款-RMB-交行-龙岗7747</t>
  </si>
  <si>
    <t>活期存款-RMB-交行-祥源6950</t>
  </si>
  <si>
    <t>活期存款-RMB-招行-上海0101</t>
  </si>
  <si>
    <t>活期存款-RMB-招行-南京0702</t>
  </si>
  <si>
    <t>活期存款-RMB-招行-九堡0101-收-保费</t>
  </si>
  <si>
    <t>活期存款-RMB-招行-九堡0902-收-保费</t>
  </si>
  <si>
    <t>活期存款-RMB-招行-九堡0701-收-保费</t>
  </si>
  <si>
    <t>活期存款-RMB-招行-九堡0201-收-保费</t>
  </si>
  <si>
    <t>活期存款-RMB-招行-九堡0803-收-保费</t>
  </si>
  <si>
    <t>活期存款-RMB-招行-九堡0703-收-保费</t>
  </si>
  <si>
    <t>活期存款-RMB-浦发-深圳0150</t>
  </si>
  <si>
    <t>活期存款-RMB-浦发-北分0260</t>
  </si>
  <si>
    <t>活期存款-RMB-浦发-上海0012</t>
  </si>
  <si>
    <t>活期存款-RMB-浦发-广分0192</t>
  </si>
  <si>
    <t>活期存款-RMB-江苏-南通5234</t>
  </si>
  <si>
    <t>活期存款-RMB-江苏-南京1248</t>
  </si>
  <si>
    <t>活期存款-RMB-花旗-上海1202</t>
  </si>
  <si>
    <t>活期存款-RMB-花旗-托管NPAR(HK)</t>
  </si>
  <si>
    <t>活期存款-RMB-花旗-托管PAR(HK)</t>
  </si>
  <si>
    <t>活期存款-RMB-花旗-托管NPAR</t>
  </si>
  <si>
    <t>活期存款-RMB-花旗-托管PAR</t>
  </si>
  <si>
    <t>活期存款-RMB-星展-北京7219</t>
  </si>
  <si>
    <t>活期存款-RMB-星展-深圳5214</t>
  </si>
  <si>
    <t>活期存款-RMB-大华-上海4696</t>
  </si>
  <si>
    <t>活期存款-USD-工行-东莞0886</t>
  </si>
  <si>
    <t>活期存款-USD-工行-江门7821</t>
  </si>
  <si>
    <t>活期存款-USD-农行-地王3165</t>
  </si>
  <si>
    <t>活期存款-USD-中行-托管NPAR</t>
  </si>
  <si>
    <t>活期存款-USD-花旗-托管NPAR</t>
  </si>
  <si>
    <t>活期存款-USD-花旗-托管NPAR(HK)</t>
  </si>
  <si>
    <t>活期存款-USD-花旗-托管PAR(HK)</t>
  </si>
  <si>
    <t>活期存款-USD-花旗-托管PAR</t>
  </si>
  <si>
    <t>活期存款-HKD-农行-地王3043</t>
  </si>
  <si>
    <t>活期存款-HKD-花旗-托管NPAR</t>
  </si>
  <si>
    <t>活期存款-HKD-花旗-托管NPAR(HK)</t>
  </si>
  <si>
    <t>活期存款-HKD-花旗-托管PAR(HK)</t>
  </si>
  <si>
    <t>活期存款-HKD-花旗-托管PAR</t>
  </si>
  <si>
    <t>活期存款-CAD-花旗-托管NPAR(HK)</t>
  </si>
  <si>
    <t>活期存款-CAD-花旗-托管NPAR</t>
  </si>
  <si>
    <t>活期存款-GBP-花旗-托管NPAR(HK)</t>
  </si>
  <si>
    <t>活期存款-GBP-花旗-托管NPAR</t>
  </si>
  <si>
    <t>活期存款-AUD-花旗-托管NPAR(HK)</t>
  </si>
  <si>
    <t>活期存款-AUD-花旗-托管NPAR</t>
  </si>
  <si>
    <t>活期存款-SGD-花旗-托管NPAR(HK)</t>
  </si>
  <si>
    <t>活期存款-SGD-花旗-托管NPAR</t>
  </si>
  <si>
    <t>活期存款-JPY-花旗-托管NPAR(HK)</t>
  </si>
  <si>
    <t>活期存款-JPY-花旗-托管NPAR</t>
  </si>
  <si>
    <t>活期存款-EUR-花旗-托管NPAR(HK)</t>
  </si>
  <si>
    <t>活期存款-EUR-花旗-托管NPAR</t>
  </si>
  <si>
    <t>活期存款-KRW-花旗-托管NPAR</t>
  </si>
  <si>
    <t>活期存款-KRW-花旗-托管NPAR(HK)</t>
  </si>
  <si>
    <t>活期存款-CHF-花旗-托管NPAR(HK)</t>
  </si>
  <si>
    <t>活期存款-CHF-花旗-托管NPAR</t>
  </si>
  <si>
    <t>其他货币资金-结算备付金</t>
  </si>
  <si>
    <t>活期存款-RMB-工行-基本5057-付-日常</t>
  </si>
  <si>
    <t>活期存款-RMB-工行-国际6360-收-保费</t>
  </si>
  <si>
    <t>活期存款-RMB-工行-珠海2801-付-税费</t>
  </si>
  <si>
    <t>活期存款-RMB-工行-中山6167-付-税费</t>
  </si>
  <si>
    <t>活期存款-RMB-工行-汕头5130-付-税费</t>
  </si>
  <si>
    <t>活期存款-RMB-工行-惠州6910-付-税费</t>
  </si>
  <si>
    <t>活期存款-RMB-工行-肇庆9335-付-税费</t>
  </si>
  <si>
    <t>活期存款-RMB-工行-湛江9232-付-税费</t>
  </si>
  <si>
    <t>活期存款-RMB-工行-茂名8063-付-税费</t>
  </si>
  <si>
    <t>活期存款-RMB-工行-基本6509-付-日常</t>
  </si>
  <si>
    <t>活期存款-RMB-工行-清远1013-付-税费</t>
  </si>
  <si>
    <t>活期存款-RMB-工行-国际0242-收-其它</t>
  </si>
  <si>
    <t>活期存款-RMB-工行-国际6668-资本保证金</t>
  </si>
  <si>
    <t>活期存款-RMB-工行-中六5245-付-退费</t>
  </si>
  <si>
    <t>活期存款-RMB-工行-南海6411-收-保费</t>
  </si>
  <si>
    <t>活期存款-RMB-工行-南海6384-收-其它</t>
  </si>
  <si>
    <t>活期存款-RMB-工行-中六5369-收-保费</t>
  </si>
  <si>
    <t>活期存款-RMB-工行-珠海5733-付-日常</t>
  </si>
  <si>
    <t>活期存款-RMB-工行-中山1853-付-日常</t>
  </si>
  <si>
    <t>活期存款-RMB-工行-肇庆6174-付-日常</t>
  </si>
  <si>
    <t>活期存款-RMB-工行-湛江8837-付-日常</t>
  </si>
  <si>
    <t>活期存款-RMB-工行-茂名6696-付-日常</t>
  </si>
  <si>
    <t>活期存款-RMB-工行-惠州0250-付-日常</t>
  </si>
  <si>
    <t>活期存款-RMB-工行-南京3160</t>
  </si>
  <si>
    <t>活期存款-RMB-工行-上海1021</t>
  </si>
  <si>
    <t>活期存款-RMB-工行-中六8226-付-税费</t>
  </si>
  <si>
    <t>活期存款-RMB-工行-揭阳8137-付-日常</t>
  </si>
  <si>
    <t>活期存款-RMB-工行-揭阳4309-付-税费</t>
  </si>
  <si>
    <t>活期存款-RMB-工行-韶关0601-付-日常</t>
  </si>
  <si>
    <t>活期存款-RMB-工行-韶关0928-付-税费</t>
  </si>
  <si>
    <t>活期存款-RMB-工行-上海2405</t>
  </si>
  <si>
    <t>活期存款-RMB-工行-镇江6816</t>
  </si>
  <si>
    <t>活期存款-RMB-工行-上海8297</t>
  </si>
  <si>
    <t>活期存款-RMB-工行-杭州7635-收-保费</t>
  </si>
  <si>
    <t>活期存款-RMB-工行-杭州7759-收-保费</t>
  </si>
  <si>
    <t>活期存款-RMB-工行-杭州7511-收-保费</t>
  </si>
  <si>
    <t>活期存款-RMB-工行-杭州7360-收-保费</t>
  </si>
  <si>
    <t>活期存款-RMB-工行-杭州7236-收-保费</t>
  </si>
  <si>
    <t>活期存款-RMB-工行-杭州7112-收-保费</t>
  </si>
  <si>
    <t>活期存款-RMB-工行-杭州2481-收-保费</t>
  </si>
  <si>
    <t>活期存款-RMB-农行-南海5316-付-税费</t>
  </si>
  <si>
    <t>活期存款-RMB-农行-朝阳4438-收-保费</t>
  </si>
  <si>
    <t>活期存款-RMB-农行-保俶4805-收-保费</t>
  </si>
  <si>
    <t>活期存款-RMB-农行-保俶4813-收-保费</t>
  </si>
  <si>
    <t>活期存款-RMB-农行-保俶4789-收-保费</t>
  </si>
  <si>
    <t>活期存款-RMB-农行-保俶4797-收-保费</t>
  </si>
  <si>
    <t>活期存款-RMB-农行-保俶4847-收-保费</t>
  </si>
  <si>
    <t>活期存款-RMB-农行-保俶4839-收-保费</t>
  </si>
  <si>
    <t>活期存款-RMB-农行-保俶4821-收-保费</t>
  </si>
  <si>
    <t>活期存款-RMB-中行-JM托管GUL</t>
  </si>
  <si>
    <t>活期存款-RMB-建行-东环0075-收-保费</t>
  </si>
  <si>
    <t>活期存款-RMB-建行-东环3591-付-退费</t>
  </si>
  <si>
    <t>活期存款-RMB-建行-浦东4550-收-保费</t>
  </si>
  <si>
    <t>活期存款-RMB-交行-广州8220-收-保费</t>
  </si>
  <si>
    <t>活期存款-RMB-民生-东山4103-收-保费</t>
  </si>
  <si>
    <t>活期存款-RMB-广发-上海0241-收-保费</t>
  </si>
  <si>
    <t>活期存款-RMB-苏州-湖东0013</t>
  </si>
  <si>
    <t>活期存款-RMB-中信-广州4311-收-保费</t>
  </si>
  <si>
    <t>活期存款-RMB-中信-广州4763-付-退费</t>
  </si>
  <si>
    <t>活期存款-RMB-中信-南京0691-收-保费</t>
  </si>
  <si>
    <t>活期存款-RMB-中信-上海4563-收-保费</t>
  </si>
  <si>
    <t>活期存款-RMB-中信-皇岗0940-收-保费</t>
  </si>
  <si>
    <t>活期存款-RMB-中信-宁波5067-收-保费</t>
  </si>
  <si>
    <t>活期存款-RMB-中信-宁波6075-收-保费</t>
  </si>
  <si>
    <t>活期存款-RMB-中信-宁波5066-收-保费</t>
  </si>
  <si>
    <t>活期存款-RMB-中信-宁波5064-收-保费</t>
  </si>
  <si>
    <t>活期存款-RMB-中信-宁波5062-收-保费</t>
  </si>
  <si>
    <t>活期存款-RMB-中信-宁波6260-收-保费</t>
  </si>
  <si>
    <t>活期存款-RMB-中信-宁波5065-收-保费</t>
  </si>
  <si>
    <t>活期存款-RMB-富邦-上海1187</t>
  </si>
  <si>
    <t>活期存款-RMB-江苏江南农商-常州9612</t>
  </si>
  <si>
    <t>活期存款-RMB-星展-上海6213-投资</t>
  </si>
  <si>
    <t>活期存款-RMB-东亚-广州6400-收-保费</t>
  </si>
  <si>
    <t>活期存款-RMB-蒙特利尔-0021-投资</t>
  </si>
  <si>
    <t>活期存款-RMB-蒙特利尔-0022-投资</t>
  </si>
  <si>
    <t>活期存款-RMB-蒙特利尔-0023-投资</t>
  </si>
  <si>
    <t>活期存款-RMB-蒙特利尔-0024-投资</t>
  </si>
  <si>
    <t>活期存款-RMB-蒙特利尔-0025-投资</t>
  </si>
  <si>
    <t>活期存款-RMB-蒙特利尔-0026-投资</t>
  </si>
  <si>
    <t>活期存款-RMB-蒙特利尔-0027-投资</t>
  </si>
  <si>
    <t>活期存款-USD-工行-国际9546-付-日常</t>
  </si>
  <si>
    <t>活期存款-USD-蒙特利尔-0009-投资</t>
  </si>
  <si>
    <t>活期存款-USD-蒙特利尔-0010-投资</t>
  </si>
  <si>
    <t>活期存款-USD-蒙特利尔-0004-投资</t>
  </si>
  <si>
    <t>活期存款-USD-蒙特利尔-0008-投资</t>
  </si>
  <si>
    <t>活期存款-USD-蒙特利尔-0003-投资</t>
  </si>
  <si>
    <t>活期存款-USD-蒙特利尔-0001-投资</t>
  </si>
  <si>
    <t>活期存款-USD-蒙特利尔-0006-投资</t>
  </si>
  <si>
    <t>160009;160010</t>
    <phoneticPr fontId="4" type="noConversion"/>
  </si>
  <si>
    <t>520012;52001801;52001803;52001804;52001805:52001806</t>
    <phoneticPr fontId="4" type="noConversion"/>
  </si>
  <si>
    <t>NA</t>
    <phoneticPr fontId="4" type="noConversion"/>
  </si>
  <si>
    <t>Y</t>
    <phoneticPr fontId="4" type="noConversion"/>
  </si>
  <si>
    <t>1204030101;1204030102;1204030103;1204030104;1204030105;1204030106;1204030107;1204030108;1204030109;1204030110;1204030111;1204030112;1204030113;1204030114;1204030115;1204030116;1204030141;1204030142;1204030143;1204030144;1204030145;1204030146;1204030147;1204030148;1204030149;1204030150;1204030151</t>
    <phoneticPr fontId="4" type="noConversion"/>
  </si>
  <si>
    <r>
      <rPr>
        <sz val="9"/>
        <color theme="1"/>
        <rFont val="宋体"/>
        <family val="3"/>
        <charset val="134"/>
      </rPr>
      <t>待</t>
    </r>
    <r>
      <rPr>
        <sz val="9"/>
        <color theme="1"/>
        <rFont val="Arial"/>
        <family val="2"/>
      </rPr>
      <t>Group</t>
    </r>
    <r>
      <rPr>
        <sz val="9"/>
        <color theme="1"/>
        <rFont val="宋体"/>
        <family val="3"/>
        <charset val="134"/>
      </rPr>
      <t>决定</t>
    </r>
    <phoneticPr fontId="4" type="noConversion"/>
  </si>
  <si>
    <t>应收利息-存出资本保证金</t>
  </si>
  <si>
    <t>130301</t>
    <phoneticPr fontId="4" type="noConversion"/>
  </si>
  <si>
    <t>130306</t>
    <phoneticPr fontId="4" type="noConversion"/>
  </si>
  <si>
    <t>130312</t>
    <phoneticPr fontId="4" type="noConversion"/>
  </si>
  <si>
    <t>420104</t>
    <phoneticPr fontId="4" type="noConversion"/>
  </si>
  <si>
    <t>450109</t>
    <phoneticPr fontId="4" type="noConversion"/>
  </si>
  <si>
    <t>‘420104</t>
    <phoneticPr fontId="4" type="noConversion"/>
  </si>
  <si>
    <t>’450109</t>
    <phoneticPr fontId="4" type="noConversion"/>
  </si>
  <si>
    <t>活期存款-RMB-浙江稠州-南京0012</t>
  </si>
  <si>
    <t>可供出售金融资产-债券-成本</t>
  </si>
  <si>
    <t>可供出售金融资产-债券-溢折价摊销</t>
  </si>
  <si>
    <t>可供出售金融资产-债券-公允价值变动</t>
  </si>
  <si>
    <t>公允价值选择权-债券(IFRS)</t>
  </si>
  <si>
    <t>债券逆回购-1年及以上-面值</t>
  </si>
  <si>
    <t>债券逆回购-3个月至1年-面值</t>
  </si>
  <si>
    <t>贷款及应收款项-非标投资(有抵押)-本金</t>
  </si>
  <si>
    <t>贷款及应收款项-非标投资(无抵押)-本金</t>
  </si>
  <si>
    <t>保单红利支出-增额红利(IFRS)</t>
  </si>
  <si>
    <t>530401;530402;530403</t>
    <phoneticPr fontId="4" type="noConversion"/>
  </si>
  <si>
    <t>活期存款-RMB-渣打-上海9225</t>
  </si>
  <si>
    <t>活期存款-RMB-中行-静安4430</t>
  </si>
  <si>
    <t>活期存款-RMB-中行-九江4429</t>
  </si>
  <si>
    <t>活期存款-RMB-中行-九江4421</t>
  </si>
  <si>
    <t>活期存款-RMB-中行-无锡3400</t>
  </si>
  <si>
    <t>活期存款-RMB-中行-徐州3413</t>
  </si>
  <si>
    <t>活期存款-RMB-中行-常州3408</t>
  </si>
  <si>
    <t>活期存款-RMB-中行-泰州3417</t>
  </si>
  <si>
    <t>活期存款-RMB-中行-扬州3414</t>
  </si>
  <si>
    <t>活期存款-RMB-工行-上海1443-Autopay</t>
  </si>
  <si>
    <t>活期存款-RMB-工行-上海1124-TAX</t>
  </si>
  <si>
    <t>活期存款-RMB-工行-上海0804</t>
  </si>
  <si>
    <t>活期存款-RMB-工行-新城4857</t>
  </si>
  <si>
    <t>活期存款-RMB-工行-江门基本1089</t>
  </si>
  <si>
    <t>活期存款-RMB-工行-苏州2060</t>
  </si>
  <si>
    <t>活期存款-RMB-工行-升州1780</t>
  </si>
  <si>
    <t>活期存款-RMB-工行-崇安1187</t>
  </si>
  <si>
    <t>活期存款-RMB-工行-南通2157</t>
  </si>
  <si>
    <t>活期存款-RMB-工行-徐州7068</t>
  </si>
  <si>
    <t>活期存款-RMB-工行-扬州0276</t>
  </si>
  <si>
    <t>活期存款-RMB-工行-东门8683-收</t>
  </si>
  <si>
    <t>活期存款-RMB-工行-东门5889</t>
  </si>
  <si>
    <t>活期存款-RMB-工行-升州8121</t>
  </si>
  <si>
    <t>活期存款-RMB-工行-常州3008</t>
  </si>
  <si>
    <t>活期存款-RMB-工行-江东9602</t>
  </si>
  <si>
    <t>活期存款-RMB-工行-江门4236-收-保费</t>
  </si>
  <si>
    <t>活期存款-RMB-工行-江门3981-收-其他</t>
  </si>
  <si>
    <t>活期存款-RMB-工行-江门3857-付-业务</t>
  </si>
  <si>
    <t>活期存款-RMB-工行-江门4112-付-手续费</t>
  </si>
  <si>
    <t>活期存款-RMB-交行-第一1713</t>
  </si>
  <si>
    <t>活期存款-RMB-建行-江门0300-收-保费</t>
  </si>
  <si>
    <t>活期存款-RMB-建行-城建8668-收</t>
  </si>
  <si>
    <t>活期存款-RMB-建行-城中1238</t>
  </si>
  <si>
    <t>活期存款-RMB-建行-江门2485-付-业务</t>
  </si>
  <si>
    <t>活期存款-RMB-建行-徐汇6735</t>
  </si>
  <si>
    <t>活期存款-RMB-建行-浦分4271</t>
  </si>
  <si>
    <t>活期存款-RMB-建行-浦分4581</t>
  </si>
  <si>
    <t>活期存款-RMB-建行-浦东4574</t>
  </si>
  <si>
    <t>活期存款-RMB-建行-浦分4644</t>
  </si>
  <si>
    <t>活期存款-RMB-建行-浦分4637</t>
  </si>
  <si>
    <t>活期存款-RMB-建行-浦分4620</t>
  </si>
  <si>
    <t>活期存款-RMB-建行-芳村0209</t>
  </si>
  <si>
    <t>活期存款-RMB-星展-北京9119</t>
  </si>
  <si>
    <t>活期存款-RMB-农行-浦分0650</t>
  </si>
  <si>
    <t>活期存款-RMB-农行-地王0318</t>
  </si>
  <si>
    <t>活期存款-RMB-农行-工农4219</t>
  </si>
  <si>
    <t>活期存款-RMB-农行-中汇2598</t>
  </si>
  <si>
    <t>活期存款-RMB-浦发-苏州0028</t>
  </si>
  <si>
    <t>活期存款-RMB-浦发-南京0070</t>
  </si>
  <si>
    <t>活期存款-RMB-浦发-金桥0006-付</t>
  </si>
  <si>
    <t>活期存款-RMB-浦发-金桥0189-付</t>
  </si>
  <si>
    <t>活期存款-RMB-浦发-金桥0191-付</t>
  </si>
  <si>
    <t>活期存款-RMB-浦发-金桥0190-付</t>
  </si>
  <si>
    <t>活期存款-RMB-浦发-金桥0188-付</t>
  </si>
  <si>
    <t>活期存款-RMB-浦发-金桥0194-付</t>
  </si>
  <si>
    <t>活期存款-RMB-浦发-金桥0193-付</t>
  </si>
  <si>
    <t>活期存款-RMB-上海-浦西3747</t>
  </si>
  <si>
    <t>活期存款-RMB-广州-南京2026</t>
  </si>
  <si>
    <t>活期存款-RMB-南京-江南0019</t>
  </si>
  <si>
    <t>活期存款-RMB-中信-北京0606-收-保费</t>
  </si>
  <si>
    <t>510102;510104</t>
    <phoneticPr fontId="4" type="noConversion"/>
  </si>
  <si>
    <t>2305110101;2305110201;2305110202;2305110203;2305110204;2305110205;2305110206;2305110207;2305110208;2305110209;2305110401;2305110501;2305110502;2305110601</t>
  </si>
  <si>
    <t>2305110901;2305110902;2305110903;2305110904;2305110905;2305110906;2305110907;2305110908;2305110909;2305110910;2305110911;2305111001</t>
  </si>
  <si>
    <t>450502;459902</t>
    <phoneticPr fontId="4" type="noConversion"/>
  </si>
  <si>
    <t>450503;459903</t>
    <phoneticPr fontId="4" type="noConversion"/>
  </si>
  <si>
    <t>450504;459904</t>
    <phoneticPr fontId="4" type="noConversion"/>
  </si>
  <si>
    <t>450505;459905</t>
    <phoneticPr fontId="4" type="noConversion"/>
  </si>
  <si>
    <t>450506;459906</t>
    <phoneticPr fontId="4" type="noConversion"/>
  </si>
  <si>
    <t>120501;120504</t>
    <phoneticPr fontId="4" type="noConversion"/>
  </si>
  <si>
    <t>120504</t>
    <phoneticPr fontId="4" type="noConversion"/>
  </si>
  <si>
    <t>12010301;12010302;12020103</t>
    <phoneticPr fontId="4" type="noConversion"/>
  </si>
  <si>
    <t>Y</t>
    <phoneticPr fontId="4" type="noConversion"/>
  </si>
  <si>
    <t>Y</t>
    <phoneticPr fontId="4" type="noConversion"/>
  </si>
  <si>
    <t>Y</t>
    <phoneticPr fontId="4" type="noConversion"/>
  </si>
  <si>
    <t>ILP</t>
    <phoneticPr fontId="4" type="noConversion"/>
  </si>
  <si>
    <t>Y-D</t>
    <phoneticPr fontId="4" type="noConversion"/>
  </si>
  <si>
    <t>Y-D</t>
    <phoneticPr fontId="4" type="noConversion"/>
  </si>
  <si>
    <t>Y-D</t>
    <phoneticPr fontId="4" type="noConversion"/>
  </si>
  <si>
    <t>应收保费-3个月及以内</t>
  </si>
  <si>
    <t>应收保费-3个月至小于等于6个月</t>
  </si>
  <si>
    <t>应收保费-6个月至小于等于1年</t>
  </si>
  <si>
    <t>应收保费-1年以上</t>
  </si>
  <si>
    <t>待Group 决定</t>
  </si>
  <si>
    <t>Statutory Deposit, FAM excl</t>
  </si>
  <si>
    <t>Other F.A., Computer HW,Costs - Allocation</t>
  </si>
  <si>
    <t>Other Fixed Assets, F&amp;E, Costs - Allocation</t>
  </si>
  <si>
    <t>Other F.A., Computer HW, AccDep - Allocation</t>
  </si>
  <si>
    <t>Other Fixed Assets, F&amp;E, AccDep - Allocation</t>
  </si>
  <si>
    <t>Other F.A., Automobile, Costs - Allocation</t>
  </si>
  <si>
    <t>Other F.A., Automobile, AccDep - Allocation</t>
  </si>
  <si>
    <t>Leasehold improvements, Costs - Allocation</t>
  </si>
  <si>
    <t>Leasehold improvements, AccDep - Allocation</t>
  </si>
  <si>
    <t>Non IT FA/gen-Construction in Progress</t>
  </si>
  <si>
    <t>Purchase/int'nal generate PCsoft're(IA)Cost-Allo</t>
  </si>
  <si>
    <t>Purchase/int'nal generate PCsoft're(IA)AccDep-Allo</t>
  </si>
  <si>
    <t>Computer software, Construction in progress</t>
  </si>
  <si>
    <t>Other Intangible Assets, Costs - Allocation</t>
  </si>
  <si>
    <t>Other Intangible Assets, AccDep - Allocation</t>
  </si>
  <si>
    <t>Petty Cash</t>
  </si>
  <si>
    <t>Cash in Transit</t>
  </si>
  <si>
    <t>Cash in Office</t>
  </si>
  <si>
    <t>Cash and cash equivalent, Margin deposit</t>
  </si>
  <si>
    <t>CIB, NIB, Citi - FAM House Bank 1 (GBP)</t>
  </si>
  <si>
    <t>CIB, IB, Citi - FAM House Bank 7 (HKD)</t>
  </si>
  <si>
    <t>CIB, IB, Citi - FAM House Bank 8 (HKD)</t>
  </si>
  <si>
    <t>CIB, IB, Citi - FAM House Bank 1 (CAD)</t>
  </si>
  <si>
    <t>CIB, IB, Citi - FAM House Bank 2 (CAD)</t>
  </si>
  <si>
    <t>CIB, IB, Citi - FAM House Bank 10 (CNY)</t>
  </si>
  <si>
    <t>CIB, IB, Citi - FAM House Bank 9 (CNY)</t>
  </si>
  <si>
    <t>CIB, IB, Citi - FAM House Bank 86 (USD)</t>
  </si>
  <si>
    <t>CIB, IB, Citi - FAM House Bank 22 (HKD)</t>
  </si>
  <si>
    <t>CIB, IB, Citi - FAM House Bank 87 (USD)</t>
  </si>
  <si>
    <t>CIB, IB, Citi - FAM House Bank 23 (HKD)</t>
  </si>
  <si>
    <t>CIB, IB, Citi - FAM House Bank 88 (USD)</t>
  </si>
  <si>
    <t>CIB, IB, Citi - FAM House Bank 24 (HKD)</t>
  </si>
  <si>
    <t>CIB, IB, Citi - FAM House Bank 89 (USD)</t>
  </si>
  <si>
    <t>CIB, IB, Citi - FAM House Bank 25 (HKD)</t>
  </si>
  <si>
    <t>CIB, IB, Citi - FAM House Bank 90 (USD)</t>
  </si>
  <si>
    <t>CIB, IB, Citi - FAM House Bank 26 (HKD)</t>
  </si>
  <si>
    <t>CIB, IB, Citi - FAM House Bank 91 (USD)</t>
  </si>
  <si>
    <t>CIB, IB, Citi - FAM House Bank 27 (HKD)</t>
  </si>
  <si>
    <t>CIB, IB, Citi - Operating Bank 12 (USD)</t>
  </si>
  <si>
    <t>CIB, IB, SCB - FAM House Bank 2 (HKD)</t>
  </si>
  <si>
    <t>CIB, IB, BOC, FAM House Bank 10 (CNY)</t>
  </si>
  <si>
    <t>CIB, IB, BOC, FAM House Bank 12 (CNY)</t>
  </si>
  <si>
    <t>CIB, IB, BOC, FAM House Bank 13 (CNY)</t>
  </si>
  <si>
    <t>CIB, IB, BOC, FAM House Bank 14 (CNY)</t>
  </si>
  <si>
    <t>CIB, IB, BOC, FAM House Bank 15 (CNY)</t>
  </si>
  <si>
    <t>CIB, IB, BOC, FAM House Bank 16 (CNY)</t>
  </si>
  <si>
    <t>CIB, IB, BOC, FAM House Bank 5 (USD)</t>
  </si>
  <si>
    <t>CIB, IB, BOC, FAM House Bank 17 (CNY)</t>
  </si>
  <si>
    <t>CIB, IB, BOC, FAM House Bank 18 (CNY)</t>
  </si>
  <si>
    <t>CIB, IB, BOC, FAM House Bank 6 (USD)</t>
  </si>
  <si>
    <t>CIB, IB, BOC, FAM House Bank 19 (CNY)</t>
  </si>
  <si>
    <t>CIB, IB, BOC, FAM House Bank 20 (CNY)</t>
  </si>
  <si>
    <t>CIB, IB, BOC, FAM House Bank 21 (CNY)</t>
  </si>
  <si>
    <t>CIB, IB, BOC, FAM House Bank 22 (CNY)</t>
  </si>
  <si>
    <t>CIB, IB, BOC, FAM House Bank 23 (CNY)</t>
  </si>
  <si>
    <t>CIB, IB, BOC, FAM House Bank 24 (CNY)</t>
  </si>
  <si>
    <t>CIB, IB, BOC, FAM House Bank 7 (USD)</t>
  </si>
  <si>
    <t>CIB, IB, BOC, FAM House Bank 25 (CNY)</t>
  </si>
  <si>
    <t>CIB, IB, BOC, FAM House Bank 26 (CNY)</t>
  </si>
  <si>
    <t>CIB, IB, BOC, FAM House Bank 27 (CNY)</t>
  </si>
  <si>
    <t>CIB, IB, BOC, FAM House Bank 28 (CNY)</t>
  </si>
  <si>
    <t>CIB, IB, BOC, FAM House Bank 29 (CNY)</t>
  </si>
  <si>
    <t>CIB, IB, BOC, FAM House Bank 30 (CNY)</t>
  </si>
  <si>
    <t>CIB, IB, BOC, FAM House Bank 8 (USD)</t>
  </si>
  <si>
    <t>CIB, IB, BOC, FAM House Bank 31 (CNY)</t>
  </si>
  <si>
    <t>CIB, IB, BOC, FAM House Bank 32 (CNY)</t>
  </si>
  <si>
    <t>CIB, IB, BOC, FAM House Bank 33 (CNY)</t>
  </si>
  <si>
    <t>CIB, IB, BOC, FAM House Bank 34 (CNY)</t>
  </si>
  <si>
    <t>CIB, IB, BOC, FAM House Bank 35 (CNY)</t>
  </si>
  <si>
    <t>CIB, IB, BOC, FAM House Bank 36 (CNY)</t>
  </si>
  <si>
    <t>CIB, IB, BOC, FAM House Bank 37 (CNY)</t>
  </si>
  <si>
    <t>CIB, IB, BOC, FAM House Bank 38 (CNY)</t>
  </si>
  <si>
    <t>CIB, IB, BOC, FAM House Bank 39 (CNY)</t>
  </si>
  <si>
    <t>CIB, IB, BOC, FAM House Bank 40 (CNY)</t>
  </si>
  <si>
    <t>CIB, IB, BOC, FAM House Bank 41 (CNY)</t>
  </si>
  <si>
    <t>CIB, IB, BOC, FAM House Bank 9 (USD)</t>
  </si>
  <si>
    <t>CIB, IB, BOC, FAM House Bank 10 (USD)</t>
  </si>
  <si>
    <t>CIB, IB, BOC, FAM House Bank 42 (CNY)</t>
  </si>
  <si>
    <t>CIB, IB, BOC, FAM House Bank 43 (CNY)</t>
  </si>
  <si>
    <t>CIB, IB, BOC, FAM House Bank 44 (CNY)</t>
  </si>
  <si>
    <t>CIB, IB, BOC, FAM House Bank 45 (CNY)</t>
  </si>
  <si>
    <t>CIB, IB, BOC, FAM House Bank 46 (CNY)</t>
  </si>
  <si>
    <t>CIB, IB, BOC, FAM House Bank 47 (CNY)</t>
  </si>
  <si>
    <t>CIB, IB, BOC, FAM House Bank 48 (CNY)</t>
  </si>
  <si>
    <t>CIB, IB, BOC, FAM House Bank 11 (USD)</t>
  </si>
  <si>
    <t>CIB, IB, BOC, FAM House Bank 49 (CNY)</t>
  </si>
  <si>
    <t>CIB, IB, BOC, FAM House Bank 50 (CNY)</t>
  </si>
  <si>
    <t>CIB, IB, BOC, FAM House Bank 51 (CNY)</t>
  </si>
  <si>
    <t>CIB, IB, BOC, FAM House Bank 52 (CNY)</t>
  </si>
  <si>
    <t>CIB, IB, BOC, FAM House Bank 53 (CNY)</t>
  </si>
  <si>
    <t>CIB, IB, BOC,FAM House Bank 1 (CNY)</t>
  </si>
  <si>
    <t>CIB, IB, ICBC - Operating Bank 1 (CNY)</t>
  </si>
  <si>
    <t>CIB, IB, Citi - FAM House Bank 1 (USD)</t>
  </si>
  <si>
    <t>CIB, IB, Citi - FAM House Bank 1 (AUD)</t>
  </si>
  <si>
    <t>CIB, IB, Citi - FAM House Bank 1 (CNY)</t>
  </si>
  <si>
    <t>CIB, IB, Citi - FAM House Bank 1 (HKD)</t>
  </si>
  <si>
    <t>CIB, IB, Citi - FAM House Bank 1 (SGD)</t>
  </si>
  <si>
    <t>CIB, IB, Citi - FAM House Bank 1 (JPY)</t>
  </si>
  <si>
    <t>CIB, IB, Citi - FAM House Bank 1 (EUR)</t>
  </si>
  <si>
    <t>CIB, IB, Citi - FAM House Bank 2 (HKD)</t>
  </si>
  <si>
    <t>CIB, IB, Citi - FAM House Bank 2 (USD)</t>
  </si>
  <si>
    <t>CIB, IB, Citi - FAM House Bank 2 (CNY)</t>
  </si>
  <si>
    <t>CIB, IB, Citi - FAM House Bank 2 (KRW)</t>
  </si>
  <si>
    <t>CIB, IB, Citi - FAM House Bank 2 (SGD)</t>
  </si>
  <si>
    <t>CIB, IB, Citi - FAM House Bank 3 (CNY)</t>
  </si>
  <si>
    <t>CIB, IB, Citi - FAM House Bank 2 (EUR)</t>
  </si>
  <si>
    <t>CIB, IB, Citi - FAM House Bank 2 (GBP)</t>
  </si>
  <si>
    <t>CIB, IB, Citi - FAM House Bank 3 (USD)</t>
  </si>
  <si>
    <t>CIB, IB, Citi - FAM House Bank 4 (USD)</t>
  </si>
  <si>
    <t>CIB, IB, Citi - FAM House Bank 5 (USD)</t>
  </si>
  <si>
    <t>CIB, IB, Citi - FAM House Bank 2 (AUD)</t>
  </si>
  <si>
    <t>CIB, IB, Citi - FAM House Bank 3 (HKD)</t>
  </si>
  <si>
    <t>CIB, IB, Citi - FAM House Bank 2 (JPY)</t>
  </si>
  <si>
    <t>CIB, IB, Citi - FAM House Bank 4 (CNY)</t>
  </si>
  <si>
    <t>CIB, IB, Citi - FAM House Bank 5 (CNY)</t>
  </si>
  <si>
    <t>CIB, IB, Citi - FAM House Bank 6 (CNY)</t>
  </si>
  <si>
    <t>CIB, IB, Citi - FAM House Bank 7 (CNY)</t>
  </si>
  <si>
    <t>CIB, IB, Citi - FAM House Bank 7 (KRW)</t>
  </si>
  <si>
    <t>CIB, IB, Citi - FAM House Bank 1 (CHF)</t>
  </si>
  <si>
    <t>CIB, IB, Citi - FAM House Bank 2 (CHF)</t>
  </si>
  <si>
    <t>CIB, IB, Citi - FAM House Bank 8 (CNY)</t>
  </si>
  <si>
    <t>CIB, Interest Bearing, Bk of Comm (NF)</t>
  </si>
  <si>
    <t>CIB, IB, CCB - Operating Bank 1 (CNY)</t>
  </si>
  <si>
    <t>CIB, Interest Bearing, DBS Bank HK (NF)</t>
  </si>
  <si>
    <t>CIB, Int Bearing, Bank for Agri.&amp; Agri. Coop  (NF)</t>
  </si>
  <si>
    <t>CIB Interest Bearing,Operating Bank Acc (Non Fam)</t>
  </si>
  <si>
    <t>Unit Linked Product Account Value</t>
  </si>
  <si>
    <t>Accrual, Local Tax, Output  VAT, GL</t>
  </si>
  <si>
    <t>Accrual, Local Tax, Undue Output Tax, GL</t>
  </si>
  <si>
    <t>Accrual, Local Tax, Output VAT - POS</t>
  </si>
  <si>
    <t>Accrual, Local Tax, Input Tax, GL</t>
  </si>
  <si>
    <t>Accrual, Local Tax, VAT tax deduction</t>
  </si>
  <si>
    <t>Other Liabilities</t>
  </si>
  <si>
    <t>Share Option Reserves</t>
  </si>
  <si>
    <t>Loss Exp Incurred, Direct, Change in O/S Loss Exp.</t>
  </si>
  <si>
    <t>Change in Maturity Dividend Res Direct</t>
  </si>
  <si>
    <t>Distributors' Remunerations, First Year</t>
  </si>
  <si>
    <t>Distri Remun, RN, Production Inc Bonus, O/R alloc</t>
  </si>
  <si>
    <t>Distri Remun, SG, Production Inc Bonus, O/R alloc</t>
  </si>
  <si>
    <t>Agy, RecruitExp, Fin scheme, Industry recruiting</t>
  </si>
  <si>
    <t>Agency, RecruitExp, Financing Scheme,Others,Single</t>
  </si>
  <si>
    <t>Banca ,Policy Mgmt Allow - Bank Staff, First Year</t>
  </si>
  <si>
    <t>Banca ,Policy Mgmt Allow - Bank Staff, Renewal</t>
  </si>
  <si>
    <t>Bancassurance,Direct Distribution Costs-Bank Staff</t>
  </si>
  <si>
    <t>Acq Exp-Taxes, Lic and Fees, First Year</t>
  </si>
  <si>
    <t>Acq Exp-Taxes, Lic &amp; Fees, Ren, I/R Prem Tax-NS</t>
  </si>
  <si>
    <t>Bonds, Held to Maturity, Change in Acc Int</t>
  </si>
  <si>
    <t>Business Tax on capital gain</t>
  </si>
  <si>
    <t>Bonds, Available for Sale, Change in Accr Interest</t>
  </si>
  <si>
    <t>C&amp;G Loans, Chg in Accrued Interest</t>
  </si>
  <si>
    <t>Dep&amp;amort, Computer HW, Owned - Allocation</t>
  </si>
  <si>
    <t>Dep&amp;amort, F&amp;E - Allocation</t>
  </si>
  <si>
    <t>Dep&amp;amort, Automobiles - Allocation</t>
  </si>
  <si>
    <t>Dep&amp;amort, Tel equip - Allocation</t>
  </si>
  <si>
    <t>Dep&amp;amort, Leasehold improve - Allocation</t>
  </si>
  <si>
    <t>Amort-Purchase/internal generate PCsoft're(IA)Allo</t>
  </si>
  <si>
    <t>Dep&amp;amort, Other Intangible Asset - Allocation</t>
  </si>
  <si>
    <t>Travel and related expenses, Air fares - Domestic</t>
  </si>
  <si>
    <t>Travel and related expenses, Air fares - Foreign</t>
  </si>
  <si>
    <t>Expenses reclass - Medical/Misc expense for agents</t>
  </si>
  <si>
    <t>Other taxes, Local taxes and license fees</t>
  </si>
  <si>
    <t>Reissue Fee, Printing expenses recovery</t>
  </si>
  <si>
    <t>NA</t>
    <phoneticPr fontId="4" type="noConversion"/>
  </si>
  <si>
    <t>Prepaid expense</t>
    <phoneticPr fontId="4" type="noConversion"/>
  </si>
  <si>
    <t>保户储金及投资款-UL注资</t>
  </si>
  <si>
    <t>13070201;160011</t>
    <phoneticPr fontId="4" type="noConversion"/>
  </si>
  <si>
    <t>公允价值变动-PSPS-投资(IFRS)</t>
  </si>
  <si>
    <t>公允价值变动-PSPS-其他(IFRS)</t>
  </si>
  <si>
    <t>卖出回购金融资产款-面值(手工)</t>
  </si>
  <si>
    <t>利息支出-卖出回购金融资产款-非资产负债匹配-实付(手工)</t>
  </si>
  <si>
    <t>利息支出-卖出回购金融资产款-非资产负债匹配-预提(手工)</t>
  </si>
  <si>
    <t>保单红利支出-PSPS-证券回购融资支持-非资产负债匹配(IFRS)</t>
  </si>
  <si>
    <t>公允价值变动-PSPS-证券回购融资支持-非资产负债匹配(IFRS)</t>
  </si>
  <si>
    <t>公允价值变动-证券回购融资支持-非资产负债匹配-实付(IFRS)</t>
  </si>
  <si>
    <t>公允价值变动-证券回购融资支持-非资产负债匹配-预提(IFRS)</t>
  </si>
  <si>
    <t>利息支出-证券回购融资支持-非资产负债匹配-实付(IFRS)</t>
  </si>
  <si>
    <t>利息支出-证券回购融资支持-非资产负债匹配-预提(IFRS)</t>
  </si>
  <si>
    <t>投资收益-证券回购融资支持-非资产负债匹配(IFRS)</t>
  </si>
  <si>
    <t>递延所得税-证券回购融资支持-非资产负债匹配(IFRS)</t>
  </si>
  <si>
    <r>
      <rPr>
        <sz val="9"/>
        <rFont val="宋体"/>
        <family val="3"/>
        <charset val="134"/>
      </rPr>
      <t>存出资本保证金</t>
    </r>
    <r>
      <rPr>
        <sz val="9"/>
        <rFont val="Arial"/>
        <family val="2"/>
      </rPr>
      <t>-1</t>
    </r>
    <r>
      <rPr>
        <sz val="9"/>
        <rFont val="宋体"/>
        <family val="3"/>
        <charset val="134"/>
      </rPr>
      <t>年及以上</t>
    </r>
    <phoneticPr fontId="4" type="noConversion"/>
  </si>
  <si>
    <r>
      <rPr>
        <sz val="9"/>
        <rFont val="宋体"/>
        <family val="3"/>
        <charset val="134"/>
      </rPr>
      <t>定期存款</t>
    </r>
    <r>
      <rPr>
        <sz val="9"/>
        <rFont val="Arial"/>
        <family val="2"/>
      </rPr>
      <t>-1</t>
    </r>
    <r>
      <rPr>
        <sz val="9"/>
        <rFont val="宋体"/>
        <family val="3"/>
        <charset val="134"/>
      </rPr>
      <t>年期以下</t>
    </r>
    <phoneticPr fontId="4" type="noConversion"/>
  </si>
  <si>
    <r>
      <rPr>
        <sz val="9"/>
        <rFont val="宋体"/>
        <family val="3"/>
        <charset val="134"/>
      </rPr>
      <t>债券逆回购</t>
    </r>
    <r>
      <rPr>
        <sz val="9"/>
        <rFont val="Arial"/>
        <family val="2"/>
      </rPr>
      <t>-1</t>
    </r>
    <r>
      <rPr>
        <sz val="9"/>
        <rFont val="宋体"/>
        <family val="3"/>
        <charset val="134"/>
      </rPr>
      <t>年及以上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面值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4" type="noConversion"/>
  </si>
  <si>
    <r>
      <rPr>
        <sz val="9"/>
        <rFont val="宋体"/>
        <family val="3"/>
        <charset val="134"/>
      </rPr>
      <t>债券逆回购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个月至</t>
    </r>
    <r>
      <rPr>
        <sz val="9"/>
        <rFont val="Arial"/>
        <family val="2"/>
      </rPr>
      <t>1</t>
    </r>
    <r>
      <rPr>
        <sz val="9"/>
        <rFont val="宋体"/>
        <family val="3"/>
        <charset val="134"/>
      </rPr>
      <t>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面值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4" type="noConversion"/>
  </si>
  <si>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phoneticPr fontId="4" type="noConversion"/>
  </si>
  <si>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phoneticPr fontId="4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</si>
  <si>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冷静期退保员工单佣金</t>
    </r>
    <phoneticPr fontId="4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</si>
  <si>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证券清算款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4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</si>
  <si>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个月以内定期存款</t>
    </r>
    <phoneticPr fontId="4" type="noConversion"/>
  </si>
  <si>
    <r>
      <rPr>
        <sz val="9"/>
        <rFont val="宋体"/>
        <family val="3"/>
        <charset val="134"/>
      </rPr>
      <t>其他资产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转资过渡</t>
    </r>
    <phoneticPr fontId="4" type="noConversion"/>
  </si>
  <si>
    <r>
      <rPr>
        <sz val="9"/>
        <rFont val="宋体"/>
        <family val="3"/>
        <charset val="134"/>
      </rPr>
      <t>预付账款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资金池</t>
    </r>
    <phoneticPr fontId="4" type="noConversion"/>
  </si>
  <si>
    <r>
      <rPr>
        <sz val="9"/>
        <rFont val="宋体"/>
        <family val="3"/>
        <charset val="134"/>
      </rPr>
      <t>预付账款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佣金调整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</si>
  <si>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渣打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上海</t>
    </r>
    <r>
      <rPr>
        <sz val="9"/>
        <rFont val="Arial"/>
        <family val="2"/>
      </rPr>
      <t>0143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</si>
  <si>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建行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清凉</t>
    </r>
    <r>
      <rPr>
        <sz val="9"/>
        <rFont val="Arial"/>
        <family val="2"/>
      </rPr>
      <t>0156-</t>
    </r>
    <r>
      <rPr>
        <sz val="9"/>
        <rFont val="宋体"/>
        <family val="3"/>
        <charset val="134"/>
      </rPr>
      <t>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保费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</si>
  <si>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农行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地王</t>
    </r>
    <r>
      <rPr>
        <sz val="9"/>
        <rFont val="Arial"/>
        <family val="2"/>
      </rPr>
      <t>4386-</t>
    </r>
    <r>
      <rPr>
        <sz val="9"/>
        <rFont val="宋体"/>
        <family val="3"/>
        <charset val="134"/>
      </rPr>
      <t>收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</si>
  <si>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农商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总行</t>
    </r>
    <r>
      <rPr>
        <sz val="9"/>
        <rFont val="Arial"/>
        <family val="2"/>
      </rPr>
      <t>5208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</si>
  <si>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农商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佛山</t>
    </r>
    <r>
      <rPr>
        <sz val="9"/>
        <rFont val="Arial"/>
        <family val="2"/>
      </rPr>
      <t>2833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</si>
  <si>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三井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上海</t>
    </r>
    <r>
      <rPr>
        <sz val="9"/>
        <rFont val="Arial"/>
        <family val="2"/>
      </rPr>
      <t>9833-</t>
    </r>
    <r>
      <rPr>
        <sz val="9"/>
        <rFont val="宋体"/>
        <family val="3"/>
        <charset val="134"/>
      </rPr>
      <t>投资</t>
    </r>
    <phoneticPr fontId="4" type="noConversion"/>
  </si>
  <si>
    <r>
      <rPr>
        <sz val="9"/>
        <rFont val="宋体"/>
        <family val="3"/>
        <charset val="134"/>
      </rPr>
      <t>定期存款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</t>
    </r>
    <phoneticPr fontId="4" type="noConversion"/>
  </si>
  <si>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个月及以内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面值</t>
    </r>
    <r>
      <rPr>
        <sz val="9"/>
        <rFont val="Arial"/>
        <family val="2"/>
      </rPr>
      <t xml:space="preserve"> 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4" type="noConversion"/>
  </si>
  <si>
    <r>
      <rPr>
        <sz val="9"/>
        <rFont val="宋体"/>
        <family val="3"/>
        <charset val="134"/>
      </rPr>
      <t>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已发已报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风险边际调整</t>
    </r>
    <phoneticPr fontId="4" type="noConversion"/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</si>
  <si>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万能续保奖金</t>
    </r>
    <phoneticPr fontId="4" type="noConversion"/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</si>
  <si>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万能续保奖金</t>
    </r>
    <r>
      <rPr>
        <sz val="9"/>
        <rFont val="Arial"/>
        <family val="2"/>
      </rPr>
      <t>(IFRS)</t>
    </r>
    <phoneticPr fontId="4" type="noConversion"/>
  </si>
  <si>
    <r>
      <rPr>
        <sz val="9"/>
        <rFont val="宋体"/>
        <family val="3"/>
        <charset val="134"/>
      </rPr>
      <t>递延所得税负债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-URA</t>
    </r>
    <phoneticPr fontId="4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</si>
  <si>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员工保单佣金</t>
    </r>
    <phoneticPr fontId="4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</si>
  <si>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4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</si>
  <si>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印花税</t>
    </r>
    <phoneticPr fontId="4" type="noConversion"/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</si>
  <si>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</t>
    </r>
    <r>
      <rPr>
        <sz val="9"/>
        <rFont val="Arial"/>
        <family val="2"/>
      </rPr>
      <t xml:space="preserve">- </t>
    </r>
    <r>
      <rPr>
        <sz val="9"/>
        <rFont val="宋体"/>
        <family val="3"/>
        <charset val="134"/>
      </rPr>
      <t>其他</t>
    </r>
    <phoneticPr fontId="4" type="noConversion"/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</si>
  <si>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4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</si>
  <si>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退税</t>
    </r>
    <phoneticPr fontId="4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</si>
  <si>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  <phoneticPr fontId="4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</si>
  <si>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境外付汇</t>
    </r>
    <phoneticPr fontId="4" type="noConversion"/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</si>
  <si>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/>
    </r>
    <phoneticPr fontId="4" type="noConversion"/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</si>
  <si>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/>
    </r>
    <phoneticPr fontId="4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</si>
  <si>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分红账户结平</t>
    </r>
    <phoneticPr fontId="4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</si>
  <si>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证券清算款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4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</si>
  <si>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中行托管费</t>
    </r>
    <phoneticPr fontId="4" type="noConversion"/>
  </si>
  <si>
    <r>
      <rPr>
        <sz val="9"/>
        <rFont val="宋体"/>
        <family val="3"/>
        <charset val="134"/>
      </rPr>
      <t>应付赔付款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特批</t>
    </r>
    <phoneticPr fontId="4" type="noConversion"/>
  </si>
  <si>
    <r>
      <rPr>
        <sz val="9"/>
        <rFont val="宋体"/>
        <family val="3"/>
        <charset val="134"/>
      </rPr>
      <t>应付赔付款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补充养老金过渡</t>
    </r>
    <phoneticPr fontId="4" type="noConversion"/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</si>
  <si>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离职未休假期补偿</t>
    </r>
    <phoneticPr fontId="4" type="noConversion"/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</si>
  <si>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长期激励奖金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过渡</t>
    </r>
    <phoneticPr fontId="4" type="noConversion"/>
  </si>
  <si>
    <r>
      <rPr>
        <sz val="9"/>
        <rFont val="宋体"/>
        <family val="3"/>
        <charset val="134"/>
      </rPr>
      <t>其他资本公积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可售金融资产公允价值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4" type="noConversion"/>
  </si>
  <si>
    <r>
      <rPr>
        <sz val="9"/>
        <rFont val="宋体"/>
        <family val="3"/>
        <charset val="134"/>
      </rPr>
      <t>保费收入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预收</t>
    </r>
    <phoneticPr fontId="4" type="noConversion"/>
  </si>
  <si>
    <r>
      <rPr>
        <sz val="9"/>
        <rFont val="宋体"/>
        <family val="3"/>
        <charset val="134"/>
      </rPr>
      <t>保费收入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应收</t>
    </r>
    <phoneticPr fontId="4" type="noConversion"/>
  </si>
  <si>
    <r>
      <rPr>
        <sz val="9"/>
        <rFont val="宋体"/>
        <family val="3"/>
        <charset val="134"/>
      </rPr>
      <t>分出保费</t>
    </r>
    <phoneticPr fontId="4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</si>
  <si>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-ASO/TPA</t>
    </r>
    <phoneticPr fontId="4" type="noConversion"/>
  </si>
  <si>
    <r>
      <rPr>
        <sz val="9"/>
        <rFont val="宋体"/>
        <family val="3"/>
        <charset val="134"/>
      </rPr>
      <t>其他业务收入</t>
    </r>
    <r>
      <rPr>
        <sz val="9"/>
        <rFont val="Arial"/>
        <family val="2"/>
      </rPr>
      <t>-ASO/TPA</t>
    </r>
    <phoneticPr fontId="4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</si>
  <si>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赔款支出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死伤医疗给付</t>
    </r>
    <phoneticPr fontId="4" type="noConversion"/>
  </si>
  <si>
    <r>
      <rPr>
        <sz val="9"/>
        <rFont val="宋体"/>
        <family val="3"/>
        <charset val="134"/>
      </rPr>
      <t>营业外收入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4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</si>
  <si>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4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</si>
  <si>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年金给付</t>
    </r>
    <phoneticPr fontId="4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</si>
  <si>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满期给付</t>
    </r>
    <phoneticPr fontId="4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</si>
  <si>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退费</t>
    </r>
    <phoneticPr fontId="4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</si>
  <si>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</t>
    </r>
    <phoneticPr fontId="4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</si>
  <si>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支付续保奖金</t>
    </r>
    <phoneticPr fontId="4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</si>
  <si>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支付续保奖金</t>
    </r>
    <r>
      <rPr>
        <sz val="9"/>
        <rFont val="Arial"/>
        <family val="2"/>
      </rPr>
      <t>(IFRS)</t>
    </r>
    <phoneticPr fontId="4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</si>
  <si>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phoneticPr fontId="4" type="noConversion"/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</si>
  <si>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年金给付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</t>
    </r>
    <phoneticPr fontId="4" type="noConversion"/>
  </si>
  <si>
    <r>
      <rPr>
        <sz val="9"/>
        <rFont val="宋体"/>
        <family val="3"/>
        <charset val="134"/>
      </rPr>
      <t>保单红利支出</t>
    </r>
    <r>
      <rPr>
        <sz val="9"/>
        <rFont val="Arial"/>
        <family val="2"/>
      </rPr>
      <t>-PSPS-</t>
    </r>
    <r>
      <rPr>
        <sz val="9"/>
        <rFont val="宋体"/>
        <family val="3"/>
        <charset val="134"/>
      </rPr>
      <t>权益投资预期资本增值</t>
    </r>
    <r>
      <rPr>
        <sz val="9"/>
        <rFont val="Arial"/>
        <family val="2"/>
      </rPr>
      <t>(IFRS)</t>
    </r>
    <phoneticPr fontId="4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</si>
  <si>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提取续保奖金</t>
    </r>
    <phoneticPr fontId="4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</si>
  <si>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提取续保奖金</t>
    </r>
    <r>
      <rPr>
        <sz val="9"/>
        <rFont val="Arial"/>
        <family val="2"/>
      </rPr>
      <t>(IFRS)</t>
    </r>
    <phoneticPr fontId="4" type="noConversion"/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</si>
  <si>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  <phoneticPr fontId="4" type="noConversion"/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</si>
  <si>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续年</t>
    </r>
    <phoneticPr fontId="4" type="noConversion"/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</si>
  <si>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续年</t>
    </r>
    <phoneticPr fontId="4" type="noConversion"/>
  </si>
  <si>
    <r>
      <rPr>
        <sz val="9"/>
        <rFont val="宋体"/>
        <family val="3"/>
        <charset val="134"/>
      </rPr>
      <t>营业外收入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</t>
    </r>
    <phoneticPr fontId="4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</si>
  <si>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</t>
    </r>
    <phoneticPr fontId="4" type="noConversion"/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</si>
  <si>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  <phoneticPr fontId="4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</si>
  <si>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退税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</si>
  <si>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持有至到期投资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)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</si>
  <si>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存出资本保证金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</si>
  <si>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存出资本保证金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预提利息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</si>
  <si>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个月至</t>
    </r>
    <r>
      <rPr>
        <sz val="9"/>
        <rFont val="Arial"/>
        <family val="2"/>
      </rPr>
      <t>1</t>
    </r>
    <r>
      <rPr>
        <sz val="9"/>
        <rFont val="宋体"/>
        <family val="3"/>
        <charset val="134"/>
      </rPr>
      <t>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</si>
  <si>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个月及以内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</si>
  <si>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个月及以内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预提利息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4" type="noConversion"/>
  </si>
  <si>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rounding</t>
    </r>
    <phoneticPr fontId="4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</si>
  <si>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  <phoneticPr fontId="4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</si>
  <si>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  <phoneticPr fontId="4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</si>
  <si>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  <phoneticPr fontId="4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</si>
  <si>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资产处置损失</t>
    </r>
    <phoneticPr fontId="4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</si>
  <si>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残疾人保障金</t>
    </r>
    <phoneticPr fontId="4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</si>
  <si>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phoneticPr fontId="4" type="noConversion"/>
  </si>
  <si>
    <r>
      <rPr>
        <sz val="9"/>
        <rFont val="宋体"/>
        <family val="3"/>
        <charset val="134"/>
      </rPr>
      <t>投连万能业务规模保费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  <r>
      <rPr>
        <sz val="9"/>
        <rFont val="Arial"/>
        <family val="2"/>
      </rPr>
      <t>(Old)</t>
    </r>
    <phoneticPr fontId="4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</si>
  <si>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所得税</t>
    </r>
    <phoneticPr fontId="4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</si>
  <si>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phoneticPr fontId="4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</si>
  <si>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省内</t>
    </r>
    <phoneticPr fontId="4" type="noConversion"/>
  </si>
  <si>
    <t>150101;150102;150103;15010401;150105;150106;15010701</t>
  </si>
  <si>
    <t>15010402;15010403;15010404;15010405;15010406;15010407;15010408;15010409;15010410;15010411;15010412;15010413;15010414;15010702;15010703;15010704;15010705;15010706;15010707;15010708;15010709;15010710;15010711;15010712</t>
    <phoneticPr fontId="4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</si>
  <si>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关联方</t>
    </r>
    <phoneticPr fontId="4" type="noConversion"/>
  </si>
  <si>
    <t>持有至到期投资-减值准备</t>
  </si>
  <si>
    <t>可供出售金融资产-债券(IFRS)</t>
  </si>
  <si>
    <t>可供出售金融资产-债券-公允价值变动(手工)</t>
  </si>
  <si>
    <t>可供出售金融资产-减值准备-债券</t>
  </si>
  <si>
    <t>协议存款</t>
  </si>
  <si>
    <t>可供出售金融资产-股票-公允价值变动(手工)</t>
  </si>
  <si>
    <t>可供出售金融资产-减值准备-股票</t>
  </si>
  <si>
    <t>可供出售金融资产-基金-公允价值变动(手工)</t>
  </si>
  <si>
    <t>可供出售金融资产-减值准备-基金</t>
  </si>
  <si>
    <t>待摊大额奖金(IFRS)</t>
  </si>
  <si>
    <t>待摊大额奖金-影子调整(IFRS)</t>
  </si>
  <si>
    <t>其他应收款-日常-银行暂挂款</t>
  </si>
  <si>
    <t>其他应收款-保险-SPUL再保</t>
  </si>
  <si>
    <t>应收利息-协议存款</t>
  </si>
  <si>
    <t>预付账款-保险-花旗服务费(IFRS)</t>
  </si>
  <si>
    <t>其他应收款-日常-房屋租赁押金</t>
  </si>
  <si>
    <t>其他应付款-投资-保险投资划转-CN99</t>
  </si>
  <si>
    <t>其他应付款-投资-保险投资划转-转入保险CN11</t>
  </si>
  <si>
    <t>其他应付款-投资-保险投资划转-转出保险CN11</t>
  </si>
  <si>
    <t>其他应付款-投资-保险投资划转-转入保险CN12</t>
  </si>
  <si>
    <t>其他应付款-投资-保险投资划转-转出保险CN12</t>
  </si>
  <si>
    <t>其他应付款-投资-保险投资划转-转入保险CN13</t>
  </si>
  <si>
    <t>其他应付款-投资-保险投资划转-转出保险CN13</t>
  </si>
  <si>
    <t>其他应付款-投资-保险投资划转-转入保险CN14</t>
  </si>
  <si>
    <t>其他应付款-投资-保险投资划转-转出保险CN14</t>
  </si>
  <si>
    <t>其他应付款-投资-保险投资划转-转入投资</t>
  </si>
  <si>
    <t>其他应付款-投资-保险投资划转-转出投资</t>
  </si>
  <si>
    <t>其他应付款-投资-保险投资划转-转入保险CN16</t>
  </si>
  <si>
    <t>其他应付款-投资-保险投资划转-转出保险CN16</t>
  </si>
  <si>
    <t>其他应付款-投资-保险投资划转-转入保险CN17</t>
  </si>
  <si>
    <t>其他应付款-投资-保险投资划转-转出保险CN17</t>
  </si>
  <si>
    <t>其他应付款-保险-投资合同-投连续保奖金</t>
  </si>
  <si>
    <t>其他应付款-投资-保险投资划转-保险(ILPB)</t>
  </si>
  <si>
    <t>其他应付款-投资-保险投资划转-保险(ILPG)</t>
  </si>
  <si>
    <t>其他应付款-投资-保险投资划转-保险(ILPC)</t>
  </si>
  <si>
    <t>其他应付款-投资-保险投资划转-保险(ILPM)</t>
  </si>
  <si>
    <t>其他应付款-投资-保险投资划转-保险(ILPD)</t>
  </si>
  <si>
    <t>其他应付款-投资-保险投资划转-投资(ILP)</t>
  </si>
  <si>
    <t>预收保费-系统-RPS</t>
  </si>
  <si>
    <t>其他应付款-保险-投连万能冷静期账户价值</t>
  </si>
  <si>
    <t>其他应付款-保险-保险合同-投连续保奖金(IFRS)</t>
  </si>
  <si>
    <t>其他应付款-投资-Non IncTax</t>
  </si>
  <si>
    <t>应付佣金-对应应收保费</t>
  </si>
  <si>
    <t>其他应付款-保险-投资合同-再保</t>
  </si>
  <si>
    <t>其他资本公积-待摊大额奖金(IFRS)</t>
  </si>
  <si>
    <t>保费收入-首年-投连万能风险保障</t>
  </si>
  <si>
    <t>保费收入-续期-投连万能风险保障</t>
  </si>
  <si>
    <t>提取寿险准备金-保险合同-成本摊销(IFRS)</t>
  </si>
  <si>
    <t>其他费用-银保专员-个人-首年</t>
  </si>
  <si>
    <t>其他费用-银保专员-个人-趸缴</t>
  </si>
  <si>
    <t>投资收益-买入返售金融资产-3个月至1年-预提利息(手工)</t>
  </si>
  <si>
    <t>投资收益-分摊-利息支出(Mean Fund Ratio)</t>
  </si>
  <si>
    <t>投资收益-分摊-利息收入(Mean fund ratio)</t>
  </si>
  <si>
    <t>投资收益-分摊-红利股利收入(Mean fund ratio)</t>
  </si>
  <si>
    <t>投资收益-分摊-投资费用(Mean fund ratio)</t>
  </si>
  <si>
    <t>营业费用-分摊(IDA)</t>
  </si>
  <si>
    <t>营业费用-重分类-投资费用</t>
  </si>
  <si>
    <t>营业费用-重分类-投资管理费(GOSF)</t>
  </si>
  <si>
    <t>营业费用-重分类-资本性支出</t>
  </si>
  <si>
    <t>营业费用-重分类-VEA</t>
  </si>
  <si>
    <t>营业费用-重分类-营业外收支</t>
  </si>
  <si>
    <t>投资收益-费用-代扣代缴H股红利税</t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</si>
  <si>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ILPB-CN11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</si>
  <si>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ILPG-CN11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</si>
  <si>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ILPC-CN11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</si>
  <si>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ILPM-CN11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</si>
  <si>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ILPB-CN14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</si>
  <si>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ILPG-CN14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</si>
  <si>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ILPC-CN14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</si>
  <si>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ILPM-CN14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</si>
  <si>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ILPB-CN16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</si>
  <si>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ILPC-CN16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</si>
  <si>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ILPG-CN16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</si>
  <si>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ILPB-CN13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</si>
  <si>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ILPG-CN13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</si>
  <si>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ILPC-CN13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</si>
  <si>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ILPM-CN13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</si>
  <si>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ILPB-CN15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</si>
  <si>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ILPG-CN15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</si>
  <si>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ILPC-CN15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</si>
  <si>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ILPM-CN15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</si>
  <si>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ILPG-CN17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</si>
  <si>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ILPB-CN17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</si>
  <si>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ILPC-CN17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</si>
  <si>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ILPM-CN17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</si>
  <si>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ILPC-CN12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</si>
  <si>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ILPG-CN12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</si>
  <si>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ILPM-CN12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</si>
  <si>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ILPD-CN12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</si>
  <si>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ILPD-CN14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</si>
  <si>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ILPD-CN17</t>
    </r>
    <phoneticPr fontId="4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</si>
  <si>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ILPD-CN11</t>
    </r>
    <phoneticPr fontId="4" type="noConversion"/>
  </si>
  <si>
    <t>150401;150402;150403;15040401;15040412;150405;150406;15040701</t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</si>
  <si>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工行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中六</t>
    </r>
    <r>
      <rPr>
        <sz val="9"/>
        <rFont val="Arial"/>
        <family val="2"/>
      </rPr>
      <t>3012-</t>
    </r>
    <r>
      <rPr>
        <sz val="9"/>
        <rFont val="宋体"/>
        <family val="3"/>
        <charset val="134"/>
      </rPr>
      <t>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退费</t>
    </r>
    <phoneticPr fontId="4" type="noConversion"/>
  </si>
  <si>
    <t>Y-D</t>
    <phoneticPr fontId="4" type="noConversion"/>
  </si>
  <si>
    <t>NA</t>
    <phoneticPr fontId="4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</si>
  <si>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</si>
  <si>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股票供股权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</si>
  <si>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公允价值选择权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(IFRS)-ILP</t>
    </r>
    <phoneticPr fontId="4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</si>
  <si>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</si>
  <si>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</si>
  <si>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公允价值选择权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(IFRS)-ILP</t>
    </r>
    <phoneticPr fontId="4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</si>
  <si>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</si>
  <si>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</si>
  <si>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货币基金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现金等价物</t>
    </r>
    <r>
      <rPr>
        <sz val="9"/>
        <rFont val="Arial"/>
        <family val="2"/>
      </rPr>
      <t>)-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</si>
  <si>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申购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赎回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</si>
  <si>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证券清算款</t>
    </r>
    <phoneticPr fontId="4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</si>
  <si>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4" type="noConversion"/>
  </si>
  <si>
    <t>Y</t>
    <phoneticPr fontId="4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</si>
  <si>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个月以内定期存款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</si>
  <si>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</si>
  <si>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</si>
  <si>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定期存款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</si>
  <si>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应收股利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股票股利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</si>
  <si>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认购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</si>
  <si>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赎回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</si>
  <si>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转入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</si>
  <si>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转出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</si>
  <si>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账户管理费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</si>
  <si>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风险管理费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</si>
  <si>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资产管理费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</si>
  <si>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留存利润</t>
    </r>
    <r>
      <rPr>
        <sz val="9"/>
        <rFont val="Arial"/>
        <family val="2"/>
      </rPr>
      <t>-ILP</t>
    </r>
    <phoneticPr fontId="4" type="noConversion"/>
  </si>
  <si>
    <t>其他应付款-保险-保险投资划转-其他-ILP</t>
    <phoneticPr fontId="4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</si>
  <si>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审计费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</si>
  <si>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</si>
  <si>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投连账户利润结转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</si>
  <si>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</si>
  <si>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</si>
  <si>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</si>
  <si>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</si>
  <si>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货币基金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</si>
  <si>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</si>
  <si>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</si>
  <si>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</si>
  <si>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</si>
  <si>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</si>
  <si>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</si>
  <si>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中行托管费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</si>
  <si>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费用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</si>
  <si>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银行结算费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-ILP</t>
    </r>
    <phoneticPr fontId="4" type="noConversion"/>
  </si>
  <si>
    <t>投资收益-重分类-投资费用(IFRS)-ILP</t>
    <phoneticPr fontId="4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</si>
  <si>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审计费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</si>
  <si>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汇兑损益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未实现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</si>
  <si>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应付利息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卖出回购金融资产款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</si>
  <si>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phoneticPr fontId="4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</si>
  <si>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预提利息</t>
    </r>
    <phoneticPr fontId="4" type="noConversion"/>
  </si>
  <si>
    <r>
      <rPr>
        <sz val="9"/>
        <rFont val="宋体"/>
        <family val="3"/>
        <charset val="134"/>
      </rPr>
      <t>利息支出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卖出回购金融资产款</t>
    </r>
    <r>
      <rPr>
        <sz val="9"/>
        <rFont val="Arial"/>
        <family val="2"/>
      </rPr>
      <t>-ILP</t>
    </r>
    <phoneticPr fontId="4" type="noConversion"/>
  </si>
  <si>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个月以内定期存款</t>
    </r>
    <r>
      <rPr>
        <sz val="9"/>
        <rFont val="Arial"/>
        <family val="2"/>
      </rPr>
      <t>-ILP</t>
    </r>
    <phoneticPr fontId="4" type="noConversion"/>
  </si>
  <si>
    <t>230601;230615</t>
    <phoneticPr fontId="4" type="noConversion"/>
  </si>
  <si>
    <t>Held to Maturity Secur-Prov for Impairment,FAMexcl</t>
  </si>
  <si>
    <t>保户储金及投资款-万能险账户价值(IFRS)</t>
  </si>
  <si>
    <t>投连险账户价值(IFRS)</t>
  </si>
  <si>
    <t>其他业务成本-保户储金-成员盈利分配</t>
  </si>
  <si>
    <t>其他业务成本-投资合同-成员盈利分配(IFRS)</t>
  </si>
  <si>
    <t>投连险账户投资收益-保险合同(IFRS)</t>
  </si>
  <si>
    <t>投连险账户投资收益-投资合同(IFRS)</t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</si>
  <si>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电子设备运转费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软硬件维护</t>
    </r>
    <phoneticPr fontId="4" type="noConversion"/>
  </si>
  <si>
    <t>520802;52080701;52080801;52080802;52080803;</t>
    <phoneticPr fontId="4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</si>
  <si>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修理费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维修费用</t>
    </r>
    <phoneticPr fontId="4" type="noConversion"/>
  </si>
  <si>
    <t>521301;521303</t>
    <phoneticPr fontId="4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</si>
  <si>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修理费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装修费用</t>
    </r>
    <phoneticPr fontId="4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</si>
  <si>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公杂费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书刊订阅</t>
    </r>
    <phoneticPr fontId="4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</si>
  <si>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公杂费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办公文具</t>
    </r>
    <phoneticPr fontId="4" type="noConversion"/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</si>
  <si>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理赔费用</t>
    </r>
    <phoneticPr fontId="4" type="noConversion"/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</si>
  <si>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第三方理赔服务费</t>
    </r>
    <phoneticPr fontId="4" type="noConversion"/>
  </si>
  <si>
    <t>NA</t>
    <phoneticPr fontId="4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</si>
  <si>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其他应收</t>
    </r>
    <phoneticPr fontId="4" type="noConversion"/>
  </si>
  <si>
    <t>540401;510712</t>
    <phoneticPr fontId="4" type="noConversion"/>
  </si>
  <si>
    <t>540402;510708;510713</t>
    <phoneticPr fontId="4" type="noConversion"/>
  </si>
  <si>
    <t>23040108;23100124</t>
    <phoneticPr fontId="4" type="noConversion"/>
  </si>
  <si>
    <t>B100000101</t>
  </si>
  <si>
    <t>B100000102</t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</si>
  <si>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电子设备运转费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软硬件采购</t>
    </r>
    <phoneticPr fontId="4" type="noConversion"/>
  </si>
  <si>
    <t>其他资本公积-股份支付-SO(IFRS)</t>
  </si>
  <si>
    <t>其他资本公积-股份支付-ESPP(IFRS)</t>
  </si>
  <si>
    <t>长期待摊-家具-原值</t>
  </si>
  <si>
    <t>长期待摊-家具-累计摊销</t>
  </si>
  <si>
    <t>新增</t>
    <phoneticPr fontId="4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</si>
  <si>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phoneticPr fontId="4" type="noConversion"/>
  </si>
  <si>
    <t>16040201;16040301</t>
    <phoneticPr fontId="4" type="noConversion"/>
  </si>
  <si>
    <t>16040501;16040511</t>
    <phoneticPr fontId="4" type="noConversion"/>
  </si>
  <si>
    <t>16040202;16040302;16040512</t>
    <phoneticPr fontId="4" type="noConversion"/>
  </si>
  <si>
    <t>16040502;16040512</t>
    <phoneticPr fontId="4" type="noConversion"/>
  </si>
  <si>
    <t>营业费用-无形资产摊销-软件使用权</t>
    <phoneticPr fontId="4" type="noConversion"/>
  </si>
  <si>
    <t>520313</t>
    <phoneticPr fontId="4" type="noConversion"/>
  </si>
  <si>
    <t>Y</t>
    <phoneticPr fontId="4" type="noConversion"/>
  </si>
  <si>
    <t>NA</t>
    <phoneticPr fontId="4" type="noConversion"/>
  </si>
  <si>
    <t>Y</t>
    <phoneticPr fontId="4" type="noConversion"/>
  </si>
  <si>
    <t>NA</t>
    <phoneticPr fontId="4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</si>
  <si>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冷静期退费利息</t>
    </r>
    <phoneticPr fontId="4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</si>
  <si>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-ILP</t>
    </r>
    <phoneticPr fontId="4" type="noConversion"/>
  </si>
  <si>
    <t>Y</t>
    <phoneticPr fontId="4" type="noConversion"/>
  </si>
  <si>
    <t>NA</t>
    <phoneticPr fontId="4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</si>
  <si>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投资损益</t>
    </r>
    <phoneticPr fontId="4" type="noConversion"/>
  </si>
  <si>
    <t>投连万能业务冷静期退费账户价值与保费差额(Old)</t>
    <phoneticPr fontId="4" type="noConversion"/>
  </si>
  <si>
    <t>投连万能业务账户价值变动-冷静期退费账户价值与保费差额(Old)</t>
    <phoneticPr fontId="4" type="noConversion"/>
  </si>
  <si>
    <t>B100000114</t>
  </si>
  <si>
    <t>B100000115</t>
  </si>
  <si>
    <t>2231010000</t>
  </si>
  <si>
    <t>8121101020</t>
  </si>
  <si>
    <t>其他应付款-日常-关联方供应商</t>
    <phoneticPr fontId="4" type="noConversion"/>
  </si>
  <si>
    <t>其他应付款-日常-关联方供应商-手工</t>
    <phoneticPr fontId="4" type="noConversion"/>
  </si>
  <si>
    <t>520017;520003;520031</t>
    <phoneticPr fontId="4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</si>
  <si>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普通供应商</t>
    </r>
    <phoneticPr fontId="4" type="noConversion"/>
  </si>
  <si>
    <t>23100308</t>
    <phoneticPr fontId="4" type="noConversion"/>
  </si>
  <si>
    <t>保户储金及投资款-ASO账户价值</t>
    <phoneticPr fontId="4" type="noConversion"/>
  </si>
  <si>
    <t>240102</t>
    <phoneticPr fontId="4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</si>
  <si>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等待复效暂存款</t>
    </r>
    <phoneticPr fontId="4" type="noConversion"/>
  </si>
  <si>
    <t>240107</t>
    <phoneticPr fontId="4" type="noConversion"/>
  </si>
  <si>
    <t>23100304</t>
    <phoneticPr fontId="4" type="noConversion"/>
  </si>
  <si>
    <t>其他应付款-日常-其他应付</t>
    <phoneticPr fontId="4" type="noConversion"/>
  </si>
  <si>
    <t>23100305</t>
    <phoneticPr fontId="4" type="noConversion"/>
  </si>
  <si>
    <t>其他应付款-日常-代理人津贴</t>
    <phoneticPr fontId="4" type="noConversion"/>
  </si>
  <si>
    <t>23100306</t>
    <phoneticPr fontId="4" type="noConversion"/>
  </si>
  <si>
    <t>应付职工薪酬-工资奖金-补充养老金-已归属</t>
    <phoneticPr fontId="4" type="noConversion"/>
  </si>
  <si>
    <t>23040104</t>
    <phoneticPr fontId="4" type="noConversion"/>
  </si>
  <si>
    <t>应付职工薪酬-工资奖金-补充养老金-未归属</t>
    <phoneticPr fontId="4" type="noConversion"/>
  </si>
  <si>
    <t>佣金支出-直接-首年</t>
    <phoneticPr fontId="4" type="noConversion"/>
  </si>
  <si>
    <t>新增</t>
    <phoneticPr fontId="4" type="noConversion"/>
  </si>
  <si>
    <r>
      <rPr>
        <sz val="9"/>
        <rFont val="宋体"/>
        <family val="3"/>
        <charset val="134"/>
      </rPr>
      <t>应收股利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股权股利</t>
    </r>
    <phoneticPr fontId="4" type="noConversion"/>
  </si>
  <si>
    <t>Receivables, Others, Return on Capital, FAM, OIM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</si>
</sst>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76" formatCode="_-[$€-2]* #,##0.00_-;\-[$€-2]* #,##0.00_-;_-[$€-2]* &quot;-&quot;??_-"/>
  </numFmts>
  <fonts count="21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9"/>
      <name val="Arial"/>
      <family val="2"/>
    </font>
    <font>
      <b/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9"/>
      <color rgb="FFFF0000"/>
      <name val="Arial"/>
      <family val="2"/>
    </font>
    <font>
      <b/>
      <sz val="9"/>
      <color rgb="FFFFFFFF"/>
      <name val="Arial"/>
      <family val="2"/>
    </font>
    <font>
      <sz val="10"/>
      <color theme="1"/>
      <name val="等线"/>
      <family val="2"/>
    </font>
    <font>
      <sz val="11"/>
      <color theme="1"/>
      <name val="Arial"/>
      <family val="2"/>
    </font>
    <font>
      <sz val="9"/>
      <color rgb="FFFF000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sz val="9"/>
      <color theme="1"/>
      <name val="宋体"/>
      <family val="2"/>
      <charset val="134"/>
    </font>
    <font>
      <b/>
      <sz val="10"/>
      <color theme="1"/>
      <name val="Arial"/>
      <family val="2"/>
    </font>
    <font>
      <sz val="10"/>
      <name val="宋体"/>
      <family val="3"/>
      <charset val="134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31145"/>
        <bgColor rgb="FF000000"/>
      </patternFill>
    </fill>
    <fill>
      <patternFill patternType="solid">
        <fgColor rgb="FFD311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176" fontId="1" fillId="0" borderId="0"/>
    <xf numFmtId="176" fontId="5" fillId="0" borderId="0"/>
    <xf numFmtId="43" fontId="15" fillId="0" borderId="0" applyFont="0" applyFill="0" applyBorder="0" applyAlignment="0" applyProtection="0">
      <alignment vertical="center"/>
    </xf>
    <xf numFmtId="176" fontId="12" fillId="0" borderId="0"/>
  </cellStyleXfs>
  <cellXfs count="116">
    <xf numFmtId="0" fontId="0" fillId="0" borderId="0" xfId="0">
      <alignment vertical="center"/>
    </xf>
    <xf numFmtId="0" fontId="2" fillId="2" borderId="1" xfId="1" applyNumberFormat="1" applyFont="1" applyFill="1" applyBorder="1" applyAlignment="1" applyProtection="1">
      <alignment horizontal="left" vertical="center" wrapText="1"/>
      <protection locked="0"/>
    </xf>
    <xf numFmtId="0" fontId="11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2" applyNumberFormat="1" applyFont="1" applyFill="1" applyBorder="1" applyAlignment="1">
      <alignment horizontal="left"/>
    </xf>
    <xf numFmtId="0" fontId="6" fillId="0" borderId="1" xfId="2" quotePrefix="1" applyNumberFormat="1" applyFont="1" applyFill="1" applyBorder="1" applyAlignment="1">
      <alignment horizontal="left"/>
    </xf>
    <xf numFmtId="0" fontId="7" fillId="0" borderId="1" xfId="2" applyNumberFormat="1" applyFont="1" applyFill="1" applyBorder="1" applyAlignment="1">
      <alignment horizontal="left"/>
    </xf>
    <xf numFmtId="0" fontId="10" fillId="0" borderId="1" xfId="2" applyNumberFormat="1" applyFont="1" applyFill="1" applyBorder="1" applyAlignment="1">
      <alignment horizontal="left"/>
    </xf>
    <xf numFmtId="0" fontId="7" fillId="0" borderId="1" xfId="0" applyNumberFormat="1" applyFont="1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0" fontId="7" fillId="0" borderId="1" xfId="0" quotePrefix="1" applyNumberFormat="1" applyFont="1" applyFill="1" applyBorder="1" applyAlignment="1">
      <alignment horizontal="left"/>
    </xf>
    <xf numFmtId="0" fontId="13" fillId="0" borderId="1" xfId="0" applyFont="1" applyFill="1" applyBorder="1" applyAlignment="1">
      <alignment horizontal="left" vertical="center"/>
    </xf>
    <xf numFmtId="0" fontId="6" fillId="0" borderId="0" xfId="2" applyNumberFormat="1" applyFont="1" applyFill="1" applyBorder="1" applyAlignment="1">
      <alignment horizontal="left"/>
    </xf>
    <xf numFmtId="0" fontId="11" fillId="3" borderId="0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2" applyNumberFormat="1" applyFont="1" applyFill="1" applyBorder="1" applyAlignment="1">
      <alignment horizontal="left"/>
    </xf>
    <xf numFmtId="0" fontId="6" fillId="6" borderId="0" xfId="2" applyNumberFormat="1" applyFont="1" applyFill="1" applyBorder="1" applyAlignment="1">
      <alignment horizontal="left"/>
    </xf>
    <xf numFmtId="0" fontId="2" fillId="2" borderId="0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0" xfId="0" applyFont="1">
      <alignment vertical="center"/>
    </xf>
    <xf numFmtId="0" fontId="16" fillId="0" borderId="1" xfId="2" applyNumberFormat="1" applyFont="1" applyFill="1" applyBorder="1" applyAlignment="1">
      <alignment horizontal="left"/>
    </xf>
    <xf numFmtId="0" fontId="16" fillId="0" borderId="1" xfId="0" applyNumberFormat="1" applyFont="1" applyFill="1" applyBorder="1" applyAlignment="1">
      <alignment horizontal="left"/>
    </xf>
    <xf numFmtId="49" fontId="11" fillId="3" borderId="0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0" xfId="2" applyNumberFormat="1" applyFont="1" applyFill="1" applyBorder="1" applyAlignment="1">
      <alignment horizontal="left"/>
    </xf>
    <xf numFmtId="49" fontId="6" fillId="5" borderId="0" xfId="2" applyNumberFormat="1" applyFont="1" applyFill="1" applyBorder="1" applyAlignment="1">
      <alignment horizontal="left"/>
    </xf>
    <xf numFmtId="49" fontId="10" fillId="0" borderId="0" xfId="2" applyNumberFormat="1" applyFont="1" applyFill="1" applyBorder="1" applyAlignment="1">
      <alignment horizontal="left"/>
    </xf>
    <xf numFmtId="49" fontId="11" fillId="3" borderId="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2" applyNumberFormat="1" applyFont="1" applyFill="1" applyBorder="1" applyAlignment="1">
      <alignment horizontal="left"/>
    </xf>
    <xf numFmtId="0" fontId="6" fillId="7" borderId="1" xfId="2" quotePrefix="1" applyNumberFormat="1" applyFont="1" applyFill="1" applyBorder="1" applyAlignment="1">
      <alignment horizontal="left"/>
    </xf>
    <xf numFmtId="0" fontId="6" fillId="7" borderId="1" xfId="2" applyNumberFormat="1" applyFont="1" applyFill="1" applyBorder="1" applyAlignment="1">
      <alignment horizontal="left"/>
    </xf>
    <xf numFmtId="43" fontId="13" fillId="0" borderId="0" xfId="3" applyFont="1">
      <alignment vertical="center"/>
    </xf>
    <xf numFmtId="0" fontId="16" fillId="0" borderId="0" xfId="0" applyFont="1">
      <alignment vertical="center"/>
    </xf>
    <xf numFmtId="0" fontId="1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6" fillId="0" borderId="0" xfId="0" applyNumberFormat="1" applyFont="1">
      <alignment vertical="center"/>
    </xf>
    <xf numFmtId="0" fontId="16" fillId="0" borderId="0" xfId="0" applyNumberFormat="1" applyFont="1" applyAlignment="1"/>
    <xf numFmtId="43" fontId="16" fillId="0" borderId="0" xfId="3" applyFont="1">
      <alignment vertical="center"/>
    </xf>
    <xf numFmtId="0" fontId="16" fillId="4" borderId="0" xfId="0" applyNumberFormat="1" applyFont="1" applyFill="1" applyAlignment="1"/>
    <xf numFmtId="0" fontId="16" fillId="0" borderId="0" xfId="2" applyNumberFormat="1" applyFont="1" applyFill="1" applyBorder="1" applyAlignment="1">
      <alignment horizontal="left"/>
    </xf>
    <xf numFmtId="0" fontId="16" fillId="0" borderId="0" xfId="0" applyNumberFormat="1" applyFont="1" applyFill="1" applyAlignment="1">
      <alignment horizontal="left"/>
    </xf>
    <xf numFmtId="0" fontId="16" fillId="0" borderId="0" xfId="0" applyNumberFormat="1" applyFont="1" applyAlignment="1">
      <alignment horizontal="left"/>
    </xf>
    <xf numFmtId="0" fontId="16" fillId="0" borderId="0" xfId="0" applyNumberFormat="1" applyFont="1" applyFill="1" applyAlignment="1"/>
    <xf numFmtId="0" fontId="13" fillId="0" borderId="0" xfId="0" pivotButton="1" applyFo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NumberFormat="1" applyFont="1">
      <alignment vertical="center"/>
    </xf>
    <xf numFmtId="0" fontId="16" fillId="0" borderId="0" xfId="0" applyFont="1" applyBorder="1">
      <alignment vertical="center"/>
    </xf>
    <xf numFmtId="0" fontId="16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43" fontId="13" fillId="7" borderId="0" xfId="3" applyFont="1" applyFill="1">
      <alignment vertical="center"/>
    </xf>
    <xf numFmtId="0" fontId="16" fillId="7" borderId="0" xfId="0" applyFont="1" applyFill="1">
      <alignment vertical="center"/>
    </xf>
    <xf numFmtId="0" fontId="6" fillId="0" borderId="0" xfId="2" quotePrefix="1" applyNumberFormat="1" applyFont="1" applyFill="1" applyBorder="1" applyAlignment="1">
      <alignment horizontal="left"/>
    </xf>
    <xf numFmtId="0" fontId="16" fillId="0" borderId="1" xfId="2" quotePrefix="1" applyNumberFormat="1" applyFont="1" applyFill="1" applyBorder="1" applyAlignment="1">
      <alignment horizontal="left"/>
    </xf>
    <xf numFmtId="0" fontId="16" fillId="0" borderId="1" xfId="2" applyNumberFormat="1" applyFont="1" applyFill="1" applyBorder="1" applyAlignment="1">
      <alignment horizontal="left" wrapText="1"/>
    </xf>
    <xf numFmtId="49" fontId="16" fillId="0" borderId="1" xfId="2" applyNumberFormat="1" applyFont="1" applyFill="1" applyBorder="1" applyAlignment="1">
      <alignment horizontal="left"/>
    </xf>
    <xf numFmtId="0" fontId="16" fillId="0" borderId="2" xfId="2" applyNumberFormat="1" applyFont="1" applyFill="1" applyBorder="1" applyAlignment="1">
      <alignment horizontal="left"/>
    </xf>
    <xf numFmtId="0" fontId="16" fillId="0" borderId="1" xfId="2" applyNumberFormat="1" applyFont="1" applyFill="1" applyBorder="1" applyAlignment="1">
      <alignment vertical="center"/>
    </xf>
    <xf numFmtId="0" fontId="2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NumberFormat="1" applyFont="1" applyFill="1" applyBorder="1" applyAlignment="1">
      <alignment horizontal="left"/>
    </xf>
    <xf numFmtId="0" fontId="6" fillId="0" borderId="0" xfId="0" applyFont="1">
      <alignment vertical="center"/>
    </xf>
    <xf numFmtId="0" fontId="16" fillId="8" borderId="1" xfId="2" applyNumberFormat="1" applyFont="1" applyFill="1" applyBorder="1" applyAlignment="1">
      <alignment horizontal="left"/>
    </xf>
    <xf numFmtId="0" fontId="16" fillId="0" borderId="1" xfId="0" applyFont="1" applyBorder="1">
      <alignment vertical="center"/>
    </xf>
    <xf numFmtId="176" fontId="19" fillId="7" borderId="0" xfId="4" applyFont="1" applyFill="1" applyBorder="1" applyAlignment="1">
      <alignment vertical="center" wrapText="1"/>
    </xf>
    <xf numFmtId="176" fontId="7" fillId="0" borderId="0" xfId="4" applyFont="1" applyBorder="1"/>
    <xf numFmtId="176" fontId="7" fillId="0" borderId="0" xfId="4" applyFont="1" applyFill="1" applyBorder="1" applyAlignment="1">
      <alignment horizontal="left" vertical="center" wrapText="1" indent="4"/>
    </xf>
    <xf numFmtId="176" fontId="7" fillId="0" borderId="0" xfId="4" applyFont="1" applyFill="1" applyBorder="1"/>
    <xf numFmtId="176" fontId="7" fillId="0" borderId="0" xfId="4" applyFont="1" applyFill="1" applyBorder="1" applyAlignment="1">
      <alignment vertical="top"/>
    </xf>
    <xf numFmtId="176" fontId="1" fillId="0" borderId="0" xfId="4" applyFont="1" applyFill="1" applyBorder="1" applyAlignment="1">
      <alignment vertical="top" wrapText="1"/>
    </xf>
    <xf numFmtId="176" fontId="1" fillId="0" borderId="0" xfId="4" applyFont="1" applyFill="1" applyBorder="1" applyAlignment="1">
      <alignment vertical="center"/>
    </xf>
    <xf numFmtId="176" fontId="1" fillId="0" borderId="0" xfId="4" applyFont="1" applyFill="1" applyBorder="1" applyAlignment="1"/>
    <xf numFmtId="176" fontId="1" fillId="0" borderId="0" xfId="4" applyFont="1" applyFill="1" applyBorder="1" applyAlignment="1">
      <alignment horizontal="left" vertical="center"/>
    </xf>
    <xf numFmtId="176" fontId="7" fillId="0" borderId="0" xfId="4" applyFont="1" applyFill="1" applyBorder="1" applyAlignment="1"/>
    <xf numFmtId="0" fontId="19" fillId="7" borderId="0" xfId="4" applyNumberFormat="1" applyFont="1" applyFill="1" applyBorder="1" applyAlignment="1">
      <alignment vertical="center" wrapText="1"/>
    </xf>
    <xf numFmtId="0" fontId="7" fillId="0" borderId="0" xfId="4" applyNumberFormat="1" applyFont="1" applyFill="1" applyBorder="1" applyAlignment="1">
      <alignment vertical="center" wrapText="1"/>
    </xf>
    <xf numFmtId="0" fontId="7" fillId="0" borderId="0" xfId="4" applyNumberFormat="1" applyFont="1" applyFill="1" applyBorder="1" applyAlignment="1">
      <alignment horizontal="left" vertical="center" wrapText="1"/>
    </xf>
    <xf numFmtId="0" fontId="7" fillId="0" borderId="0" xfId="4" applyNumberFormat="1" applyFont="1" applyFill="1" applyBorder="1"/>
    <xf numFmtId="0" fontId="16" fillId="9" borderId="1" xfId="2" applyNumberFormat="1" applyFont="1" applyFill="1" applyBorder="1" applyAlignment="1">
      <alignment horizontal="left"/>
    </xf>
    <xf numFmtId="0" fontId="16" fillId="10" borderId="1" xfId="2" applyNumberFormat="1" applyFont="1" applyFill="1" applyBorder="1" applyAlignment="1">
      <alignment horizontal="left"/>
    </xf>
    <xf numFmtId="0" fontId="16" fillId="11" borderId="1" xfId="2" applyNumberFormat="1" applyFont="1" applyFill="1" applyBorder="1" applyAlignment="1">
      <alignment horizontal="left"/>
    </xf>
    <xf numFmtId="0" fontId="16" fillId="12" borderId="1" xfId="2" applyNumberFormat="1" applyFont="1" applyFill="1" applyBorder="1" applyAlignment="1">
      <alignment horizontal="left"/>
    </xf>
    <xf numFmtId="0" fontId="16" fillId="13" borderId="1" xfId="2" applyNumberFormat="1" applyFont="1" applyFill="1" applyBorder="1" applyAlignment="1">
      <alignment horizontal="left"/>
    </xf>
    <xf numFmtId="0" fontId="16" fillId="14" borderId="1" xfId="2" applyNumberFormat="1" applyFont="1" applyFill="1" applyBorder="1" applyAlignment="1">
      <alignment horizontal="left"/>
    </xf>
    <xf numFmtId="0" fontId="16" fillId="15" borderId="1" xfId="2" applyNumberFormat="1" applyFont="1" applyFill="1" applyBorder="1" applyAlignment="1">
      <alignment horizontal="left"/>
    </xf>
    <xf numFmtId="0" fontId="16" fillId="16" borderId="1" xfId="2" applyNumberFormat="1" applyFont="1" applyFill="1" applyBorder="1" applyAlignment="1">
      <alignment horizontal="left"/>
    </xf>
    <xf numFmtId="0" fontId="16" fillId="17" borderId="1" xfId="2" applyNumberFormat="1" applyFont="1" applyFill="1" applyBorder="1" applyAlignment="1">
      <alignment horizontal="left"/>
    </xf>
    <xf numFmtId="0" fontId="16" fillId="18" borderId="1" xfId="2" applyNumberFormat="1" applyFont="1" applyFill="1" applyBorder="1" applyAlignment="1">
      <alignment horizontal="left"/>
    </xf>
    <xf numFmtId="0" fontId="16" fillId="19" borderId="1" xfId="2" applyNumberFormat="1" applyFont="1" applyFill="1" applyBorder="1" applyAlignment="1">
      <alignment horizontal="left"/>
    </xf>
    <xf numFmtId="0" fontId="17" fillId="0" borderId="1" xfId="2" applyNumberFormat="1" applyFont="1" applyFill="1" applyBorder="1" applyAlignment="1">
      <alignment horizontal="left"/>
    </xf>
    <xf numFmtId="0" fontId="14" fillId="7" borderId="0" xfId="0" applyFont="1" applyFill="1" applyAlignment="1">
      <alignment horizontal="left" vertical="center"/>
    </xf>
    <xf numFmtId="0" fontId="9" fillId="0" borderId="1" xfId="2" applyNumberFormat="1" applyFont="1" applyFill="1" applyBorder="1" applyAlignment="1">
      <alignment horizontal="left"/>
    </xf>
    <xf numFmtId="0" fontId="16" fillId="20" borderId="1" xfId="2" applyNumberFormat="1" applyFont="1" applyFill="1" applyBorder="1" applyAlignment="1">
      <alignment horizontal="left"/>
    </xf>
    <xf numFmtId="0" fontId="11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6" fillId="0" borderId="2" xfId="0" applyFont="1" applyFill="1" applyBorder="1" applyAlignment="1">
      <alignment horizontal="left" vertical="center"/>
    </xf>
    <xf numFmtId="0" fontId="16" fillId="0" borderId="1" xfId="2" quotePrefix="1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6" fillId="14" borderId="1" xfId="2" applyNumberFormat="1" applyFont="1" applyFill="1" applyBorder="1" applyAlignment="1">
      <alignment horizontal="left"/>
    </xf>
    <xf numFmtId="0" fontId="6" fillId="21" borderId="1" xfId="2" quotePrefix="1" applyNumberFormat="1" applyFont="1" applyFill="1" applyBorder="1" applyAlignment="1">
      <alignment horizontal="left"/>
    </xf>
    <xf numFmtId="0" fontId="16" fillId="21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left" vertical="center"/>
    </xf>
    <xf numFmtId="0" fontId="6" fillId="21" borderId="0" xfId="0" applyFont="1" applyFill="1">
      <alignment vertical="center"/>
    </xf>
    <xf numFmtId="0" fontId="6" fillId="21" borderId="0" xfId="0" applyFont="1" applyFill="1" applyAlignment="1">
      <alignment horizontal="left" vertical="center"/>
    </xf>
    <xf numFmtId="0" fontId="9" fillId="0" borderId="1" xfId="0" applyNumberFormat="1" applyFont="1" applyFill="1" applyBorder="1" applyAlignment="1">
      <alignment horizontal="left"/>
    </xf>
    <xf numFmtId="0" fontId="16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16" fillId="0" borderId="0" xfId="0" applyNumberFormat="1" applyFont="1" applyFill="1">
      <alignment vertical="center"/>
    </xf>
    <xf numFmtId="0" fontId="16" fillId="22" borderId="1" xfId="2" applyNumberFormat="1" applyFont="1" applyFill="1" applyBorder="1" applyAlignment="1">
      <alignment horizontal="left"/>
    </xf>
    <xf numFmtId="0" fontId="6" fillId="22" borderId="1" xfId="2" applyNumberFormat="1" applyFont="1" applyFill="1" applyBorder="1" applyAlignment="1">
      <alignment horizontal="left"/>
    </xf>
    <xf numFmtId="0" fontId="16" fillId="22" borderId="1" xfId="2" quotePrefix="1" applyNumberFormat="1" applyFont="1" applyFill="1" applyBorder="1" applyAlignment="1">
      <alignment horizontal="left"/>
    </xf>
    <xf numFmtId="0" fontId="16" fillId="22" borderId="1" xfId="0" applyFont="1" applyFill="1" applyBorder="1" applyAlignment="1">
      <alignment horizontal="left" vertical="center"/>
    </xf>
    <xf numFmtId="0" fontId="16" fillId="22" borderId="0" xfId="0" applyFont="1" applyFill="1" applyAlignment="1">
      <alignment horizontal="left" vertical="center"/>
    </xf>
    <xf numFmtId="0" fontId="9" fillId="22" borderId="1" xfId="2" applyNumberFormat="1" applyFont="1" applyFill="1" applyBorder="1" applyAlignment="1">
      <alignment horizontal="left"/>
    </xf>
    <xf numFmtId="0" fontId="6" fillId="22" borderId="1" xfId="2" quotePrefix="1" applyNumberFormat="1" applyFont="1" applyFill="1" applyBorder="1" applyAlignment="1">
      <alignment horizontal="left"/>
    </xf>
    <xf numFmtId="0" fontId="17" fillId="22" borderId="1" xfId="2" applyNumberFormat="1" applyFont="1" applyFill="1" applyBorder="1" applyAlignment="1">
      <alignment horizontal="left"/>
    </xf>
  </cellXfs>
  <cellStyles count="5">
    <cellStyle name="Comma" xfId="3" builtinId="3"/>
    <cellStyle name="Normal" xfId="0" builtinId="0"/>
    <cellStyle name="Normal 2" xfId="4"/>
    <cellStyle name="常规_SunMaster_0825_COA-v1" xfId="2"/>
    <cellStyle name="一般_Sunmaster" xfId="1"/>
  </cellStyles>
  <dxfs count="1">
    <dxf>
      <font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gting/AppData/Roaming/SogouExplorer/Download/Byline%20MGMT%20review%20-%20Month%20-%20LOB%20(Dec_YE)-LC_2018.0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eMaster\AceMaster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Instruction"/>
      <sheetName val="BPC_Data"/>
      <sheetName val="TABLE"/>
      <sheetName val="Master"/>
      <sheetName val="Selection"/>
      <sheetName val="PRINT"/>
      <sheetName val="Monthly_AL_Output"/>
      <sheetName val="Monthly_OL_Output"/>
      <sheetName val="Monthly_UL_Output"/>
      <sheetName val="Monthly_GL_Output"/>
      <sheetName val="Monthly_PS_Output"/>
      <sheetName val="Monthly_GM_Output"/>
      <sheetName val="Monthly_GP_Output"/>
      <sheetName val="Monthly_CL_Output"/>
      <sheetName val="Monthly_PE_Output"/>
      <sheetName val="Monthly_VA_Output"/>
      <sheetName val="Monthly_FA_Output"/>
      <sheetName val="Monthly_PL_Output"/>
      <sheetName val="Monthly_MT_Output"/>
      <sheetName val="Monthly_CP_Output"/>
      <sheetName val="Monthly_EL_Output"/>
      <sheetName val="Monthly_VI_Out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ce1"/>
      <sheetName val="AceMaster"/>
    </sheetNames>
    <definedNames>
      <definedName name="a_eb"/>
    </definedNames>
    <sheetDataSet>
      <sheetData sheetId="0"/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, Ivy-SY" refreshedDate="43236.758985069442" createdVersion="3" refreshedVersion="3" minRefreshableVersion="3" recordCount="7947">
  <cacheSource type="worksheet">
    <worksheetSource ref="A1:B1048576" sheet="ETL Scope"/>
  </cacheSource>
  <cacheFields count="2">
    <cacheField name="ACCT_CD" numFmtId="0">
      <sharedItems containsString="0" containsBlank="1" containsNumber="1" containsInteger="1" minValue="2201000000" maxValue="6700700000" count="61">
        <n v="3710000000"/>
        <n v="6700000000"/>
        <n v="5010100000"/>
        <n v="6700400000"/>
        <n v="4203000000"/>
        <n v="6700200000"/>
        <n v="3103000000"/>
        <n v="6700100000"/>
        <n v="5010000000"/>
        <n v="5010100010"/>
        <n v="2500000000"/>
        <n v="6700600000"/>
        <n v="6610100000"/>
        <n v="2201000000"/>
        <n v="6104000000"/>
        <n v="6610000000"/>
        <n v="6100000020"/>
        <n v="2750010000"/>
        <n v="6060010000"/>
        <n v="3810000000"/>
        <n v="6610000100"/>
        <n v="5052000000"/>
        <n v="6030000000"/>
        <n v="6610100100"/>
        <n v="2201200030"/>
        <n v="3030000000"/>
        <n v="6700700000"/>
        <n v="5050000000"/>
        <n v="3102000000"/>
        <n v="6700500000"/>
        <n v="5052010000"/>
        <n v="2203000000"/>
        <n v="3800000000"/>
        <n v="6104001000"/>
        <n v="6102000000"/>
        <n v="5010000010"/>
        <n v="6060110000"/>
        <n v="3103001000"/>
        <n v="2201000030"/>
        <n v="2203000010"/>
        <n v="6100000000"/>
        <n v="5050010000"/>
        <n v="4612000000"/>
        <n v="3100000000"/>
        <n v="2201000010"/>
        <n v="4610000000"/>
        <n v="3032000000"/>
        <n v="6032000000"/>
        <n v="4611000000"/>
        <n v="3800000010"/>
        <n v="6150000000"/>
        <n v="3510000000"/>
        <n v="2201400000"/>
        <n v="4010100000"/>
        <n v="2201300000"/>
        <n v="4011000000"/>
        <n v="6160000000"/>
        <n v="4010000000"/>
        <n v="3812000000"/>
        <n v="6102000020"/>
        <m/>
      </sharedItems>
    </cacheField>
    <cacheField name="AMOUNT" numFmtId="0">
      <sharedItems containsString="0" containsBlank="1" containsNumber="1" containsInteger="1" minValue="-52525083919" maxValue="52525083919" count="924">
        <n v="-185807"/>
        <n v="0"/>
        <n v="185807"/>
        <n v="123"/>
        <n v="59"/>
        <n v="-123"/>
        <n v="-59"/>
        <n v="24023364"/>
        <n v="-24023364"/>
        <n v="-114928"/>
        <n v="160074"/>
        <n v="114928"/>
        <n v="-160074"/>
        <n v="1152"/>
        <n v="3385"/>
        <n v="30799920"/>
        <n v="-1152"/>
        <n v="-3385"/>
        <n v="326"/>
        <n v="-30799920"/>
        <n v="113350"/>
        <n v="-326"/>
        <n v="221706"/>
        <n v="-113350"/>
        <n v="-221706"/>
        <n v="26732"/>
        <n v="94738"/>
        <n v="-26732"/>
        <n v="1286230"/>
        <n v="-94738"/>
        <n v="-1286230"/>
        <n v="8146"/>
        <n v="87471"/>
        <n v="5571617923"/>
        <n v="-87471"/>
        <n v="-5571617923"/>
        <n v="2807659"/>
        <n v="-2807659"/>
        <n v="45716"/>
        <n v="-45716"/>
        <n v="5270"/>
        <n v="-5270"/>
        <n v="105224"/>
        <n v="-105224"/>
        <n v="162197"/>
        <n v="-162197"/>
        <n v="60556"/>
        <n v="-60556"/>
        <n v="1497855"/>
        <n v="-1497855"/>
        <n v="9154972"/>
        <n v="-9154972"/>
        <n v="-8146"/>
        <n v="52708346"/>
        <n v="-52708346"/>
        <n v="340"/>
        <n v="192154"/>
        <n v="-340"/>
        <n v="2380319975"/>
        <n v="-192154"/>
        <n v="-2380319975"/>
        <n v="946433"/>
        <n v="2788720"/>
        <n v="862711"/>
        <n v="-946433"/>
        <n v="-2788720"/>
        <n v="-862711"/>
        <n v="143264"/>
        <n v="-143264"/>
        <n v="43046530"/>
        <n v="27029"/>
        <n v="-43046530"/>
        <n v="-27029"/>
        <n v="82962"/>
        <n v="6946031"/>
        <n v="-82962"/>
        <n v="1534840781"/>
        <n v="40257"/>
        <n v="229"/>
        <n v="-229"/>
        <n v="2995033"/>
        <n v="-2995033"/>
        <n v="21758761"/>
        <n v="-21758761"/>
        <n v="13562"/>
        <n v="-13562"/>
        <n v="18265026"/>
        <n v="-18265026"/>
        <n v="91091"/>
        <n v="-91091"/>
        <n v="46989161"/>
        <n v="-46989161"/>
        <n v="5504"/>
        <n v="-5504"/>
        <n v="-1763"/>
        <n v="1763"/>
        <n v="68329291"/>
        <n v="-68329291"/>
        <n v="58916"/>
        <n v="-58916"/>
        <n v="731"/>
        <n v="-731"/>
        <n v="202137"/>
        <n v="-202137"/>
        <n v="9391061"/>
        <n v="-9391061"/>
        <n v="1225032453"/>
        <n v="-1225032453"/>
        <n v="65212630"/>
        <n v="-65212630"/>
        <n v="1537236"/>
        <n v="-1537236"/>
        <n v="411250"/>
        <n v="-411250"/>
        <n v="66749"/>
        <n v="-66749"/>
        <n v="1110080"/>
        <n v="-1110080"/>
        <n v="-6946031"/>
        <n v="-1534840781"/>
        <n v="-40257"/>
        <n v="241876"/>
        <n v="130559281"/>
        <n v="464718600"/>
        <n v="-241876"/>
        <n v="-130559281"/>
        <n v="53214356"/>
        <n v="62346"/>
        <n v="2772015561"/>
        <n v="-464718600"/>
        <n v="2627165"/>
        <n v="-53214356"/>
        <n v="-62346"/>
        <n v="-2772015561"/>
        <n v="-2627165"/>
        <n v="4361536"/>
        <n v="189881"/>
        <n v="-4361536"/>
        <n v="12357122"/>
        <n v="-189881"/>
        <n v="-12357122"/>
        <n v="52525083919"/>
        <n v="-169881"/>
        <n v="158459"/>
        <n v="-52525083919"/>
        <n v="177"/>
        <n v="169881"/>
        <n v="-158459"/>
        <n v="-177"/>
        <n v="3260796"/>
        <n v="-3260796"/>
        <n v="86080"/>
        <n v="-86080"/>
        <n v="522125"/>
        <n v="-522125"/>
        <n v="1452"/>
        <n v="-1452"/>
        <n v="1985"/>
        <n v="-1985"/>
        <n v="1901090"/>
        <n v="-1901090"/>
        <n v="11100"/>
        <n v="-11100"/>
        <n v="3804023"/>
        <n v="-3804023"/>
        <n v="592900354"/>
        <n v="-592900354"/>
        <n v="4620"/>
        <n v="-4620"/>
        <n v="54670"/>
        <n v="-54670"/>
        <n v="10942909"/>
        <n v="-10942909"/>
        <n v="1970110"/>
        <n v="-1970110"/>
        <n v="5693"/>
        <n v="-5693"/>
        <n v="5246"/>
        <n v="-5246"/>
        <n v="8512317"/>
        <n v="2693622798"/>
        <n v="-8512317"/>
        <n v="-2693622798"/>
        <n v="7966034"/>
        <n v="-7966034"/>
        <n v="384554"/>
        <n v="43905"/>
        <n v="721698"/>
        <n v="334285"/>
        <n v="-384554"/>
        <n v="-43905"/>
        <n v="-721698"/>
        <n v="2846"/>
        <n v="-334285"/>
        <n v="-2846"/>
        <n v="-15005"/>
        <n v="2344928"/>
        <n v="84888"/>
        <n v="22385902040"/>
        <n v="15005"/>
        <n v="-2344928"/>
        <n v="-84888"/>
        <n v="-22385902040"/>
        <n v="157"/>
        <n v="500089991"/>
        <n v="-157"/>
        <n v="-500089991"/>
        <n v="67877"/>
        <n v="158193"/>
        <n v="70887"/>
        <n v="7487892"/>
        <n v="11326"/>
        <n v="-11326"/>
        <n v="1240776354"/>
        <n v="-1240776354"/>
        <n v="1440973"/>
        <n v="-1440973"/>
        <n v="-79610"/>
        <n v="79610"/>
        <n v="315388"/>
        <n v="-315388"/>
        <n v="698525"/>
        <n v="-698525"/>
        <n v="2202"/>
        <n v="-2202"/>
        <n v="1259249800"/>
        <n v="-1259249800"/>
        <n v="145702"/>
        <n v="-145702"/>
        <n v="1641461"/>
        <n v="-1641461"/>
        <n v="-3"/>
        <n v="3"/>
        <n v="39368"/>
        <n v="-39368"/>
        <n v="23909"/>
        <n v="-23909"/>
        <n v="3084"/>
        <n v="-3084"/>
        <n v="2358827"/>
        <n v="-2358827"/>
        <n v="6623879"/>
        <n v="-6623879"/>
        <n v="65495408"/>
        <n v="-67877"/>
        <n v="-158193"/>
        <n v="-70887"/>
        <n v="36697166"/>
        <n v="-7487892"/>
        <n v="-65495408"/>
        <n v="7038549"/>
        <n v="4094"/>
        <n v="-36697166"/>
        <n v="32925237"/>
        <n v="20124559"/>
        <n v="-7038549"/>
        <n v="-4094"/>
        <n v="-32925237"/>
        <n v="-20124559"/>
        <n v="367453572"/>
        <n v="379"/>
        <n v="-367453572"/>
        <n v="399884823"/>
        <n v="-379"/>
        <n v="-399884823"/>
        <n v="5087911"/>
        <n v="6162492"/>
        <n v="-5087911"/>
        <n v="-6162492"/>
        <n v="201304895"/>
        <n v="-201304895"/>
        <n v="187"/>
        <n v="4993931"/>
        <n v="15661"/>
        <n v="-15661"/>
        <n v="5860716"/>
        <n v="-5860716"/>
        <n v="23141"/>
        <n v="-23141"/>
        <n v="1034956"/>
        <n v="-1034956"/>
        <n v="46558521"/>
        <n v="-46558521"/>
        <n v="417"/>
        <n v="-417"/>
        <n v="14510"/>
        <n v="-14510"/>
        <n v="102645081"/>
        <n v="-102645081"/>
        <n v="1820244"/>
        <n v="-1820244"/>
        <n v="2320444"/>
        <n v="-2320444"/>
        <n v="4212289"/>
        <n v="-4212289"/>
        <n v="46075"/>
        <n v="-46075"/>
        <n v="45535"/>
        <n v="77"/>
        <n v="970551"/>
        <n v="-187"/>
        <n v="-2703"/>
        <n v="-4993931"/>
        <n v="-45535"/>
        <n v="-77"/>
        <n v="-970551"/>
        <n v="6083984"/>
        <n v="2703"/>
        <n v="-11046"/>
        <n v="-6083984"/>
        <n v="11046"/>
        <n v="3803234"/>
        <n v="42"/>
        <n v="-3803234"/>
        <n v="-42"/>
        <n v="10788"/>
        <n v="-10788"/>
        <n v="263"/>
        <n v="52102"/>
        <n v="-263"/>
        <n v="1155947076"/>
        <n v="-52102"/>
        <n v="4493290"/>
        <n v="-1155947076"/>
        <n v="2010"/>
        <n v="-4493290"/>
        <n v="3137555"/>
        <n v="267237"/>
        <n v="-2010"/>
        <n v="-3137555"/>
        <n v="-267237"/>
        <n v="2760327"/>
        <n v="1425134"/>
        <n v="-2760327"/>
        <n v="204211"/>
        <n v="2497"/>
        <n v="14760395"/>
        <n v="340163691"/>
        <n v="-1425134"/>
        <n v="2252346"/>
        <n v="-2252346"/>
        <n v="338804"/>
        <n v="-338804"/>
        <n v="153490"/>
        <n v="-153490"/>
        <n v="18848"/>
        <n v="-18848"/>
        <n v="572999245"/>
        <n v="-572999245"/>
        <n v="216855135"/>
        <n v="-216855135"/>
        <n v="515939206"/>
        <n v="-515939206"/>
        <n v="528784"/>
        <n v="-528784"/>
        <n v="600"/>
        <n v="-600"/>
        <n v="86"/>
        <n v="-86"/>
        <n v="994160"/>
        <n v="-994160"/>
        <n v="592735"/>
        <n v="-592735"/>
        <n v="182976"/>
        <n v="-182976"/>
        <n v="8698441"/>
        <n v="-8698441"/>
        <n v="-204211"/>
        <n v="-2497"/>
        <n v="-14760395"/>
        <n v="-340163691"/>
        <n v="1981"/>
        <n v="-1981"/>
        <n v="441061"/>
        <n v="-441061"/>
        <n v="15372"/>
        <n v="83"/>
        <n v="3286"/>
        <n v="-15372"/>
        <n v="28"/>
        <n v="2382159"/>
        <n v="-83"/>
        <n v="-3286"/>
        <n v="-28"/>
        <n v="-2382159"/>
        <n v="15827694"/>
        <n v="-15827694"/>
        <n v="591792"/>
        <n v="1219"/>
        <n v="-591792"/>
        <n v="-1219"/>
        <n v="373"/>
        <n v="1850849"/>
        <n v="-373"/>
        <n v="173568773"/>
        <n v="-1850849"/>
        <n v="-173568773"/>
        <n v="252208476"/>
        <n v="-252208476"/>
        <n v="1141012"/>
        <n v="-1141012"/>
        <n v="18175821"/>
        <n v="-18175821"/>
        <n v="189"/>
        <n v="-189"/>
        <n v="11188752"/>
        <n v="-11188752"/>
        <n v="-32458467"/>
        <n v="32458467"/>
        <n v="-301746502"/>
        <n v="301746502"/>
        <n v="4356736"/>
        <n v="-4356736"/>
        <n v="198323"/>
        <n v="-198323"/>
        <n v="2728096"/>
        <n v="-2728096"/>
        <n v="1705146"/>
        <n v="-1705146"/>
        <n v="2610"/>
        <n v="-2610"/>
        <n v="2775"/>
        <n v="248790"/>
        <n v="-2775"/>
        <n v="1034"/>
        <n v="24307578"/>
        <n v="-248790"/>
        <n v="400"/>
        <n v="-1034"/>
        <n v="-24307578"/>
        <n v="-400"/>
        <n v="3424"/>
        <n v="8653245"/>
        <n v="15492340"/>
        <n v="-3424"/>
        <n v="-8653245"/>
        <n v="-15492340"/>
        <n v="7188733"/>
        <n v="3320336"/>
        <n v="47399690"/>
        <n v="-7188733"/>
        <n v="-3320336"/>
        <n v="-47399690"/>
        <n v="614816"/>
        <n v="3380061"/>
        <n v="935"/>
        <n v="-614816"/>
        <n v="-3380061"/>
        <n v="-935"/>
        <n v="-3079109"/>
        <n v="3079109"/>
        <n v="-437187"/>
        <n v="437187"/>
        <n v="1018"/>
        <n v="-1018"/>
        <n v="130324069"/>
        <n v="-130324069"/>
        <n v="18514"/>
        <n v="-18514"/>
        <n v="888549"/>
        <n v="-888549"/>
        <n v="403980457"/>
        <n v="-403980457"/>
        <n v="212668065"/>
        <n v="-212668065"/>
        <n v="230620"/>
        <n v="-230620"/>
        <n v="21955"/>
        <n v="-21955"/>
        <n v="123364868"/>
        <n v="3283189"/>
        <n v="28997"/>
        <n v="-123364868"/>
        <n v="-3283189"/>
        <n v="-28997"/>
        <n v="260888"/>
        <n v="11388898"/>
        <n v="-260888"/>
        <n v="-11388898"/>
        <n v="29909770"/>
        <n v="46573"/>
        <n v="-5317"/>
        <n v="-29909770"/>
        <n v="574660"/>
        <n v="-46573"/>
        <n v="5317"/>
        <n v="-574660"/>
        <n v="1873"/>
        <n v="16560"/>
        <n v="-1873"/>
        <n v="-16560"/>
        <n v="753168"/>
        <n v="6179302"/>
        <n v="7381509"/>
        <n v="-753168"/>
        <n v="1695"/>
        <n v="-6179302"/>
        <n v="-7381509"/>
        <n v="39842748"/>
        <n v="-1695"/>
        <n v="-39842748"/>
        <n v="64249605"/>
        <n v="17524910"/>
        <n v="-17524910"/>
        <n v="1842449"/>
        <n v="-1842449"/>
        <n v="7127320"/>
        <n v="-7127320"/>
        <n v="2081608"/>
        <n v="-2081608"/>
        <n v="1"/>
        <n v="-1"/>
        <n v="9686680"/>
        <n v="-9686680"/>
        <n v="176"/>
        <n v="-176"/>
        <n v="1766626"/>
        <n v="-1766626"/>
        <n v="58162"/>
        <n v="-58162"/>
        <n v="5569"/>
        <n v="-5569"/>
        <n v="1389543"/>
        <n v="-1389543"/>
        <n v="-64249605"/>
        <n v="7162480"/>
        <n v="-7162480"/>
        <n v="291814"/>
        <n v="6863626"/>
        <n v="-291814"/>
        <n v="-6863626"/>
        <n v="-83326"/>
        <n v="472601348"/>
        <n v="1762355"/>
        <n v="83326"/>
        <n v="-472601348"/>
        <n v="-1762355"/>
        <n v="1301702"/>
        <n v="-1301702"/>
        <n v="4457616"/>
        <n v="1800"/>
        <n v="10463"/>
        <n v="33615333"/>
        <n v="-4457616"/>
        <n v="-1800"/>
        <n v="-10463"/>
        <n v="-33615333"/>
        <n v="721111"/>
        <n v="-721111"/>
        <n v="253489813"/>
        <n v="5710"/>
        <n v="9045899"/>
        <n v="31009553"/>
        <n v="-253489813"/>
        <n v="-5710"/>
        <n v="84454068"/>
        <n v="-84454068"/>
        <n v="24465"/>
        <n v="-24465"/>
        <n v="4869032"/>
        <n v="-4869032"/>
        <n v="1052711"/>
        <n v="-1052711"/>
        <n v="803669"/>
        <n v="-803669"/>
        <n v="191146"/>
        <n v="-191146"/>
        <n v="3012552"/>
        <n v="-3012552"/>
        <n v="1044854"/>
        <n v="-1044854"/>
        <n v="4051247"/>
        <n v="-4051247"/>
        <n v="640880"/>
        <n v="-640880"/>
        <n v="1172329"/>
        <n v="-1172329"/>
        <n v="3039"/>
        <n v="-3039"/>
        <n v="8130503299"/>
        <n v="-8130503299"/>
        <n v="224836"/>
        <n v="-224836"/>
        <n v="499"/>
        <n v="-499"/>
        <n v="3351"/>
        <n v="-3351"/>
        <n v="1180081"/>
        <n v="-1180081"/>
        <n v="28025453739"/>
        <n v="-28025453739"/>
        <n v="5515"/>
        <n v="-5515"/>
        <n v="6582"/>
        <n v="-6582"/>
        <n v="4884183"/>
        <n v="-4884183"/>
        <n v="261320"/>
        <n v="-261320"/>
        <n v="59041384"/>
        <n v="-59041384"/>
        <n v="-9045899"/>
        <n v="-31009553"/>
        <n v="2015"/>
        <n v="54659"/>
        <n v="-2015"/>
        <n v="-54659"/>
        <n v="950536"/>
        <n v="490568"/>
        <n v="-950536"/>
        <n v="-490568"/>
        <n v="24047"/>
        <n v="-195796"/>
        <n v="-24047"/>
        <n v="33407326"/>
        <n v="195796"/>
        <n v="5436630"/>
        <n v="-33407326"/>
        <n v="18236534"/>
        <n v="-5436630"/>
        <n v="-18236534"/>
        <n v="14064549"/>
        <n v="1120271786"/>
        <n v="10080633478"/>
        <n v="-14064549"/>
        <n v="-1120271786"/>
        <n v="-10080633478"/>
        <n v="15173770"/>
        <n v="4689148"/>
        <n v="1022368"/>
        <n v="-15173770"/>
        <n v="-4689148"/>
        <n v="-1022368"/>
        <n v="8738"/>
        <n v="-8738"/>
        <n v="-188351"/>
        <n v="188351"/>
        <n v="4833557"/>
        <n v="-4833557"/>
        <n v="54438"/>
        <n v="-54438"/>
        <n v="57652"/>
        <n v="-57652"/>
        <n v="83751"/>
        <n v="-83751"/>
        <n v="35250574"/>
        <n v="-35250574"/>
        <n v="27259891"/>
        <n v="-27259891"/>
        <n v="16727511"/>
        <n v="-16727511"/>
        <n v="-5387508"/>
        <n v="5387508"/>
        <n v="5018738"/>
        <n v="-5018738"/>
        <n v="-9923"/>
        <n v="27205582"/>
        <n v="21734"/>
        <n v="44935249"/>
        <n v="9923"/>
        <n v="-27205582"/>
        <n v="-21734"/>
        <n v="3016244083"/>
        <n v="25295"/>
        <n v="-44935249"/>
        <n v="492030"/>
        <n v="-3016244083"/>
        <n v="-25295"/>
        <n v="43427297199"/>
        <n v="-492030"/>
        <n v="176881722"/>
        <n v="6243783"/>
        <n v="-43427297199"/>
        <n v="614189"/>
        <n v="-614189"/>
        <n v="30770"/>
        <n v="-30770"/>
        <n v="5436"/>
        <n v="-5436"/>
        <n v="731912"/>
        <n v="-731912"/>
        <n v="-3608"/>
        <n v="3608"/>
        <n v="7435"/>
        <n v="-7435"/>
        <n v="25803"/>
        <n v="-25803"/>
        <n v="1275634"/>
        <n v="-1275634"/>
        <n v="-176881722"/>
        <n v="458411"/>
        <n v="-6243783"/>
        <n v="66500"/>
        <n v="33066092"/>
        <n v="6438739"/>
        <n v="-458411"/>
        <n v="-66500"/>
        <n v="-33066092"/>
        <n v="-6438739"/>
        <n v="9123427"/>
        <n v="-9123427"/>
        <n v="1643091"/>
        <n v="-1643091"/>
        <n v="8394955"/>
        <n v="33092295"/>
        <n v="-8394955"/>
        <n v="-33092295"/>
        <n v="695187"/>
        <n v="-695187"/>
        <n v="12"/>
        <n v="-12"/>
        <n v="62402126"/>
        <n v="-62402126"/>
        <n v="811543"/>
        <n v="-811543"/>
        <n v="4548596"/>
        <n v="-4548596"/>
        <n v="30482379"/>
        <n v="-30482379"/>
        <n v="32730665"/>
        <n v="-32730665"/>
        <n v="77639"/>
        <n v="-77639"/>
        <n v="20489"/>
        <n v="-20489"/>
        <n v="-73374542"/>
        <n v="73374542"/>
        <n v="15800331"/>
        <n v="479075"/>
        <n v="-15800331"/>
        <n v="-479075"/>
        <n v="88929"/>
        <n v="-88929"/>
        <n v="23049065"/>
        <n v="177167"/>
        <n v="-23049065"/>
        <n v="-177167"/>
        <n v="3289774"/>
        <n v="1458382"/>
        <n v="-374628"/>
        <n v="-3289774"/>
        <n v="-1458382"/>
        <n v="374628"/>
        <n v="12521452"/>
        <n v="-12521452"/>
        <n v="1405113"/>
        <n v="-1405113"/>
        <n v="486646266"/>
        <n v="-486646266"/>
        <n v="23306163"/>
        <n v="-23306163"/>
        <n v="216615"/>
        <n v="-216615"/>
        <n v="144"/>
        <n v="-144"/>
        <n v="126482663"/>
        <n v="-126482663"/>
        <n v="423165481"/>
        <n v="-423165481"/>
        <n v="60181"/>
        <n v="-60181"/>
        <n v="326516"/>
        <n v="64701412"/>
        <n v="56272448"/>
        <n v="-326516"/>
        <n v="-64701412"/>
        <n v="-56272448"/>
        <n v="66165"/>
        <n v="149999523"/>
        <n v="-66165"/>
        <n v="-149999523"/>
        <n v="231334028"/>
        <n v="57201141"/>
        <n v="-231334028"/>
        <n v="-57201141"/>
        <n v="61494"/>
        <n v="20179339"/>
        <n v="-61494"/>
        <n v="77822"/>
        <n v="-20179339"/>
        <n v="-77822"/>
        <n v="20129"/>
        <n v="-154"/>
        <n v="-20129"/>
        <n v="63"/>
        <n v="-63"/>
        <n v="-544015252"/>
        <n v="544015252"/>
        <n v="1742989139"/>
        <n v="-1742989139"/>
        <n v="42388388"/>
        <n v="-42388388"/>
        <n v="-4354436"/>
        <n v="4354436"/>
        <n v="2538"/>
        <n v="-2538"/>
        <n v="691081"/>
        <n v="-691081"/>
        <n v="-19906"/>
        <n v="19906"/>
        <n v="350958639"/>
        <n v="-350958639"/>
        <n v="1378717091"/>
        <n v="-1378717091"/>
        <n v="154"/>
        <n v="3027225"/>
        <n v="158651"/>
        <n v="189939173"/>
        <n v="-3027225"/>
        <n v="-158651"/>
        <n v="-189939173"/>
        <n v="1648067"/>
        <n v="-1648067"/>
        <n v="27120"/>
        <n v="-27120"/>
        <n v="24021"/>
        <n v="2293738"/>
        <n v="73818411"/>
        <n v="-24021"/>
        <n v="99800"/>
        <n v="2897012"/>
        <n v="290734777"/>
        <n v="-2293738"/>
        <n v="-73818411"/>
        <n v="-99800"/>
        <n v="-2897012"/>
        <n v="-290734777"/>
        <n v="817"/>
        <n v="-817"/>
        <n v="-1851444"/>
        <n v="1851444"/>
        <n v="1553818"/>
        <n v="-1553818"/>
        <n v="497579"/>
        <n v="-497579"/>
        <n v="48552"/>
        <n v="-48552"/>
        <n v="797138"/>
        <n v="-797138"/>
        <n v="21752"/>
        <n v="-21752"/>
        <n v="1727926"/>
        <n v="-1727926"/>
        <n v="1872766"/>
        <n v="-1872766"/>
        <n v="209090"/>
        <n v="-209090"/>
        <n v="22671"/>
        <n v="-22671"/>
        <n v="13585278"/>
        <n v="-13585278"/>
        <n v="2212872"/>
        <n v="-2212872"/>
        <n v="118167"/>
        <n v="-118167"/>
        <n v="8"/>
        <n v="-8"/>
        <n v="-278876"/>
        <n v="278876"/>
        <n v="92659396"/>
        <n v="-92659396"/>
        <n v="3781871"/>
        <n v="-3781871"/>
        <n v="335550"/>
        <n v="-335550"/>
        <n v="344885086"/>
        <n v="-344885086"/>
        <n v="30606"/>
        <n v="-30606"/>
        <n v="-767629"/>
        <n v="282290"/>
        <n v="767629"/>
        <n v="-282290"/>
        <n v="19295"/>
        <n v="-19295"/>
        <n v="29782"/>
        <n v="-29782"/>
        <n v="1503"/>
        <n v="434334"/>
        <n v="691960"/>
        <n v="-691960"/>
        <n v="16056322"/>
        <n v="-16056322"/>
        <n v="1515870"/>
        <n v="-1515870"/>
        <n v="33217"/>
        <n v="-33217"/>
        <n v="3124165"/>
        <n v="-3124165"/>
        <n v="7731347"/>
        <n v="-7731347"/>
        <n v="2589150"/>
        <n v="-2589150"/>
        <n v="-725720"/>
        <n v="725720"/>
        <n v="2220720"/>
        <n v="1043569256"/>
        <n v="-1503"/>
        <n v="-434334"/>
        <n v="-2220720"/>
        <n v="-1043569256"/>
        <n v="2098344"/>
        <n v="8752810"/>
        <n v="-2098344"/>
        <n v="-8752810"/>
        <n v="106806287"/>
        <n v="1337875"/>
        <n v="1008327"/>
        <n v="-106806287"/>
        <n v="5301805"/>
        <n v="-1337875"/>
        <n v="-1008327"/>
        <n v="-5301805"/>
        <n v="39785"/>
        <n v="-39785"/>
        <n v="429061"/>
        <n v="5031551"/>
        <n v="-429061"/>
        <n v="4126025"/>
        <n v="25684731"/>
        <n v="-5031551"/>
        <n v="-4126025"/>
        <n v="-2568473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47">
  <r>
    <x v="0"/>
    <x v="0"/>
  </r>
  <r>
    <x v="1"/>
    <x v="1"/>
  </r>
  <r>
    <x v="2"/>
    <x v="1"/>
  </r>
  <r>
    <x v="3"/>
    <x v="1"/>
  </r>
  <r>
    <x v="4"/>
    <x v="1"/>
  </r>
  <r>
    <x v="5"/>
    <x v="1"/>
  </r>
  <r>
    <x v="6"/>
    <x v="1"/>
  </r>
  <r>
    <x v="7"/>
    <x v="1"/>
  </r>
  <r>
    <x v="4"/>
    <x v="1"/>
  </r>
  <r>
    <x v="3"/>
    <x v="1"/>
  </r>
  <r>
    <x v="8"/>
    <x v="1"/>
  </r>
  <r>
    <x v="4"/>
    <x v="1"/>
  </r>
  <r>
    <x v="9"/>
    <x v="2"/>
  </r>
  <r>
    <x v="5"/>
    <x v="1"/>
  </r>
  <r>
    <x v="10"/>
    <x v="1"/>
  </r>
  <r>
    <x v="11"/>
    <x v="1"/>
  </r>
  <r>
    <x v="12"/>
    <x v="1"/>
  </r>
  <r>
    <x v="13"/>
    <x v="1"/>
  </r>
  <r>
    <x v="14"/>
    <x v="1"/>
  </r>
  <r>
    <x v="5"/>
    <x v="1"/>
  </r>
  <r>
    <x v="15"/>
    <x v="1"/>
  </r>
  <r>
    <x v="11"/>
    <x v="1"/>
  </r>
  <r>
    <x v="10"/>
    <x v="1"/>
  </r>
  <r>
    <x v="15"/>
    <x v="1"/>
  </r>
  <r>
    <x v="12"/>
    <x v="1"/>
  </r>
  <r>
    <x v="16"/>
    <x v="1"/>
  </r>
  <r>
    <x v="17"/>
    <x v="1"/>
  </r>
  <r>
    <x v="18"/>
    <x v="1"/>
  </r>
  <r>
    <x v="9"/>
    <x v="3"/>
  </r>
  <r>
    <x v="17"/>
    <x v="4"/>
  </r>
  <r>
    <x v="5"/>
    <x v="1"/>
  </r>
  <r>
    <x v="11"/>
    <x v="1"/>
  </r>
  <r>
    <x v="5"/>
    <x v="1"/>
  </r>
  <r>
    <x v="4"/>
    <x v="1"/>
  </r>
  <r>
    <x v="19"/>
    <x v="1"/>
  </r>
  <r>
    <x v="11"/>
    <x v="1"/>
  </r>
  <r>
    <x v="20"/>
    <x v="1"/>
  </r>
  <r>
    <x v="21"/>
    <x v="1"/>
  </r>
  <r>
    <x v="0"/>
    <x v="5"/>
  </r>
  <r>
    <x v="9"/>
    <x v="1"/>
  </r>
  <r>
    <x v="13"/>
    <x v="1"/>
  </r>
  <r>
    <x v="22"/>
    <x v="1"/>
  </r>
  <r>
    <x v="11"/>
    <x v="1"/>
  </r>
  <r>
    <x v="23"/>
    <x v="6"/>
  </r>
  <r>
    <x v="10"/>
    <x v="7"/>
  </r>
  <r>
    <x v="24"/>
    <x v="1"/>
  </r>
  <r>
    <x v="3"/>
    <x v="1"/>
  </r>
  <r>
    <x v="1"/>
    <x v="1"/>
  </r>
  <r>
    <x v="3"/>
    <x v="1"/>
  </r>
  <r>
    <x v="0"/>
    <x v="1"/>
  </r>
  <r>
    <x v="5"/>
    <x v="1"/>
  </r>
  <r>
    <x v="25"/>
    <x v="1"/>
  </r>
  <r>
    <x v="15"/>
    <x v="1"/>
  </r>
  <r>
    <x v="26"/>
    <x v="1"/>
  </r>
  <r>
    <x v="3"/>
    <x v="1"/>
  </r>
  <r>
    <x v="5"/>
    <x v="1"/>
  </r>
  <r>
    <x v="27"/>
    <x v="1"/>
  </r>
  <r>
    <x v="10"/>
    <x v="1"/>
  </r>
  <r>
    <x v="2"/>
    <x v="8"/>
  </r>
  <r>
    <x v="28"/>
    <x v="1"/>
  </r>
  <r>
    <x v="5"/>
    <x v="1"/>
  </r>
  <r>
    <x v="10"/>
    <x v="1"/>
  </r>
  <r>
    <x v="4"/>
    <x v="1"/>
  </r>
  <r>
    <x v="26"/>
    <x v="1"/>
  </r>
  <r>
    <x v="29"/>
    <x v="1"/>
  </r>
  <r>
    <x v="30"/>
    <x v="1"/>
  </r>
  <r>
    <x v="31"/>
    <x v="1"/>
  </r>
  <r>
    <x v="1"/>
    <x v="1"/>
  </r>
  <r>
    <x v="32"/>
    <x v="1"/>
  </r>
  <r>
    <x v="33"/>
    <x v="9"/>
  </r>
  <r>
    <x v="8"/>
    <x v="1"/>
  </r>
  <r>
    <x v="34"/>
    <x v="1"/>
  </r>
  <r>
    <x v="35"/>
    <x v="1"/>
  </r>
  <r>
    <x v="5"/>
    <x v="1"/>
  </r>
  <r>
    <x v="13"/>
    <x v="1"/>
  </r>
  <r>
    <x v="5"/>
    <x v="1"/>
  </r>
  <r>
    <x v="7"/>
    <x v="1"/>
  </r>
  <r>
    <x v="17"/>
    <x v="10"/>
  </r>
  <r>
    <x v="11"/>
    <x v="1"/>
  </r>
  <r>
    <x v="17"/>
    <x v="1"/>
  </r>
  <r>
    <x v="14"/>
    <x v="1"/>
  </r>
  <r>
    <x v="10"/>
    <x v="1"/>
  </r>
  <r>
    <x v="2"/>
    <x v="1"/>
  </r>
  <r>
    <x v="29"/>
    <x v="1"/>
  </r>
  <r>
    <x v="21"/>
    <x v="1"/>
  </r>
  <r>
    <x v="36"/>
    <x v="1"/>
  </r>
  <r>
    <x v="37"/>
    <x v="11"/>
  </r>
  <r>
    <x v="0"/>
    <x v="1"/>
  </r>
  <r>
    <x v="1"/>
    <x v="1"/>
  </r>
  <r>
    <x v="5"/>
    <x v="1"/>
  </r>
  <r>
    <x v="5"/>
    <x v="1"/>
  </r>
  <r>
    <x v="7"/>
    <x v="1"/>
  </r>
  <r>
    <x v="20"/>
    <x v="12"/>
  </r>
  <r>
    <x v="3"/>
    <x v="1"/>
  </r>
  <r>
    <x v="11"/>
    <x v="1"/>
  </r>
  <r>
    <x v="23"/>
    <x v="1"/>
  </r>
  <r>
    <x v="10"/>
    <x v="1"/>
  </r>
  <r>
    <x v="14"/>
    <x v="13"/>
  </r>
  <r>
    <x v="6"/>
    <x v="1"/>
  </r>
  <r>
    <x v="15"/>
    <x v="1"/>
  </r>
  <r>
    <x v="8"/>
    <x v="1"/>
  </r>
  <r>
    <x v="38"/>
    <x v="14"/>
  </r>
  <r>
    <x v="12"/>
    <x v="15"/>
  </r>
  <r>
    <x v="28"/>
    <x v="1"/>
  </r>
  <r>
    <x v="39"/>
    <x v="1"/>
  </r>
  <r>
    <x v="17"/>
    <x v="1"/>
  </r>
  <r>
    <x v="9"/>
    <x v="1"/>
  </r>
  <r>
    <x v="15"/>
    <x v="1"/>
  </r>
  <r>
    <x v="7"/>
    <x v="1"/>
  </r>
  <r>
    <x v="33"/>
    <x v="1"/>
  </r>
  <r>
    <x v="17"/>
    <x v="1"/>
  </r>
  <r>
    <x v="3"/>
    <x v="1"/>
  </r>
  <r>
    <x v="8"/>
    <x v="1"/>
  </r>
  <r>
    <x v="6"/>
    <x v="16"/>
  </r>
  <r>
    <x v="10"/>
    <x v="1"/>
  </r>
  <r>
    <x v="13"/>
    <x v="1"/>
  </r>
  <r>
    <x v="4"/>
    <x v="1"/>
  </r>
  <r>
    <x v="5"/>
    <x v="17"/>
  </r>
  <r>
    <x v="40"/>
    <x v="18"/>
  </r>
  <r>
    <x v="9"/>
    <x v="1"/>
  </r>
  <r>
    <x v="15"/>
    <x v="1"/>
  </r>
  <r>
    <x v="4"/>
    <x v="19"/>
  </r>
  <r>
    <x v="41"/>
    <x v="1"/>
  </r>
  <r>
    <x v="34"/>
    <x v="1"/>
  </r>
  <r>
    <x v="42"/>
    <x v="1"/>
  </r>
  <r>
    <x v="12"/>
    <x v="1"/>
  </r>
  <r>
    <x v="20"/>
    <x v="1"/>
  </r>
  <r>
    <x v="0"/>
    <x v="1"/>
  </r>
  <r>
    <x v="4"/>
    <x v="1"/>
  </r>
  <r>
    <x v="37"/>
    <x v="1"/>
  </r>
  <r>
    <x v="23"/>
    <x v="1"/>
  </r>
  <r>
    <x v="12"/>
    <x v="20"/>
  </r>
  <r>
    <x v="2"/>
    <x v="1"/>
  </r>
  <r>
    <x v="5"/>
    <x v="1"/>
  </r>
  <r>
    <x v="43"/>
    <x v="21"/>
  </r>
  <r>
    <x v="16"/>
    <x v="1"/>
  </r>
  <r>
    <x v="5"/>
    <x v="1"/>
  </r>
  <r>
    <x v="0"/>
    <x v="1"/>
  </r>
  <r>
    <x v="4"/>
    <x v="1"/>
  </r>
  <r>
    <x v="22"/>
    <x v="1"/>
  </r>
  <r>
    <x v="27"/>
    <x v="1"/>
  </r>
  <r>
    <x v="15"/>
    <x v="1"/>
  </r>
  <r>
    <x v="35"/>
    <x v="22"/>
  </r>
  <r>
    <x v="4"/>
    <x v="1"/>
  </r>
  <r>
    <x v="17"/>
    <x v="1"/>
  </r>
  <r>
    <x v="38"/>
    <x v="1"/>
  </r>
  <r>
    <x v="4"/>
    <x v="23"/>
  </r>
  <r>
    <x v="17"/>
    <x v="1"/>
  </r>
  <r>
    <x v="27"/>
    <x v="1"/>
  </r>
  <r>
    <x v="12"/>
    <x v="1"/>
  </r>
  <r>
    <x v="18"/>
    <x v="1"/>
  </r>
  <r>
    <x v="19"/>
    <x v="1"/>
  </r>
  <r>
    <x v="7"/>
    <x v="1"/>
  </r>
  <r>
    <x v="25"/>
    <x v="1"/>
  </r>
  <r>
    <x v="28"/>
    <x v="1"/>
  </r>
  <r>
    <x v="4"/>
    <x v="1"/>
  </r>
  <r>
    <x v="0"/>
    <x v="24"/>
  </r>
  <r>
    <x v="13"/>
    <x v="1"/>
  </r>
  <r>
    <x v="23"/>
    <x v="1"/>
  </r>
  <r>
    <x v="5"/>
    <x v="1"/>
  </r>
  <r>
    <x v="20"/>
    <x v="1"/>
  </r>
  <r>
    <x v="32"/>
    <x v="1"/>
  </r>
  <r>
    <x v="4"/>
    <x v="1"/>
  </r>
  <r>
    <x v="35"/>
    <x v="1"/>
  </r>
  <r>
    <x v="26"/>
    <x v="1"/>
  </r>
  <r>
    <x v="9"/>
    <x v="1"/>
  </r>
  <r>
    <x v="44"/>
    <x v="25"/>
  </r>
  <r>
    <x v="21"/>
    <x v="1"/>
  </r>
  <r>
    <x v="34"/>
    <x v="1"/>
  </r>
  <r>
    <x v="5"/>
    <x v="1"/>
  </r>
  <r>
    <x v="15"/>
    <x v="1"/>
  </r>
  <r>
    <x v="13"/>
    <x v="26"/>
  </r>
  <r>
    <x v="11"/>
    <x v="1"/>
  </r>
  <r>
    <x v="0"/>
    <x v="1"/>
  </r>
  <r>
    <x v="29"/>
    <x v="1"/>
  </r>
  <r>
    <x v="0"/>
    <x v="1"/>
  </r>
  <r>
    <x v="17"/>
    <x v="1"/>
  </r>
  <r>
    <x v="45"/>
    <x v="27"/>
  </r>
  <r>
    <x v="5"/>
    <x v="1"/>
  </r>
  <r>
    <x v="11"/>
    <x v="1"/>
  </r>
  <r>
    <x v="13"/>
    <x v="1"/>
  </r>
  <r>
    <x v="5"/>
    <x v="1"/>
  </r>
  <r>
    <x v="11"/>
    <x v="1"/>
  </r>
  <r>
    <x v="41"/>
    <x v="28"/>
  </r>
  <r>
    <x v="10"/>
    <x v="1"/>
  </r>
  <r>
    <x v="4"/>
    <x v="1"/>
  </r>
  <r>
    <x v="39"/>
    <x v="1"/>
  </r>
  <r>
    <x v="11"/>
    <x v="1"/>
  </r>
  <r>
    <x v="46"/>
    <x v="1"/>
  </r>
  <r>
    <x v="9"/>
    <x v="1"/>
  </r>
  <r>
    <x v="28"/>
    <x v="1"/>
  </r>
  <r>
    <x v="5"/>
    <x v="29"/>
  </r>
  <r>
    <x v="3"/>
    <x v="1"/>
  </r>
  <r>
    <x v="5"/>
    <x v="1"/>
  </r>
  <r>
    <x v="22"/>
    <x v="1"/>
  </r>
  <r>
    <x v="23"/>
    <x v="1"/>
  </r>
  <r>
    <x v="46"/>
    <x v="1"/>
  </r>
  <r>
    <x v="10"/>
    <x v="1"/>
  </r>
  <r>
    <x v="15"/>
    <x v="1"/>
  </r>
  <r>
    <x v="35"/>
    <x v="1"/>
  </r>
  <r>
    <x v="12"/>
    <x v="1"/>
  </r>
  <r>
    <x v="1"/>
    <x v="1"/>
  </r>
  <r>
    <x v="3"/>
    <x v="1"/>
  </r>
  <r>
    <x v="5"/>
    <x v="1"/>
  </r>
  <r>
    <x v="7"/>
    <x v="1"/>
  </r>
  <r>
    <x v="3"/>
    <x v="1"/>
  </r>
  <r>
    <x v="28"/>
    <x v="1"/>
  </r>
  <r>
    <x v="27"/>
    <x v="30"/>
  </r>
  <r>
    <x v="14"/>
    <x v="1"/>
  </r>
  <r>
    <x v="14"/>
    <x v="1"/>
  </r>
  <r>
    <x v="8"/>
    <x v="1"/>
  </r>
  <r>
    <x v="12"/>
    <x v="31"/>
  </r>
  <r>
    <x v="42"/>
    <x v="1"/>
  </r>
  <r>
    <x v="3"/>
    <x v="1"/>
  </r>
  <r>
    <x v="47"/>
    <x v="1"/>
  </r>
  <r>
    <x v="22"/>
    <x v="32"/>
  </r>
  <r>
    <x v="12"/>
    <x v="1"/>
  </r>
  <r>
    <x v="10"/>
    <x v="1"/>
  </r>
  <r>
    <x v="10"/>
    <x v="1"/>
  </r>
  <r>
    <x v="11"/>
    <x v="1"/>
  </r>
  <r>
    <x v="11"/>
    <x v="1"/>
  </r>
  <r>
    <x v="22"/>
    <x v="1"/>
  </r>
  <r>
    <x v="5"/>
    <x v="1"/>
  </r>
  <r>
    <x v="14"/>
    <x v="33"/>
  </r>
  <r>
    <x v="25"/>
    <x v="34"/>
  </r>
  <r>
    <x v="4"/>
    <x v="1"/>
  </r>
  <r>
    <x v="2"/>
    <x v="1"/>
  </r>
  <r>
    <x v="8"/>
    <x v="1"/>
  </r>
  <r>
    <x v="3"/>
    <x v="1"/>
  </r>
  <r>
    <x v="3"/>
    <x v="1"/>
  </r>
  <r>
    <x v="25"/>
    <x v="1"/>
  </r>
  <r>
    <x v="1"/>
    <x v="1"/>
  </r>
  <r>
    <x v="6"/>
    <x v="35"/>
  </r>
  <r>
    <x v="26"/>
    <x v="1"/>
  </r>
  <r>
    <x v="22"/>
    <x v="36"/>
  </r>
  <r>
    <x v="26"/>
    <x v="1"/>
  </r>
  <r>
    <x v="10"/>
    <x v="1"/>
  </r>
  <r>
    <x v="14"/>
    <x v="1"/>
  </r>
  <r>
    <x v="10"/>
    <x v="1"/>
  </r>
  <r>
    <x v="26"/>
    <x v="1"/>
  </r>
  <r>
    <x v="29"/>
    <x v="1"/>
  </r>
  <r>
    <x v="25"/>
    <x v="37"/>
  </r>
  <r>
    <x v="29"/>
    <x v="1"/>
  </r>
  <r>
    <x v="2"/>
    <x v="1"/>
  </r>
  <r>
    <x v="6"/>
    <x v="1"/>
  </r>
  <r>
    <x v="8"/>
    <x v="1"/>
  </r>
  <r>
    <x v="29"/>
    <x v="1"/>
  </r>
  <r>
    <x v="14"/>
    <x v="1"/>
  </r>
  <r>
    <x v="6"/>
    <x v="1"/>
  </r>
  <r>
    <x v="48"/>
    <x v="1"/>
  </r>
  <r>
    <x v="49"/>
    <x v="1"/>
  </r>
  <r>
    <x v="15"/>
    <x v="1"/>
  </r>
  <r>
    <x v="4"/>
    <x v="1"/>
  </r>
  <r>
    <x v="10"/>
    <x v="1"/>
  </r>
  <r>
    <x v="8"/>
    <x v="1"/>
  </r>
  <r>
    <x v="9"/>
    <x v="1"/>
  </r>
  <r>
    <x v="0"/>
    <x v="1"/>
  </r>
  <r>
    <x v="9"/>
    <x v="1"/>
  </r>
  <r>
    <x v="0"/>
    <x v="1"/>
  </r>
  <r>
    <x v="40"/>
    <x v="1"/>
  </r>
  <r>
    <x v="43"/>
    <x v="1"/>
  </r>
  <r>
    <x v="5"/>
    <x v="1"/>
  </r>
  <r>
    <x v="24"/>
    <x v="1"/>
  </r>
  <r>
    <x v="50"/>
    <x v="1"/>
  </r>
  <r>
    <x v="51"/>
    <x v="1"/>
  </r>
  <r>
    <x v="40"/>
    <x v="1"/>
  </r>
  <r>
    <x v="43"/>
    <x v="1"/>
  </r>
  <r>
    <x v="12"/>
    <x v="1"/>
  </r>
  <r>
    <x v="4"/>
    <x v="1"/>
  </r>
  <r>
    <x v="22"/>
    <x v="1"/>
  </r>
  <r>
    <x v="25"/>
    <x v="1"/>
  </r>
  <r>
    <x v="15"/>
    <x v="1"/>
  </r>
  <r>
    <x v="4"/>
    <x v="1"/>
  </r>
  <r>
    <x v="5"/>
    <x v="1"/>
  </r>
  <r>
    <x v="1"/>
    <x v="1"/>
  </r>
  <r>
    <x v="40"/>
    <x v="1"/>
  </r>
  <r>
    <x v="43"/>
    <x v="1"/>
  </r>
  <r>
    <x v="15"/>
    <x v="1"/>
  </r>
  <r>
    <x v="4"/>
    <x v="1"/>
  </r>
  <r>
    <x v="17"/>
    <x v="1"/>
  </r>
  <r>
    <x v="20"/>
    <x v="1"/>
  </r>
  <r>
    <x v="5"/>
    <x v="1"/>
  </r>
  <r>
    <x v="1"/>
    <x v="1"/>
  </r>
  <r>
    <x v="17"/>
    <x v="1"/>
  </r>
  <r>
    <x v="23"/>
    <x v="1"/>
  </r>
  <r>
    <x v="11"/>
    <x v="1"/>
  </r>
  <r>
    <x v="3"/>
    <x v="1"/>
  </r>
  <r>
    <x v="5"/>
    <x v="1"/>
  </r>
  <r>
    <x v="7"/>
    <x v="1"/>
  </r>
  <r>
    <x v="12"/>
    <x v="1"/>
  </r>
  <r>
    <x v="4"/>
    <x v="1"/>
  </r>
  <r>
    <x v="5"/>
    <x v="1"/>
  </r>
  <r>
    <x v="1"/>
    <x v="1"/>
  </r>
  <r>
    <x v="11"/>
    <x v="1"/>
  </r>
  <r>
    <x v="3"/>
    <x v="1"/>
  </r>
  <r>
    <x v="13"/>
    <x v="38"/>
  </r>
  <r>
    <x v="5"/>
    <x v="39"/>
  </r>
  <r>
    <x v="5"/>
    <x v="1"/>
  </r>
  <r>
    <x v="7"/>
    <x v="1"/>
  </r>
  <r>
    <x v="13"/>
    <x v="1"/>
  </r>
  <r>
    <x v="5"/>
    <x v="1"/>
  </r>
  <r>
    <x v="5"/>
    <x v="1"/>
  </r>
  <r>
    <x v="7"/>
    <x v="1"/>
  </r>
  <r>
    <x v="17"/>
    <x v="1"/>
  </r>
  <r>
    <x v="20"/>
    <x v="1"/>
  </r>
  <r>
    <x v="26"/>
    <x v="1"/>
  </r>
  <r>
    <x v="29"/>
    <x v="1"/>
  </r>
  <r>
    <x v="5"/>
    <x v="1"/>
  </r>
  <r>
    <x v="1"/>
    <x v="1"/>
  </r>
  <r>
    <x v="17"/>
    <x v="1"/>
  </r>
  <r>
    <x v="23"/>
    <x v="1"/>
  </r>
  <r>
    <x v="11"/>
    <x v="1"/>
  </r>
  <r>
    <x v="3"/>
    <x v="1"/>
  </r>
  <r>
    <x v="16"/>
    <x v="1"/>
  </r>
  <r>
    <x v="19"/>
    <x v="1"/>
  </r>
  <r>
    <x v="10"/>
    <x v="1"/>
  </r>
  <r>
    <x v="8"/>
    <x v="1"/>
  </r>
  <r>
    <x v="13"/>
    <x v="1"/>
  </r>
  <r>
    <x v="5"/>
    <x v="1"/>
  </r>
  <r>
    <x v="28"/>
    <x v="40"/>
  </r>
  <r>
    <x v="34"/>
    <x v="41"/>
  </r>
  <r>
    <x v="35"/>
    <x v="1"/>
  </r>
  <r>
    <x v="0"/>
    <x v="1"/>
  </r>
  <r>
    <x v="5"/>
    <x v="1"/>
  </r>
  <r>
    <x v="7"/>
    <x v="1"/>
  </r>
  <r>
    <x v="17"/>
    <x v="1"/>
  </r>
  <r>
    <x v="20"/>
    <x v="1"/>
  </r>
  <r>
    <x v="17"/>
    <x v="1"/>
  </r>
  <r>
    <x v="23"/>
    <x v="1"/>
  </r>
  <r>
    <x v="12"/>
    <x v="1"/>
  </r>
  <r>
    <x v="4"/>
    <x v="1"/>
  </r>
  <r>
    <x v="10"/>
    <x v="1"/>
  </r>
  <r>
    <x v="8"/>
    <x v="1"/>
  </r>
  <r>
    <x v="16"/>
    <x v="1"/>
  </r>
  <r>
    <x v="19"/>
    <x v="1"/>
  </r>
  <r>
    <x v="5"/>
    <x v="1"/>
  </r>
  <r>
    <x v="1"/>
    <x v="1"/>
  </r>
  <r>
    <x v="11"/>
    <x v="1"/>
  </r>
  <r>
    <x v="3"/>
    <x v="1"/>
  </r>
  <r>
    <x v="30"/>
    <x v="1"/>
  </r>
  <r>
    <x v="21"/>
    <x v="1"/>
  </r>
  <r>
    <x v="15"/>
    <x v="1"/>
  </r>
  <r>
    <x v="4"/>
    <x v="1"/>
  </r>
  <r>
    <x v="10"/>
    <x v="1"/>
  </r>
  <r>
    <x v="2"/>
    <x v="1"/>
  </r>
  <r>
    <x v="35"/>
    <x v="1"/>
  </r>
  <r>
    <x v="0"/>
    <x v="1"/>
  </r>
  <r>
    <x v="12"/>
    <x v="1"/>
  </r>
  <r>
    <x v="4"/>
    <x v="1"/>
  </r>
  <r>
    <x v="5"/>
    <x v="1"/>
  </r>
  <r>
    <x v="7"/>
    <x v="1"/>
  </r>
  <r>
    <x v="52"/>
    <x v="1"/>
  </r>
  <r>
    <x v="26"/>
    <x v="1"/>
  </r>
  <r>
    <x v="14"/>
    <x v="1"/>
  </r>
  <r>
    <x v="6"/>
    <x v="1"/>
  </r>
  <r>
    <x v="12"/>
    <x v="1"/>
  </r>
  <r>
    <x v="4"/>
    <x v="1"/>
  </r>
  <r>
    <x v="5"/>
    <x v="42"/>
  </r>
  <r>
    <x v="24"/>
    <x v="43"/>
  </r>
  <r>
    <x v="5"/>
    <x v="1"/>
  </r>
  <r>
    <x v="1"/>
    <x v="1"/>
  </r>
  <r>
    <x v="11"/>
    <x v="1"/>
  </r>
  <r>
    <x v="3"/>
    <x v="1"/>
  </r>
  <r>
    <x v="46"/>
    <x v="1"/>
  </r>
  <r>
    <x v="47"/>
    <x v="1"/>
  </r>
  <r>
    <x v="28"/>
    <x v="1"/>
  </r>
  <r>
    <x v="34"/>
    <x v="1"/>
  </r>
  <r>
    <x v="28"/>
    <x v="1"/>
  </r>
  <r>
    <x v="34"/>
    <x v="1"/>
  </r>
  <r>
    <x v="12"/>
    <x v="1"/>
  </r>
  <r>
    <x v="4"/>
    <x v="1"/>
  </r>
  <r>
    <x v="10"/>
    <x v="44"/>
  </r>
  <r>
    <x v="8"/>
    <x v="45"/>
  </r>
  <r>
    <x v="26"/>
    <x v="1"/>
  </r>
  <r>
    <x v="29"/>
    <x v="1"/>
  </r>
  <r>
    <x v="40"/>
    <x v="1"/>
  </r>
  <r>
    <x v="43"/>
    <x v="1"/>
  </r>
  <r>
    <x v="5"/>
    <x v="1"/>
  </r>
  <r>
    <x v="7"/>
    <x v="1"/>
  </r>
  <r>
    <x v="16"/>
    <x v="1"/>
  </r>
  <r>
    <x v="19"/>
    <x v="1"/>
  </r>
  <r>
    <x v="15"/>
    <x v="1"/>
  </r>
  <r>
    <x v="4"/>
    <x v="1"/>
  </r>
  <r>
    <x v="35"/>
    <x v="1"/>
  </r>
  <r>
    <x v="0"/>
    <x v="1"/>
  </r>
  <r>
    <x v="26"/>
    <x v="1"/>
  </r>
  <r>
    <x v="29"/>
    <x v="1"/>
  </r>
  <r>
    <x v="41"/>
    <x v="1"/>
  </r>
  <r>
    <x v="27"/>
    <x v="1"/>
  </r>
  <r>
    <x v="40"/>
    <x v="1"/>
  </r>
  <r>
    <x v="43"/>
    <x v="1"/>
  </r>
  <r>
    <x v="40"/>
    <x v="46"/>
  </r>
  <r>
    <x v="43"/>
    <x v="47"/>
  </r>
  <r>
    <x v="5"/>
    <x v="1"/>
  </r>
  <r>
    <x v="7"/>
    <x v="1"/>
  </r>
  <r>
    <x v="17"/>
    <x v="1"/>
  </r>
  <r>
    <x v="23"/>
    <x v="1"/>
  </r>
  <r>
    <x v="5"/>
    <x v="1"/>
  </r>
  <r>
    <x v="24"/>
    <x v="1"/>
  </r>
  <r>
    <x v="28"/>
    <x v="48"/>
  </r>
  <r>
    <x v="34"/>
    <x v="49"/>
  </r>
  <r>
    <x v="15"/>
    <x v="1"/>
  </r>
  <r>
    <x v="4"/>
    <x v="1"/>
  </r>
  <r>
    <x v="9"/>
    <x v="1"/>
  </r>
  <r>
    <x v="0"/>
    <x v="1"/>
  </r>
  <r>
    <x v="13"/>
    <x v="1"/>
  </r>
  <r>
    <x v="5"/>
    <x v="1"/>
  </r>
  <r>
    <x v="5"/>
    <x v="1"/>
  </r>
  <r>
    <x v="7"/>
    <x v="1"/>
  </r>
  <r>
    <x v="11"/>
    <x v="1"/>
  </r>
  <r>
    <x v="3"/>
    <x v="1"/>
  </r>
  <r>
    <x v="12"/>
    <x v="1"/>
  </r>
  <r>
    <x v="4"/>
    <x v="1"/>
  </r>
  <r>
    <x v="5"/>
    <x v="1"/>
  </r>
  <r>
    <x v="1"/>
    <x v="1"/>
  </r>
  <r>
    <x v="44"/>
    <x v="1"/>
  </r>
  <r>
    <x v="45"/>
    <x v="1"/>
  </r>
  <r>
    <x v="11"/>
    <x v="1"/>
  </r>
  <r>
    <x v="3"/>
    <x v="1"/>
  </r>
  <r>
    <x v="13"/>
    <x v="1"/>
  </r>
  <r>
    <x v="5"/>
    <x v="1"/>
  </r>
  <r>
    <x v="33"/>
    <x v="1"/>
  </r>
  <r>
    <x v="37"/>
    <x v="1"/>
  </r>
  <r>
    <x v="40"/>
    <x v="50"/>
  </r>
  <r>
    <x v="53"/>
    <x v="51"/>
  </r>
  <r>
    <x v="50"/>
    <x v="1"/>
  </r>
  <r>
    <x v="51"/>
    <x v="1"/>
  </r>
  <r>
    <x v="10"/>
    <x v="1"/>
  </r>
  <r>
    <x v="2"/>
    <x v="1"/>
  </r>
  <r>
    <x v="30"/>
    <x v="1"/>
  </r>
  <r>
    <x v="26"/>
    <x v="1"/>
  </r>
  <r>
    <x v="16"/>
    <x v="1"/>
  </r>
  <r>
    <x v="0"/>
    <x v="1"/>
  </r>
  <r>
    <x v="34"/>
    <x v="1"/>
  </r>
  <r>
    <x v="10"/>
    <x v="1"/>
  </r>
  <r>
    <x v="7"/>
    <x v="1"/>
  </r>
  <r>
    <x v="25"/>
    <x v="1"/>
  </r>
  <r>
    <x v="47"/>
    <x v="1"/>
  </r>
  <r>
    <x v="2"/>
    <x v="1"/>
  </r>
  <r>
    <x v="4"/>
    <x v="1"/>
  </r>
  <r>
    <x v="0"/>
    <x v="1"/>
  </r>
  <r>
    <x v="12"/>
    <x v="1"/>
  </r>
  <r>
    <x v="4"/>
    <x v="1"/>
  </r>
  <r>
    <x v="34"/>
    <x v="1"/>
  </r>
  <r>
    <x v="26"/>
    <x v="1"/>
  </r>
  <r>
    <x v="48"/>
    <x v="1"/>
  </r>
  <r>
    <x v="6"/>
    <x v="1"/>
  </r>
  <r>
    <x v="26"/>
    <x v="1"/>
  </r>
  <r>
    <x v="33"/>
    <x v="1"/>
  </r>
  <r>
    <x v="6"/>
    <x v="1"/>
  </r>
  <r>
    <x v="4"/>
    <x v="52"/>
  </r>
  <r>
    <x v="5"/>
    <x v="53"/>
  </r>
  <r>
    <x v="29"/>
    <x v="1"/>
  </r>
  <r>
    <x v="19"/>
    <x v="1"/>
  </r>
  <r>
    <x v="2"/>
    <x v="1"/>
  </r>
  <r>
    <x v="28"/>
    <x v="1"/>
  </r>
  <r>
    <x v="12"/>
    <x v="1"/>
  </r>
  <r>
    <x v="12"/>
    <x v="1"/>
  </r>
  <r>
    <x v="4"/>
    <x v="1"/>
  </r>
  <r>
    <x v="40"/>
    <x v="1"/>
  </r>
  <r>
    <x v="29"/>
    <x v="1"/>
  </r>
  <r>
    <x v="49"/>
    <x v="1"/>
  </r>
  <r>
    <x v="5"/>
    <x v="1"/>
  </r>
  <r>
    <x v="29"/>
    <x v="1"/>
  </r>
  <r>
    <x v="37"/>
    <x v="1"/>
  </r>
  <r>
    <x v="40"/>
    <x v="1"/>
  </r>
  <r>
    <x v="1"/>
    <x v="54"/>
  </r>
  <r>
    <x v="10"/>
    <x v="55"/>
  </r>
  <r>
    <x v="34"/>
    <x v="1"/>
  </r>
  <r>
    <x v="4"/>
    <x v="1"/>
  </r>
  <r>
    <x v="40"/>
    <x v="1"/>
  </r>
  <r>
    <x v="4"/>
    <x v="1"/>
  </r>
  <r>
    <x v="13"/>
    <x v="1"/>
  </r>
  <r>
    <x v="12"/>
    <x v="1"/>
  </r>
  <r>
    <x v="54"/>
    <x v="1"/>
  </r>
  <r>
    <x v="31"/>
    <x v="56"/>
  </r>
  <r>
    <x v="5"/>
    <x v="1"/>
  </r>
  <r>
    <x v="43"/>
    <x v="1"/>
  </r>
  <r>
    <x v="15"/>
    <x v="1"/>
  </r>
  <r>
    <x v="1"/>
    <x v="1"/>
  </r>
  <r>
    <x v="43"/>
    <x v="1"/>
  </r>
  <r>
    <x v="11"/>
    <x v="1"/>
  </r>
  <r>
    <x v="8"/>
    <x v="57"/>
  </r>
  <r>
    <x v="5"/>
    <x v="1"/>
  </r>
  <r>
    <x v="26"/>
    <x v="1"/>
  </r>
  <r>
    <x v="15"/>
    <x v="1"/>
  </r>
  <r>
    <x v="43"/>
    <x v="1"/>
  </r>
  <r>
    <x v="5"/>
    <x v="1"/>
  </r>
  <r>
    <x v="40"/>
    <x v="58"/>
  </r>
  <r>
    <x v="4"/>
    <x v="1"/>
  </r>
  <r>
    <x v="46"/>
    <x v="1"/>
  </r>
  <r>
    <x v="11"/>
    <x v="1"/>
  </r>
  <r>
    <x v="15"/>
    <x v="1"/>
  </r>
  <r>
    <x v="36"/>
    <x v="59"/>
  </r>
  <r>
    <x v="17"/>
    <x v="1"/>
  </r>
  <r>
    <x v="12"/>
    <x v="1"/>
  </r>
  <r>
    <x v="1"/>
    <x v="1"/>
  </r>
  <r>
    <x v="44"/>
    <x v="1"/>
  </r>
  <r>
    <x v="4"/>
    <x v="1"/>
  </r>
  <r>
    <x v="14"/>
    <x v="1"/>
  </r>
  <r>
    <x v="3"/>
    <x v="1"/>
  </r>
  <r>
    <x v="12"/>
    <x v="1"/>
  </r>
  <r>
    <x v="7"/>
    <x v="1"/>
  </r>
  <r>
    <x v="15"/>
    <x v="1"/>
  </r>
  <r>
    <x v="5"/>
    <x v="1"/>
  </r>
  <r>
    <x v="5"/>
    <x v="1"/>
  </r>
  <r>
    <x v="29"/>
    <x v="1"/>
  </r>
  <r>
    <x v="11"/>
    <x v="1"/>
  </r>
  <r>
    <x v="4"/>
    <x v="1"/>
  </r>
  <r>
    <x v="17"/>
    <x v="1"/>
  </r>
  <r>
    <x v="43"/>
    <x v="60"/>
  </r>
  <r>
    <x v="47"/>
    <x v="1"/>
  </r>
  <r>
    <x v="4"/>
    <x v="1"/>
  </r>
  <r>
    <x v="20"/>
    <x v="1"/>
  </r>
  <r>
    <x v="4"/>
    <x v="1"/>
  </r>
  <r>
    <x v="45"/>
    <x v="1"/>
  </r>
  <r>
    <x v="46"/>
    <x v="1"/>
  </r>
  <r>
    <x v="6"/>
    <x v="1"/>
  </r>
  <r>
    <x v="4"/>
    <x v="1"/>
  </r>
  <r>
    <x v="4"/>
    <x v="1"/>
  </r>
  <r>
    <x v="1"/>
    <x v="1"/>
  </r>
  <r>
    <x v="5"/>
    <x v="1"/>
  </r>
  <r>
    <x v="1"/>
    <x v="1"/>
  </r>
  <r>
    <x v="10"/>
    <x v="1"/>
  </r>
  <r>
    <x v="11"/>
    <x v="1"/>
  </r>
  <r>
    <x v="3"/>
    <x v="1"/>
  </r>
  <r>
    <x v="23"/>
    <x v="1"/>
  </r>
  <r>
    <x v="15"/>
    <x v="1"/>
  </r>
  <r>
    <x v="26"/>
    <x v="1"/>
  </r>
  <r>
    <x v="10"/>
    <x v="61"/>
  </r>
  <r>
    <x v="14"/>
    <x v="62"/>
  </r>
  <r>
    <x v="47"/>
    <x v="1"/>
  </r>
  <r>
    <x v="7"/>
    <x v="1"/>
  </r>
  <r>
    <x v="8"/>
    <x v="1"/>
  </r>
  <r>
    <x v="12"/>
    <x v="63"/>
  </r>
  <r>
    <x v="3"/>
    <x v="1"/>
  </r>
  <r>
    <x v="4"/>
    <x v="1"/>
  </r>
  <r>
    <x v="29"/>
    <x v="1"/>
  </r>
  <r>
    <x v="41"/>
    <x v="1"/>
  </r>
  <r>
    <x v="10"/>
    <x v="1"/>
  </r>
  <r>
    <x v="35"/>
    <x v="1"/>
  </r>
  <r>
    <x v="2"/>
    <x v="64"/>
  </r>
  <r>
    <x v="6"/>
    <x v="65"/>
  </r>
  <r>
    <x v="4"/>
    <x v="66"/>
  </r>
  <r>
    <x v="10"/>
    <x v="1"/>
  </r>
  <r>
    <x v="16"/>
    <x v="1"/>
  </r>
  <r>
    <x v="33"/>
    <x v="1"/>
  </r>
  <r>
    <x v="22"/>
    <x v="1"/>
  </r>
  <r>
    <x v="27"/>
    <x v="1"/>
  </r>
  <r>
    <x v="8"/>
    <x v="1"/>
  </r>
  <r>
    <x v="0"/>
    <x v="1"/>
  </r>
  <r>
    <x v="10"/>
    <x v="1"/>
  </r>
  <r>
    <x v="38"/>
    <x v="1"/>
  </r>
  <r>
    <x v="40"/>
    <x v="1"/>
  </r>
  <r>
    <x v="11"/>
    <x v="1"/>
  </r>
  <r>
    <x v="2"/>
    <x v="1"/>
  </r>
  <r>
    <x v="17"/>
    <x v="1"/>
  </r>
  <r>
    <x v="10"/>
    <x v="1"/>
  </r>
  <r>
    <x v="19"/>
    <x v="1"/>
  </r>
  <r>
    <x v="11"/>
    <x v="1"/>
  </r>
  <r>
    <x v="37"/>
    <x v="1"/>
  </r>
  <r>
    <x v="15"/>
    <x v="1"/>
  </r>
  <r>
    <x v="5"/>
    <x v="1"/>
  </r>
  <r>
    <x v="25"/>
    <x v="1"/>
  </r>
  <r>
    <x v="28"/>
    <x v="1"/>
  </r>
  <r>
    <x v="9"/>
    <x v="1"/>
  </r>
  <r>
    <x v="2"/>
    <x v="1"/>
  </r>
  <r>
    <x v="26"/>
    <x v="1"/>
  </r>
  <r>
    <x v="5"/>
    <x v="1"/>
  </r>
  <r>
    <x v="40"/>
    <x v="1"/>
  </r>
  <r>
    <x v="26"/>
    <x v="67"/>
  </r>
  <r>
    <x v="13"/>
    <x v="1"/>
  </r>
  <r>
    <x v="43"/>
    <x v="1"/>
  </r>
  <r>
    <x v="3"/>
    <x v="1"/>
  </r>
  <r>
    <x v="22"/>
    <x v="1"/>
  </r>
  <r>
    <x v="20"/>
    <x v="1"/>
  </r>
  <r>
    <x v="8"/>
    <x v="1"/>
  </r>
  <r>
    <x v="27"/>
    <x v="1"/>
  </r>
  <r>
    <x v="5"/>
    <x v="1"/>
  </r>
  <r>
    <x v="3"/>
    <x v="1"/>
  </r>
  <r>
    <x v="4"/>
    <x v="1"/>
  </r>
  <r>
    <x v="1"/>
    <x v="1"/>
  </r>
  <r>
    <x v="34"/>
    <x v="1"/>
  </r>
  <r>
    <x v="11"/>
    <x v="1"/>
  </r>
  <r>
    <x v="0"/>
    <x v="1"/>
  </r>
  <r>
    <x v="29"/>
    <x v="1"/>
  </r>
  <r>
    <x v="15"/>
    <x v="1"/>
  </r>
  <r>
    <x v="5"/>
    <x v="1"/>
  </r>
  <r>
    <x v="43"/>
    <x v="1"/>
  </r>
  <r>
    <x v="29"/>
    <x v="68"/>
  </r>
  <r>
    <x v="26"/>
    <x v="1"/>
  </r>
  <r>
    <x v="5"/>
    <x v="1"/>
  </r>
  <r>
    <x v="10"/>
    <x v="1"/>
  </r>
  <r>
    <x v="25"/>
    <x v="1"/>
  </r>
  <r>
    <x v="5"/>
    <x v="69"/>
  </r>
  <r>
    <x v="32"/>
    <x v="1"/>
  </r>
  <r>
    <x v="7"/>
    <x v="1"/>
  </r>
  <r>
    <x v="28"/>
    <x v="1"/>
  </r>
  <r>
    <x v="16"/>
    <x v="1"/>
  </r>
  <r>
    <x v="3"/>
    <x v="1"/>
  </r>
  <r>
    <x v="13"/>
    <x v="70"/>
  </r>
  <r>
    <x v="4"/>
    <x v="1"/>
  </r>
  <r>
    <x v="41"/>
    <x v="1"/>
  </r>
  <r>
    <x v="12"/>
    <x v="1"/>
  </r>
  <r>
    <x v="7"/>
    <x v="1"/>
  </r>
  <r>
    <x v="35"/>
    <x v="1"/>
  </r>
  <r>
    <x v="29"/>
    <x v="1"/>
  </r>
  <r>
    <x v="5"/>
    <x v="1"/>
  </r>
  <r>
    <x v="8"/>
    <x v="1"/>
  </r>
  <r>
    <x v="7"/>
    <x v="71"/>
  </r>
  <r>
    <x v="26"/>
    <x v="1"/>
  </r>
  <r>
    <x v="5"/>
    <x v="1"/>
  </r>
  <r>
    <x v="34"/>
    <x v="1"/>
  </r>
  <r>
    <x v="19"/>
    <x v="1"/>
  </r>
  <r>
    <x v="11"/>
    <x v="1"/>
  </r>
  <r>
    <x v="28"/>
    <x v="1"/>
  </r>
  <r>
    <x v="17"/>
    <x v="1"/>
  </r>
  <r>
    <x v="5"/>
    <x v="72"/>
  </r>
  <r>
    <x v="16"/>
    <x v="1"/>
  </r>
  <r>
    <x v="27"/>
    <x v="1"/>
  </r>
  <r>
    <x v="4"/>
    <x v="1"/>
  </r>
  <r>
    <x v="0"/>
    <x v="1"/>
  </r>
  <r>
    <x v="48"/>
    <x v="1"/>
  </r>
  <r>
    <x v="10"/>
    <x v="1"/>
  </r>
  <r>
    <x v="1"/>
    <x v="1"/>
  </r>
  <r>
    <x v="13"/>
    <x v="73"/>
  </r>
  <r>
    <x v="29"/>
    <x v="1"/>
  </r>
  <r>
    <x v="12"/>
    <x v="1"/>
  </r>
  <r>
    <x v="11"/>
    <x v="1"/>
  </r>
  <r>
    <x v="1"/>
    <x v="1"/>
  </r>
  <r>
    <x v="3"/>
    <x v="1"/>
  </r>
  <r>
    <x v="34"/>
    <x v="1"/>
  </r>
  <r>
    <x v="23"/>
    <x v="1"/>
  </r>
  <r>
    <x v="40"/>
    <x v="1"/>
  </r>
  <r>
    <x v="5"/>
    <x v="1"/>
  </r>
  <r>
    <x v="28"/>
    <x v="1"/>
  </r>
  <r>
    <x v="40"/>
    <x v="74"/>
  </r>
  <r>
    <x v="19"/>
    <x v="1"/>
  </r>
  <r>
    <x v="28"/>
    <x v="1"/>
  </r>
  <r>
    <x v="49"/>
    <x v="1"/>
  </r>
  <r>
    <x v="2"/>
    <x v="1"/>
  </r>
  <r>
    <x v="5"/>
    <x v="75"/>
  </r>
  <r>
    <x v="16"/>
    <x v="1"/>
  </r>
  <r>
    <x v="5"/>
    <x v="76"/>
  </r>
  <r>
    <x v="5"/>
    <x v="77"/>
  </r>
  <r>
    <x v="21"/>
    <x v="1"/>
  </r>
  <r>
    <x v="5"/>
    <x v="1"/>
  </r>
  <r>
    <x v="1"/>
    <x v="1"/>
  </r>
  <r>
    <x v="46"/>
    <x v="1"/>
  </r>
  <r>
    <x v="47"/>
    <x v="1"/>
  </r>
  <r>
    <x v="15"/>
    <x v="1"/>
  </r>
  <r>
    <x v="4"/>
    <x v="1"/>
  </r>
  <r>
    <x v="5"/>
    <x v="1"/>
  </r>
  <r>
    <x v="1"/>
    <x v="1"/>
  </r>
  <r>
    <x v="13"/>
    <x v="1"/>
  </r>
  <r>
    <x v="5"/>
    <x v="1"/>
  </r>
  <r>
    <x v="5"/>
    <x v="1"/>
  </r>
  <r>
    <x v="7"/>
    <x v="1"/>
  </r>
  <r>
    <x v="15"/>
    <x v="78"/>
  </r>
  <r>
    <x v="4"/>
    <x v="79"/>
  </r>
  <r>
    <x v="28"/>
    <x v="1"/>
  </r>
  <r>
    <x v="34"/>
    <x v="1"/>
  </r>
  <r>
    <x v="14"/>
    <x v="1"/>
  </r>
  <r>
    <x v="6"/>
    <x v="1"/>
  </r>
  <r>
    <x v="10"/>
    <x v="1"/>
  </r>
  <r>
    <x v="8"/>
    <x v="1"/>
  </r>
  <r>
    <x v="5"/>
    <x v="1"/>
  </r>
  <r>
    <x v="7"/>
    <x v="1"/>
  </r>
  <r>
    <x v="21"/>
    <x v="80"/>
  </r>
  <r>
    <x v="55"/>
    <x v="81"/>
  </r>
  <r>
    <x v="40"/>
    <x v="82"/>
  </r>
  <r>
    <x v="43"/>
    <x v="83"/>
  </r>
  <r>
    <x v="5"/>
    <x v="1"/>
  </r>
  <r>
    <x v="7"/>
    <x v="1"/>
  </r>
  <r>
    <x v="5"/>
    <x v="1"/>
  </r>
  <r>
    <x v="24"/>
    <x v="1"/>
  </r>
  <r>
    <x v="27"/>
    <x v="1"/>
  </r>
  <r>
    <x v="32"/>
    <x v="1"/>
  </r>
  <r>
    <x v="5"/>
    <x v="1"/>
  </r>
  <r>
    <x v="7"/>
    <x v="1"/>
  </r>
  <r>
    <x v="40"/>
    <x v="84"/>
  </r>
  <r>
    <x v="43"/>
    <x v="85"/>
  </r>
  <r>
    <x v="10"/>
    <x v="86"/>
  </r>
  <r>
    <x v="2"/>
    <x v="87"/>
  </r>
  <r>
    <x v="28"/>
    <x v="1"/>
  </r>
  <r>
    <x v="34"/>
    <x v="1"/>
  </r>
  <r>
    <x v="5"/>
    <x v="1"/>
  </r>
  <r>
    <x v="24"/>
    <x v="1"/>
  </r>
  <r>
    <x v="12"/>
    <x v="1"/>
  </r>
  <r>
    <x v="4"/>
    <x v="1"/>
  </r>
  <r>
    <x v="9"/>
    <x v="88"/>
  </r>
  <r>
    <x v="0"/>
    <x v="89"/>
  </r>
  <r>
    <x v="10"/>
    <x v="90"/>
  </r>
  <r>
    <x v="2"/>
    <x v="91"/>
  </r>
  <r>
    <x v="27"/>
    <x v="1"/>
  </r>
  <r>
    <x v="32"/>
    <x v="1"/>
  </r>
  <r>
    <x v="5"/>
    <x v="1"/>
  </r>
  <r>
    <x v="1"/>
    <x v="1"/>
  </r>
  <r>
    <x v="15"/>
    <x v="1"/>
  </r>
  <r>
    <x v="4"/>
    <x v="1"/>
  </r>
  <r>
    <x v="10"/>
    <x v="1"/>
  </r>
  <r>
    <x v="8"/>
    <x v="1"/>
  </r>
  <r>
    <x v="11"/>
    <x v="1"/>
  </r>
  <r>
    <x v="3"/>
    <x v="1"/>
  </r>
  <r>
    <x v="10"/>
    <x v="1"/>
  </r>
  <r>
    <x v="2"/>
    <x v="1"/>
  </r>
  <r>
    <x v="14"/>
    <x v="1"/>
  </r>
  <r>
    <x v="6"/>
    <x v="1"/>
  </r>
  <r>
    <x v="15"/>
    <x v="1"/>
  </r>
  <r>
    <x v="4"/>
    <x v="1"/>
  </r>
  <r>
    <x v="5"/>
    <x v="1"/>
  </r>
  <r>
    <x v="1"/>
    <x v="1"/>
  </r>
  <r>
    <x v="17"/>
    <x v="1"/>
  </r>
  <r>
    <x v="20"/>
    <x v="1"/>
  </r>
  <r>
    <x v="12"/>
    <x v="1"/>
  </r>
  <r>
    <x v="4"/>
    <x v="1"/>
  </r>
  <r>
    <x v="38"/>
    <x v="1"/>
  </r>
  <r>
    <x v="5"/>
    <x v="1"/>
  </r>
  <r>
    <x v="18"/>
    <x v="1"/>
  </r>
  <r>
    <x v="21"/>
    <x v="1"/>
  </r>
  <r>
    <x v="15"/>
    <x v="1"/>
  </r>
  <r>
    <x v="4"/>
    <x v="1"/>
  </r>
  <r>
    <x v="14"/>
    <x v="1"/>
  </r>
  <r>
    <x v="6"/>
    <x v="1"/>
  </r>
  <r>
    <x v="17"/>
    <x v="1"/>
  </r>
  <r>
    <x v="23"/>
    <x v="1"/>
  </r>
  <r>
    <x v="40"/>
    <x v="1"/>
  </r>
  <r>
    <x v="43"/>
    <x v="1"/>
  </r>
  <r>
    <x v="5"/>
    <x v="1"/>
  </r>
  <r>
    <x v="7"/>
    <x v="1"/>
  </r>
  <r>
    <x v="15"/>
    <x v="1"/>
  </r>
  <r>
    <x v="4"/>
    <x v="1"/>
  </r>
  <r>
    <x v="17"/>
    <x v="1"/>
  </r>
  <r>
    <x v="20"/>
    <x v="1"/>
  </r>
  <r>
    <x v="15"/>
    <x v="1"/>
  </r>
  <r>
    <x v="4"/>
    <x v="1"/>
  </r>
  <r>
    <x v="10"/>
    <x v="1"/>
  </r>
  <r>
    <x v="8"/>
    <x v="1"/>
  </r>
  <r>
    <x v="11"/>
    <x v="1"/>
  </r>
  <r>
    <x v="3"/>
    <x v="1"/>
  </r>
  <r>
    <x v="5"/>
    <x v="1"/>
  </r>
  <r>
    <x v="1"/>
    <x v="1"/>
  </r>
  <r>
    <x v="17"/>
    <x v="1"/>
  </r>
  <r>
    <x v="23"/>
    <x v="1"/>
  </r>
  <r>
    <x v="11"/>
    <x v="1"/>
  </r>
  <r>
    <x v="3"/>
    <x v="1"/>
  </r>
  <r>
    <x v="11"/>
    <x v="1"/>
  </r>
  <r>
    <x v="3"/>
    <x v="1"/>
  </r>
  <r>
    <x v="13"/>
    <x v="1"/>
  </r>
  <r>
    <x v="5"/>
    <x v="1"/>
  </r>
  <r>
    <x v="40"/>
    <x v="92"/>
  </r>
  <r>
    <x v="43"/>
    <x v="93"/>
  </r>
  <r>
    <x v="10"/>
    <x v="94"/>
  </r>
  <r>
    <x v="8"/>
    <x v="95"/>
  </r>
  <r>
    <x v="10"/>
    <x v="1"/>
  </r>
  <r>
    <x v="8"/>
    <x v="1"/>
  </r>
  <r>
    <x v="46"/>
    <x v="1"/>
  </r>
  <r>
    <x v="47"/>
    <x v="1"/>
  </r>
  <r>
    <x v="40"/>
    <x v="96"/>
  </r>
  <r>
    <x v="53"/>
    <x v="97"/>
  </r>
  <r>
    <x v="15"/>
    <x v="1"/>
  </r>
  <r>
    <x v="4"/>
    <x v="1"/>
  </r>
  <r>
    <x v="10"/>
    <x v="1"/>
  </r>
  <r>
    <x v="2"/>
    <x v="1"/>
  </r>
  <r>
    <x v="35"/>
    <x v="1"/>
  </r>
  <r>
    <x v="0"/>
    <x v="1"/>
  </r>
  <r>
    <x v="14"/>
    <x v="1"/>
  </r>
  <r>
    <x v="6"/>
    <x v="1"/>
  </r>
  <r>
    <x v="5"/>
    <x v="1"/>
  </r>
  <r>
    <x v="7"/>
    <x v="1"/>
  </r>
  <r>
    <x v="10"/>
    <x v="1"/>
  </r>
  <r>
    <x v="2"/>
    <x v="1"/>
  </r>
  <r>
    <x v="9"/>
    <x v="1"/>
  </r>
  <r>
    <x v="0"/>
    <x v="1"/>
  </r>
  <r>
    <x v="14"/>
    <x v="1"/>
  </r>
  <r>
    <x v="6"/>
    <x v="1"/>
  </r>
  <r>
    <x v="14"/>
    <x v="1"/>
  </r>
  <r>
    <x v="6"/>
    <x v="1"/>
  </r>
  <r>
    <x v="5"/>
    <x v="1"/>
  </r>
  <r>
    <x v="7"/>
    <x v="1"/>
  </r>
  <r>
    <x v="10"/>
    <x v="98"/>
  </r>
  <r>
    <x v="2"/>
    <x v="99"/>
  </r>
  <r>
    <x v="11"/>
    <x v="100"/>
  </r>
  <r>
    <x v="3"/>
    <x v="101"/>
  </r>
  <r>
    <x v="46"/>
    <x v="1"/>
  </r>
  <r>
    <x v="47"/>
    <x v="1"/>
  </r>
  <r>
    <x v="27"/>
    <x v="1"/>
  </r>
  <r>
    <x v="32"/>
    <x v="1"/>
  </r>
  <r>
    <x v="35"/>
    <x v="1"/>
  </r>
  <r>
    <x v="0"/>
    <x v="1"/>
  </r>
  <r>
    <x v="40"/>
    <x v="102"/>
  </r>
  <r>
    <x v="43"/>
    <x v="103"/>
  </r>
  <r>
    <x v="5"/>
    <x v="1"/>
  </r>
  <r>
    <x v="7"/>
    <x v="1"/>
  </r>
  <r>
    <x v="12"/>
    <x v="104"/>
  </r>
  <r>
    <x v="4"/>
    <x v="105"/>
  </r>
  <r>
    <x v="40"/>
    <x v="106"/>
  </r>
  <r>
    <x v="43"/>
    <x v="107"/>
  </r>
  <r>
    <x v="13"/>
    <x v="108"/>
  </r>
  <r>
    <x v="5"/>
    <x v="109"/>
  </r>
  <r>
    <x v="27"/>
    <x v="1"/>
  </r>
  <r>
    <x v="32"/>
    <x v="1"/>
  </r>
  <r>
    <x v="22"/>
    <x v="110"/>
  </r>
  <r>
    <x v="25"/>
    <x v="111"/>
  </r>
  <r>
    <x v="38"/>
    <x v="1"/>
  </r>
  <r>
    <x v="5"/>
    <x v="1"/>
  </r>
  <r>
    <x v="40"/>
    <x v="1"/>
  </r>
  <r>
    <x v="43"/>
    <x v="1"/>
  </r>
  <r>
    <x v="10"/>
    <x v="112"/>
  </r>
  <r>
    <x v="8"/>
    <x v="113"/>
  </r>
  <r>
    <x v="11"/>
    <x v="1"/>
  </r>
  <r>
    <x v="3"/>
    <x v="1"/>
  </r>
  <r>
    <x v="17"/>
    <x v="1"/>
  </r>
  <r>
    <x v="20"/>
    <x v="1"/>
  </r>
  <r>
    <x v="27"/>
    <x v="1"/>
  </r>
  <r>
    <x v="32"/>
    <x v="1"/>
  </r>
  <r>
    <x v="31"/>
    <x v="1"/>
  </r>
  <r>
    <x v="36"/>
    <x v="1"/>
  </r>
  <r>
    <x v="30"/>
    <x v="1"/>
  </r>
  <r>
    <x v="21"/>
    <x v="1"/>
  </r>
  <r>
    <x v="33"/>
    <x v="114"/>
  </r>
  <r>
    <x v="37"/>
    <x v="115"/>
  </r>
  <r>
    <x v="5"/>
    <x v="1"/>
  </r>
  <r>
    <x v="1"/>
    <x v="1"/>
  </r>
  <r>
    <x v="46"/>
    <x v="1"/>
  </r>
  <r>
    <x v="47"/>
    <x v="1"/>
  </r>
  <r>
    <x v="46"/>
    <x v="116"/>
  </r>
  <r>
    <x v="47"/>
    <x v="117"/>
  </r>
  <r>
    <x v="28"/>
    <x v="1"/>
  </r>
  <r>
    <x v="34"/>
    <x v="1"/>
  </r>
  <r>
    <x v="15"/>
    <x v="1"/>
  </r>
  <r>
    <x v="4"/>
    <x v="1"/>
  </r>
  <r>
    <x v="9"/>
    <x v="1"/>
  </r>
  <r>
    <x v="0"/>
    <x v="1"/>
  </r>
  <r>
    <x v="13"/>
    <x v="1"/>
  </r>
  <r>
    <x v="5"/>
    <x v="1"/>
  </r>
  <r>
    <x v="26"/>
    <x v="1"/>
  </r>
  <r>
    <x v="29"/>
    <x v="1"/>
  </r>
  <r>
    <x v="10"/>
    <x v="1"/>
  </r>
  <r>
    <x v="8"/>
    <x v="1"/>
  </r>
  <r>
    <x v="16"/>
    <x v="1"/>
  </r>
  <r>
    <x v="19"/>
    <x v="1"/>
  </r>
  <r>
    <x v="11"/>
    <x v="1"/>
  </r>
  <r>
    <x v="3"/>
    <x v="1"/>
  </r>
  <r>
    <x v="5"/>
    <x v="1"/>
  </r>
  <r>
    <x v="1"/>
    <x v="1"/>
  </r>
  <r>
    <x v="14"/>
    <x v="1"/>
  </r>
  <r>
    <x v="6"/>
    <x v="1"/>
  </r>
  <r>
    <x v="15"/>
    <x v="1"/>
  </r>
  <r>
    <x v="4"/>
    <x v="1"/>
  </r>
  <r>
    <x v="46"/>
    <x v="1"/>
  </r>
  <r>
    <x v="47"/>
    <x v="1"/>
  </r>
  <r>
    <x v="14"/>
    <x v="1"/>
  </r>
  <r>
    <x v="6"/>
    <x v="1"/>
  </r>
  <r>
    <x v="17"/>
    <x v="1"/>
  </r>
  <r>
    <x v="20"/>
    <x v="1"/>
  </r>
  <r>
    <x v="28"/>
    <x v="1"/>
  </r>
  <r>
    <x v="34"/>
    <x v="1"/>
  </r>
  <r>
    <x v="5"/>
    <x v="1"/>
  </r>
  <r>
    <x v="7"/>
    <x v="1"/>
  </r>
  <r>
    <x v="4"/>
    <x v="1"/>
  </r>
  <r>
    <x v="3"/>
    <x v="1"/>
  </r>
  <r>
    <x v="11"/>
    <x v="1"/>
  </r>
  <r>
    <x v="40"/>
    <x v="1"/>
  </r>
  <r>
    <x v="46"/>
    <x v="1"/>
  </r>
  <r>
    <x v="12"/>
    <x v="1"/>
  </r>
  <r>
    <x v="43"/>
    <x v="1"/>
  </r>
  <r>
    <x v="7"/>
    <x v="1"/>
  </r>
  <r>
    <x v="5"/>
    <x v="1"/>
  </r>
  <r>
    <x v="34"/>
    <x v="1"/>
  </r>
  <r>
    <x v="43"/>
    <x v="118"/>
  </r>
  <r>
    <x v="11"/>
    <x v="1"/>
  </r>
  <r>
    <x v="27"/>
    <x v="1"/>
  </r>
  <r>
    <x v="34"/>
    <x v="1"/>
  </r>
  <r>
    <x v="28"/>
    <x v="1"/>
  </r>
  <r>
    <x v="5"/>
    <x v="1"/>
  </r>
  <r>
    <x v="5"/>
    <x v="1"/>
  </r>
  <r>
    <x v="28"/>
    <x v="1"/>
  </r>
  <r>
    <x v="28"/>
    <x v="1"/>
  </r>
  <r>
    <x v="19"/>
    <x v="1"/>
  </r>
  <r>
    <x v="1"/>
    <x v="119"/>
  </r>
  <r>
    <x v="24"/>
    <x v="120"/>
  </r>
  <r>
    <x v="3"/>
    <x v="1"/>
  </r>
  <r>
    <x v="43"/>
    <x v="1"/>
  </r>
  <r>
    <x v="47"/>
    <x v="1"/>
  </r>
  <r>
    <x v="4"/>
    <x v="1"/>
  </r>
  <r>
    <x v="5"/>
    <x v="1"/>
  </r>
  <r>
    <x v="1"/>
    <x v="1"/>
  </r>
  <r>
    <x v="3"/>
    <x v="1"/>
  </r>
  <r>
    <x v="32"/>
    <x v="1"/>
  </r>
  <r>
    <x v="34"/>
    <x v="1"/>
  </r>
  <r>
    <x v="7"/>
    <x v="1"/>
  </r>
  <r>
    <x v="12"/>
    <x v="121"/>
  </r>
  <r>
    <x v="7"/>
    <x v="1"/>
  </r>
  <r>
    <x v="5"/>
    <x v="1"/>
  </r>
  <r>
    <x v="17"/>
    <x v="1"/>
  </r>
  <r>
    <x v="40"/>
    <x v="122"/>
  </r>
  <r>
    <x v="34"/>
    <x v="1"/>
  </r>
  <r>
    <x v="31"/>
    <x v="1"/>
  </r>
  <r>
    <x v="34"/>
    <x v="1"/>
  </r>
  <r>
    <x v="10"/>
    <x v="1"/>
  </r>
  <r>
    <x v="16"/>
    <x v="1"/>
  </r>
  <r>
    <x v="10"/>
    <x v="1"/>
  </r>
  <r>
    <x v="7"/>
    <x v="1"/>
  </r>
  <r>
    <x v="17"/>
    <x v="1"/>
  </r>
  <r>
    <x v="10"/>
    <x v="123"/>
  </r>
  <r>
    <x v="4"/>
    <x v="124"/>
  </r>
  <r>
    <x v="5"/>
    <x v="1"/>
  </r>
  <r>
    <x v="1"/>
    <x v="1"/>
  </r>
  <r>
    <x v="23"/>
    <x v="1"/>
  </r>
  <r>
    <x v="11"/>
    <x v="1"/>
  </r>
  <r>
    <x v="43"/>
    <x v="125"/>
  </r>
  <r>
    <x v="12"/>
    <x v="1"/>
  </r>
  <r>
    <x v="36"/>
    <x v="1"/>
  </r>
  <r>
    <x v="40"/>
    <x v="1"/>
  </r>
  <r>
    <x v="14"/>
    <x v="126"/>
  </r>
  <r>
    <x v="26"/>
    <x v="127"/>
  </r>
  <r>
    <x v="16"/>
    <x v="1"/>
  </r>
  <r>
    <x v="8"/>
    <x v="1"/>
  </r>
  <r>
    <x v="19"/>
    <x v="1"/>
  </r>
  <r>
    <x v="2"/>
    <x v="1"/>
  </r>
  <r>
    <x v="5"/>
    <x v="1"/>
  </r>
  <r>
    <x v="15"/>
    <x v="1"/>
  </r>
  <r>
    <x v="13"/>
    <x v="128"/>
  </r>
  <r>
    <x v="23"/>
    <x v="1"/>
  </r>
  <r>
    <x v="28"/>
    <x v="1"/>
  </r>
  <r>
    <x v="2"/>
    <x v="129"/>
  </r>
  <r>
    <x v="1"/>
    <x v="1"/>
  </r>
  <r>
    <x v="3"/>
    <x v="1"/>
  </r>
  <r>
    <x v="4"/>
    <x v="1"/>
  </r>
  <r>
    <x v="22"/>
    <x v="130"/>
  </r>
  <r>
    <x v="9"/>
    <x v="1"/>
  </r>
  <r>
    <x v="43"/>
    <x v="1"/>
  </r>
  <r>
    <x v="6"/>
    <x v="131"/>
  </r>
  <r>
    <x v="29"/>
    <x v="132"/>
  </r>
  <r>
    <x v="26"/>
    <x v="1"/>
  </r>
  <r>
    <x v="19"/>
    <x v="1"/>
  </r>
  <r>
    <x v="7"/>
    <x v="1"/>
  </r>
  <r>
    <x v="4"/>
    <x v="1"/>
  </r>
  <r>
    <x v="5"/>
    <x v="133"/>
  </r>
  <r>
    <x v="11"/>
    <x v="1"/>
  </r>
  <r>
    <x v="28"/>
    <x v="1"/>
  </r>
  <r>
    <x v="34"/>
    <x v="1"/>
  </r>
  <r>
    <x v="11"/>
    <x v="1"/>
  </r>
  <r>
    <x v="25"/>
    <x v="134"/>
  </r>
  <r>
    <x v="0"/>
    <x v="1"/>
  </r>
  <r>
    <x v="29"/>
    <x v="1"/>
  </r>
  <r>
    <x v="16"/>
    <x v="1"/>
  </r>
  <r>
    <x v="17"/>
    <x v="1"/>
  </r>
  <r>
    <x v="5"/>
    <x v="1"/>
  </r>
  <r>
    <x v="9"/>
    <x v="1"/>
  </r>
  <r>
    <x v="40"/>
    <x v="1"/>
  </r>
  <r>
    <x v="28"/>
    <x v="1"/>
  </r>
  <r>
    <x v="3"/>
    <x v="1"/>
  </r>
  <r>
    <x v="34"/>
    <x v="1"/>
  </r>
  <r>
    <x v="56"/>
    <x v="1"/>
  </r>
  <r>
    <x v="40"/>
    <x v="1"/>
  </r>
  <r>
    <x v="27"/>
    <x v="1"/>
  </r>
  <r>
    <x v="26"/>
    <x v="1"/>
  </r>
  <r>
    <x v="50"/>
    <x v="1"/>
  </r>
  <r>
    <x v="3"/>
    <x v="1"/>
  </r>
  <r>
    <x v="15"/>
    <x v="1"/>
  </r>
  <r>
    <x v="40"/>
    <x v="1"/>
  </r>
  <r>
    <x v="19"/>
    <x v="1"/>
  </r>
  <r>
    <x v="20"/>
    <x v="1"/>
  </r>
  <r>
    <x v="7"/>
    <x v="1"/>
  </r>
  <r>
    <x v="0"/>
    <x v="1"/>
  </r>
  <r>
    <x v="43"/>
    <x v="1"/>
  </r>
  <r>
    <x v="34"/>
    <x v="1"/>
  </r>
  <r>
    <x v="57"/>
    <x v="1"/>
  </r>
  <r>
    <x v="43"/>
    <x v="1"/>
  </r>
  <r>
    <x v="27"/>
    <x v="135"/>
  </r>
  <r>
    <x v="54"/>
    <x v="136"/>
  </r>
  <r>
    <x v="32"/>
    <x v="1"/>
  </r>
  <r>
    <x v="29"/>
    <x v="1"/>
  </r>
  <r>
    <x v="51"/>
    <x v="1"/>
  </r>
  <r>
    <x v="5"/>
    <x v="1"/>
  </r>
  <r>
    <x v="27"/>
    <x v="1"/>
  </r>
  <r>
    <x v="4"/>
    <x v="1"/>
  </r>
  <r>
    <x v="5"/>
    <x v="1"/>
  </r>
  <r>
    <x v="43"/>
    <x v="1"/>
  </r>
  <r>
    <x v="5"/>
    <x v="1"/>
  </r>
  <r>
    <x v="27"/>
    <x v="1"/>
  </r>
  <r>
    <x v="15"/>
    <x v="1"/>
  </r>
  <r>
    <x v="11"/>
    <x v="1"/>
  </r>
  <r>
    <x v="5"/>
    <x v="1"/>
  </r>
  <r>
    <x v="5"/>
    <x v="1"/>
  </r>
  <r>
    <x v="32"/>
    <x v="137"/>
  </r>
  <r>
    <x v="28"/>
    <x v="138"/>
  </r>
  <r>
    <x v="13"/>
    <x v="1"/>
  </r>
  <r>
    <x v="11"/>
    <x v="139"/>
  </r>
  <r>
    <x v="7"/>
    <x v="1"/>
  </r>
  <r>
    <x v="32"/>
    <x v="1"/>
  </r>
  <r>
    <x v="1"/>
    <x v="1"/>
  </r>
  <r>
    <x v="1"/>
    <x v="1"/>
  </r>
  <r>
    <x v="32"/>
    <x v="1"/>
  </r>
  <r>
    <x v="12"/>
    <x v="1"/>
  </r>
  <r>
    <x v="9"/>
    <x v="1"/>
  </r>
  <r>
    <x v="4"/>
    <x v="1"/>
  </r>
  <r>
    <x v="3"/>
    <x v="1"/>
  </r>
  <r>
    <x v="13"/>
    <x v="1"/>
  </r>
  <r>
    <x v="5"/>
    <x v="1"/>
  </r>
  <r>
    <x v="35"/>
    <x v="1"/>
  </r>
  <r>
    <x v="1"/>
    <x v="1"/>
  </r>
  <r>
    <x v="12"/>
    <x v="1"/>
  </r>
  <r>
    <x v="7"/>
    <x v="1"/>
  </r>
  <r>
    <x v="34"/>
    <x v="140"/>
  </r>
  <r>
    <x v="5"/>
    <x v="1"/>
  </r>
  <r>
    <x v="14"/>
    <x v="1"/>
  </r>
  <r>
    <x v="5"/>
    <x v="1"/>
  </r>
  <r>
    <x v="10"/>
    <x v="1"/>
  </r>
  <r>
    <x v="40"/>
    <x v="141"/>
  </r>
  <r>
    <x v="16"/>
    <x v="1"/>
  </r>
  <r>
    <x v="15"/>
    <x v="1"/>
  </r>
  <r>
    <x v="5"/>
    <x v="1"/>
  </r>
  <r>
    <x v="4"/>
    <x v="1"/>
  </r>
  <r>
    <x v="0"/>
    <x v="1"/>
  </r>
  <r>
    <x v="5"/>
    <x v="1"/>
  </r>
  <r>
    <x v="7"/>
    <x v="1"/>
  </r>
  <r>
    <x v="0"/>
    <x v="1"/>
  </r>
  <r>
    <x v="30"/>
    <x v="1"/>
  </r>
  <r>
    <x v="4"/>
    <x v="1"/>
  </r>
  <r>
    <x v="10"/>
    <x v="142"/>
  </r>
  <r>
    <x v="14"/>
    <x v="1"/>
  </r>
  <r>
    <x v="17"/>
    <x v="1"/>
  </r>
  <r>
    <x v="6"/>
    <x v="1"/>
  </r>
  <r>
    <x v="10"/>
    <x v="143"/>
  </r>
  <r>
    <x v="7"/>
    <x v="1"/>
  </r>
  <r>
    <x v="2"/>
    <x v="1"/>
  </r>
  <r>
    <x v="43"/>
    <x v="144"/>
  </r>
  <r>
    <x v="17"/>
    <x v="1"/>
  </r>
  <r>
    <x v="12"/>
    <x v="1"/>
  </r>
  <r>
    <x v="5"/>
    <x v="1"/>
  </r>
  <r>
    <x v="22"/>
    <x v="1"/>
  </r>
  <r>
    <x v="19"/>
    <x v="1"/>
  </r>
  <r>
    <x v="9"/>
    <x v="1"/>
  </r>
  <r>
    <x v="5"/>
    <x v="1"/>
  </r>
  <r>
    <x v="40"/>
    <x v="1"/>
  </r>
  <r>
    <x v="4"/>
    <x v="1"/>
  </r>
  <r>
    <x v="10"/>
    <x v="1"/>
  </r>
  <r>
    <x v="13"/>
    <x v="1"/>
  </r>
  <r>
    <x v="11"/>
    <x v="1"/>
  </r>
  <r>
    <x v="24"/>
    <x v="1"/>
  </r>
  <r>
    <x v="10"/>
    <x v="1"/>
  </r>
  <r>
    <x v="28"/>
    <x v="1"/>
  </r>
  <r>
    <x v="50"/>
    <x v="1"/>
  </r>
  <r>
    <x v="22"/>
    <x v="145"/>
  </r>
  <r>
    <x v="5"/>
    <x v="1"/>
  </r>
  <r>
    <x v="21"/>
    <x v="1"/>
  </r>
  <r>
    <x v="11"/>
    <x v="1"/>
  </r>
  <r>
    <x v="8"/>
    <x v="146"/>
  </r>
  <r>
    <x v="6"/>
    <x v="1"/>
  </r>
  <r>
    <x v="23"/>
    <x v="1"/>
  </r>
  <r>
    <x v="2"/>
    <x v="147"/>
  </r>
  <r>
    <x v="10"/>
    <x v="1"/>
  </r>
  <r>
    <x v="12"/>
    <x v="1"/>
  </r>
  <r>
    <x v="5"/>
    <x v="1"/>
  </r>
  <r>
    <x v="20"/>
    <x v="1"/>
  </r>
  <r>
    <x v="4"/>
    <x v="1"/>
  </r>
  <r>
    <x v="24"/>
    <x v="1"/>
  </r>
  <r>
    <x v="25"/>
    <x v="1"/>
  </r>
  <r>
    <x v="0"/>
    <x v="1"/>
  </r>
  <r>
    <x v="10"/>
    <x v="1"/>
  </r>
  <r>
    <x v="1"/>
    <x v="1"/>
  </r>
  <r>
    <x v="43"/>
    <x v="1"/>
  </r>
  <r>
    <x v="8"/>
    <x v="1"/>
  </r>
  <r>
    <x v="5"/>
    <x v="1"/>
  </r>
  <r>
    <x v="3"/>
    <x v="1"/>
  </r>
  <r>
    <x v="2"/>
    <x v="1"/>
  </r>
  <r>
    <x v="34"/>
    <x v="1"/>
  </r>
  <r>
    <x v="51"/>
    <x v="1"/>
  </r>
  <r>
    <x v="25"/>
    <x v="148"/>
  </r>
  <r>
    <x v="1"/>
    <x v="1"/>
  </r>
  <r>
    <x v="10"/>
    <x v="1"/>
  </r>
  <r>
    <x v="3"/>
    <x v="1"/>
  </r>
  <r>
    <x v="5"/>
    <x v="1"/>
  </r>
  <r>
    <x v="7"/>
    <x v="1"/>
  </r>
  <r>
    <x v="44"/>
    <x v="1"/>
  </r>
  <r>
    <x v="45"/>
    <x v="1"/>
  </r>
  <r>
    <x v="30"/>
    <x v="1"/>
  </r>
  <r>
    <x v="21"/>
    <x v="1"/>
  </r>
  <r>
    <x v="10"/>
    <x v="149"/>
  </r>
  <r>
    <x v="2"/>
    <x v="150"/>
  </r>
  <r>
    <x v="5"/>
    <x v="1"/>
  </r>
  <r>
    <x v="24"/>
    <x v="1"/>
  </r>
  <r>
    <x v="13"/>
    <x v="1"/>
  </r>
  <r>
    <x v="5"/>
    <x v="1"/>
  </r>
  <r>
    <x v="5"/>
    <x v="1"/>
  </r>
  <r>
    <x v="7"/>
    <x v="1"/>
  </r>
  <r>
    <x v="27"/>
    <x v="1"/>
  </r>
  <r>
    <x v="32"/>
    <x v="1"/>
  </r>
  <r>
    <x v="12"/>
    <x v="1"/>
  </r>
  <r>
    <x v="4"/>
    <x v="1"/>
  </r>
  <r>
    <x v="35"/>
    <x v="1"/>
  </r>
  <r>
    <x v="0"/>
    <x v="1"/>
  </r>
  <r>
    <x v="10"/>
    <x v="1"/>
  </r>
  <r>
    <x v="8"/>
    <x v="1"/>
  </r>
  <r>
    <x v="12"/>
    <x v="151"/>
  </r>
  <r>
    <x v="4"/>
    <x v="152"/>
  </r>
  <r>
    <x v="31"/>
    <x v="1"/>
  </r>
  <r>
    <x v="36"/>
    <x v="1"/>
  </r>
  <r>
    <x v="46"/>
    <x v="1"/>
  </r>
  <r>
    <x v="47"/>
    <x v="1"/>
  </r>
  <r>
    <x v="11"/>
    <x v="1"/>
  </r>
  <r>
    <x v="3"/>
    <x v="1"/>
  </r>
  <r>
    <x v="52"/>
    <x v="153"/>
  </r>
  <r>
    <x v="26"/>
    <x v="154"/>
  </r>
  <r>
    <x v="10"/>
    <x v="1"/>
  </r>
  <r>
    <x v="2"/>
    <x v="1"/>
  </r>
  <r>
    <x v="5"/>
    <x v="1"/>
  </r>
  <r>
    <x v="1"/>
    <x v="1"/>
  </r>
  <r>
    <x v="17"/>
    <x v="1"/>
  </r>
  <r>
    <x v="23"/>
    <x v="1"/>
  </r>
  <r>
    <x v="10"/>
    <x v="1"/>
  </r>
  <r>
    <x v="2"/>
    <x v="1"/>
  </r>
  <r>
    <x v="38"/>
    <x v="1"/>
  </r>
  <r>
    <x v="5"/>
    <x v="1"/>
  </r>
  <r>
    <x v="46"/>
    <x v="155"/>
  </r>
  <r>
    <x v="47"/>
    <x v="156"/>
  </r>
  <r>
    <x v="10"/>
    <x v="1"/>
  </r>
  <r>
    <x v="2"/>
    <x v="1"/>
  </r>
  <r>
    <x v="28"/>
    <x v="1"/>
  </r>
  <r>
    <x v="34"/>
    <x v="1"/>
  </r>
  <r>
    <x v="5"/>
    <x v="1"/>
  </r>
  <r>
    <x v="1"/>
    <x v="1"/>
  </r>
  <r>
    <x v="14"/>
    <x v="1"/>
  </r>
  <r>
    <x v="6"/>
    <x v="1"/>
  </r>
  <r>
    <x v="35"/>
    <x v="1"/>
  </r>
  <r>
    <x v="0"/>
    <x v="1"/>
  </r>
  <r>
    <x v="46"/>
    <x v="1"/>
  </r>
  <r>
    <x v="47"/>
    <x v="1"/>
  </r>
  <r>
    <x v="17"/>
    <x v="1"/>
  </r>
  <r>
    <x v="20"/>
    <x v="1"/>
  </r>
  <r>
    <x v="9"/>
    <x v="157"/>
  </r>
  <r>
    <x v="0"/>
    <x v="158"/>
  </r>
  <r>
    <x v="5"/>
    <x v="1"/>
  </r>
  <r>
    <x v="7"/>
    <x v="1"/>
  </r>
  <r>
    <x v="5"/>
    <x v="1"/>
  </r>
  <r>
    <x v="1"/>
    <x v="1"/>
  </r>
  <r>
    <x v="14"/>
    <x v="1"/>
  </r>
  <r>
    <x v="6"/>
    <x v="1"/>
  </r>
  <r>
    <x v="15"/>
    <x v="1"/>
  </r>
  <r>
    <x v="4"/>
    <x v="1"/>
  </r>
  <r>
    <x v="33"/>
    <x v="1"/>
  </r>
  <r>
    <x v="37"/>
    <x v="1"/>
  </r>
  <r>
    <x v="22"/>
    <x v="1"/>
  </r>
  <r>
    <x v="25"/>
    <x v="1"/>
  </r>
  <r>
    <x v="13"/>
    <x v="1"/>
  </r>
  <r>
    <x v="5"/>
    <x v="1"/>
  </r>
  <r>
    <x v="12"/>
    <x v="1"/>
  </r>
  <r>
    <x v="4"/>
    <x v="1"/>
  </r>
  <r>
    <x v="5"/>
    <x v="1"/>
  </r>
  <r>
    <x v="7"/>
    <x v="1"/>
  </r>
  <r>
    <x v="5"/>
    <x v="1"/>
  </r>
  <r>
    <x v="7"/>
    <x v="1"/>
  </r>
  <r>
    <x v="5"/>
    <x v="1"/>
  </r>
  <r>
    <x v="1"/>
    <x v="1"/>
  </r>
  <r>
    <x v="18"/>
    <x v="1"/>
  </r>
  <r>
    <x v="21"/>
    <x v="1"/>
  </r>
  <r>
    <x v="13"/>
    <x v="1"/>
  </r>
  <r>
    <x v="5"/>
    <x v="1"/>
  </r>
  <r>
    <x v="5"/>
    <x v="1"/>
  </r>
  <r>
    <x v="24"/>
    <x v="1"/>
  </r>
  <r>
    <x v="5"/>
    <x v="1"/>
  </r>
  <r>
    <x v="1"/>
    <x v="1"/>
  </r>
  <r>
    <x v="28"/>
    <x v="1"/>
  </r>
  <r>
    <x v="34"/>
    <x v="1"/>
  </r>
  <r>
    <x v="50"/>
    <x v="1"/>
  </r>
  <r>
    <x v="51"/>
    <x v="1"/>
  </r>
  <r>
    <x v="28"/>
    <x v="1"/>
  </r>
  <r>
    <x v="34"/>
    <x v="1"/>
  </r>
  <r>
    <x v="26"/>
    <x v="1"/>
  </r>
  <r>
    <x v="29"/>
    <x v="1"/>
  </r>
  <r>
    <x v="10"/>
    <x v="1"/>
  </r>
  <r>
    <x v="8"/>
    <x v="1"/>
  </r>
  <r>
    <x v="40"/>
    <x v="1"/>
  </r>
  <r>
    <x v="43"/>
    <x v="1"/>
  </r>
  <r>
    <x v="5"/>
    <x v="1"/>
  </r>
  <r>
    <x v="7"/>
    <x v="1"/>
  </r>
  <r>
    <x v="13"/>
    <x v="1"/>
  </r>
  <r>
    <x v="5"/>
    <x v="1"/>
  </r>
  <r>
    <x v="11"/>
    <x v="1"/>
  </r>
  <r>
    <x v="3"/>
    <x v="1"/>
  </r>
  <r>
    <x v="46"/>
    <x v="1"/>
  </r>
  <r>
    <x v="47"/>
    <x v="1"/>
  </r>
  <r>
    <x v="9"/>
    <x v="1"/>
  </r>
  <r>
    <x v="0"/>
    <x v="1"/>
  </r>
  <r>
    <x v="10"/>
    <x v="1"/>
  </r>
  <r>
    <x v="2"/>
    <x v="1"/>
  </r>
  <r>
    <x v="26"/>
    <x v="1"/>
  </r>
  <r>
    <x v="29"/>
    <x v="1"/>
  </r>
  <r>
    <x v="35"/>
    <x v="1"/>
  </r>
  <r>
    <x v="0"/>
    <x v="1"/>
  </r>
  <r>
    <x v="14"/>
    <x v="159"/>
  </r>
  <r>
    <x v="6"/>
    <x v="160"/>
  </r>
  <r>
    <x v="11"/>
    <x v="1"/>
  </r>
  <r>
    <x v="3"/>
    <x v="1"/>
  </r>
  <r>
    <x v="46"/>
    <x v="1"/>
  </r>
  <r>
    <x v="47"/>
    <x v="1"/>
  </r>
  <r>
    <x v="10"/>
    <x v="1"/>
  </r>
  <r>
    <x v="8"/>
    <x v="1"/>
  </r>
  <r>
    <x v="10"/>
    <x v="161"/>
  </r>
  <r>
    <x v="2"/>
    <x v="162"/>
  </r>
  <r>
    <x v="15"/>
    <x v="163"/>
  </r>
  <r>
    <x v="4"/>
    <x v="164"/>
  </r>
  <r>
    <x v="38"/>
    <x v="1"/>
  </r>
  <r>
    <x v="5"/>
    <x v="1"/>
  </r>
  <r>
    <x v="10"/>
    <x v="1"/>
  </r>
  <r>
    <x v="2"/>
    <x v="1"/>
  </r>
  <r>
    <x v="26"/>
    <x v="1"/>
  </r>
  <r>
    <x v="29"/>
    <x v="1"/>
  </r>
  <r>
    <x v="12"/>
    <x v="1"/>
  </r>
  <r>
    <x v="4"/>
    <x v="1"/>
  </r>
  <r>
    <x v="46"/>
    <x v="1"/>
  </r>
  <r>
    <x v="47"/>
    <x v="1"/>
  </r>
  <r>
    <x v="5"/>
    <x v="1"/>
  </r>
  <r>
    <x v="1"/>
    <x v="1"/>
  </r>
  <r>
    <x v="17"/>
    <x v="1"/>
  </r>
  <r>
    <x v="20"/>
    <x v="1"/>
  </r>
  <r>
    <x v="18"/>
    <x v="165"/>
  </r>
  <r>
    <x v="21"/>
    <x v="166"/>
  </r>
  <r>
    <x v="14"/>
    <x v="1"/>
  </r>
  <r>
    <x v="6"/>
    <x v="1"/>
  </r>
  <r>
    <x v="9"/>
    <x v="1"/>
  </r>
  <r>
    <x v="0"/>
    <x v="1"/>
  </r>
  <r>
    <x v="15"/>
    <x v="1"/>
  </r>
  <r>
    <x v="4"/>
    <x v="1"/>
  </r>
  <r>
    <x v="46"/>
    <x v="1"/>
  </r>
  <r>
    <x v="47"/>
    <x v="1"/>
  </r>
  <r>
    <x v="10"/>
    <x v="1"/>
  </r>
  <r>
    <x v="2"/>
    <x v="1"/>
  </r>
  <r>
    <x v="14"/>
    <x v="1"/>
  </r>
  <r>
    <x v="6"/>
    <x v="1"/>
  </r>
  <r>
    <x v="9"/>
    <x v="1"/>
  </r>
  <r>
    <x v="0"/>
    <x v="1"/>
  </r>
  <r>
    <x v="15"/>
    <x v="1"/>
  </r>
  <r>
    <x v="4"/>
    <x v="1"/>
  </r>
  <r>
    <x v="11"/>
    <x v="1"/>
  </r>
  <r>
    <x v="3"/>
    <x v="1"/>
  </r>
  <r>
    <x v="28"/>
    <x v="1"/>
  </r>
  <r>
    <x v="34"/>
    <x v="1"/>
  </r>
  <r>
    <x v="41"/>
    <x v="167"/>
  </r>
  <r>
    <x v="27"/>
    <x v="168"/>
  </r>
  <r>
    <x v="38"/>
    <x v="1"/>
  </r>
  <r>
    <x v="5"/>
    <x v="1"/>
  </r>
  <r>
    <x v="12"/>
    <x v="169"/>
  </r>
  <r>
    <x v="4"/>
    <x v="170"/>
  </r>
  <r>
    <x v="10"/>
    <x v="1"/>
  </r>
  <r>
    <x v="2"/>
    <x v="1"/>
  </r>
  <r>
    <x v="5"/>
    <x v="1"/>
  </r>
  <r>
    <x v="7"/>
    <x v="1"/>
  </r>
  <r>
    <x v="12"/>
    <x v="1"/>
  </r>
  <r>
    <x v="4"/>
    <x v="1"/>
  </r>
  <r>
    <x v="5"/>
    <x v="1"/>
  </r>
  <r>
    <x v="24"/>
    <x v="1"/>
  </r>
  <r>
    <x v="46"/>
    <x v="171"/>
  </r>
  <r>
    <x v="47"/>
    <x v="172"/>
  </r>
  <r>
    <x v="13"/>
    <x v="1"/>
  </r>
  <r>
    <x v="5"/>
    <x v="1"/>
  </r>
  <r>
    <x v="5"/>
    <x v="1"/>
  </r>
  <r>
    <x v="7"/>
    <x v="1"/>
  </r>
  <r>
    <x v="5"/>
    <x v="1"/>
  </r>
  <r>
    <x v="7"/>
    <x v="1"/>
  </r>
  <r>
    <x v="11"/>
    <x v="1"/>
  </r>
  <r>
    <x v="3"/>
    <x v="1"/>
  </r>
  <r>
    <x v="15"/>
    <x v="1"/>
  </r>
  <r>
    <x v="4"/>
    <x v="1"/>
  </r>
  <r>
    <x v="22"/>
    <x v="1"/>
  </r>
  <r>
    <x v="25"/>
    <x v="1"/>
  </r>
  <r>
    <x v="13"/>
    <x v="1"/>
  </r>
  <r>
    <x v="5"/>
    <x v="1"/>
  </r>
  <r>
    <x v="10"/>
    <x v="1"/>
  </r>
  <r>
    <x v="2"/>
    <x v="1"/>
  </r>
  <r>
    <x v="13"/>
    <x v="173"/>
  </r>
  <r>
    <x v="5"/>
    <x v="174"/>
  </r>
  <r>
    <x v="16"/>
    <x v="1"/>
  </r>
  <r>
    <x v="19"/>
    <x v="1"/>
  </r>
  <r>
    <x v="35"/>
    <x v="1"/>
  </r>
  <r>
    <x v="0"/>
    <x v="1"/>
  </r>
  <r>
    <x v="5"/>
    <x v="1"/>
  </r>
  <r>
    <x v="7"/>
    <x v="1"/>
  </r>
  <r>
    <x v="5"/>
    <x v="1"/>
  </r>
  <r>
    <x v="1"/>
    <x v="1"/>
  </r>
  <r>
    <x v="13"/>
    <x v="1"/>
  </r>
  <r>
    <x v="5"/>
    <x v="1"/>
  </r>
  <r>
    <x v="17"/>
    <x v="175"/>
  </r>
  <r>
    <x v="23"/>
    <x v="176"/>
  </r>
  <r>
    <x v="12"/>
    <x v="177"/>
  </r>
  <r>
    <x v="4"/>
    <x v="178"/>
  </r>
  <r>
    <x v="5"/>
    <x v="1"/>
  </r>
  <r>
    <x v="46"/>
    <x v="1"/>
  </r>
  <r>
    <x v="11"/>
    <x v="1"/>
  </r>
  <r>
    <x v="8"/>
    <x v="1"/>
  </r>
  <r>
    <x v="4"/>
    <x v="1"/>
  </r>
  <r>
    <x v="7"/>
    <x v="1"/>
  </r>
  <r>
    <x v="26"/>
    <x v="1"/>
  </r>
  <r>
    <x v="2"/>
    <x v="1"/>
  </r>
  <r>
    <x v="13"/>
    <x v="1"/>
  </r>
  <r>
    <x v="41"/>
    <x v="1"/>
  </r>
  <r>
    <x v="46"/>
    <x v="179"/>
  </r>
  <r>
    <x v="40"/>
    <x v="1"/>
  </r>
  <r>
    <x v="2"/>
    <x v="1"/>
  </r>
  <r>
    <x v="22"/>
    <x v="1"/>
  </r>
  <r>
    <x v="5"/>
    <x v="180"/>
  </r>
  <r>
    <x v="35"/>
    <x v="1"/>
  </r>
  <r>
    <x v="47"/>
    <x v="1"/>
  </r>
  <r>
    <x v="3"/>
    <x v="1"/>
  </r>
  <r>
    <x v="11"/>
    <x v="1"/>
  </r>
  <r>
    <x v="28"/>
    <x v="1"/>
  </r>
  <r>
    <x v="29"/>
    <x v="1"/>
  </r>
  <r>
    <x v="5"/>
    <x v="1"/>
  </r>
  <r>
    <x v="27"/>
    <x v="1"/>
  </r>
  <r>
    <x v="47"/>
    <x v="181"/>
  </r>
  <r>
    <x v="43"/>
    <x v="1"/>
  </r>
  <r>
    <x v="25"/>
    <x v="1"/>
  </r>
  <r>
    <x v="1"/>
    <x v="182"/>
  </r>
  <r>
    <x v="40"/>
    <x v="183"/>
  </r>
  <r>
    <x v="0"/>
    <x v="1"/>
  </r>
  <r>
    <x v="12"/>
    <x v="1"/>
  </r>
  <r>
    <x v="5"/>
    <x v="1"/>
  </r>
  <r>
    <x v="17"/>
    <x v="1"/>
  </r>
  <r>
    <x v="3"/>
    <x v="1"/>
  </r>
  <r>
    <x v="34"/>
    <x v="1"/>
  </r>
  <r>
    <x v="5"/>
    <x v="1"/>
  </r>
  <r>
    <x v="28"/>
    <x v="1"/>
  </r>
  <r>
    <x v="14"/>
    <x v="1"/>
  </r>
  <r>
    <x v="26"/>
    <x v="1"/>
  </r>
  <r>
    <x v="28"/>
    <x v="1"/>
  </r>
  <r>
    <x v="26"/>
    <x v="1"/>
  </r>
  <r>
    <x v="10"/>
    <x v="1"/>
  </r>
  <r>
    <x v="43"/>
    <x v="184"/>
  </r>
  <r>
    <x v="17"/>
    <x v="1"/>
  </r>
  <r>
    <x v="4"/>
    <x v="1"/>
  </r>
  <r>
    <x v="1"/>
    <x v="1"/>
  </r>
  <r>
    <x v="23"/>
    <x v="1"/>
  </r>
  <r>
    <x v="5"/>
    <x v="1"/>
  </r>
  <r>
    <x v="10"/>
    <x v="1"/>
  </r>
  <r>
    <x v="24"/>
    <x v="1"/>
  </r>
  <r>
    <x v="5"/>
    <x v="1"/>
  </r>
  <r>
    <x v="34"/>
    <x v="1"/>
  </r>
  <r>
    <x v="6"/>
    <x v="1"/>
  </r>
  <r>
    <x v="12"/>
    <x v="1"/>
  </r>
  <r>
    <x v="9"/>
    <x v="1"/>
  </r>
  <r>
    <x v="11"/>
    <x v="1"/>
  </r>
  <r>
    <x v="33"/>
    <x v="1"/>
  </r>
  <r>
    <x v="10"/>
    <x v="1"/>
  </r>
  <r>
    <x v="29"/>
    <x v="1"/>
  </r>
  <r>
    <x v="34"/>
    <x v="1"/>
  </r>
  <r>
    <x v="29"/>
    <x v="1"/>
  </r>
  <r>
    <x v="8"/>
    <x v="1"/>
  </r>
  <r>
    <x v="11"/>
    <x v="1"/>
  </r>
  <r>
    <x v="14"/>
    <x v="1"/>
  </r>
  <r>
    <x v="46"/>
    <x v="1"/>
  </r>
  <r>
    <x v="20"/>
    <x v="1"/>
  </r>
  <r>
    <x v="7"/>
    <x v="1"/>
  </r>
  <r>
    <x v="8"/>
    <x v="1"/>
  </r>
  <r>
    <x v="12"/>
    <x v="1"/>
  </r>
  <r>
    <x v="1"/>
    <x v="1"/>
  </r>
  <r>
    <x v="50"/>
    <x v="1"/>
  </r>
  <r>
    <x v="4"/>
    <x v="1"/>
  </r>
  <r>
    <x v="0"/>
    <x v="1"/>
  </r>
  <r>
    <x v="3"/>
    <x v="1"/>
  </r>
  <r>
    <x v="37"/>
    <x v="1"/>
  </r>
  <r>
    <x v="8"/>
    <x v="1"/>
  </r>
  <r>
    <x v="3"/>
    <x v="1"/>
  </r>
  <r>
    <x v="6"/>
    <x v="1"/>
  </r>
  <r>
    <x v="47"/>
    <x v="1"/>
  </r>
  <r>
    <x v="5"/>
    <x v="1"/>
  </r>
  <r>
    <x v="4"/>
    <x v="1"/>
  </r>
  <r>
    <x v="51"/>
    <x v="1"/>
  </r>
  <r>
    <x v="14"/>
    <x v="1"/>
  </r>
  <r>
    <x v="24"/>
    <x v="1"/>
  </r>
  <r>
    <x v="46"/>
    <x v="185"/>
  </r>
  <r>
    <x v="13"/>
    <x v="1"/>
  </r>
  <r>
    <x v="17"/>
    <x v="186"/>
  </r>
  <r>
    <x v="6"/>
    <x v="1"/>
  </r>
  <r>
    <x v="5"/>
    <x v="1"/>
  </r>
  <r>
    <x v="16"/>
    <x v="1"/>
  </r>
  <r>
    <x v="5"/>
    <x v="1"/>
  </r>
  <r>
    <x v="35"/>
    <x v="1"/>
  </r>
  <r>
    <x v="28"/>
    <x v="187"/>
  </r>
  <r>
    <x v="14"/>
    <x v="1"/>
  </r>
  <r>
    <x v="27"/>
    <x v="1"/>
  </r>
  <r>
    <x v="10"/>
    <x v="188"/>
  </r>
  <r>
    <x v="47"/>
    <x v="189"/>
  </r>
  <r>
    <x v="40"/>
    <x v="1"/>
  </r>
  <r>
    <x v="5"/>
    <x v="1"/>
  </r>
  <r>
    <x v="10"/>
    <x v="1"/>
  </r>
  <r>
    <x v="20"/>
    <x v="190"/>
  </r>
  <r>
    <x v="7"/>
    <x v="1"/>
  </r>
  <r>
    <x v="19"/>
    <x v="1"/>
  </r>
  <r>
    <x v="1"/>
    <x v="1"/>
  </r>
  <r>
    <x v="0"/>
    <x v="1"/>
  </r>
  <r>
    <x v="34"/>
    <x v="191"/>
  </r>
  <r>
    <x v="6"/>
    <x v="1"/>
  </r>
  <r>
    <x v="32"/>
    <x v="1"/>
  </r>
  <r>
    <x v="17"/>
    <x v="1"/>
  </r>
  <r>
    <x v="9"/>
    <x v="192"/>
  </r>
  <r>
    <x v="28"/>
    <x v="1"/>
  </r>
  <r>
    <x v="5"/>
    <x v="1"/>
  </r>
  <r>
    <x v="2"/>
    <x v="193"/>
  </r>
  <r>
    <x v="43"/>
    <x v="1"/>
  </r>
  <r>
    <x v="2"/>
    <x v="1"/>
  </r>
  <r>
    <x v="27"/>
    <x v="1"/>
  </r>
  <r>
    <x v="5"/>
    <x v="1"/>
  </r>
  <r>
    <x v="5"/>
    <x v="1"/>
  </r>
  <r>
    <x v="15"/>
    <x v="1"/>
  </r>
  <r>
    <x v="20"/>
    <x v="1"/>
  </r>
  <r>
    <x v="0"/>
    <x v="194"/>
  </r>
  <r>
    <x v="5"/>
    <x v="1"/>
  </r>
  <r>
    <x v="34"/>
    <x v="1"/>
  </r>
  <r>
    <x v="24"/>
    <x v="1"/>
  </r>
  <r>
    <x v="14"/>
    <x v="1"/>
  </r>
  <r>
    <x v="10"/>
    <x v="195"/>
  </r>
  <r>
    <x v="31"/>
    <x v="1"/>
  </r>
  <r>
    <x v="33"/>
    <x v="1"/>
  </r>
  <r>
    <x v="13"/>
    <x v="196"/>
  </r>
  <r>
    <x v="5"/>
    <x v="1"/>
  </r>
  <r>
    <x v="5"/>
    <x v="1"/>
  </r>
  <r>
    <x v="32"/>
    <x v="1"/>
  </r>
  <r>
    <x v="35"/>
    <x v="197"/>
  </r>
  <r>
    <x v="13"/>
    <x v="1"/>
  </r>
  <r>
    <x v="7"/>
    <x v="1"/>
  </r>
  <r>
    <x v="15"/>
    <x v="1"/>
  </r>
  <r>
    <x v="1"/>
    <x v="1"/>
  </r>
  <r>
    <x v="40"/>
    <x v="198"/>
  </r>
  <r>
    <x v="10"/>
    <x v="1"/>
  </r>
  <r>
    <x v="5"/>
    <x v="1"/>
  </r>
  <r>
    <x v="50"/>
    <x v="1"/>
  </r>
  <r>
    <x v="4"/>
    <x v="1"/>
  </r>
  <r>
    <x v="17"/>
    <x v="1"/>
  </r>
  <r>
    <x v="24"/>
    <x v="1"/>
  </r>
  <r>
    <x v="12"/>
    <x v="1"/>
  </r>
  <r>
    <x v="26"/>
    <x v="1"/>
  </r>
  <r>
    <x v="14"/>
    <x v="1"/>
  </r>
  <r>
    <x v="6"/>
    <x v="1"/>
  </r>
  <r>
    <x v="8"/>
    <x v="199"/>
  </r>
  <r>
    <x v="36"/>
    <x v="1"/>
  </r>
  <r>
    <x v="40"/>
    <x v="1"/>
  </r>
  <r>
    <x v="37"/>
    <x v="1"/>
  </r>
  <r>
    <x v="5"/>
    <x v="200"/>
  </r>
  <r>
    <x v="5"/>
    <x v="1"/>
  </r>
  <r>
    <x v="7"/>
    <x v="1"/>
  </r>
  <r>
    <x v="1"/>
    <x v="1"/>
  </r>
  <r>
    <x v="10"/>
    <x v="1"/>
  </r>
  <r>
    <x v="0"/>
    <x v="201"/>
  </r>
  <r>
    <x v="5"/>
    <x v="1"/>
  </r>
  <r>
    <x v="4"/>
    <x v="1"/>
  </r>
  <r>
    <x v="43"/>
    <x v="202"/>
  </r>
  <r>
    <x v="2"/>
    <x v="1"/>
  </r>
  <r>
    <x v="1"/>
    <x v="1"/>
  </r>
  <r>
    <x v="51"/>
    <x v="1"/>
  </r>
  <r>
    <x v="10"/>
    <x v="1"/>
  </r>
  <r>
    <x v="23"/>
    <x v="1"/>
  </r>
  <r>
    <x v="35"/>
    <x v="1"/>
  </r>
  <r>
    <x v="9"/>
    <x v="1"/>
  </r>
  <r>
    <x v="14"/>
    <x v="1"/>
  </r>
  <r>
    <x v="4"/>
    <x v="1"/>
  </r>
  <r>
    <x v="17"/>
    <x v="1"/>
  </r>
  <r>
    <x v="29"/>
    <x v="1"/>
  </r>
  <r>
    <x v="6"/>
    <x v="1"/>
  </r>
  <r>
    <x v="43"/>
    <x v="1"/>
  </r>
  <r>
    <x v="7"/>
    <x v="1"/>
  </r>
  <r>
    <x v="10"/>
    <x v="1"/>
  </r>
  <r>
    <x v="8"/>
    <x v="1"/>
  </r>
  <r>
    <x v="27"/>
    <x v="203"/>
  </r>
  <r>
    <x v="16"/>
    <x v="1"/>
  </r>
  <r>
    <x v="26"/>
    <x v="1"/>
  </r>
  <r>
    <x v="40"/>
    <x v="1"/>
  </r>
  <r>
    <x v="10"/>
    <x v="1"/>
  </r>
  <r>
    <x v="14"/>
    <x v="204"/>
  </r>
  <r>
    <x v="8"/>
    <x v="1"/>
  </r>
  <r>
    <x v="26"/>
    <x v="1"/>
  </r>
  <r>
    <x v="0"/>
    <x v="1"/>
  </r>
  <r>
    <x v="0"/>
    <x v="1"/>
  </r>
  <r>
    <x v="6"/>
    <x v="1"/>
  </r>
  <r>
    <x v="20"/>
    <x v="1"/>
  </r>
  <r>
    <x v="10"/>
    <x v="1"/>
  </r>
  <r>
    <x v="9"/>
    <x v="1"/>
  </r>
  <r>
    <x v="8"/>
    <x v="1"/>
  </r>
  <r>
    <x v="32"/>
    <x v="205"/>
  </r>
  <r>
    <x v="10"/>
    <x v="1"/>
  </r>
  <r>
    <x v="19"/>
    <x v="1"/>
  </r>
  <r>
    <x v="29"/>
    <x v="1"/>
  </r>
  <r>
    <x v="53"/>
    <x v="1"/>
  </r>
  <r>
    <x v="5"/>
    <x v="1"/>
  </r>
  <r>
    <x v="2"/>
    <x v="1"/>
  </r>
  <r>
    <x v="46"/>
    <x v="1"/>
  </r>
  <r>
    <x v="28"/>
    <x v="1"/>
  </r>
  <r>
    <x v="6"/>
    <x v="206"/>
  </r>
  <r>
    <x v="28"/>
    <x v="1"/>
  </r>
  <r>
    <x v="29"/>
    <x v="1"/>
  </r>
  <r>
    <x v="5"/>
    <x v="1"/>
  </r>
  <r>
    <x v="14"/>
    <x v="1"/>
  </r>
  <r>
    <x v="11"/>
    <x v="1"/>
  </r>
  <r>
    <x v="2"/>
    <x v="1"/>
  </r>
  <r>
    <x v="28"/>
    <x v="1"/>
  </r>
  <r>
    <x v="12"/>
    <x v="207"/>
  </r>
  <r>
    <x v="0"/>
    <x v="1"/>
  </r>
  <r>
    <x v="40"/>
    <x v="208"/>
  </r>
  <r>
    <x v="13"/>
    <x v="209"/>
  </r>
  <r>
    <x v="28"/>
    <x v="1"/>
  </r>
  <r>
    <x v="10"/>
    <x v="1"/>
  </r>
  <r>
    <x v="22"/>
    <x v="210"/>
  </r>
  <r>
    <x v="2"/>
    <x v="1"/>
  </r>
  <r>
    <x v="1"/>
    <x v="1"/>
  </r>
  <r>
    <x v="28"/>
    <x v="1"/>
  </r>
  <r>
    <x v="34"/>
    <x v="1"/>
  </r>
  <r>
    <x v="14"/>
    <x v="211"/>
  </r>
  <r>
    <x v="6"/>
    <x v="212"/>
  </r>
  <r>
    <x v="26"/>
    <x v="1"/>
  </r>
  <r>
    <x v="29"/>
    <x v="1"/>
  </r>
  <r>
    <x v="44"/>
    <x v="1"/>
  </r>
  <r>
    <x v="45"/>
    <x v="1"/>
  </r>
  <r>
    <x v="17"/>
    <x v="1"/>
  </r>
  <r>
    <x v="20"/>
    <x v="1"/>
  </r>
  <r>
    <x v="46"/>
    <x v="1"/>
  </r>
  <r>
    <x v="47"/>
    <x v="1"/>
  </r>
  <r>
    <x v="40"/>
    <x v="213"/>
  </r>
  <r>
    <x v="43"/>
    <x v="214"/>
  </r>
  <r>
    <x v="28"/>
    <x v="215"/>
  </r>
  <r>
    <x v="34"/>
    <x v="216"/>
  </r>
  <r>
    <x v="10"/>
    <x v="217"/>
  </r>
  <r>
    <x v="8"/>
    <x v="218"/>
  </r>
  <r>
    <x v="9"/>
    <x v="1"/>
  </r>
  <r>
    <x v="0"/>
    <x v="1"/>
  </r>
  <r>
    <x v="11"/>
    <x v="1"/>
  </r>
  <r>
    <x v="3"/>
    <x v="1"/>
  </r>
  <r>
    <x v="38"/>
    <x v="1"/>
  </r>
  <r>
    <x v="5"/>
    <x v="1"/>
  </r>
  <r>
    <x v="12"/>
    <x v="1"/>
  </r>
  <r>
    <x v="4"/>
    <x v="1"/>
  </r>
  <r>
    <x v="41"/>
    <x v="1"/>
  </r>
  <r>
    <x v="27"/>
    <x v="1"/>
  </r>
  <r>
    <x v="28"/>
    <x v="1"/>
  </r>
  <r>
    <x v="34"/>
    <x v="1"/>
  </r>
  <r>
    <x v="56"/>
    <x v="219"/>
  </r>
  <r>
    <x v="57"/>
    <x v="220"/>
  </r>
  <r>
    <x v="10"/>
    <x v="1"/>
  </r>
  <r>
    <x v="8"/>
    <x v="1"/>
  </r>
  <r>
    <x v="28"/>
    <x v="1"/>
  </r>
  <r>
    <x v="34"/>
    <x v="1"/>
  </r>
  <r>
    <x v="10"/>
    <x v="1"/>
  </r>
  <r>
    <x v="2"/>
    <x v="1"/>
  </r>
  <r>
    <x v="22"/>
    <x v="1"/>
  </r>
  <r>
    <x v="25"/>
    <x v="1"/>
  </r>
  <r>
    <x v="12"/>
    <x v="1"/>
  </r>
  <r>
    <x v="4"/>
    <x v="1"/>
  </r>
  <r>
    <x v="26"/>
    <x v="1"/>
  </r>
  <r>
    <x v="29"/>
    <x v="1"/>
  </r>
  <r>
    <x v="13"/>
    <x v="1"/>
  </r>
  <r>
    <x v="5"/>
    <x v="1"/>
  </r>
  <r>
    <x v="16"/>
    <x v="1"/>
  </r>
  <r>
    <x v="19"/>
    <x v="1"/>
  </r>
  <r>
    <x v="22"/>
    <x v="1"/>
  </r>
  <r>
    <x v="25"/>
    <x v="1"/>
  </r>
  <r>
    <x v="31"/>
    <x v="1"/>
  </r>
  <r>
    <x v="36"/>
    <x v="1"/>
  </r>
  <r>
    <x v="10"/>
    <x v="1"/>
  </r>
  <r>
    <x v="8"/>
    <x v="1"/>
  </r>
  <r>
    <x v="26"/>
    <x v="1"/>
  </r>
  <r>
    <x v="29"/>
    <x v="1"/>
  </r>
  <r>
    <x v="11"/>
    <x v="1"/>
  </r>
  <r>
    <x v="3"/>
    <x v="1"/>
  </r>
  <r>
    <x v="14"/>
    <x v="1"/>
  </r>
  <r>
    <x v="6"/>
    <x v="1"/>
  </r>
  <r>
    <x v="22"/>
    <x v="1"/>
  </r>
  <r>
    <x v="25"/>
    <x v="1"/>
  </r>
  <r>
    <x v="11"/>
    <x v="1"/>
  </r>
  <r>
    <x v="3"/>
    <x v="1"/>
  </r>
  <r>
    <x v="28"/>
    <x v="1"/>
  </r>
  <r>
    <x v="34"/>
    <x v="1"/>
  </r>
  <r>
    <x v="35"/>
    <x v="1"/>
  </r>
  <r>
    <x v="0"/>
    <x v="1"/>
  </r>
  <r>
    <x v="30"/>
    <x v="221"/>
  </r>
  <r>
    <x v="21"/>
    <x v="222"/>
  </r>
  <r>
    <x v="11"/>
    <x v="1"/>
  </r>
  <r>
    <x v="3"/>
    <x v="1"/>
  </r>
  <r>
    <x v="28"/>
    <x v="1"/>
  </r>
  <r>
    <x v="34"/>
    <x v="1"/>
  </r>
  <r>
    <x v="27"/>
    <x v="1"/>
  </r>
  <r>
    <x v="32"/>
    <x v="1"/>
  </r>
  <r>
    <x v="5"/>
    <x v="1"/>
  </r>
  <r>
    <x v="1"/>
    <x v="1"/>
  </r>
  <r>
    <x v="26"/>
    <x v="1"/>
  </r>
  <r>
    <x v="29"/>
    <x v="1"/>
  </r>
  <r>
    <x v="33"/>
    <x v="1"/>
  </r>
  <r>
    <x v="37"/>
    <x v="1"/>
  </r>
  <r>
    <x v="5"/>
    <x v="1"/>
  </r>
  <r>
    <x v="1"/>
    <x v="1"/>
  </r>
  <r>
    <x v="46"/>
    <x v="1"/>
  </r>
  <r>
    <x v="47"/>
    <x v="1"/>
  </r>
  <r>
    <x v="5"/>
    <x v="1"/>
  </r>
  <r>
    <x v="7"/>
    <x v="1"/>
  </r>
  <r>
    <x v="5"/>
    <x v="1"/>
  </r>
  <r>
    <x v="1"/>
    <x v="1"/>
  </r>
  <r>
    <x v="26"/>
    <x v="1"/>
  </r>
  <r>
    <x v="29"/>
    <x v="1"/>
  </r>
  <r>
    <x v="28"/>
    <x v="1"/>
  </r>
  <r>
    <x v="34"/>
    <x v="1"/>
  </r>
  <r>
    <x v="31"/>
    <x v="1"/>
  </r>
  <r>
    <x v="36"/>
    <x v="1"/>
  </r>
  <r>
    <x v="26"/>
    <x v="1"/>
  </r>
  <r>
    <x v="29"/>
    <x v="1"/>
  </r>
  <r>
    <x v="40"/>
    <x v="1"/>
  </r>
  <r>
    <x v="43"/>
    <x v="1"/>
  </r>
  <r>
    <x v="13"/>
    <x v="1"/>
  </r>
  <r>
    <x v="5"/>
    <x v="1"/>
  </r>
  <r>
    <x v="5"/>
    <x v="1"/>
  </r>
  <r>
    <x v="1"/>
    <x v="1"/>
  </r>
  <r>
    <x v="27"/>
    <x v="1"/>
  </r>
  <r>
    <x v="32"/>
    <x v="1"/>
  </r>
  <r>
    <x v="15"/>
    <x v="1"/>
  </r>
  <r>
    <x v="4"/>
    <x v="1"/>
  </r>
  <r>
    <x v="41"/>
    <x v="1"/>
  </r>
  <r>
    <x v="27"/>
    <x v="1"/>
  </r>
  <r>
    <x v="46"/>
    <x v="1"/>
  </r>
  <r>
    <x v="47"/>
    <x v="1"/>
  </r>
  <r>
    <x v="5"/>
    <x v="1"/>
  </r>
  <r>
    <x v="1"/>
    <x v="1"/>
  </r>
  <r>
    <x v="17"/>
    <x v="1"/>
  </r>
  <r>
    <x v="23"/>
    <x v="1"/>
  </r>
  <r>
    <x v="14"/>
    <x v="1"/>
  </r>
  <r>
    <x v="6"/>
    <x v="1"/>
  </r>
  <r>
    <x v="28"/>
    <x v="1"/>
  </r>
  <r>
    <x v="34"/>
    <x v="1"/>
  </r>
  <r>
    <x v="12"/>
    <x v="223"/>
  </r>
  <r>
    <x v="4"/>
    <x v="224"/>
  </r>
  <r>
    <x v="22"/>
    <x v="1"/>
  </r>
  <r>
    <x v="25"/>
    <x v="1"/>
  </r>
  <r>
    <x v="40"/>
    <x v="225"/>
  </r>
  <r>
    <x v="43"/>
    <x v="226"/>
  </r>
  <r>
    <x v="5"/>
    <x v="1"/>
  </r>
  <r>
    <x v="7"/>
    <x v="1"/>
  </r>
  <r>
    <x v="33"/>
    <x v="1"/>
  </r>
  <r>
    <x v="37"/>
    <x v="1"/>
  </r>
  <r>
    <x v="50"/>
    <x v="1"/>
  </r>
  <r>
    <x v="51"/>
    <x v="1"/>
  </r>
  <r>
    <x v="5"/>
    <x v="1"/>
  </r>
  <r>
    <x v="7"/>
    <x v="1"/>
  </r>
  <r>
    <x v="10"/>
    <x v="1"/>
  </r>
  <r>
    <x v="8"/>
    <x v="1"/>
  </r>
  <r>
    <x v="12"/>
    <x v="1"/>
  </r>
  <r>
    <x v="4"/>
    <x v="1"/>
  </r>
  <r>
    <x v="46"/>
    <x v="227"/>
  </r>
  <r>
    <x v="47"/>
    <x v="228"/>
  </r>
  <r>
    <x v="11"/>
    <x v="1"/>
  </r>
  <r>
    <x v="3"/>
    <x v="1"/>
  </r>
  <r>
    <x v="46"/>
    <x v="1"/>
  </r>
  <r>
    <x v="47"/>
    <x v="1"/>
  </r>
  <r>
    <x v="5"/>
    <x v="1"/>
  </r>
  <r>
    <x v="7"/>
    <x v="1"/>
  </r>
  <r>
    <x v="26"/>
    <x v="1"/>
  </r>
  <r>
    <x v="29"/>
    <x v="1"/>
  </r>
  <r>
    <x v="5"/>
    <x v="1"/>
  </r>
  <r>
    <x v="24"/>
    <x v="1"/>
  </r>
  <r>
    <x v="28"/>
    <x v="1"/>
  </r>
  <r>
    <x v="34"/>
    <x v="1"/>
  </r>
  <r>
    <x v="17"/>
    <x v="1"/>
  </r>
  <r>
    <x v="23"/>
    <x v="1"/>
  </r>
  <r>
    <x v="40"/>
    <x v="1"/>
  </r>
  <r>
    <x v="43"/>
    <x v="1"/>
  </r>
  <r>
    <x v="46"/>
    <x v="1"/>
  </r>
  <r>
    <x v="47"/>
    <x v="1"/>
  </r>
  <r>
    <x v="5"/>
    <x v="1"/>
  </r>
  <r>
    <x v="1"/>
    <x v="1"/>
  </r>
  <r>
    <x v="26"/>
    <x v="1"/>
  </r>
  <r>
    <x v="29"/>
    <x v="1"/>
  </r>
  <r>
    <x v="10"/>
    <x v="229"/>
  </r>
  <r>
    <x v="2"/>
    <x v="230"/>
  </r>
  <r>
    <x v="40"/>
    <x v="1"/>
  </r>
  <r>
    <x v="43"/>
    <x v="1"/>
  </r>
  <r>
    <x v="17"/>
    <x v="1"/>
  </r>
  <r>
    <x v="20"/>
    <x v="1"/>
  </r>
  <r>
    <x v="12"/>
    <x v="231"/>
  </r>
  <r>
    <x v="4"/>
    <x v="232"/>
  </r>
  <r>
    <x v="5"/>
    <x v="1"/>
  </r>
  <r>
    <x v="7"/>
    <x v="1"/>
  </r>
  <r>
    <x v="38"/>
    <x v="233"/>
  </r>
  <r>
    <x v="5"/>
    <x v="234"/>
  </r>
  <r>
    <x v="40"/>
    <x v="235"/>
  </r>
  <r>
    <x v="43"/>
    <x v="236"/>
  </r>
  <r>
    <x v="10"/>
    <x v="1"/>
  </r>
  <r>
    <x v="2"/>
    <x v="1"/>
  </r>
  <r>
    <x v="10"/>
    <x v="1"/>
  </r>
  <r>
    <x v="2"/>
    <x v="1"/>
  </r>
  <r>
    <x v="16"/>
    <x v="1"/>
  </r>
  <r>
    <x v="19"/>
    <x v="1"/>
  </r>
  <r>
    <x v="9"/>
    <x v="237"/>
  </r>
  <r>
    <x v="0"/>
    <x v="238"/>
  </r>
  <r>
    <x v="15"/>
    <x v="1"/>
  </r>
  <r>
    <x v="4"/>
    <x v="1"/>
  </r>
  <r>
    <x v="40"/>
    <x v="239"/>
  </r>
  <r>
    <x v="43"/>
    <x v="240"/>
  </r>
  <r>
    <x v="39"/>
    <x v="1"/>
  </r>
  <r>
    <x v="42"/>
    <x v="1"/>
  </r>
  <r>
    <x v="22"/>
    <x v="1"/>
  </r>
  <r>
    <x v="25"/>
    <x v="1"/>
  </r>
  <r>
    <x v="11"/>
    <x v="1"/>
  </r>
  <r>
    <x v="3"/>
    <x v="1"/>
  </r>
  <r>
    <x v="10"/>
    <x v="1"/>
  </r>
  <r>
    <x v="8"/>
    <x v="1"/>
  </r>
  <r>
    <x v="28"/>
    <x v="1"/>
  </r>
  <r>
    <x v="34"/>
    <x v="1"/>
  </r>
  <r>
    <x v="31"/>
    <x v="1"/>
  </r>
  <r>
    <x v="36"/>
    <x v="1"/>
  </r>
  <r>
    <x v="10"/>
    <x v="241"/>
  </r>
  <r>
    <x v="8"/>
    <x v="242"/>
  </r>
  <r>
    <x v="15"/>
    <x v="1"/>
  </r>
  <r>
    <x v="4"/>
    <x v="1"/>
  </r>
  <r>
    <x v="26"/>
    <x v="1"/>
  </r>
  <r>
    <x v="29"/>
    <x v="1"/>
  </r>
  <r>
    <x v="11"/>
    <x v="1"/>
  </r>
  <r>
    <x v="3"/>
    <x v="1"/>
  </r>
  <r>
    <x v="35"/>
    <x v="1"/>
  </r>
  <r>
    <x v="0"/>
    <x v="1"/>
  </r>
  <r>
    <x v="46"/>
    <x v="1"/>
  </r>
  <r>
    <x v="47"/>
    <x v="1"/>
  </r>
  <r>
    <x v="9"/>
    <x v="1"/>
  </r>
  <r>
    <x v="0"/>
    <x v="1"/>
  </r>
  <r>
    <x v="1"/>
    <x v="1"/>
  </r>
  <r>
    <x v="35"/>
    <x v="1"/>
  </r>
  <r>
    <x v="47"/>
    <x v="1"/>
  </r>
  <r>
    <x v="34"/>
    <x v="1"/>
  </r>
  <r>
    <x v="33"/>
    <x v="1"/>
  </r>
  <r>
    <x v="11"/>
    <x v="1"/>
  </r>
  <r>
    <x v="9"/>
    <x v="1"/>
  </r>
  <r>
    <x v="15"/>
    <x v="1"/>
  </r>
  <r>
    <x v="13"/>
    <x v="1"/>
  </r>
  <r>
    <x v="34"/>
    <x v="1"/>
  </r>
  <r>
    <x v="40"/>
    <x v="243"/>
  </r>
  <r>
    <x v="10"/>
    <x v="1"/>
  </r>
  <r>
    <x v="7"/>
    <x v="1"/>
  </r>
  <r>
    <x v="6"/>
    <x v="1"/>
  </r>
  <r>
    <x v="3"/>
    <x v="1"/>
  </r>
  <r>
    <x v="34"/>
    <x v="1"/>
  </r>
  <r>
    <x v="22"/>
    <x v="1"/>
  </r>
  <r>
    <x v="46"/>
    <x v="1"/>
  </r>
  <r>
    <x v="4"/>
    <x v="244"/>
  </r>
  <r>
    <x v="43"/>
    <x v="245"/>
  </r>
  <r>
    <x v="5"/>
    <x v="1"/>
  </r>
  <r>
    <x v="5"/>
    <x v="246"/>
  </r>
  <r>
    <x v="11"/>
    <x v="1"/>
  </r>
  <r>
    <x v="13"/>
    <x v="247"/>
  </r>
  <r>
    <x v="34"/>
    <x v="1"/>
  </r>
  <r>
    <x v="40"/>
    <x v="1"/>
  </r>
  <r>
    <x v="2"/>
    <x v="1"/>
  </r>
  <r>
    <x v="25"/>
    <x v="248"/>
  </r>
  <r>
    <x v="0"/>
    <x v="1"/>
  </r>
  <r>
    <x v="30"/>
    <x v="1"/>
  </r>
  <r>
    <x v="37"/>
    <x v="1"/>
  </r>
  <r>
    <x v="3"/>
    <x v="1"/>
  </r>
  <r>
    <x v="0"/>
    <x v="1"/>
  </r>
  <r>
    <x v="4"/>
    <x v="1"/>
  </r>
  <r>
    <x v="10"/>
    <x v="1"/>
  </r>
  <r>
    <x v="5"/>
    <x v="1"/>
  </r>
  <r>
    <x v="43"/>
    <x v="249"/>
  </r>
  <r>
    <x v="28"/>
    <x v="250"/>
  </r>
  <r>
    <x v="8"/>
    <x v="1"/>
  </r>
  <r>
    <x v="25"/>
    <x v="1"/>
  </r>
  <r>
    <x v="47"/>
    <x v="1"/>
  </r>
  <r>
    <x v="15"/>
    <x v="251"/>
  </r>
  <r>
    <x v="7"/>
    <x v="1"/>
  </r>
  <r>
    <x v="26"/>
    <x v="1"/>
  </r>
  <r>
    <x v="10"/>
    <x v="1"/>
  </r>
  <r>
    <x v="15"/>
    <x v="1"/>
  </r>
  <r>
    <x v="3"/>
    <x v="1"/>
  </r>
  <r>
    <x v="5"/>
    <x v="252"/>
  </r>
  <r>
    <x v="43"/>
    <x v="1"/>
  </r>
  <r>
    <x v="28"/>
    <x v="253"/>
  </r>
  <r>
    <x v="30"/>
    <x v="1"/>
  </r>
  <r>
    <x v="10"/>
    <x v="1"/>
  </r>
  <r>
    <x v="17"/>
    <x v="1"/>
  </r>
  <r>
    <x v="22"/>
    <x v="254"/>
  </r>
  <r>
    <x v="5"/>
    <x v="1"/>
  </r>
  <r>
    <x v="26"/>
    <x v="1"/>
  </r>
  <r>
    <x v="21"/>
    <x v="1"/>
  </r>
  <r>
    <x v="9"/>
    <x v="1"/>
  </r>
  <r>
    <x v="15"/>
    <x v="1"/>
  </r>
  <r>
    <x v="8"/>
    <x v="1"/>
  </r>
  <r>
    <x v="13"/>
    <x v="1"/>
  </r>
  <r>
    <x v="41"/>
    <x v="1"/>
  </r>
  <r>
    <x v="34"/>
    <x v="255"/>
  </r>
  <r>
    <x v="13"/>
    <x v="1"/>
  </r>
  <r>
    <x v="5"/>
    <x v="1"/>
  </r>
  <r>
    <x v="40"/>
    <x v="1"/>
  </r>
  <r>
    <x v="4"/>
    <x v="256"/>
  </r>
  <r>
    <x v="29"/>
    <x v="1"/>
  </r>
  <r>
    <x v="12"/>
    <x v="1"/>
  </r>
  <r>
    <x v="8"/>
    <x v="1"/>
  </r>
  <r>
    <x v="4"/>
    <x v="1"/>
  </r>
  <r>
    <x v="10"/>
    <x v="1"/>
  </r>
  <r>
    <x v="46"/>
    <x v="1"/>
  </r>
  <r>
    <x v="40"/>
    <x v="92"/>
  </r>
  <r>
    <x v="5"/>
    <x v="1"/>
  </r>
  <r>
    <x v="34"/>
    <x v="257"/>
  </r>
  <r>
    <x v="21"/>
    <x v="1"/>
  </r>
  <r>
    <x v="2"/>
    <x v="1"/>
  </r>
  <r>
    <x v="20"/>
    <x v="1"/>
  </r>
  <r>
    <x v="25"/>
    <x v="258"/>
  </r>
  <r>
    <x v="50"/>
    <x v="1"/>
  </r>
  <r>
    <x v="10"/>
    <x v="1"/>
  </r>
  <r>
    <x v="1"/>
    <x v="1"/>
  </r>
  <r>
    <x v="29"/>
    <x v="1"/>
  </r>
  <r>
    <x v="0"/>
    <x v="1"/>
  </r>
  <r>
    <x v="4"/>
    <x v="1"/>
  </r>
  <r>
    <x v="10"/>
    <x v="1"/>
  </r>
  <r>
    <x v="21"/>
    <x v="1"/>
  </r>
  <r>
    <x v="5"/>
    <x v="1"/>
  </r>
  <r>
    <x v="27"/>
    <x v="1"/>
  </r>
  <r>
    <x v="5"/>
    <x v="1"/>
  </r>
  <r>
    <x v="7"/>
    <x v="1"/>
  </r>
  <r>
    <x v="53"/>
    <x v="1"/>
  </r>
  <r>
    <x v="40"/>
    <x v="259"/>
  </r>
  <r>
    <x v="4"/>
    <x v="1"/>
  </r>
  <r>
    <x v="8"/>
    <x v="1"/>
  </r>
  <r>
    <x v="47"/>
    <x v="1"/>
  </r>
  <r>
    <x v="17"/>
    <x v="1"/>
  </r>
  <r>
    <x v="43"/>
    <x v="93"/>
  </r>
  <r>
    <x v="7"/>
    <x v="1"/>
  </r>
  <r>
    <x v="12"/>
    <x v="260"/>
  </r>
  <r>
    <x v="40"/>
    <x v="1"/>
  </r>
  <r>
    <x v="13"/>
    <x v="1"/>
  </r>
  <r>
    <x v="13"/>
    <x v="1"/>
  </r>
  <r>
    <x v="51"/>
    <x v="1"/>
  </r>
  <r>
    <x v="2"/>
    <x v="1"/>
  </r>
  <r>
    <x v="28"/>
    <x v="1"/>
  </r>
  <r>
    <x v="50"/>
    <x v="1"/>
  </r>
  <r>
    <x v="8"/>
    <x v="1"/>
  </r>
  <r>
    <x v="55"/>
    <x v="1"/>
  </r>
  <r>
    <x v="35"/>
    <x v="1"/>
  </r>
  <r>
    <x v="43"/>
    <x v="261"/>
  </r>
  <r>
    <x v="10"/>
    <x v="1"/>
  </r>
  <r>
    <x v="11"/>
    <x v="1"/>
  </r>
  <r>
    <x v="5"/>
    <x v="262"/>
  </r>
  <r>
    <x v="23"/>
    <x v="1"/>
  </r>
  <r>
    <x v="11"/>
    <x v="1"/>
  </r>
  <r>
    <x v="4"/>
    <x v="263"/>
  </r>
  <r>
    <x v="43"/>
    <x v="1"/>
  </r>
  <r>
    <x v="5"/>
    <x v="1"/>
  </r>
  <r>
    <x v="15"/>
    <x v="1"/>
  </r>
  <r>
    <x v="5"/>
    <x v="1"/>
  </r>
  <r>
    <x v="34"/>
    <x v="1"/>
  </r>
  <r>
    <x v="51"/>
    <x v="1"/>
  </r>
  <r>
    <x v="30"/>
    <x v="1"/>
  </r>
  <r>
    <x v="5"/>
    <x v="1"/>
  </r>
  <r>
    <x v="12"/>
    <x v="1"/>
  </r>
  <r>
    <x v="0"/>
    <x v="1"/>
  </r>
  <r>
    <x v="8"/>
    <x v="1"/>
  </r>
  <r>
    <x v="3"/>
    <x v="1"/>
  </r>
  <r>
    <x v="28"/>
    <x v="1"/>
  </r>
  <r>
    <x v="7"/>
    <x v="264"/>
  </r>
  <r>
    <x v="18"/>
    <x v="1"/>
  </r>
  <r>
    <x v="5"/>
    <x v="1"/>
  </r>
  <r>
    <x v="46"/>
    <x v="1"/>
  </r>
  <r>
    <x v="3"/>
    <x v="1"/>
  </r>
  <r>
    <x v="26"/>
    <x v="1"/>
  </r>
  <r>
    <x v="5"/>
    <x v="1"/>
  </r>
  <r>
    <x v="4"/>
    <x v="1"/>
  </r>
  <r>
    <x v="21"/>
    <x v="1"/>
  </r>
  <r>
    <x v="1"/>
    <x v="1"/>
  </r>
  <r>
    <x v="4"/>
    <x v="1"/>
  </r>
  <r>
    <x v="33"/>
    <x v="1"/>
  </r>
  <r>
    <x v="5"/>
    <x v="1"/>
  </r>
  <r>
    <x v="34"/>
    <x v="1"/>
  </r>
  <r>
    <x v="21"/>
    <x v="1"/>
  </r>
  <r>
    <x v="7"/>
    <x v="1"/>
  </r>
  <r>
    <x v="47"/>
    <x v="1"/>
  </r>
  <r>
    <x v="22"/>
    <x v="1"/>
  </r>
  <r>
    <x v="5"/>
    <x v="1"/>
  </r>
  <r>
    <x v="29"/>
    <x v="1"/>
  </r>
  <r>
    <x v="10"/>
    <x v="1"/>
  </r>
  <r>
    <x v="1"/>
    <x v="1"/>
  </r>
  <r>
    <x v="13"/>
    <x v="1"/>
  </r>
  <r>
    <x v="31"/>
    <x v="265"/>
  </r>
  <r>
    <x v="10"/>
    <x v="1"/>
  </r>
  <r>
    <x v="48"/>
    <x v="1"/>
  </r>
  <r>
    <x v="37"/>
    <x v="1"/>
  </r>
  <r>
    <x v="12"/>
    <x v="1"/>
  </r>
  <r>
    <x v="7"/>
    <x v="1"/>
  </r>
  <r>
    <x v="10"/>
    <x v="1"/>
  </r>
  <r>
    <x v="31"/>
    <x v="1"/>
  </r>
  <r>
    <x v="18"/>
    <x v="266"/>
  </r>
  <r>
    <x v="25"/>
    <x v="1"/>
  </r>
  <r>
    <x v="1"/>
    <x v="1"/>
  </r>
  <r>
    <x v="2"/>
    <x v="1"/>
  </r>
  <r>
    <x v="10"/>
    <x v="1"/>
  </r>
  <r>
    <x v="50"/>
    <x v="1"/>
  </r>
  <r>
    <x v="5"/>
    <x v="1"/>
  </r>
  <r>
    <x v="36"/>
    <x v="267"/>
  </r>
  <r>
    <x v="11"/>
    <x v="1"/>
  </r>
  <r>
    <x v="2"/>
    <x v="1"/>
  </r>
  <r>
    <x v="10"/>
    <x v="1"/>
  </r>
  <r>
    <x v="9"/>
    <x v="1"/>
  </r>
  <r>
    <x v="17"/>
    <x v="1"/>
  </r>
  <r>
    <x v="22"/>
    <x v="1"/>
  </r>
  <r>
    <x v="26"/>
    <x v="1"/>
  </r>
  <r>
    <x v="5"/>
    <x v="1"/>
  </r>
  <r>
    <x v="49"/>
    <x v="1"/>
  </r>
  <r>
    <x v="26"/>
    <x v="1"/>
  </r>
  <r>
    <x v="4"/>
    <x v="1"/>
  </r>
  <r>
    <x v="2"/>
    <x v="1"/>
  </r>
  <r>
    <x v="36"/>
    <x v="1"/>
  </r>
  <r>
    <x v="13"/>
    <x v="1"/>
  </r>
  <r>
    <x v="21"/>
    <x v="268"/>
  </r>
  <r>
    <x v="14"/>
    <x v="1"/>
  </r>
  <r>
    <x v="5"/>
    <x v="1"/>
  </r>
  <r>
    <x v="8"/>
    <x v="1"/>
  </r>
  <r>
    <x v="51"/>
    <x v="1"/>
  </r>
  <r>
    <x v="27"/>
    <x v="269"/>
  </r>
  <r>
    <x v="3"/>
    <x v="1"/>
  </r>
  <r>
    <x v="10"/>
    <x v="1"/>
  </r>
  <r>
    <x v="2"/>
    <x v="1"/>
  </r>
  <r>
    <x v="0"/>
    <x v="1"/>
  </r>
  <r>
    <x v="20"/>
    <x v="1"/>
  </r>
  <r>
    <x v="25"/>
    <x v="1"/>
  </r>
  <r>
    <x v="29"/>
    <x v="1"/>
  </r>
  <r>
    <x v="7"/>
    <x v="1"/>
  </r>
  <r>
    <x v="29"/>
    <x v="1"/>
  </r>
  <r>
    <x v="15"/>
    <x v="1"/>
  </r>
  <r>
    <x v="5"/>
    <x v="1"/>
  </r>
  <r>
    <x v="50"/>
    <x v="1"/>
  </r>
  <r>
    <x v="6"/>
    <x v="1"/>
  </r>
  <r>
    <x v="1"/>
    <x v="1"/>
  </r>
  <r>
    <x v="26"/>
    <x v="1"/>
  </r>
  <r>
    <x v="50"/>
    <x v="1"/>
  </r>
  <r>
    <x v="32"/>
    <x v="270"/>
  </r>
  <r>
    <x v="2"/>
    <x v="1"/>
  </r>
  <r>
    <x v="46"/>
    <x v="1"/>
  </r>
  <r>
    <x v="4"/>
    <x v="1"/>
  </r>
  <r>
    <x v="18"/>
    <x v="271"/>
  </r>
  <r>
    <x v="26"/>
    <x v="1"/>
  </r>
  <r>
    <x v="22"/>
    <x v="272"/>
  </r>
  <r>
    <x v="51"/>
    <x v="1"/>
  </r>
  <r>
    <x v="17"/>
    <x v="1"/>
  </r>
  <r>
    <x v="26"/>
    <x v="1"/>
  </r>
  <r>
    <x v="29"/>
    <x v="1"/>
  </r>
  <r>
    <x v="28"/>
    <x v="1"/>
  </r>
  <r>
    <x v="34"/>
    <x v="1"/>
  </r>
  <r>
    <x v="26"/>
    <x v="1"/>
  </r>
  <r>
    <x v="29"/>
    <x v="1"/>
  </r>
  <r>
    <x v="26"/>
    <x v="1"/>
  </r>
  <r>
    <x v="29"/>
    <x v="1"/>
  </r>
  <r>
    <x v="26"/>
    <x v="1"/>
  </r>
  <r>
    <x v="29"/>
    <x v="1"/>
  </r>
  <r>
    <x v="5"/>
    <x v="1"/>
  </r>
  <r>
    <x v="7"/>
    <x v="1"/>
  </r>
  <r>
    <x v="12"/>
    <x v="1"/>
  </r>
  <r>
    <x v="4"/>
    <x v="1"/>
  </r>
  <r>
    <x v="9"/>
    <x v="1"/>
  </r>
  <r>
    <x v="0"/>
    <x v="1"/>
  </r>
  <r>
    <x v="46"/>
    <x v="1"/>
  </r>
  <r>
    <x v="47"/>
    <x v="1"/>
  </r>
  <r>
    <x v="50"/>
    <x v="1"/>
  </r>
  <r>
    <x v="51"/>
    <x v="1"/>
  </r>
  <r>
    <x v="17"/>
    <x v="1"/>
  </r>
  <r>
    <x v="20"/>
    <x v="1"/>
  </r>
  <r>
    <x v="16"/>
    <x v="1"/>
  </r>
  <r>
    <x v="19"/>
    <x v="1"/>
  </r>
  <r>
    <x v="18"/>
    <x v="273"/>
  </r>
  <r>
    <x v="21"/>
    <x v="274"/>
  </r>
  <r>
    <x v="33"/>
    <x v="1"/>
  </r>
  <r>
    <x v="37"/>
    <x v="1"/>
  </r>
  <r>
    <x v="13"/>
    <x v="1"/>
  </r>
  <r>
    <x v="5"/>
    <x v="1"/>
  </r>
  <r>
    <x v="48"/>
    <x v="275"/>
  </r>
  <r>
    <x v="49"/>
    <x v="276"/>
  </r>
  <r>
    <x v="46"/>
    <x v="1"/>
  </r>
  <r>
    <x v="47"/>
    <x v="1"/>
  </r>
  <r>
    <x v="17"/>
    <x v="1"/>
  </r>
  <r>
    <x v="23"/>
    <x v="1"/>
  </r>
  <r>
    <x v="14"/>
    <x v="1"/>
  </r>
  <r>
    <x v="6"/>
    <x v="1"/>
  </r>
  <r>
    <x v="5"/>
    <x v="1"/>
  </r>
  <r>
    <x v="7"/>
    <x v="1"/>
  </r>
  <r>
    <x v="10"/>
    <x v="1"/>
  </r>
  <r>
    <x v="2"/>
    <x v="1"/>
  </r>
  <r>
    <x v="14"/>
    <x v="1"/>
  </r>
  <r>
    <x v="6"/>
    <x v="1"/>
  </r>
  <r>
    <x v="40"/>
    <x v="1"/>
  </r>
  <r>
    <x v="43"/>
    <x v="1"/>
  </r>
  <r>
    <x v="11"/>
    <x v="1"/>
  </r>
  <r>
    <x v="3"/>
    <x v="1"/>
  </r>
  <r>
    <x v="28"/>
    <x v="1"/>
  </r>
  <r>
    <x v="34"/>
    <x v="1"/>
  </r>
  <r>
    <x v="40"/>
    <x v="277"/>
  </r>
  <r>
    <x v="43"/>
    <x v="278"/>
  </r>
  <r>
    <x v="13"/>
    <x v="1"/>
  </r>
  <r>
    <x v="5"/>
    <x v="1"/>
  </r>
  <r>
    <x v="13"/>
    <x v="1"/>
  </r>
  <r>
    <x v="5"/>
    <x v="1"/>
  </r>
  <r>
    <x v="5"/>
    <x v="1"/>
  </r>
  <r>
    <x v="7"/>
    <x v="1"/>
  </r>
  <r>
    <x v="12"/>
    <x v="279"/>
  </r>
  <r>
    <x v="4"/>
    <x v="280"/>
  </r>
  <r>
    <x v="5"/>
    <x v="1"/>
  </r>
  <r>
    <x v="1"/>
    <x v="1"/>
  </r>
  <r>
    <x v="40"/>
    <x v="1"/>
  </r>
  <r>
    <x v="43"/>
    <x v="1"/>
  </r>
  <r>
    <x v="13"/>
    <x v="1"/>
  </r>
  <r>
    <x v="5"/>
    <x v="1"/>
  </r>
  <r>
    <x v="13"/>
    <x v="281"/>
  </r>
  <r>
    <x v="5"/>
    <x v="282"/>
  </r>
  <r>
    <x v="26"/>
    <x v="1"/>
  </r>
  <r>
    <x v="29"/>
    <x v="1"/>
  </r>
  <r>
    <x v="10"/>
    <x v="1"/>
  </r>
  <r>
    <x v="2"/>
    <x v="1"/>
  </r>
  <r>
    <x v="35"/>
    <x v="1"/>
  </r>
  <r>
    <x v="0"/>
    <x v="1"/>
  </r>
  <r>
    <x v="5"/>
    <x v="1"/>
  </r>
  <r>
    <x v="7"/>
    <x v="1"/>
  </r>
  <r>
    <x v="31"/>
    <x v="1"/>
  </r>
  <r>
    <x v="36"/>
    <x v="1"/>
  </r>
  <r>
    <x v="15"/>
    <x v="283"/>
  </r>
  <r>
    <x v="4"/>
    <x v="284"/>
  </r>
  <r>
    <x v="5"/>
    <x v="1"/>
  </r>
  <r>
    <x v="1"/>
    <x v="1"/>
  </r>
  <r>
    <x v="16"/>
    <x v="1"/>
  </r>
  <r>
    <x v="19"/>
    <x v="1"/>
  </r>
  <r>
    <x v="9"/>
    <x v="1"/>
  </r>
  <r>
    <x v="0"/>
    <x v="1"/>
  </r>
  <r>
    <x v="27"/>
    <x v="1"/>
  </r>
  <r>
    <x v="32"/>
    <x v="1"/>
  </r>
  <r>
    <x v="30"/>
    <x v="1"/>
  </r>
  <r>
    <x v="21"/>
    <x v="1"/>
  </r>
  <r>
    <x v="26"/>
    <x v="1"/>
  </r>
  <r>
    <x v="29"/>
    <x v="1"/>
  </r>
  <r>
    <x v="33"/>
    <x v="1"/>
  </r>
  <r>
    <x v="37"/>
    <x v="1"/>
  </r>
  <r>
    <x v="10"/>
    <x v="1"/>
  </r>
  <r>
    <x v="8"/>
    <x v="1"/>
  </r>
  <r>
    <x v="28"/>
    <x v="1"/>
  </r>
  <r>
    <x v="34"/>
    <x v="1"/>
  </r>
  <r>
    <x v="5"/>
    <x v="1"/>
  </r>
  <r>
    <x v="1"/>
    <x v="1"/>
  </r>
  <r>
    <x v="10"/>
    <x v="285"/>
  </r>
  <r>
    <x v="2"/>
    <x v="286"/>
  </r>
  <r>
    <x v="5"/>
    <x v="1"/>
  </r>
  <r>
    <x v="7"/>
    <x v="1"/>
  </r>
  <r>
    <x v="22"/>
    <x v="1"/>
  </r>
  <r>
    <x v="25"/>
    <x v="1"/>
  </r>
  <r>
    <x v="12"/>
    <x v="1"/>
  </r>
  <r>
    <x v="4"/>
    <x v="1"/>
  </r>
  <r>
    <x v="5"/>
    <x v="1"/>
  </r>
  <r>
    <x v="24"/>
    <x v="1"/>
  </r>
  <r>
    <x v="5"/>
    <x v="1"/>
  </r>
  <r>
    <x v="1"/>
    <x v="1"/>
  </r>
  <r>
    <x v="10"/>
    <x v="1"/>
  </r>
  <r>
    <x v="8"/>
    <x v="1"/>
  </r>
  <r>
    <x v="13"/>
    <x v="1"/>
  </r>
  <r>
    <x v="5"/>
    <x v="1"/>
  </r>
  <r>
    <x v="28"/>
    <x v="1"/>
  </r>
  <r>
    <x v="34"/>
    <x v="1"/>
  </r>
  <r>
    <x v="5"/>
    <x v="1"/>
  </r>
  <r>
    <x v="7"/>
    <x v="1"/>
  </r>
  <r>
    <x v="12"/>
    <x v="1"/>
  </r>
  <r>
    <x v="4"/>
    <x v="1"/>
  </r>
  <r>
    <x v="12"/>
    <x v="1"/>
  </r>
  <r>
    <x v="4"/>
    <x v="1"/>
  </r>
  <r>
    <x v="10"/>
    <x v="1"/>
  </r>
  <r>
    <x v="8"/>
    <x v="1"/>
  </r>
  <r>
    <x v="22"/>
    <x v="287"/>
  </r>
  <r>
    <x v="25"/>
    <x v="288"/>
  </r>
  <r>
    <x v="40"/>
    <x v="1"/>
  </r>
  <r>
    <x v="43"/>
    <x v="1"/>
  </r>
  <r>
    <x v="31"/>
    <x v="1"/>
  </r>
  <r>
    <x v="36"/>
    <x v="1"/>
  </r>
  <r>
    <x v="26"/>
    <x v="1"/>
  </r>
  <r>
    <x v="29"/>
    <x v="1"/>
  </r>
  <r>
    <x v="5"/>
    <x v="1"/>
  </r>
  <r>
    <x v="1"/>
    <x v="1"/>
  </r>
  <r>
    <x v="10"/>
    <x v="1"/>
  </r>
  <r>
    <x v="2"/>
    <x v="1"/>
  </r>
  <r>
    <x v="10"/>
    <x v="1"/>
  </r>
  <r>
    <x v="8"/>
    <x v="1"/>
  </r>
  <r>
    <x v="17"/>
    <x v="1"/>
  </r>
  <r>
    <x v="23"/>
    <x v="1"/>
  </r>
  <r>
    <x v="10"/>
    <x v="289"/>
  </r>
  <r>
    <x v="2"/>
    <x v="290"/>
  </r>
  <r>
    <x v="13"/>
    <x v="1"/>
  </r>
  <r>
    <x v="5"/>
    <x v="1"/>
  </r>
  <r>
    <x v="46"/>
    <x v="1"/>
  </r>
  <r>
    <x v="47"/>
    <x v="1"/>
  </r>
  <r>
    <x v="41"/>
    <x v="1"/>
  </r>
  <r>
    <x v="27"/>
    <x v="1"/>
  </r>
  <r>
    <x v="40"/>
    <x v="1"/>
  </r>
  <r>
    <x v="43"/>
    <x v="1"/>
  </r>
  <r>
    <x v="40"/>
    <x v="1"/>
  </r>
  <r>
    <x v="43"/>
    <x v="1"/>
  </r>
  <r>
    <x v="10"/>
    <x v="1"/>
  </r>
  <r>
    <x v="8"/>
    <x v="1"/>
  </r>
  <r>
    <x v="18"/>
    <x v="1"/>
  </r>
  <r>
    <x v="21"/>
    <x v="1"/>
  </r>
  <r>
    <x v="5"/>
    <x v="1"/>
  </r>
  <r>
    <x v="7"/>
    <x v="1"/>
  </r>
  <r>
    <x v="13"/>
    <x v="291"/>
  </r>
  <r>
    <x v="5"/>
    <x v="292"/>
  </r>
  <r>
    <x v="17"/>
    <x v="1"/>
  </r>
  <r>
    <x v="23"/>
    <x v="1"/>
  </r>
  <r>
    <x v="14"/>
    <x v="1"/>
  </r>
  <r>
    <x v="6"/>
    <x v="1"/>
  </r>
  <r>
    <x v="40"/>
    <x v="1"/>
  </r>
  <r>
    <x v="43"/>
    <x v="1"/>
  </r>
  <r>
    <x v="5"/>
    <x v="1"/>
  </r>
  <r>
    <x v="7"/>
    <x v="1"/>
  </r>
  <r>
    <x v="26"/>
    <x v="1"/>
  </r>
  <r>
    <x v="29"/>
    <x v="1"/>
  </r>
  <r>
    <x v="11"/>
    <x v="1"/>
  </r>
  <r>
    <x v="3"/>
    <x v="1"/>
  </r>
  <r>
    <x v="22"/>
    <x v="1"/>
  </r>
  <r>
    <x v="25"/>
    <x v="1"/>
  </r>
  <r>
    <x v="40"/>
    <x v="1"/>
  </r>
  <r>
    <x v="43"/>
    <x v="1"/>
  </r>
  <r>
    <x v="26"/>
    <x v="1"/>
  </r>
  <r>
    <x v="29"/>
    <x v="1"/>
  </r>
  <r>
    <x v="5"/>
    <x v="1"/>
  </r>
  <r>
    <x v="1"/>
    <x v="1"/>
  </r>
  <r>
    <x v="12"/>
    <x v="293"/>
  </r>
  <r>
    <x v="4"/>
    <x v="294"/>
  </r>
  <r>
    <x v="15"/>
    <x v="1"/>
  </r>
  <r>
    <x v="4"/>
    <x v="1"/>
  </r>
  <r>
    <x v="5"/>
    <x v="1"/>
  </r>
  <r>
    <x v="7"/>
    <x v="1"/>
  </r>
  <r>
    <x v="33"/>
    <x v="1"/>
  </r>
  <r>
    <x v="37"/>
    <x v="1"/>
  </r>
  <r>
    <x v="28"/>
    <x v="1"/>
  </r>
  <r>
    <x v="34"/>
    <x v="1"/>
  </r>
  <r>
    <x v="10"/>
    <x v="295"/>
  </r>
  <r>
    <x v="2"/>
    <x v="296"/>
  </r>
  <r>
    <x v="5"/>
    <x v="1"/>
  </r>
  <r>
    <x v="7"/>
    <x v="1"/>
  </r>
  <r>
    <x v="28"/>
    <x v="1"/>
  </r>
  <r>
    <x v="34"/>
    <x v="1"/>
  </r>
  <r>
    <x v="12"/>
    <x v="1"/>
  </r>
  <r>
    <x v="4"/>
    <x v="1"/>
  </r>
  <r>
    <x v="26"/>
    <x v="1"/>
  </r>
  <r>
    <x v="29"/>
    <x v="1"/>
  </r>
  <r>
    <x v="10"/>
    <x v="1"/>
  </r>
  <r>
    <x v="2"/>
    <x v="1"/>
  </r>
  <r>
    <x v="5"/>
    <x v="1"/>
  </r>
  <r>
    <x v="7"/>
    <x v="1"/>
  </r>
  <r>
    <x v="14"/>
    <x v="1"/>
  </r>
  <r>
    <x v="6"/>
    <x v="1"/>
  </r>
  <r>
    <x v="15"/>
    <x v="1"/>
  </r>
  <r>
    <x v="4"/>
    <x v="1"/>
  </r>
  <r>
    <x v="16"/>
    <x v="1"/>
  </r>
  <r>
    <x v="19"/>
    <x v="1"/>
  </r>
  <r>
    <x v="10"/>
    <x v="1"/>
  </r>
  <r>
    <x v="2"/>
    <x v="1"/>
  </r>
  <r>
    <x v="40"/>
    <x v="1"/>
  </r>
  <r>
    <x v="29"/>
    <x v="1"/>
  </r>
  <r>
    <x v="26"/>
    <x v="297"/>
  </r>
  <r>
    <x v="51"/>
    <x v="1"/>
  </r>
  <r>
    <x v="5"/>
    <x v="1"/>
  </r>
  <r>
    <x v="13"/>
    <x v="298"/>
  </r>
  <r>
    <x v="5"/>
    <x v="1"/>
  </r>
  <r>
    <x v="11"/>
    <x v="1"/>
  </r>
  <r>
    <x v="28"/>
    <x v="299"/>
  </r>
  <r>
    <x v="47"/>
    <x v="1"/>
  </r>
  <r>
    <x v="50"/>
    <x v="1"/>
  </r>
  <r>
    <x v="46"/>
    <x v="1"/>
  </r>
  <r>
    <x v="21"/>
    <x v="300"/>
  </r>
  <r>
    <x v="29"/>
    <x v="1"/>
  </r>
  <r>
    <x v="15"/>
    <x v="301"/>
  </r>
  <r>
    <x v="25"/>
    <x v="302"/>
  </r>
  <r>
    <x v="23"/>
    <x v="1"/>
  </r>
  <r>
    <x v="29"/>
    <x v="303"/>
  </r>
  <r>
    <x v="7"/>
    <x v="1"/>
  </r>
  <r>
    <x v="5"/>
    <x v="304"/>
  </r>
  <r>
    <x v="35"/>
    <x v="1"/>
  </r>
  <r>
    <x v="1"/>
    <x v="1"/>
  </r>
  <r>
    <x v="5"/>
    <x v="1"/>
  </r>
  <r>
    <x v="17"/>
    <x v="1"/>
  </r>
  <r>
    <x v="3"/>
    <x v="1"/>
  </r>
  <r>
    <x v="34"/>
    <x v="305"/>
  </r>
  <r>
    <x v="51"/>
    <x v="1"/>
  </r>
  <r>
    <x v="26"/>
    <x v="1"/>
  </r>
  <r>
    <x v="47"/>
    <x v="1"/>
  </r>
  <r>
    <x v="5"/>
    <x v="1"/>
  </r>
  <r>
    <x v="46"/>
    <x v="306"/>
  </r>
  <r>
    <x v="5"/>
    <x v="1"/>
  </r>
  <r>
    <x v="4"/>
    <x v="307"/>
  </r>
  <r>
    <x v="28"/>
    <x v="308"/>
  </r>
  <r>
    <x v="5"/>
    <x v="1"/>
  </r>
  <r>
    <x v="40"/>
    <x v="1"/>
  </r>
  <r>
    <x v="11"/>
    <x v="1"/>
  </r>
  <r>
    <x v="0"/>
    <x v="1"/>
  </r>
  <r>
    <x v="50"/>
    <x v="1"/>
  </r>
  <r>
    <x v="10"/>
    <x v="1"/>
  </r>
  <r>
    <x v="1"/>
    <x v="1"/>
  </r>
  <r>
    <x v="23"/>
    <x v="1"/>
  </r>
  <r>
    <x v="29"/>
    <x v="1"/>
  </r>
  <r>
    <x v="7"/>
    <x v="1"/>
  </r>
  <r>
    <x v="47"/>
    <x v="309"/>
  </r>
  <r>
    <x v="7"/>
    <x v="1"/>
  </r>
  <r>
    <x v="34"/>
    <x v="310"/>
  </r>
  <r>
    <x v="26"/>
    <x v="1"/>
  </r>
  <r>
    <x v="13"/>
    <x v="1"/>
  </r>
  <r>
    <x v="7"/>
    <x v="1"/>
  </r>
  <r>
    <x v="43"/>
    <x v="1"/>
  </r>
  <r>
    <x v="3"/>
    <x v="1"/>
  </r>
  <r>
    <x v="51"/>
    <x v="1"/>
  </r>
  <r>
    <x v="2"/>
    <x v="1"/>
  </r>
  <r>
    <x v="44"/>
    <x v="311"/>
  </r>
  <r>
    <x v="28"/>
    <x v="1"/>
  </r>
  <r>
    <x v="10"/>
    <x v="1"/>
  </r>
  <r>
    <x v="29"/>
    <x v="1"/>
  </r>
  <r>
    <x v="5"/>
    <x v="1"/>
  </r>
  <r>
    <x v="17"/>
    <x v="312"/>
  </r>
  <r>
    <x v="12"/>
    <x v="1"/>
  </r>
  <r>
    <x v="22"/>
    <x v="1"/>
  </r>
  <r>
    <x v="45"/>
    <x v="313"/>
  </r>
  <r>
    <x v="15"/>
    <x v="1"/>
  </r>
  <r>
    <x v="34"/>
    <x v="1"/>
  </r>
  <r>
    <x v="11"/>
    <x v="1"/>
  </r>
  <r>
    <x v="2"/>
    <x v="1"/>
  </r>
  <r>
    <x v="23"/>
    <x v="314"/>
  </r>
  <r>
    <x v="4"/>
    <x v="1"/>
  </r>
  <r>
    <x v="18"/>
    <x v="1"/>
  </r>
  <r>
    <x v="25"/>
    <x v="1"/>
  </r>
  <r>
    <x v="4"/>
    <x v="1"/>
  </r>
  <r>
    <x v="28"/>
    <x v="1"/>
  </r>
  <r>
    <x v="10"/>
    <x v="315"/>
  </r>
  <r>
    <x v="38"/>
    <x v="1"/>
  </r>
  <r>
    <x v="3"/>
    <x v="1"/>
  </r>
  <r>
    <x v="21"/>
    <x v="1"/>
  </r>
  <r>
    <x v="26"/>
    <x v="1"/>
  </r>
  <r>
    <x v="34"/>
    <x v="1"/>
  </r>
  <r>
    <x v="8"/>
    <x v="316"/>
  </r>
  <r>
    <x v="5"/>
    <x v="1"/>
  </r>
  <r>
    <x v="17"/>
    <x v="1"/>
  </r>
  <r>
    <x v="11"/>
    <x v="1"/>
  </r>
  <r>
    <x v="10"/>
    <x v="1"/>
  </r>
  <r>
    <x v="28"/>
    <x v="1"/>
  </r>
  <r>
    <x v="15"/>
    <x v="317"/>
  </r>
  <r>
    <x v="9"/>
    <x v="1"/>
  </r>
  <r>
    <x v="10"/>
    <x v="1"/>
  </r>
  <r>
    <x v="46"/>
    <x v="1"/>
  </r>
  <r>
    <x v="29"/>
    <x v="1"/>
  </r>
  <r>
    <x v="18"/>
    <x v="1"/>
  </r>
  <r>
    <x v="17"/>
    <x v="1"/>
  </r>
  <r>
    <x v="20"/>
    <x v="1"/>
  </r>
  <r>
    <x v="3"/>
    <x v="1"/>
  </r>
  <r>
    <x v="31"/>
    <x v="1"/>
  </r>
  <r>
    <x v="11"/>
    <x v="318"/>
  </r>
  <r>
    <x v="33"/>
    <x v="1"/>
  </r>
  <r>
    <x v="17"/>
    <x v="1"/>
  </r>
  <r>
    <x v="26"/>
    <x v="1"/>
  </r>
  <r>
    <x v="14"/>
    <x v="1"/>
  </r>
  <r>
    <x v="26"/>
    <x v="1"/>
  </r>
  <r>
    <x v="8"/>
    <x v="1"/>
  </r>
  <r>
    <x v="34"/>
    <x v="1"/>
  </r>
  <r>
    <x v="4"/>
    <x v="319"/>
  </r>
  <r>
    <x v="22"/>
    <x v="1"/>
  </r>
  <r>
    <x v="0"/>
    <x v="1"/>
  </r>
  <r>
    <x v="11"/>
    <x v="1"/>
  </r>
  <r>
    <x v="14"/>
    <x v="1"/>
  </r>
  <r>
    <x v="8"/>
    <x v="1"/>
  </r>
  <r>
    <x v="15"/>
    <x v="1"/>
  </r>
  <r>
    <x v="47"/>
    <x v="1"/>
  </r>
  <r>
    <x v="13"/>
    <x v="320"/>
  </r>
  <r>
    <x v="13"/>
    <x v="1"/>
  </r>
  <r>
    <x v="17"/>
    <x v="1"/>
  </r>
  <r>
    <x v="30"/>
    <x v="1"/>
  </r>
  <r>
    <x v="21"/>
    <x v="1"/>
  </r>
  <r>
    <x v="23"/>
    <x v="1"/>
  </r>
  <r>
    <x v="11"/>
    <x v="1"/>
  </r>
  <r>
    <x v="36"/>
    <x v="1"/>
  </r>
  <r>
    <x v="3"/>
    <x v="321"/>
  </r>
  <r>
    <x v="37"/>
    <x v="1"/>
  </r>
  <r>
    <x v="23"/>
    <x v="1"/>
  </r>
  <r>
    <x v="29"/>
    <x v="1"/>
  </r>
  <r>
    <x v="6"/>
    <x v="1"/>
  </r>
  <r>
    <x v="29"/>
    <x v="1"/>
  </r>
  <r>
    <x v="25"/>
    <x v="1"/>
  </r>
  <r>
    <x v="3"/>
    <x v="1"/>
  </r>
  <r>
    <x v="6"/>
    <x v="1"/>
  </r>
  <r>
    <x v="27"/>
    <x v="1"/>
  </r>
  <r>
    <x v="4"/>
    <x v="1"/>
  </r>
  <r>
    <x v="17"/>
    <x v="1"/>
  </r>
  <r>
    <x v="40"/>
    <x v="1"/>
  </r>
  <r>
    <x v="5"/>
    <x v="1"/>
  </r>
  <r>
    <x v="13"/>
    <x v="322"/>
  </r>
  <r>
    <x v="5"/>
    <x v="323"/>
  </r>
  <r>
    <x v="22"/>
    <x v="1"/>
  </r>
  <r>
    <x v="5"/>
    <x v="1"/>
  </r>
  <r>
    <x v="23"/>
    <x v="1"/>
  </r>
  <r>
    <x v="21"/>
    <x v="1"/>
  </r>
  <r>
    <x v="35"/>
    <x v="1"/>
  </r>
  <r>
    <x v="3"/>
    <x v="1"/>
  </r>
  <r>
    <x v="12"/>
    <x v="1"/>
  </r>
  <r>
    <x v="26"/>
    <x v="324"/>
  </r>
  <r>
    <x v="5"/>
    <x v="1"/>
  </r>
  <r>
    <x v="28"/>
    <x v="1"/>
  </r>
  <r>
    <x v="11"/>
    <x v="1"/>
  </r>
  <r>
    <x v="32"/>
    <x v="1"/>
  </r>
  <r>
    <x v="23"/>
    <x v="1"/>
  </r>
  <r>
    <x v="31"/>
    <x v="1"/>
  </r>
  <r>
    <x v="43"/>
    <x v="1"/>
  </r>
  <r>
    <x v="28"/>
    <x v="1"/>
  </r>
  <r>
    <x v="7"/>
    <x v="1"/>
  </r>
  <r>
    <x v="5"/>
    <x v="325"/>
  </r>
  <r>
    <x v="25"/>
    <x v="1"/>
  </r>
  <r>
    <x v="52"/>
    <x v="326"/>
  </r>
  <r>
    <x v="48"/>
    <x v="327"/>
  </r>
  <r>
    <x v="15"/>
    <x v="1"/>
  </r>
  <r>
    <x v="0"/>
    <x v="1"/>
  </r>
  <r>
    <x v="4"/>
    <x v="1"/>
  </r>
  <r>
    <x v="29"/>
    <x v="328"/>
  </r>
  <r>
    <x v="1"/>
    <x v="1"/>
  </r>
  <r>
    <x v="40"/>
    <x v="213"/>
  </r>
  <r>
    <x v="9"/>
    <x v="1"/>
  </r>
  <r>
    <x v="34"/>
    <x v="1"/>
  </r>
  <r>
    <x v="3"/>
    <x v="1"/>
  </r>
  <r>
    <x v="26"/>
    <x v="1"/>
  </r>
  <r>
    <x v="40"/>
    <x v="1"/>
  </r>
  <r>
    <x v="36"/>
    <x v="1"/>
  </r>
  <r>
    <x v="34"/>
    <x v="1"/>
  </r>
  <r>
    <x v="26"/>
    <x v="329"/>
  </r>
  <r>
    <x v="14"/>
    <x v="1"/>
  </r>
  <r>
    <x v="10"/>
    <x v="1"/>
  </r>
  <r>
    <x v="49"/>
    <x v="330"/>
  </r>
  <r>
    <x v="4"/>
    <x v="1"/>
  </r>
  <r>
    <x v="40"/>
    <x v="1"/>
  </r>
  <r>
    <x v="39"/>
    <x v="1"/>
  </r>
  <r>
    <x v="43"/>
    <x v="214"/>
  </r>
  <r>
    <x v="0"/>
    <x v="1"/>
  </r>
  <r>
    <x v="12"/>
    <x v="331"/>
  </r>
  <r>
    <x v="9"/>
    <x v="1"/>
  </r>
  <r>
    <x v="29"/>
    <x v="1"/>
  </r>
  <r>
    <x v="43"/>
    <x v="1"/>
  </r>
  <r>
    <x v="6"/>
    <x v="1"/>
  </r>
  <r>
    <x v="8"/>
    <x v="1"/>
  </r>
  <r>
    <x v="43"/>
    <x v="1"/>
  </r>
  <r>
    <x v="33"/>
    <x v="1"/>
  </r>
  <r>
    <x v="42"/>
    <x v="1"/>
  </r>
  <r>
    <x v="50"/>
    <x v="1"/>
  </r>
  <r>
    <x v="31"/>
    <x v="1"/>
  </r>
  <r>
    <x v="26"/>
    <x v="1"/>
  </r>
  <r>
    <x v="12"/>
    <x v="332"/>
  </r>
  <r>
    <x v="4"/>
    <x v="333"/>
  </r>
  <r>
    <x v="0"/>
    <x v="1"/>
  </r>
  <r>
    <x v="11"/>
    <x v="1"/>
  </r>
  <r>
    <x v="14"/>
    <x v="1"/>
  </r>
  <r>
    <x v="5"/>
    <x v="1"/>
  </r>
  <r>
    <x v="46"/>
    <x v="334"/>
  </r>
  <r>
    <x v="10"/>
    <x v="335"/>
  </r>
  <r>
    <x v="13"/>
    <x v="336"/>
  </r>
  <r>
    <x v="5"/>
    <x v="1"/>
  </r>
  <r>
    <x v="5"/>
    <x v="1"/>
  </r>
  <r>
    <x v="13"/>
    <x v="337"/>
  </r>
  <r>
    <x v="16"/>
    <x v="1"/>
  </r>
  <r>
    <x v="30"/>
    <x v="1"/>
  </r>
  <r>
    <x v="12"/>
    <x v="1"/>
  </r>
  <r>
    <x v="37"/>
    <x v="1"/>
  </r>
  <r>
    <x v="51"/>
    <x v="1"/>
  </r>
  <r>
    <x v="36"/>
    <x v="1"/>
  </r>
  <r>
    <x v="11"/>
    <x v="1"/>
  </r>
  <r>
    <x v="29"/>
    <x v="1"/>
  </r>
  <r>
    <x v="5"/>
    <x v="1"/>
  </r>
  <r>
    <x v="4"/>
    <x v="338"/>
  </r>
  <r>
    <x v="10"/>
    <x v="1"/>
  </r>
  <r>
    <x v="3"/>
    <x v="1"/>
  </r>
  <r>
    <x v="6"/>
    <x v="1"/>
  </r>
  <r>
    <x v="1"/>
    <x v="1"/>
  </r>
  <r>
    <x v="43"/>
    <x v="1"/>
  </r>
  <r>
    <x v="31"/>
    <x v="1"/>
  </r>
  <r>
    <x v="36"/>
    <x v="1"/>
  </r>
  <r>
    <x v="9"/>
    <x v="1"/>
  </r>
  <r>
    <x v="0"/>
    <x v="1"/>
  </r>
  <r>
    <x v="5"/>
    <x v="1"/>
  </r>
  <r>
    <x v="24"/>
    <x v="1"/>
  </r>
  <r>
    <x v="10"/>
    <x v="1"/>
  </r>
  <r>
    <x v="2"/>
    <x v="1"/>
  </r>
  <r>
    <x v="10"/>
    <x v="1"/>
  </r>
  <r>
    <x v="2"/>
    <x v="1"/>
  </r>
  <r>
    <x v="28"/>
    <x v="339"/>
  </r>
  <r>
    <x v="34"/>
    <x v="340"/>
  </r>
  <r>
    <x v="22"/>
    <x v="1"/>
  </r>
  <r>
    <x v="25"/>
    <x v="1"/>
  </r>
  <r>
    <x v="5"/>
    <x v="1"/>
  </r>
  <r>
    <x v="7"/>
    <x v="1"/>
  </r>
  <r>
    <x v="12"/>
    <x v="1"/>
  </r>
  <r>
    <x v="4"/>
    <x v="1"/>
  </r>
  <r>
    <x v="9"/>
    <x v="1"/>
  </r>
  <r>
    <x v="0"/>
    <x v="1"/>
  </r>
  <r>
    <x v="22"/>
    <x v="1"/>
  </r>
  <r>
    <x v="25"/>
    <x v="1"/>
  </r>
  <r>
    <x v="22"/>
    <x v="1"/>
  </r>
  <r>
    <x v="25"/>
    <x v="1"/>
  </r>
  <r>
    <x v="10"/>
    <x v="1"/>
  </r>
  <r>
    <x v="2"/>
    <x v="1"/>
  </r>
  <r>
    <x v="26"/>
    <x v="1"/>
  </r>
  <r>
    <x v="29"/>
    <x v="1"/>
  </r>
  <r>
    <x v="15"/>
    <x v="1"/>
  </r>
  <r>
    <x v="4"/>
    <x v="1"/>
  </r>
  <r>
    <x v="14"/>
    <x v="1"/>
  </r>
  <r>
    <x v="6"/>
    <x v="1"/>
  </r>
  <r>
    <x v="10"/>
    <x v="1"/>
  </r>
  <r>
    <x v="8"/>
    <x v="1"/>
  </r>
  <r>
    <x v="5"/>
    <x v="1"/>
  </r>
  <r>
    <x v="1"/>
    <x v="1"/>
  </r>
  <r>
    <x v="17"/>
    <x v="1"/>
  </r>
  <r>
    <x v="20"/>
    <x v="1"/>
  </r>
  <r>
    <x v="26"/>
    <x v="1"/>
  </r>
  <r>
    <x v="29"/>
    <x v="1"/>
  </r>
  <r>
    <x v="10"/>
    <x v="1"/>
  </r>
  <r>
    <x v="8"/>
    <x v="1"/>
  </r>
  <r>
    <x v="14"/>
    <x v="1"/>
  </r>
  <r>
    <x v="6"/>
    <x v="1"/>
  </r>
  <r>
    <x v="5"/>
    <x v="1"/>
  </r>
  <r>
    <x v="7"/>
    <x v="1"/>
  </r>
  <r>
    <x v="13"/>
    <x v="1"/>
  </r>
  <r>
    <x v="5"/>
    <x v="1"/>
  </r>
  <r>
    <x v="13"/>
    <x v="341"/>
  </r>
  <r>
    <x v="5"/>
    <x v="342"/>
  </r>
  <r>
    <x v="26"/>
    <x v="1"/>
  </r>
  <r>
    <x v="29"/>
    <x v="1"/>
  </r>
  <r>
    <x v="22"/>
    <x v="1"/>
  </r>
  <r>
    <x v="25"/>
    <x v="1"/>
  </r>
  <r>
    <x v="26"/>
    <x v="1"/>
  </r>
  <r>
    <x v="29"/>
    <x v="1"/>
  </r>
  <r>
    <x v="22"/>
    <x v="1"/>
  </r>
  <r>
    <x v="25"/>
    <x v="1"/>
  </r>
  <r>
    <x v="17"/>
    <x v="1"/>
  </r>
  <r>
    <x v="23"/>
    <x v="1"/>
  </r>
  <r>
    <x v="17"/>
    <x v="1"/>
  </r>
  <r>
    <x v="23"/>
    <x v="1"/>
  </r>
  <r>
    <x v="5"/>
    <x v="1"/>
  </r>
  <r>
    <x v="7"/>
    <x v="1"/>
  </r>
  <r>
    <x v="10"/>
    <x v="1"/>
  </r>
  <r>
    <x v="8"/>
    <x v="1"/>
  </r>
  <r>
    <x v="28"/>
    <x v="1"/>
  </r>
  <r>
    <x v="34"/>
    <x v="1"/>
  </r>
  <r>
    <x v="26"/>
    <x v="1"/>
  </r>
  <r>
    <x v="29"/>
    <x v="1"/>
  </r>
  <r>
    <x v="46"/>
    <x v="343"/>
  </r>
  <r>
    <x v="47"/>
    <x v="344"/>
  </r>
  <r>
    <x v="10"/>
    <x v="345"/>
  </r>
  <r>
    <x v="2"/>
    <x v="346"/>
  </r>
  <r>
    <x v="35"/>
    <x v="1"/>
  </r>
  <r>
    <x v="0"/>
    <x v="1"/>
  </r>
  <r>
    <x v="17"/>
    <x v="1"/>
  </r>
  <r>
    <x v="23"/>
    <x v="1"/>
  </r>
  <r>
    <x v="14"/>
    <x v="1"/>
  </r>
  <r>
    <x v="6"/>
    <x v="1"/>
  </r>
  <r>
    <x v="12"/>
    <x v="1"/>
  </r>
  <r>
    <x v="4"/>
    <x v="1"/>
  </r>
  <r>
    <x v="5"/>
    <x v="1"/>
  </r>
  <r>
    <x v="1"/>
    <x v="1"/>
  </r>
  <r>
    <x v="33"/>
    <x v="1"/>
  </r>
  <r>
    <x v="37"/>
    <x v="1"/>
  </r>
  <r>
    <x v="22"/>
    <x v="1"/>
  </r>
  <r>
    <x v="25"/>
    <x v="1"/>
  </r>
  <r>
    <x v="5"/>
    <x v="1"/>
  </r>
  <r>
    <x v="1"/>
    <x v="1"/>
  </r>
  <r>
    <x v="10"/>
    <x v="1"/>
  </r>
  <r>
    <x v="2"/>
    <x v="1"/>
  </r>
  <r>
    <x v="11"/>
    <x v="1"/>
  </r>
  <r>
    <x v="3"/>
    <x v="1"/>
  </r>
  <r>
    <x v="14"/>
    <x v="347"/>
  </r>
  <r>
    <x v="6"/>
    <x v="348"/>
  </r>
  <r>
    <x v="12"/>
    <x v="1"/>
  </r>
  <r>
    <x v="4"/>
    <x v="1"/>
  </r>
  <r>
    <x v="15"/>
    <x v="1"/>
  </r>
  <r>
    <x v="4"/>
    <x v="1"/>
  </r>
  <r>
    <x v="5"/>
    <x v="1"/>
  </r>
  <r>
    <x v="1"/>
    <x v="1"/>
  </r>
  <r>
    <x v="10"/>
    <x v="1"/>
  </r>
  <r>
    <x v="8"/>
    <x v="1"/>
  </r>
  <r>
    <x v="26"/>
    <x v="1"/>
  </r>
  <r>
    <x v="29"/>
    <x v="1"/>
  </r>
  <r>
    <x v="40"/>
    <x v="141"/>
  </r>
  <r>
    <x v="43"/>
    <x v="144"/>
  </r>
  <r>
    <x v="10"/>
    <x v="1"/>
  </r>
  <r>
    <x v="8"/>
    <x v="1"/>
  </r>
  <r>
    <x v="22"/>
    <x v="1"/>
  </r>
  <r>
    <x v="25"/>
    <x v="1"/>
  </r>
  <r>
    <x v="22"/>
    <x v="1"/>
  </r>
  <r>
    <x v="25"/>
    <x v="1"/>
  </r>
  <r>
    <x v="17"/>
    <x v="1"/>
  </r>
  <r>
    <x v="20"/>
    <x v="1"/>
  </r>
  <r>
    <x v="26"/>
    <x v="1"/>
  </r>
  <r>
    <x v="29"/>
    <x v="1"/>
  </r>
  <r>
    <x v="13"/>
    <x v="1"/>
  </r>
  <r>
    <x v="5"/>
    <x v="1"/>
  </r>
  <r>
    <x v="22"/>
    <x v="1"/>
  </r>
  <r>
    <x v="25"/>
    <x v="1"/>
  </r>
  <r>
    <x v="10"/>
    <x v="1"/>
  </r>
  <r>
    <x v="8"/>
    <x v="1"/>
  </r>
  <r>
    <x v="5"/>
    <x v="1"/>
  </r>
  <r>
    <x v="1"/>
    <x v="1"/>
  </r>
  <r>
    <x v="15"/>
    <x v="1"/>
  </r>
  <r>
    <x v="4"/>
    <x v="1"/>
  </r>
  <r>
    <x v="9"/>
    <x v="1"/>
  </r>
  <r>
    <x v="0"/>
    <x v="1"/>
  </r>
  <r>
    <x v="13"/>
    <x v="1"/>
  </r>
  <r>
    <x v="5"/>
    <x v="1"/>
  </r>
  <r>
    <x v="40"/>
    <x v="349"/>
  </r>
  <r>
    <x v="43"/>
    <x v="350"/>
  </r>
  <r>
    <x v="5"/>
    <x v="1"/>
  </r>
  <r>
    <x v="7"/>
    <x v="1"/>
  </r>
  <r>
    <x v="50"/>
    <x v="1"/>
  </r>
  <r>
    <x v="51"/>
    <x v="1"/>
  </r>
  <r>
    <x v="14"/>
    <x v="1"/>
  </r>
  <r>
    <x v="6"/>
    <x v="1"/>
  </r>
  <r>
    <x v="10"/>
    <x v="1"/>
  </r>
  <r>
    <x v="8"/>
    <x v="1"/>
  </r>
  <r>
    <x v="26"/>
    <x v="1"/>
  </r>
  <r>
    <x v="29"/>
    <x v="1"/>
  </r>
  <r>
    <x v="27"/>
    <x v="1"/>
  </r>
  <r>
    <x v="32"/>
    <x v="1"/>
  </r>
  <r>
    <x v="11"/>
    <x v="1"/>
  </r>
  <r>
    <x v="3"/>
    <x v="1"/>
  </r>
  <r>
    <x v="28"/>
    <x v="351"/>
  </r>
  <r>
    <x v="34"/>
    <x v="352"/>
  </r>
  <r>
    <x v="15"/>
    <x v="353"/>
  </r>
  <r>
    <x v="4"/>
    <x v="354"/>
  </r>
  <r>
    <x v="40"/>
    <x v="355"/>
  </r>
  <r>
    <x v="43"/>
    <x v="356"/>
  </r>
  <r>
    <x v="17"/>
    <x v="1"/>
  </r>
  <r>
    <x v="23"/>
    <x v="1"/>
  </r>
  <r>
    <x v="26"/>
    <x v="1"/>
  </r>
  <r>
    <x v="29"/>
    <x v="1"/>
  </r>
  <r>
    <x v="46"/>
    <x v="357"/>
  </r>
  <r>
    <x v="47"/>
    <x v="358"/>
  </r>
  <r>
    <x v="44"/>
    <x v="1"/>
  </r>
  <r>
    <x v="45"/>
    <x v="1"/>
  </r>
  <r>
    <x v="17"/>
    <x v="1"/>
  </r>
  <r>
    <x v="20"/>
    <x v="1"/>
  </r>
  <r>
    <x v="13"/>
    <x v="1"/>
  </r>
  <r>
    <x v="5"/>
    <x v="1"/>
  </r>
  <r>
    <x v="50"/>
    <x v="1"/>
  </r>
  <r>
    <x v="51"/>
    <x v="1"/>
  </r>
  <r>
    <x v="5"/>
    <x v="1"/>
  </r>
  <r>
    <x v="1"/>
    <x v="1"/>
  </r>
  <r>
    <x v="28"/>
    <x v="359"/>
  </r>
  <r>
    <x v="34"/>
    <x v="360"/>
  </r>
  <r>
    <x v="30"/>
    <x v="1"/>
  </r>
  <r>
    <x v="21"/>
    <x v="1"/>
  </r>
  <r>
    <x v="27"/>
    <x v="1"/>
  </r>
  <r>
    <x v="32"/>
    <x v="1"/>
  </r>
  <r>
    <x v="5"/>
    <x v="1"/>
  </r>
  <r>
    <x v="1"/>
    <x v="1"/>
  </r>
  <r>
    <x v="10"/>
    <x v="1"/>
  </r>
  <r>
    <x v="2"/>
    <x v="1"/>
  </r>
  <r>
    <x v="35"/>
    <x v="1"/>
  </r>
  <r>
    <x v="0"/>
    <x v="1"/>
  </r>
  <r>
    <x v="15"/>
    <x v="1"/>
  </r>
  <r>
    <x v="4"/>
    <x v="1"/>
  </r>
  <r>
    <x v="13"/>
    <x v="1"/>
  </r>
  <r>
    <x v="5"/>
    <x v="1"/>
  </r>
  <r>
    <x v="5"/>
    <x v="1"/>
  </r>
  <r>
    <x v="7"/>
    <x v="1"/>
  </r>
  <r>
    <x v="26"/>
    <x v="1"/>
  </r>
  <r>
    <x v="29"/>
    <x v="1"/>
  </r>
  <r>
    <x v="10"/>
    <x v="1"/>
  </r>
  <r>
    <x v="8"/>
    <x v="1"/>
  </r>
  <r>
    <x v="5"/>
    <x v="1"/>
  </r>
  <r>
    <x v="1"/>
    <x v="1"/>
  </r>
  <r>
    <x v="26"/>
    <x v="1"/>
  </r>
  <r>
    <x v="29"/>
    <x v="1"/>
  </r>
  <r>
    <x v="14"/>
    <x v="1"/>
  </r>
  <r>
    <x v="6"/>
    <x v="1"/>
  </r>
  <r>
    <x v="21"/>
    <x v="361"/>
  </r>
  <r>
    <x v="55"/>
    <x v="362"/>
  </r>
  <r>
    <x v="5"/>
    <x v="1"/>
  </r>
  <r>
    <x v="7"/>
    <x v="1"/>
  </r>
  <r>
    <x v="12"/>
    <x v="363"/>
  </r>
  <r>
    <x v="4"/>
    <x v="364"/>
  </r>
  <r>
    <x v="10"/>
    <x v="1"/>
  </r>
  <r>
    <x v="8"/>
    <x v="1"/>
  </r>
  <r>
    <x v="46"/>
    <x v="1"/>
  </r>
  <r>
    <x v="47"/>
    <x v="1"/>
  </r>
  <r>
    <x v="35"/>
    <x v="1"/>
  </r>
  <r>
    <x v="0"/>
    <x v="1"/>
  </r>
  <r>
    <x v="28"/>
    <x v="1"/>
  </r>
  <r>
    <x v="34"/>
    <x v="1"/>
  </r>
  <r>
    <x v="40"/>
    <x v="365"/>
  </r>
  <r>
    <x v="43"/>
    <x v="366"/>
  </r>
  <r>
    <x v="47"/>
    <x v="367"/>
  </r>
  <r>
    <x v="40"/>
    <x v="1"/>
  </r>
  <r>
    <x v="2"/>
    <x v="368"/>
  </r>
  <r>
    <x v="5"/>
    <x v="369"/>
  </r>
  <r>
    <x v="15"/>
    <x v="1"/>
  </r>
  <r>
    <x v="7"/>
    <x v="1"/>
  </r>
  <r>
    <x v="7"/>
    <x v="1"/>
  </r>
  <r>
    <x v="5"/>
    <x v="370"/>
  </r>
  <r>
    <x v="19"/>
    <x v="1"/>
  </r>
  <r>
    <x v="21"/>
    <x v="1"/>
  </r>
  <r>
    <x v="4"/>
    <x v="1"/>
  </r>
  <r>
    <x v="15"/>
    <x v="1"/>
  </r>
  <r>
    <x v="3"/>
    <x v="1"/>
  </r>
  <r>
    <x v="1"/>
    <x v="1"/>
  </r>
  <r>
    <x v="8"/>
    <x v="1"/>
  </r>
  <r>
    <x v="43"/>
    <x v="1"/>
  </r>
  <r>
    <x v="5"/>
    <x v="1"/>
  </r>
  <r>
    <x v="17"/>
    <x v="1"/>
  </r>
  <r>
    <x v="5"/>
    <x v="1"/>
  </r>
  <r>
    <x v="4"/>
    <x v="1"/>
  </r>
  <r>
    <x v="28"/>
    <x v="1"/>
  </r>
  <r>
    <x v="16"/>
    <x v="371"/>
  </r>
  <r>
    <x v="17"/>
    <x v="1"/>
  </r>
  <r>
    <x v="5"/>
    <x v="1"/>
  </r>
  <r>
    <x v="4"/>
    <x v="1"/>
  </r>
  <r>
    <x v="10"/>
    <x v="1"/>
  </r>
  <r>
    <x v="40"/>
    <x v="1"/>
  </r>
  <r>
    <x v="26"/>
    <x v="1"/>
  </r>
  <r>
    <x v="1"/>
    <x v="1"/>
  </r>
  <r>
    <x v="23"/>
    <x v="1"/>
  </r>
  <r>
    <x v="10"/>
    <x v="1"/>
  </r>
  <r>
    <x v="1"/>
    <x v="1"/>
  </r>
  <r>
    <x v="34"/>
    <x v="1"/>
  </r>
  <r>
    <x v="19"/>
    <x v="372"/>
  </r>
  <r>
    <x v="20"/>
    <x v="1"/>
  </r>
  <r>
    <x v="7"/>
    <x v="1"/>
  </r>
  <r>
    <x v="46"/>
    <x v="373"/>
  </r>
  <r>
    <x v="8"/>
    <x v="1"/>
  </r>
  <r>
    <x v="43"/>
    <x v="1"/>
  </r>
  <r>
    <x v="29"/>
    <x v="1"/>
  </r>
  <r>
    <x v="28"/>
    <x v="1"/>
  </r>
  <r>
    <x v="5"/>
    <x v="1"/>
  </r>
  <r>
    <x v="2"/>
    <x v="1"/>
  </r>
  <r>
    <x v="27"/>
    <x v="1"/>
  </r>
  <r>
    <x v="14"/>
    <x v="1"/>
  </r>
  <r>
    <x v="47"/>
    <x v="374"/>
  </r>
  <r>
    <x v="11"/>
    <x v="1"/>
  </r>
  <r>
    <x v="10"/>
    <x v="1"/>
  </r>
  <r>
    <x v="34"/>
    <x v="1"/>
  </r>
  <r>
    <x v="12"/>
    <x v="1"/>
  </r>
  <r>
    <x v="39"/>
    <x v="1"/>
  </r>
  <r>
    <x v="22"/>
    <x v="1"/>
  </r>
  <r>
    <x v="7"/>
    <x v="1"/>
  </r>
  <r>
    <x v="46"/>
    <x v="1"/>
  </r>
  <r>
    <x v="33"/>
    <x v="1"/>
  </r>
  <r>
    <x v="15"/>
    <x v="375"/>
  </r>
  <r>
    <x v="12"/>
    <x v="1"/>
  </r>
  <r>
    <x v="10"/>
    <x v="1"/>
  </r>
  <r>
    <x v="32"/>
    <x v="1"/>
  </r>
  <r>
    <x v="6"/>
    <x v="1"/>
  </r>
  <r>
    <x v="10"/>
    <x v="376"/>
  </r>
  <r>
    <x v="3"/>
    <x v="1"/>
  </r>
  <r>
    <x v="14"/>
    <x v="1"/>
  </r>
  <r>
    <x v="2"/>
    <x v="1"/>
  </r>
  <r>
    <x v="12"/>
    <x v="377"/>
  </r>
  <r>
    <x v="35"/>
    <x v="1"/>
  </r>
  <r>
    <x v="4"/>
    <x v="1"/>
  </r>
  <r>
    <x v="42"/>
    <x v="1"/>
  </r>
  <r>
    <x v="25"/>
    <x v="1"/>
  </r>
  <r>
    <x v="47"/>
    <x v="1"/>
  </r>
  <r>
    <x v="37"/>
    <x v="1"/>
  </r>
  <r>
    <x v="4"/>
    <x v="378"/>
  </r>
  <r>
    <x v="56"/>
    <x v="1"/>
  </r>
  <r>
    <x v="40"/>
    <x v="1"/>
  </r>
  <r>
    <x v="4"/>
    <x v="1"/>
  </r>
  <r>
    <x v="16"/>
    <x v="379"/>
  </r>
  <r>
    <x v="8"/>
    <x v="1"/>
  </r>
  <r>
    <x v="22"/>
    <x v="380"/>
  </r>
  <r>
    <x v="8"/>
    <x v="381"/>
  </r>
  <r>
    <x v="6"/>
    <x v="1"/>
  </r>
  <r>
    <x v="10"/>
    <x v="1"/>
  </r>
  <r>
    <x v="26"/>
    <x v="1"/>
  </r>
  <r>
    <x v="4"/>
    <x v="382"/>
  </r>
  <r>
    <x v="15"/>
    <x v="1"/>
  </r>
  <r>
    <x v="0"/>
    <x v="1"/>
  </r>
  <r>
    <x v="39"/>
    <x v="1"/>
  </r>
  <r>
    <x v="28"/>
    <x v="1"/>
  </r>
  <r>
    <x v="57"/>
    <x v="1"/>
  </r>
  <r>
    <x v="9"/>
    <x v="1"/>
  </r>
  <r>
    <x v="11"/>
    <x v="1"/>
  </r>
  <r>
    <x v="43"/>
    <x v="1"/>
  </r>
  <r>
    <x v="22"/>
    <x v="1"/>
  </r>
  <r>
    <x v="19"/>
    <x v="383"/>
  </r>
  <r>
    <x v="25"/>
    <x v="384"/>
  </r>
  <r>
    <x v="46"/>
    <x v="1"/>
  </r>
  <r>
    <x v="5"/>
    <x v="1"/>
  </r>
  <r>
    <x v="17"/>
    <x v="1"/>
  </r>
  <r>
    <x v="11"/>
    <x v="1"/>
  </r>
  <r>
    <x v="28"/>
    <x v="1"/>
  </r>
  <r>
    <x v="18"/>
    <x v="1"/>
  </r>
  <r>
    <x v="5"/>
    <x v="1"/>
  </r>
  <r>
    <x v="2"/>
    <x v="1"/>
  </r>
  <r>
    <x v="29"/>
    <x v="1"/>
  </r>
  <r>
    <x v="33"/>
    <x v="1"/>
  </r>
  <r>
    <x v="4"/>
    <x v="1"/>
  </r>
  <r>
    <x v="17"/>
    <x v="1"/>
  </r>
  <r>
    <x v="14"/>
    <x v="1"/>
  </r>
  <r>
    <x v="26"/>
    <x v="1"/>
  </r>
  <r>
    <x v="22"/>
    <x v="385"/>
  </r>
  <r>
    <x v="42"/>
    <x v="1"/>
  </r>
  <r>
    <x v="10"/>
    <x v="1"/>
  </r>
  <r>
    <x v="5"/>
    <x v="1"/>
  </r>
  <r>
    <x v="34"/>
    <x v="1"/>
  </r>
  <r>
    <x v="16"/>
    <x v="1"/>
  </r>
  <r>
    <x v="0"/>
    <x v="1"/>
  </r>
  <r>
    <x v="3"/>
    <x v="1"/>
  </r>
  <r>
    <x v="25"/>
    <x v="1"/>
  </r>
  <r>
    <x v="14"/>
    <x v="1"/>
  </r>
  <r>
    <x v="10"/>
    <x v="1"/>
  </r>
  <r>
    <x v="47"/>
    <x v="1"/>
  </r>
  <r>
    <x v="1"/>
    <x v="1"/>
  </r>
  <r>
    <x v="20"/>
    <x v="1"/>
  </r>
  <r>
    <x v="3"/>
    <x v="1"/>
  </r>
  <r>
    <x v="34"/>
    <x v="1"/>
  </r>
  <r>
    <x v="26"/>
    <x v="1"/>
  </r>
  <r>
    <x v="21"/>
    <x v="1"/>
  </r>
  <r>
    <x v="7"/>
    <x v="1"/>
  </r>
  <r>
    <x v="37"/>
    <x v="1"/>
  </r>
  <r>
    <x v="23"/>
    <x v="1"/>
  </r>
  <r>
    <x v="6"/>
    <x v="1"/>
  </r>
  <r>
    <x v="29"/>
    <x v="1"/>
  </r>
  <r>
    <x v="25"/>
    <x v="386"/>
  </r>
  <r>
    <x v="8"/>
    <x v="1"/>
  </r>
  <r>
    <x v="7"/>
    <x v="1"/>
  </r>
  <r>
    <x v="10"/>
    <x v="1"/>
  </r>
  <r>
    <x v="19"/>
    <x v="1"/>
  </r>
  <r>
    <x v="28"/>
    <x v="1"/>
  </r>
  <r>
    <x v="6"/>
    <x v="1"/>
  </r>
  <r>
    <x v="8"/>
    <x v="1"/>
  </r>
  <r>
    <x v="28"/>
    <x v="1"/>
  </r>
  <r>
    <x v="39"/>
    <x v="1"/>
  </r>
  <r>
    <x v="29"/>
    <x v="1"/>
  </r>
  <r>
    <x v="17"/>
    <x v="1"/>
  </r>
  <r>
    <x v="10"/>
    <x v="1"/>
  </r>
  <r>
    <x v="10"/>
    <x v="1"/>
  </r>
  <r>
    <x v="12"/>
    <x v="387"/>
  </r>
  <r>
    <x v="27"/>
    <x v="1"/>
  </r>
  <r>
    <x v="8"/>
    <x v="1"/>
  </r>
  <r>
    <x v="28"/>
    <x v="1"/>
  </r>
  <r>
    <x v="31"/>
    <x v="1"/>
  </r>
  <r>
    <x v="34"/>
    <x v="1"/>
  </r>
  <r>
    <x v="35"/>
    <x v="1"/>
  </r>
  <r>
    <x v="15"/>
    <x v="1"/>
  </r>
  <r>
    <x v="34"/>
    <x v="1"/>
  </r>
  <r>
    <x v="42"/>
    <x v="1"/>
  </r>
  <r>
    <x v="5"/>
    <x v="1"/>
  </r>
  <r>
    <x v="20"/>
    <x v="1"/>
  </r>
  <r>
    <x v="17"/>
    <x v="388"/>
  </r>
  <r>
    <x v="8"/>
    <x v="1"/>
  </r>
  <r>
    <x v="8"/>
    <x v="1"/>
  </r>
  <r>
    <x v="5"/>
    <x v="1"/>
  </r>
  <r>
    <x v="9"/>
    <x v="1"/>
  </r>
  <r>
    <x v="4"/>
    <x v="389"/>
  </r>
  <r>
    <x v="32"/>
    <x v="1"/>
  </r>
  <r>
    <x v="34"/>
    <x v="1"/>
  </r>
  <r>
    <x v="36"/>
    <x v="1"/>
  </r>
  <r>
    <x v="15"/>
    <x v="1"/>
  </r>
  <r>
    <x v="0"/>
    <x v="1"/>
  </r>
  <r>
    <x v="11"/>
    <x v="1"/>
  </r>
  <r>
    <x v="12"/>
    <x v="1"/>
  </r>
  <r>
    <x v="4"/>
    <x v="1"/>
  </r>
  <r>
    <x v="10"/>
    <x v="1"/>
  </r>
  <r>
    <x v="5"/>
    <x v="1"/>
  </r>
  <r>
    <x v="1"/>
    <x v="1"/>
  </r>
  <r>
    <x v="46"/>
    <x v="1"/>
  </r>
  <r>
    <x v="23"/>
    <x v="390"/>
  </r>
  <r>
    <x v="15"/>
    <x v="1"/>
  </r>
  <r>
    <x v="12"/>
    <x v="1"/>
  </r>
  <r>
    <x v="7"/>
    <x v="1"/>
  </r>
  <r>
    <x v="0"/>
    <x v="1"/>
  </r>
  <r>
    <x v="33"/>
    <x v="1"/>
  </r>
  <r>
    <x v="4"/>
    <x v="1"/>
  </r>
  <r>
    <x v="3"/>
    <x v="1"/>
  </r>
  <r>
    <x v="4"/>
    <x v="1"/>
  </r>
  <r>
    <x v="17"/>
    <x v="1"/>
  </r>
  <r>
    <x v="8"/>
    <x v="1"/>
  </r>
  <r>
    <x v="14"/>
    <x v="1"/>
  </r>
  <r>
    <x v="7"/>
    <x v="1"/>
  </r>
  <r>
    <x v="12"/>
    <x v="1"/>
  </r>
  <r>
    <x v="47"/>
    <x v="1"/>
  </r>
  <r>
    <x v="4"/>
    <x v="1"/>
  </r>
  <r>
    <x v="41"/>
    <x v="391"/>
  </r>
  <r>
    <x v="4"/>
    <x v="1"/>
  </r>
  <r>
    <x v="35"/>
    <x v="1"/>
  </r>
  <r>
    <x v="40"/>
    <x v="1"/>
  </r>
  <r>
    <x v="22"/>
    <x v="392"/>
  </r>
  <r>
    <x v="37"/>
    <x v="1"/>
  </r>
  <r>
    <x v="11"/>
    <x v="1"/>
  </r>
  <r>
    <x v="23"/>
    <x v="1"/>
  </r>
  <r>
    <x v="6"/>
    <x v="1"/>
  </r>
  <r>
    <x v="4"/>
    <x v="1"/>
  </r>
  <r>
    <x v="5"/>
    <x v="1"/>
  </r>
  <r>
    <x v="27"/>
    <x v="393"/>
  </r>
  <r>
    <x v="0"/>
    <x v="1"/>
  </r>
  <r>
    <x v="28"/>
    <x v="1"/>
  </r>
  <r>
    <x v="5"/>
    <x v="394"/>
  </r>
  <r>
    <x v="43"/>
    <x v="1"/>
  </r>
  <r>
    <x v="25"/>
    <x v="395"/>
  </r>
  <r>
    <x v="3"/>
    <x v="1"/>
  </r>
  <r>
    <x v="1"/>
    <x v="1"/>
  </r>
  <r>
    <x v="17"/>
    <x v="1"/>
  </r>
  <r>
    <x v="11"/>
    <x v="1"/>
  </r>
  <r>
    <x v="5"/>
    <x v="1"/>
  </r>
  <r>
    <x v="34"/>
    <x v="1"/>
  </r>
  <r>
    <x v="7"/>
    <x v="396"/>
  </r>
  <r>
    <x v="26"/>
    <x v="1"/>
  </r>
  <r>
    <x v="29"/>
    <x v="1"/>
  </r>
  <r>
    <x v="12"/>
    <x v="1"/>
  </r>
  <r>
    <x v="4"/>
    <x v="1"/>
  </r>
  <r>
    <x v="10"/>
    <x v="397"/>
  </r>
  <r>
    <x v="2"/>
    <x v="398"/>
  </r>
  <r>
    <x v="15"/>
    <x v="1"/>
  </r>
  <r>
    <x v="4"/>
    <x v="1"/>
  </r>
  <r>
    <x v="46"/>
    <x v="1"/>
  </r>
  <r>
    <x v="47"/>
    <x v="1"/>
  </r>
  <r>
    <x v="12"/>
    <x v="1"/>
  </r>
  <r>
    <x v="4"/>
    <x v="1"/>
  </r>
  <r>
    <x v="28"/>
    <x v="1"/>
  </r>
  <r>
    <x v="34"/>
    <x v="1"/>
  </r>
  <r>
    <x v="40"/>
    <x v="1"/>
  </r>
  <r>
    <x v="43"/>
    <x v="1"/>
  </r>
  <r>
    <x v="18"/>
    <x v="1"/>
  </r>
  <r>
    <x v="21"/>
    <x v="1"/>
  </r>
  <r>
    <x v="17"/>
    <x v="1"/>
  </r>
  <r>
    <x v="20"/>
    <x v="1"/>
  </r>
  <r>
    <x v="10"/>
    <x v="1"/>
  </r>
  <r>
    <x v="2"/>
    <x v="1"/>
  </r>
  <r>
    <x v="54"/>
    <x v="399"/>
  </r>
  <r>
    <x v="11"/>
    <x v="400"/>
  </r>
  <r>
    <x v="5"/>
    <x v="1"/>
  </r>
  <r>
    <x v="7"/>
    <x v="1"/>
  </r>
  <r>
    <x v="10"/>
    <x v="401"/>
  </r>
  <r>
    <x v="2"/>
    <x v="402"/>
  </r>
  <r>
    <x v="5"/>
    <x v="1"/>
  </r>
  <r>
    <x v="1"/>
    <x v="1"/>
  </r>
  <r>
    <x v="46"/>
    <x v="1"/>
  </r>
  <r>
    <x v="47"/>
    <x v="1"/>
  </r>
  <r>
    <x v="26"/>
    <x v="1"/>
  </r>
  <r>
    <x v="29"/>
    <x v="1"/>
  </r>
  <r>
    <x v="15"/>
    <x v="1"/>
  </r>
  <r>
    <x v="4"/>
    <x v="1"/>
  </r>
  <r>
    <x v="40"/>
    <x v="1"/>
  </r>
  <r>
    <x v="43"/>
    <x v="1"/>
  </r>
  <r>
    <x v="11"/>
    <x v="1"/>
  </r>
  <r>
    <x v="3"/>
    <x v="1"/>
  </r>
  <r>
    <x v="22"/>
    <x v="403"/>
  </r>
  <r>
    <x v="25"/>
    <x v="404"/>
  </r>
  <r>
    <x v="26"/>
    <x v="1"/>
  </r>
  <r>
    <x v="29"/>
    <x v="1"/>
  </r>
  <r>
    <x v="10"/>
    <x v="1"/>
  </r>
  <r>
    <x v="8"/>
    <x v="1"/>
  </r>
  <r>
    <x v="16"/>
    <x v="1"/>
  </r>
  <r>
    <x v="19"/>
    <x v="1"/>
  </r>
  <r>
    <x v="11"/>
    <x v="1"/>
  </r>
  <r>
    <x v="3"/>
    <x v="1"/>
  </r>
  <r>
    <x v="28"/>
    <x v="1"/>
  </r>
  <r>
    <x v="34"/>
    <x v="1"/>
  </r>
  <r>
    <x v="10"/>
    <x v="1"/>
  </r>
  <r>
    <x v="8"/>
    <x v="1"/>
  </r>
  <r>
    <x v="10"/>
    <x v="1"/>
  </r>
  <r>
    <x v="8"/>
    <x v="1"/>
  </r>
  <r>
    <x v="13"/>
    <x v="1"/>
  </r>
  <r>
    <x v="5"/>
    <x v="1"/>
  </r>
  <r>
    <x v="10"/>
    <x v="1"/>
  </r>
  <r>
    <x v="2"/>
    <x v="1"/>
  </r>
  <r>
    <x v="28"/>
    <x v="1"/>
  </r>
  <r>
    <x v="34"/>
    <x v="1"/>
  </r>
  <r>
    <x v="35"/>
    <x v="1"/>
  </r>
  <r>
    <x v="0"/>
    <x v="1"/>
  </r>
  <r>
    <x v="33"/>
    <x v="1"/>
  </r>
  <r>
    <x v="37"/>
    <x v="1"/>
  </r>
  <r>
    <x v="26"/>
    <x v="1"/>
  </r>
  <r>
    <x v="29"/>
    <x v="1"/>
  </r>
  <r>
    <x v="26"/>
    <x v="1"/>
  </r>
  <r>
    <x v="29"/>
    <x v="1"/>
  </r>
  <r>
    <x v="14"/>
    <x v="1"/>
  </r>
  <r>
    <x v="6"/>
    <x v="1"/>
  </r>
  <r>
    <x v="10"/>
    <x v="1"/>
  </r>
  <r>
    <x v="8"/>
    <x v="1"/>
  </r>
  <r>
    <x v="40"/>
    <x v="1"/>
  </r>
  <r>
    <x v="43"/>
    <x v="1"/>
  </r>
  <r>
    <x v="22"/>
    <x v="1"/>
  </r>
  <r>
    <x v="25"/>
    <x v="1"/>
  </r>
  <r>
    <x v="22"/>
    <x v="1"/>
  </r>
  <r>
    <x v="25"/>
    <x v="1"/>
  </r>
  <r>
    <x v="26"/>
    <x v="1"/>
  </r>
  <r>
    <x v="29"/>
    <x v="1"/>
  </r>
  <r>
    <x v="9"/>
    <x v="2"/>
  </r>
  <r>
    <x v="0"/>
    <x v="0"/>
  </r>
  <r>
    <x v="11"/>
    <x v="1"/>
  </r>
  <r>
    <x v="3"/>
    <x v="1"/>
  </r>
  <r>
    <x v="15"/>
    <x v="1"/>
  </r>
  <r>
    <x v="4"/>
    <x v="1"/>
  </r>
  <r>
    <x v="10"/>
    <x v="1"/>
  </r>
  <r>
    <x v="8"/>
    <x v="1"/>
  </r>
  <r>
    <x v="11"/>
    <x v="1"/>
  </r>
  <r>
    <x v="3"/>
    <x v="1"/>
  </r>
  <r>
    <x v="46"/>
    <x v="1"/>
  </r>
  <r>
    <x v="47"/>
    <x v="1"/>
  </r>
  <r>
    <x v="15"/>
    <x v="1"/>
  </r>
  <r>
    <x v="4"/>
    <x v="1"/>
  </r>
  <r>
    <x v="15"/>
    <x v="1"/>
  </r>
  <r>
    <x v="4"/>
    <x v="1"/>
  </r>
  <r>
    <x v="12"/>
    <x v="1"/>
  </r>
  <r>
    <x v="4"/>
    <x v="1"/>
  </r>
  <r>
    <x v="22"/>
    <x v="405"/>
  </r>
  <r>
    <x v="25"/>
    <x v="406"/>
  </r>
  <r>
    <x v="17"/>
    <x v="1"/>
  </r>
  <r>
    <x v="20"/>
    <x v="1"/>
  </r>
  <r>
    <x v="26"/>
    <x v="1"/>
  </r>
  <r>
    <x v="29"/>
    <x v="1"/>
  </r>
  <r>
    <x v="5"/>
    <x v="1"/>
  </r>
  <r>
    <x v="1"/>
    <x v="1"/>
  </r>
  <r>
    <x v="13"/>
    <x v="1"/>
  </r>
  <r>
    <x v="5"/>
    <x v="1"/>
  </r>
  <r>
    <x v="13"/>
    <x v="407"/>
  </r>
  <r>
    <x v="5"/>
    <x v="408"/>
  </r>
  <r>
    <x v="26"/>
    <x v="1"/>
  </r>
  <r>
    <x v="29"/>
    <x v="1"/>
  </r>
  <r>
    <x v="50"/>
    <x v="1"/>
  </r>
  <r>
    <x v="51"/>
    <x v="1"/>
  </r>
  <r>
    <x v="31"/>
    <x v="1"/>
  </r>
  <r>
    <x v="36"/>
    <x v="1"/>
  </r>
  <r>
    <x v="46"/>
    <x v="1"/>
  </r>
  <r>
    <x v="47"/>
    <x v="1"/>
  </r>
  <r>
    <x v="33"/>
    <x v="409"/>
  </r>
  <r>
    <x v="37"/>
    <x v="410"/>
  </r>
  <r>
    <x v="28"/>
    <x v="1"/>
  </r>
  <r>
    <x v="34"/>
    <x v="1"/>
  </r>
  <r>
    <x v="40"/>
    <x v="411"/>
  </r>
  <r>
    <x v="43"/>
    <x v="412"/>
  </r>
  <r>
    <x v="17"/>
    <x v="1"/>
  </r>
  <r>
    <x v="23"/>
    <x v="1"/>
  </r>
  <r>
    <x v="5"/>
    <x v="1"/>
  </r>
  <r>
    <x v="7"/>
    <x v="1"/>
  </r>
  <r>
    <x v="11"/>
    <x v="1"/>
  </r>
  <r>
    <x v="3"/>
    <x v="1"/>
  </r>
  <r>
    <x v="10"/>
    <x v="1"/>
  </r>
  <r>
    <x v="8"/>
    <x v="1"/>
  </r>
  <r>
    <x v="50"/>
    <x v="1"/>
  </r>
  <r>
    <x v="51"/>
    <x v="1"/>
  </r>
  <r>
    <x v="15"/>
    <x v="1"/>
  </r>
  <r>
    <x v="4"/>
    <x v="1"/>
  </r>
  <r>
    <x v="44"/>
    <x v="413"/>
  </r>
  <r>
    <x v="45"/>
    <x v="414"/>
  </r>
  <r>
    <x v="5"/>
    <x v="1"/>
  </r>
  <r>
    <x v="7"/>
    <x v="1"/>
  </r>
  <r>
    <x v="38"/>
    <x v="415"/>
  </r>
  <r>
    <x v="5"/>
    <x v="416"/>
  </r>
  <r>
    <x v="40"/>
    <x v="1"/>
  </r>
  <r>
    <x v="43"/>
    <x v="1"/>
  </r>
  <r>
    <x v="35"/>
    <x v="1"/>
  </r>
  <r>
    <x v="0"/>
    <x v="1"/>
  </r>
  <r>
    <x v="11"/>
    <x v="1"/>
  </r>
  <r>
    <x v="3"/>
    <x v="1"/>
  </r>
  <r>
    <x v="17"/>
    <x v="10"/>
  </r>
  <r>
    <x v="20"/>
    <x v="12"/>
  </r>
  <r>
    <x v="5"/>
    <x v="1"/>
  </r>
  <r>
    <x v="7"/>
    <x v="1"/>
  </r>
  <r>
    <x v="17"/>
    <x v="1"/>
  </r>
  <r>
    <x v="23"/>
    <x v="1"/>
  </r>
  <r>
    <x v="17"/>
    <x v="1"/>
  </r>
  <r>
    <x v="20"/>
    <x v="1"/>
  </r>
  <r>
    <x v="10"/>
    <x v="1"/>
  </r>
  <r>
    <x v="8"/>
    <x v="1"/>
  </r>
  <r>
    <x v="5"/>
    <x v="1"/>
  </r>
  <r>
    <x v="7"/>
    <x v="1"/>
  </r>
  <r>
    <x v="11"/>
    <x v="417"/>
  </r>
  <r>
    <x v="3"/>
    <x v="418"/>
  </r>
  <r>
    <x v="5"/>
    <x v="1"/>
  </r>
  <r>
    <x v="1"/>
    <x v="1"/>
  </r>
  <r>
    <x v="12"/>
    <x v="1"/>
  </r>
  <r>
    <x v="4"/>
    <x v="1"/>
  </r>
  <r>
    <x v="13"/>
    <x v="1"/>
  </r>
  <r>
    <x v="5"/>
    <x v="1"/>
  </r>
  <r>
    <x v="15"/>
    <x v="1"/>
  </r>
  <r>
    <x v="4"/>
    <x v="1"/>
  </r>
  <r>
    <x v="12"/>
    <x v="15"/>
  </r>
  <r>
    <x v="4"/>
    <x v="19"/>
  </r>
  <r>
    <x v="26"/>
    <x v="1"/>
  </r>
  <r>
    <x v="29"/>
    <x v="1"/>
  </r>
  <r>
    <x v="11"/>
    <x v="1"/>
  </r>
  <r>
    <x v="3"/>
    <x v="1"/>
  </r>
  <r>
    <x v="5"/>
    <x v="1"/>
  </r>
  <r>
    <x v="1"/>
    <x v="1"/>
  </r>
  <r>
    <x v="27"/>
    <x v="1"/>
  </r>
  <r>
    <x v="32"/>
    <x v="1"/>
  </r>
  <r>
    <x v="17"/>
    <x v="1"/>
  </r>
  <r>
    <x v="23"/>
    <x v="1"/>
  </r>
  <r>
    <x v="28"/>
    <x v="253"/>
  </r>
  <r>
    <x v="34"/>
    <x v="257"/>
  </r>
  <r>
    <x v="10"/>
    <x v="1"/>
  </r>
  <r>
    <x v="2"/>
    <x v="1"/>
  </r>
  <r>
    <x v="15"/>
    <x v="1"/>
  </r>
  <r>
    <x v="4"/>
    <x v="1"/>
  </r>
  <r>
    <x v="9"/>
    <x v="1"/>
  </r>
  <r>
    <x v="0"/>
    <x v="1"/>
  </r>
  <r>
    <x v="48"/>
    <x v="1"/>
  </r>
  <r>
    <x v="49"/>
    <x v="1"/>
  </r>
  <r>
    <x v="5"/>
    <x v="1"/>
  </r>
  <r>
    <x v="7"/>
    <x v="1"/>
  </r>
  <r>
    <x v="15"/>
    <x v="1"/>
  </r>
  <r>
    <x v="4"/>
    <x v="1"/>
  </r>
  <r>
    <x v="15"/>
    <x v="1"/>
  </r>
  <r>
    <x v="4"/>
    <x v="1"/>
  </r>
  <r>
    <x v="18"/>
    <x v="1"/>
  </r>
  <r>
    <x v="21"/>
    <x v="1"/>
  </r>
  <r>
    <x v="35"/>
    <x v="22"/>
  </r>
  <r>
    <x v="0"/>
    <x v="24"/>
  </r>
  <r>
    <x v="33"/>
    <x v="1"/>
  </r>
  <r>
    <x v="37"/>
    <x v="1"/>
  </r>
  <r>
    <x v="40"/>
    <x v="419"/>
  </r>
  <r>
    <x v="43"/>
    <x v="420"/>
  </r>
  <r>
    <x v="11"/>
    <x v="1"/>
  </r>
  <r>
    <x v="3"/>
    <x v="1"/>
  </r>
  <r>
    <x v="27"/>
    <x v="1"/>
  </r>
  <r>
    <x v="32"/>
    <x v="1"/>
  </r>
  <r>
    <x v="35"/>
    <x v="1"/>
  </r>
  <r>
    <x v="0"/>
    <x v="1"/>
  </r>
  <r>
    <x v="26"/>
    <x v="1"/>
  </r>
  <r>
    <x v="15"/>
    <x v="1"/>
  </r>
  <r>
    <x v="5"/>
    <x v="1"/>
  </r>
  <r>
    <x v="10"/>
    <x v="1"/>
  </r>
  <r>
    <x v="31"/>
    <x v="1"/>
  </r>
  <r>
    <x v="26"/>
    <x v="1"/>
  </r>
  <r>
    <x v="5"/>
    <x v="1"/>
  </r>
  <r>
    <x v="11"/>
    <x v="1"/>
  </r>
  <r>
    <x v="23"/>
    <x v="1"/>
  </r>
  <r>
    <x v="12"/>
    <x v="1"/>
  </r>
  <r>
    <x v="11"/>
    <x v="1"/>
  </r>
  <r>
    <x v="3"/>
    <x v="1"/>
  </r>
  <r>
    <x v="1"/>
    <x v="1"/>
  </r>
  <r>
    <x v="4"/>
    <x v="1"/>
  </r>
  <r>
    <x v="7"/>
    <x v="1"/>
  </r>
  <r>
    <x v="8"/>
    <x v="1"/>
  </r>
  <r>
    <x v="36"/>
    <x v="1"/>
  </r>
  <r>
    <x v="5"/>
    <x v="1"/>
  </r>
  <r>
    <x v="29"/>
    <x v="1"/>
  </r>
  <r>
    <x v="40"/>
    <x v="1"/>
  </r>
  <r>
    <x v="10"/>
    <x v="1"/>
  </r>
  <r>
    <x v="1"/>
    <x v="1"/>
  </r>
  <r>
    <x v="3"/>
    <x v="1"/>
  </r>
  <r>
    <x v="12"/>
    <x v="421"/>
  </r>
  <r>
    <x v="4"/>
    <x v="1"/>
  </r>
  <r>
    <x v="10"/>
    <x v="1"/>
  </r>
  <r>
    <x v="26"/>
    <x v="1"/>
  </r>
  <r>
    <x v="17"/>
    <x v="1"/>
  </r>
  <r>
    <x v="3"/>
    <x v="1"/>
  </r>
  <r>
    <x v="12"/>
    <x v="1"/>
  </r>
  <r>
    <x v="26"/>
    <x v="1"/>
  </r>
  <r>
    <x v="28"/>
    <x v="422"/>
  </r>
  <r>
    <x v="7"/>
    <x v="1"/>
  </r>
  <r>
    <x v="43"/>
    <x v="1"/>
  </r>
  <r>
    <x v="8"/>
    <x v="1"/>
  </r>
  <r>
    <x v="4"/>
    <x v="423"/>
  </r>
  <r>
    <x v="22"/>
    <x v="424"/>
  </r>
  <r>
    <x v="2"/>
    <x v="1"/>
  </r>
  <r>
    <x v="29"/>
    <x v="1"/>
  </r>
  <r>
    <x v="20"/>
    <x v="1"/>
  </r>
  <r>
    <x v="10"/>
    <x v="1"/>
  </r>
  <r>
    <x v="4"/>
    <x v="1"/>
  </r>
  <r>
    <x v="12"/>
    <x v="1"/>
  </r>
  <r>
    <x v="9"/>
    <x v="1"/>
  </r>
  <r>
    <x v="40"/>
    <x v="425"/>
  </r>
  <r>
    <x v="5"/>
    <x v="1"/>
  </r>
  <r>
    <x v="29"/>
    <x v="1"/>
  </r>
  <r>
    <x v="34"/>
    <x v="426"/>
  </r>
  <r>
    <x v="15"/>
    <x v="1"/>
  </r>
  <r>
    <x v="27"/>
    <x v="1"/>
  </r>
  <r>
    <x v="16"/>
    <x v="1"/>
  </r>
  <r>
    <x v="40"/>
    <x v="427"/>
  </r>
  <r>
    <x v="12"/>
    <x v="1"/>
  </r>
  <r>
    <x v="25"/>
    <x v="428"/>
  </r>
  <r>
    <x v="2"/>
    <x v="1"/>
  </r>
  <r>
    <x v="22"/>
    <x v="1"/>
  </r>
  <r>
    <x v="4"/>
    <x v="1"/>
  </r>
  <r>
    <x v="0"/>
    <x v="1"/>
  </r>
  <r>
    <x v="43"/>
    <x v="429"/>
  </r>
  <r>
    <x v="7"/>
    <x v="1"/>
  </r>
  <r>
    <x v="22"/>
    <x v="1"/>
  </r>
  <r>
    <x v="14"/>
    <x v="1"/>
  </r>
  <r>
    <x v="28"/>
    <x v="1"/>
  </r>
  <r>
    <x v="27"/>
    <x v="1"/>
  </r>
  <r>
    <x v="5"/>
    <x v="1"/>
  </r>
  <r>
    <x v="41"/>
    <x v="1"/>
  </r>
  <r>
    <x v="35"/>
    <x v="1"/>
  </r>
  <r>
    <x v="5"/>
    <x v="1"/>
  </r>
  <r>
    <x v="4"/>
    <x v="1"/>
  </r>
  <r>
    <x v="28"/>
    <x v="1"/>
  </r>
  <r>
    <x v="32"/>
    <x v="1"/>
  </r>
  <r>
    <x v="15"/>
    <x v="1"/>
  </r>
  <r>
    <x v="13"/>
    <x v="1"/>
  </r>
  <r>
    <x v="19"/>
    <x v="1"/>
  </r>
  <r>
    <x v="43"/>
    <x v="430"/>
  </r>
  <r>
    <x v="28"/>
    <x v="1"/>
  </r>
  <r>
    <x v="4"/>
    <x v="1"/>
  </r>
  <r>
    <x v="12"/>
    <x v="1"/>
  </r>
  <r>
    <x v="25"/>
    <x v="1"/>
  </r>
  <r>
    <x v="46"/>
    <x v="1"/>
  </r>
  <r>
    <x v="14"/>
    <x v="1"/>
  </r>
  <r>
    <x v="10"/>
    <x v="1"/>
  </r>
  <r>
    <x v="14"/>
    <x v="431"/>
  </r>
  <r>
    <x v="5"/>
    <x v="1"/>
  </r>
  <r>
    <x v="25"/>
    <x v="1"/>
  </r>
  <r>
    <x v="26"/>
    <x v="1"/>
  </r>
  <r>
    <x v="6"/>
    <x v="1"/>
  </r>
  <r>
    <x v="5"/>
    <x v="432"/>
  </r>
  <r>
    <x v="28"/>
    <x v="1"/>
  </r>
  <r>
    <x v="34"/>
    <x v="1"/>
  </r>
  <r>
    <x v="32"/>
    <x v="1"/>
  </r>
  <r>
    <x v="7"/>
    <x v="1"/>
  </r>
  <r>
    <x v="27"/>
    <x v="1"/>
  </r>
  <r>
    <x v="0"/>
    <x v="1"/>
  </r>
  <r>
    <x v="1"/>
    <x v="1"/>
  </r>
  <r>
    <x v="11"/>
    <x v="1"/>
  </r>
  <r>
    <x v="34"/>
    <x v="1"/>
  </r>
  <r>
    <x v="4"/>
    <x v="1"/>
  </r>
  <r>
    <x v="5"/>
    <x v="1"/>
  </r>
  <r>
    <x v="5"/>
    <x v="1"/>
  </r>
  <r>
    <x v="13"/>
    <x v="433"/>
  </r>
  <r>
    <x v="14"/>
    <x v="1"/>
  </r>
  <r>
    <x v="34"/>
    <x v="1"/>
  </r>
  <r>
    <x v="5"/>
    <x v="1"/>
  </r>
  <r>
    <x v="11"/>
    <x v="1"/>
  </r>
  <r>
    <x v="4"/>
    <x v="1"/>
  </r>
  <r>
    <x v="28"/>
    <x v="1"/>
  </r>
  <r>
    <x v="47"/>
    <x v="1"/>
  </r>
  <r>
    <x v="6"/>
    <x v="1"/>
  </r>
  <r>
    <x v="8"/>
    <x v="1"/>
  </r>
  <r>
    <x v="6"/>
    <x v="434"/>
  </r>
  <r>
    <x v="1"/>
    <x v="1"/>
  </r>
  <r>
    <x v="29"/>
    <x v="1"/>
  </r>
  <r>
    <x v="1"/>
    <x v="435"/>
  </r>
  <r>
    <x v="34"/>
    <x v="1"/>
  </r>
  <r>
    <x v="17"/>
    <x v="1"/>
  </r>
  <r>
    <x v="10"/>
    <x v="1"/>
  </r>
  <r>
    <x v="3"/>
    <x v="1"/>
  </r>
  <r>
    <x v="5"/>
    <x v="1"/>
  </r>
  <r>
    <x v="7"/>
    <x v="1"/>
  </r>
  <r>
    <x v="5"/>
    <x v="436"/>
  </r>
  <r>
    <x v="6"/>
    <x v="1"/>
  </r>
  <r>
    <x v="7"/>
    <x v="1"/>
  </r>
  <r>
    <x v="3"/>
    <x v="1"/>
  </r>
  <r>
    <x v="34"/>
    <x v="1"/>
  </r>
  <r>
    <x v="23"/>
    <x v="1"/>
  </r>
  <r>
    <x v="2"/>
    <x v="1"/>
  </r>
  <r>
    <x v="12"/>
    <x v="1"/>
  </r>
  <r>
    <x v="24"/>
    <x v="1"/>
  </r>
  <r>
    <x v="10"/>
    <x v="437"/>
  </r>
  <r>
    <x v="11"/>
    <x v="1"/>
  </r>
  <r>
    <x v="10"/>
    <x v="86"/>
  </r>
  <r>
    <x v="10"/>
    <x v="1"/>
  </r>
  <r>
    <x v="22"/>
    <x v="1"/>
  </r>
  <r>
    <x v="14"/>
    <x v="438"/>
  </r>
  <r>
    <x v="5"/>
    <x v="1"/>
  </r>
  <r>
    <x v="22"/>
    <x v="1"/>
  </r>
  <r>
    <x v="10"/>
    <x v="90"/>
  </r>
  <r>
    <x v="10"/>
    <x v="1"/>
  </r>
  <r>
    <x v="46"/>
    <x v="1"/>
  </r>
  <r>
    <x v="54"/>
    <x v="439"/>
  </r>
  <r>
    <x v="4"/>
    <x v="1"/>
  </r>
  <r>
    <x v="8"/>
    <x v="440"/>
  </r>
  <r>
    <x v="3"/>
    <x v="1"/>
  </r>
  <r>
    <x v="2"/>
    <x v="87"/>
  </r>
  <r>
    <x v="2"/>
    <x v="1"/>
  </r>
  <r>
    <x v="15"/>
    <x v="1"/>
  </r>
  <r>
    <x v="10"/>
    <x v="1"/>
  </r>
  <r>
    <x v="25"/>
    <x v="1"/>
  </r>
  <r>
    <x v="6"/>
    <x v="441"/>
  </r>
  <r>
    <x v="1"/>
    <x v="1"/>
  </r>
  <r>
    <x v="25"/>
    <x v="1"/>
  </r>
  <r>
    <x v="15"/>
    <x v="1"/>
  </r>
  <r>
    <x v="2"/>
    <x v="91"/>
  </r>
  <r>
    <x v="8"/>
    <x v="1"/>
  </r>
  <r>
    <x v="47"/>
    <x v="1"/>
  </r>
  <r>
    <x v="11"/>
    <x v="442"/>
  </r>
  <r>
    <x v="22"/>
    <x v="1"/>
  </r>
  <r>
    <x v="16"/>
    <x v="1"/>
  </r>
  <r>
    <x v="4"/>
    <x v="1"/>
  </r>
  <r>
    <x v="8"/>
    <x v="1"/>
  </r>
  <r>
    <x v="9"/>
    <x v="1"/>
  </r>
  <r>
    <x v="4"/>
    <x v="1"/>
  </r>
  <r>
    <x v="50"/>
    <x v="1"/>
  </r>
  <r>
    <x v="25"/>
    <x v="1"/>
  </r>
  <r>
    <x v="19"/>
    <x v="1"/>
  </r>
  <r>
    <x v="5"/>
    <x v="1"/>
  </r>
  <r>
    <x v="28"/>
    <x v="1"/>
  </r>
  <r>
    <x v="28"/>
    <x v="1"/>
  </r>
  <r>
    <x v="17"/>
    <x v="1"/>
  </r>
  <r>
    <x v="15"/>
    <x v="1"/>
  </r>
  <r>
    <x v="0"/>
    <x v="1"/>
  </r>
  <r>
    <x v="26"/>
    <x v="1"/>
  </r>
  <r>
    <x v="10"/>
    <x v="1"/>
  </r>
  <r>
    <x v="51"/>
    <x v="1"/>
  </r>
  <r>
    <x v="28"/>
    <x v="1"/>
  </r>
  <r>
    <x v="1"/>
    <x v="1"/>
  </r>
  <r>
    <x v="14"/>
    <x v="1"/>
  </r>
  <r>
    <x v="34"/>
    <x v="1"/>
  </r>
  <r>
    <x v="11"/>
    <x v="1"/>
  </r>
  <r>
    <x v="34"/>
    <x v="1"/>
  </r>
  <r>
    <x v="28"/>
    <x v="443"/>
  </r>
  <r>
    <x v="10"/>
    <x v="444"/>
  </r>
  <r>
    <x v="15"/>
    <x v="445"/>
  </r>
  <r>
    <x v="23"/>
    <x v="1"/>
  </r>
  <r>
    <x v="4"/>
    <x v="1"/>
  </r>
  <r>
    <x v="11"/>
    <x v="1"/>
  </r>
  <r>
    <x v="29"/>
    <x v="1"/>
  </r>
  <r>
    <x v="8"/>
    <x v="1"/>
  </r>
  <r>
    <x v="5"/>
    <x v="1"/>
  </r>
  <r>
    <x v="11"/>
    <x v="1"/>
  </r>
  <r>
    <x v="46"/>
    <x v="1"/>
  </r>
  <r>
    <x v="34"/>
    <x v="1"/>
  </r>
  <r>
    <x v="6"/>
    <x v="1"/>
  </r>
  <r>
    <x v="3"/>
    <x v="1"/>
  </r>
  <r>
    <x v="13"/>
    <x v="1"/>
  </r>
  <r>
    <x v="34"/>
    <x v="446"/>
  </r>
  <r>
    <x v="44"/>
    <x v="1"/>
  </r>
  <r>
    <x v="2"/>
    <x v="447"/>
  </r>
  <r>
    <x v="4"/>
    <x v="448"/>
  </r>
  <r>
    <x v="28"/>
    <x v="1"/>
  </r>
  <r>
    <x v="13"/>
    <x v="1"/>
  </r>
  <r>
    <x v="3"/>
    <x v="1"/>
  </r>
  <r>
    <x v="7"/>
    <x v="1"/>
  </r>
  <r>
    <x v="38"/>
    <x v="1"/>
  </r>
  <r>
    <x v="3"/>
    <x v="1"/>
  </r>
  <r>
    <x v="47"/>
    <x v="1"/>
  </r>
  <r>
    <x v="26"/>
    <x v="1"/>
  </r>
  <r>
    <x v="5"/>
    <x v="1"/>
  </r>
  <r>
    <x v="45"/>
    <x v="1"/>
  </r>
  <r>
    <x v="34"/>
    <x v="1"/>
  </r>
  <r>
    <x v="5"/>
    <x v="1"/>
  </r>
  <r>
    <x v="17"/>
    <x v="1"/>
  </r>
  <r>
    <x v="5"/>
    <x v="1"/>
  </r>
  <r>
    <x v="29"/>
    <x v="1"/>
  </r>
  <r>
    <x v="28"/>
    <x v="1"/>
  </r>
  <r>
    <x v="29"/>
    <x v="1"/>
  </r>
  <r>
    <x v="5"/>
    <x v="1"/>
  </r>
  <r>
    <x v="7"/>
    <x v="1"/>
  </r>
  <r>
    <x v="13"/>
    <x v="449"/>
  </r>
  <r>
    <x v="5"/>
    <x v="450"/>
  </r>
  <r>
    <x v="5"/>
    <x v="1"/>
  </r>
  <r>
    <x v="7"/>
    <x v="1"/>
  </r>
  <r>
    <x v="39"/>
    <x v="1"/>
  </r>
  <r>
    <x v="42"/>
    <x v="1"/>
  </r>
  <r>
    <x v="9"/>
    <x v="1"/>
  </r>
  <r>
    <x v="0"/>
    <x v="1"/>
  </r>
  <r>
    <x v="11"/>
    <x v="1"/>
  </r>
  <r>
    <x v="3"/>
    <x v="1"/>
  </r>
  <r>
    <x v="5"/>
    <x v="1"/>
  </r>
  <r>
    <x v="7"/>
    <x v="1"/>
  </r>
  <r>
    <x v="11"/>
    <x v="1"/>
  </r>
  <r>
    <x v="3"/>
    <x v="1"/>
  </r>
  <r>
    <x v="40"/>
    <x v="1"/>
  </r>
  <r>
    <x v="43"/>
    <x v="1"/>
  </r>
  <r>
    <x v="28"/>
    <x v="1"/>
  </r>
  <r>
    <x v="34"/>
    <x v="1"/>
  </r>
  <r>
    <x v="13"/>
    <x v="451"/>
  </r>
  <r>
    <x v="5"/>
    <x v="452"/>
  </r>
  <r>
    <x v="26"/>
    <x v="1"/>
  </r>
  <r>
    <x v="29"/>
    <x v="1"/>
  </r>
  <r>
    <x v="22"/>
    <x v="1"/>
  </r>
  <r>
    <x v="25"/>
    <x v="1"/>
  </r>
  <r>
    <x v="16"/>
    <x v="1"/>
  </r>
  <r>
    <x v="19"/>
    <x v="1"/>
  </r>
  <r>
    <x v="26"/>
    <x v="1"/>
  </r>
  <r>
    <x v="29"/>
    <x v="1"/>
  </r>
  <r>
    <x v="46"/>
    <x v="453"/>
  </r>
  <r>
    <x v="47"/>
    <x v="454"/>
  </r>
  <r>
    <x v="5"/>
    <x v="1"/>
  </r>
  <r>
    <x v="7"/>
    <x v="1"/>
  </r>
  <r>
    <x v="52"/>
    <x v="455"/>
  </r>
  <r>
    <x v="26"/>
    <x v="456"/>
  </r>
  <r>
    <x v="15"/>
    <x v="1"/>
  </r>
  <r>
    <x v="4"/>
    <x v="1"/>
  </r>
  <r>
    <x v="13"/>
    <x v="1"/>
  </r>
  <r>
    <x v="5"/>
    <x v="1"/>
  </r>
  <r>
    <x v="38"/>
    <x v="1"/>
  </r>
  <r>
    <x v="5"/>
    <x v="1"/>
  </r>
  <r>
    <x v="10"/>
    <x v="1"/>
  </r>
  <r>
    <x v="2"/>
    <x v="1"/>
  </r>
  <r>
    <x v="28"/>
    <x v="1"/>
  </r>
  <r>
    <x v="34"/>
    <x v="1"/>
  </r>
  <r>
    <x v="46"/>
    <x v="1"/>
  </r>
  <r>
    <x v="47"/>
    <x v="1"/>
  </r>
  <r>
    <x v="26"/>
    <x v="1"/>
  </r>
  <r>
    <x v="29"/>
    <x v="1"/>
  </r>
  <r>
    <x v="12"/>
    <x v="1"/>
  </r>
  <r>
    <x v="4"/>
    <x v="1"/>
  </r>
  <r>
    <x v="48"/>
    <x v="1"/>
  </r>
  <r>
    <x v="49"/>
    <x v="1"/>
  </r>
  <r>
    <x v="17"/>
    <x v="1"/>
  </r>
  <r>
    <x v="20"/>
    <x v="1"/>
  </r>
  <r>
    <x v="11"/>
    <x v="1"/>
  </r>
  <r>
    <x v="3"/>
    <x v="1"/>
  </r>
  <r>
    <x v="18"/>
    <x v="1"/>
  </r>
  <r>
    <x v="21"/>
    <x v="1"/>
  </r>
  <r>
    <x v="12"/>
    <x v="457"/>
  </r>
  <r>
    <x v="4"/>
    <x v="458"/>
  </r>
  <r>
    <x v="11"/>
    <x v="1"/>
  </r>
  <r>
    <x v="3"/>
    <x v="1"/>
  </r>
  <r>
    <x v="10"/>
    <x v="1"/>
  </r>
  <r>
    <x v="2"/>
    <x v="1"/>
  </r>
  <r>
    <x v="11"/>
    <x v="1"/>
  </r>
  <r>
    <x v="3"/>
    <x v="1"/>
  </r>
  <r>
    <x v="5"/>
    <x v="1"/>
  </r>
  <r>
    <x v="7"/>
    <x v="1"/>
  </r>
  <r>
    <x v="46"/>
    <x v="1"/>
  </r>
  <r>
    <x v="47"/>
    <x v="1"/>
  </r>
  <r>
    <x v="12"/>
    <x v="1"/>
  </r>
  <r>
    <x v="4"/>
    <x v="1"/>
  </r>
  <r>
    <x v="10"/>
    <x v="1"/>
  </r>
  <r>
    <x v="8"/>
    <x v="1"/>
  </r>
  <r>
    <x v="11"/>
    <x v="1"/>
  </r>
  <r>
    <x v="3"/>
    <x v="1"/>
  </r>
  <r>
    <x v="28"/>
    <x v="1"/>
  </r>
  <r>
    <x v="34"/>
    <x v="1"/>
  </r>
  <r>
    <x v="15"/>
    <x v="1"/>
  </r>
  <r>
    <x v="4"/>
    <x v="1"/>
  </r>
  <r>
    <x v="33"/>
    <x v="1"/>
  </r>
  <r>
    <x v="37"/>
    <x v="1"/>
  </r>
  <r>
    <x v="46"/>
    <x v="1"/>
  </r>
  <r>
    <x v="47"/>
    <x v="1"/>
  </r>
  <r>
    <x v="15"/>
    <x v="1"/>
  </r>
  <r>
    <x v="4"/>
    <x v="1"/>
  </r>
  <r>
    <x v="12"/>
    <x v="1"/>
  </r>
  <r>
    <x v="4"/>
    <x v="1"/>
  </r>
  <r>
    <x v="5"/>
    <x v="1"/>
  </r>
  <r>
    <x v="7"/>
    <x v="1"/>
  </r>
  <r>
    <x v="38"/>
    <x v="459"/>
  </r>
  <r>
    <x v="5"/>
    <x v="460"/>
  </r>
  <r>
    <x v="16"/>
    <x v="1"/>
  </r>
  <r>
    <x v="19"/>
    <x v="1"/>
  </r>
  <r>
    <x v="28"/>
    <x v="1"/>
  </r>
  <r>
    <x v="34"/>
    <x v="1"/>
  </r>
  <r>
    <x v="14"/>
    <x v="1"/>
  </r>
  <r>
    <x v="6"/>
    <x v="1"/>
  </r>
  <r>
    <x v="12"/>
    <x v="1"/>
  </r>
  <r>
    <x v="4"/>
    <x v="1"/>
  </r>
  <r>
    <x v="22"/>
    <x v="1"/>
  </r>
  <r>
    <x v="25"/>
    <x v="1"/>
  </r>
  <r>
    <x v="46"/>
    <x v="1"/>
  </r>
  <r>
    <x v="47"/>
    <x v="1"/>
  </r>
  <r>
    <x v="5"/>
    <x v="1"/>
  </r>
  <r>
    <x v="1"/>
    <x v="1"/>
  </r>
  <r>
    <x v="27"/>
    <x v="1"/>
  </r>
  <r>
    <x v="32"/>
    <x v="1"/>
  </r>
  <r>
    <x v="15"/>
    <x v="1"/>
  </r>
  <r>
    <x v="4"/>
    <x v="1"/>
  </r>
  <r>
    <x v="9"/>
    <x v="1"/>
  </r>
  <r>
    <x v="0"/>
    <x v="1"/>
  </r>
  <r>
    <x v="35"/>
    <x v="1"/>
  </r>
  <r>
    <x v="0"/>
    <x v="1"/>
  </r>
  <r>
    <x v="14"/>
    <x v="1"/>
  </r>
  <r>
    <x v="6"/>
    <x v="1"/>
  </r>
  <r>
    <x v="15"/>
    <x v="1"/>
  </r>
  <r>
    <x v="4"/>
    <x v="1"/>
  </r>
  <r>
    <x v="11"/>
    <x v="1"/>
  </r>
  <r>
    <x v="3"/>
    <x v="1"/>
  </r>
  <r>
    <x v="17"/>
    <x v="1"/>
  </r>
  <r>
    <x v="20"/>
    <x v="1"/>
  </r>
  <r>
    <x v="28"/>
    <x v="1"/>
  </r>
  <r>
    <x v="34"/>
    <x v="1"/>
  </r>
  <r>
    <x v="10"/>
    <x v="1"/>
  </r>
  <r>
    <x v="8"/>
    <x v="1"/>
  </r>
  <r>
    <x v="15"/>
    <x v="1"/>
  </r>
  <r>
    <x v="4"/>
    <x v="1"/>
  </r>
  <r>
    <x v="26"/>
    <x v="1"/>
  </r>
  <r>
    <x v="29"/>
    <x v="1"/>
  </r>
  <r>
    <x v="14"/>
    <x v="461"/>
  </r>
  <r>
    <x v="6"/>
    <x v="462"/>
  </r>
  <r>
    <x v="17"/>
    <x v="1"/>
  </r>
  <r>
    <x v="23"/>
    <x v="1"/>
  </r>
  <r>
    <x v="5"/>
    <x v="1"/>
  </r>
  <r>
    <x v="24"/>
    <x v="1"/>
  </r>
  <r>
    <x v="10"/>
    <x v="1"/>
  </r>
  <r>
    <x v="8"/>
    <x v="1"/>
  </r>
  <r>
    <x v="15"/>
    <x v="1"/>
  </r>
  <r>
    <x v="4"/>
    <x v="1"/>
  </r>
  <r>
    <x v="13"/>
    <x v="463"/>
  </r>
  <r>
    <x v="5"/>
    <x v="464"/>
  </r>
  <r>
    <x v="11"/>
    <x v="1"/>
  </r>
  <r>
    <x v="3"/>
    <x v="1"/>
  </r>
  <r>
    <x v="17"/>
    <x v="1"/>
  </r>
  <r>
    <x v="23"/>
    <x v="1"/>
  </r>
  <r>
    <x v="11"/>
    <x v="1"/>
  </r>
  <r>
    <x v="3"/>
    <x v="1"/>
  </r>
  <r>
    <x v="10"/>
    <x v="61"/>
  </r>
  <r>
    <x v="2"/>
    <x v="64"/>
  </r>
  <r>
    <x v="16"/>
    <x v="1"/>
  </r>
  <r>
    <x v="19"/>
    <x v="1"/>
  </r>
  <r>
    <x v="31"/>
    <x v="1"/>
  </r>
  <r>
    <x v="36"/>
    <x v="1"/>
  </r>
  <r>
    <x v="28"/>
    <x v="1"/>
  </r>
  <r>
    <x v="34"/>
    <x v="1"/>
  </r>
  <r>
    <x v="56"/>
    <x v="465"/>
  </r>
  <r>
    <x v="57"/>
    <x v="466"/>
  </r>
  <r>
    <x v="28"/>
    <x v="1"/>
  </r>
  <r>
    <x v="34"/>
    <x v="1"/>
  </r>
  <r>
    <x v="27"/>
    <x v="1"/>
  </r>
  <r>
    <x v="32"/>
    <x v="1"/>
  </r>
  <r>
    <x v="28"/>
    <x v="1"/>
  </r>
  <r>
    <x v="34"/>
    <x v="1"/>
  </r>
  <r>
    <x v="33"/>
    <x v="1"/>
  </r>
  <r>
    <x v="37"/>
    <x v="1"/>
  </r>
  <r>
    <x v="5"/>
    <x v="1"/>
  </r>
  <r>
    <x v="7"/>
    <x v="1"/>
  </r>
  <r>
    <x v="35"/>
    <x v="1"/>
  </r>
  <r>
    <x v="0"/>
    <x v="1"/>
  </r>
  <r>
    <x v="17"/>
    <x v="1"/>
  </r>
  <r>
    <x v="20"/>
    <x v="1"/>
  </r>
  <r>
    <x v="10"/>
    <x v="1"/>
  </r>
  <r>
    <x v="8"/>
    <x v="1"/>
  </r>
  <r>
    <x v="28"/>
    <x v="1"/>
  </r>
  <r>
    <x v="34"/>
    <x v="1"/>
  </r>
  <r>
    <x v="11"/>
    <x v="1"/>
  </r>
  <r>
    <x v="3"/>
    <x v="1"/>
  </r>
  <r>
    <x v="28"/>
    <x v="1"/>
  </r>
  <r>
    <x v="34"/>
    <x v="1"/>
  </r>
  <r>
    <x v="17"/>
    <x v="1"/>
  </r>
  <r>
    <x v="20"/>
    <x v="1"/>
  </r>
  <r>
    <x v="46"/>
    <x v="1"/>
  </r>
  <r>
    <x v="47"/>
    <x v="1"/>
  </r>
  <r>
    <x v="50"/>
    <x v="1"/>
  </r>
  <r>
    <x v="51"/>
    <x v="1"/>
  </r>
  <r>
    <x v="27"/>
    <x v="1"/>
  </r>
  <r>
    <x v="32"/>
    <x v="1"/>
  </r>
  <r>
    <x v="17"/>
    <x v="1"/>
  </r>
  <r>
    <x v="20"/>
    <x v="1"/>
  </r>
  <r>
    <x v="15"/>
    <x v="1"/>
  </r>
  <r>
    <x v="4"/>
    <x v="1"/>
  </r>
  <r>
    <x v="26"/>
    <x v="1"/>
  </r>
  <r>
    <x v="29"/>
    <x v="1"/>
  </r>
  <r>
    <x v="40"/>
    <x v="1"/>
  </r>
  <r>
    <x v="43"/>
    <x v="1"/>
  </r>
  <r>
    <x v="46"/>
    <x v="1"/>
  </r>
  <r>
    <x v="47"/>
    <x v="1"/>
  </r>
  <r>
    <x v="38"/>
    <x v="1"/>
  </r>
  <r>
    <x v="5"/>
    <x v="1"/>
  </r>
  <r>
    <x v="12"/>
    <x v="467"/>
  </r>
  <r>
    <x v="4"/>
    <x v="468"/>
  </r>
  <r>
    <x v="39"/>
    <x v="1"/>
  </r>
  <r>
    <x v="42"/>
    <x v="1"/>
  </r>
  <r>
    <x v="5"/>
    <x v="1"/>
  </r>
  <r>
    <x v="7"/>
    <x v="1"/>
  </r>
  <r>
    <x v="9"/>
    <x v="1"/>
  </r>
  <r>
    <x v="0"/>
    <x v="1"/>
  </r>
  <r>
    <x v="12"/>
    <x v="1"/>
  </r>
  <r>
    <x v="4"/>
    <x v="1"/>
  </r>
  <r>
    <x v="38"/>
    <x v="1"/>
  </r>
  <r>
    <x v="5"/>
    <x v="1"/>
  </r>
  <r>
    <x v="46"/>
    <x v="469"/>
  </r>
  <r>
    <x v="20"/>
    <x v="1"/>
  </r>
  <r>
    <x v="17"/>
    <x v="1"/>
  </r>
  <r>
    <x v="11"/>
    <x v="1"/>
  </r>
  <r>
    <x v="12"/>
    <x v="1"/>
  </r>
  <r>
    <x v="16"/>
    <x v="1"/>
  </r>
  <r>
    <x v="5"/>
    <x v="470"/>
  </r>
  <r>
    <x v="14"/>
    <x v="471"/>
  </r>
  <r>
    <x v="14"/>
    <x v="1"/>
  </r>
  <r>
    <x v="34"/>
    <x v="1"/>
  </r>
  <r>
    <x v="47"/>
    <x v="472"/>
  </r>
  <r>
    <x v="15"/>
    <x v="1"/>
  </r>
  <r>
    <x v="11"/>
    <x v="1"/>
  </r>
  <r>
    <x v="28"/>
    <x v="1"/>
  </r>
  <r>
    <x v="5"/>
    <x v="1"/>
  </r>
  <r>
    <x v="12"/>
    <x v="1"/>
  </r>
  <r>
    <x v="28"/>
    <x v="1"/>
  </r>
  <r>
    <x v="5"/>
    <x v="1"/>
  </r>
  <r>
    <x v="20"/>
    <x v="1"/>
  </r>
  <r>
    <x v="3"/>
    <x v="1"/>
  </r>
  <r>
    <x v="4"/>
    <x v="1"/>
  </r>
  <r>
    <x v="12"/>
    <x v="1"/>
  </r>
  <r>
    <x v="19"/>
    <x v="1"/>
  </r>
  <r>
    <x v="28"/>
    <x v="1"/>
  </r>
  <r>
    <x v="1"/>
    <x v="473"/>
  </r>
  <r>
    <x v="6"/>
    <x v="474"/>
  </r>
  <r>
    <x v="6"/>
    <x v="1"/>
  </r>
  <r>
    <x v="10"/>
    <x v="475"/>
  </r>
  <r>
    <x v="27"/>
    <x v="476"/>
  </r>
  <r>
    <x v="15"/>
    <x v="1"/>
  </r>
  <r>
    <x v="4"/>
    <x v="1"/>
  </r>
  <r>
    <x v="46"/>
    <x v="1"/>
  </r>
  <r>
    <x v="3"/>
    <x v="1"/>
  </r>
  <r>
    <x v="34"/>
    <x v="1"/>
  </r>
  <r>
    <x v="7"/>
    <x v="1"/>
  </r>
  <r>
    <x v="4"/>
    <x v="1"/>
  </r>
  <r>
    <x v="34"/>
    <x v="1"/>
  </r>
  <r>
    <x v="5"/>
    <x v="1"/>
  </r>
  <r>
    <x v="27"/>
    <x v="1"/>
  </r>
  <r>
    <x v="7"/>
    <x v="1"/>
  </r>
  <r>
    <x v="5"/>
    <x v="1"/>
  </r>
  <r>
    <x v="28"/>
    <x v="1"/>
  </r>
  <r>
    <x v="35"/>
    <x v="1"/>
  </r>
  <r>
    <x v="5"/>
    <x v="1"/>
  </r>
  <r>
    <x v="4"/>
    <x v="1"/>
  </r>
  <r>
    <x v="34"/>
    <x v="1"/>
  </r>
  <r>
    <x v="13"/>
    <x v="1"/>
  </r>
  <r>
    <x v="44"/>
    <x v="1"/>
  </r>
  <r>
    <x v="9"/>
    <x v="1"/>
  </r>
  <r>
    <x v="2"/>
    <x v="477"/>
  </r>
  <r>
    <x v="13"/>
    <x v="1"/>
  </r>
  <r>
    <x v="31"/>
    <x v="1"/>
  </r>
  <r>
    <x v="32"/>
    <x v="478"/>
  </r>
  <r>
    <x v="5"/>
    <x v="1"/>
  </r>
  <r>
    <x v="4"/>
    <x v="1"/>
  </r>
  <r>
    <x v="47"/>
    <x v="1"/>
  </r>
  <r>
    <x v="50"/>
    <x v="1"/>
  </r>
  <r>
    <x v="35"/>
    <x v="1"/>
  </r>
  <r>
    <x v="7"/>
    <x v="1"/>
  </r>
  <r>
    <x v="32"/>
    <x v="1"/>
  </r>
  <r>
    <x v="24"/>
    <x v="1"/>
  </r>
  <r>
    <x v="34"/>
    <x v="1"/>
  </r>
  <r>
    <x v="28"/>
    <x v="1"/>
  </r>
  <r>
    <x v="0"/>
    <x v="1"/>
  </r>
  <r>
    <x v="1"/>
    <x v="1"/>
  </r>
  <r>
    <x v="10"/>
    <x v="149"/>
  </r>
  <r>
    <x v="5"/>
    <x v="479"/>
  </r>
  <r>
    <x v="5"/>
    <x v="1"/>
  </r>
  <r>
    <x v="45"/>
    <x v="1"/>
  </r>
  <r>
    <x v="0"/>
    <x v="1"/>
  </r>
  <r>
    <x v="5"/>
    <x v="1"/>
  </r>
  <r>
    <x v="36"/>
    <x v="1"/>
  </r>
  <r>
    <x v="9"/>
    <x v="1"/>
  </r>
  <r>
    <x v="7"/>
    <x v="1"/>
  </r>
  <r>
    <x v="51"/>
    <x v="1"/>
  </r>
  <r>
    <x v="5"/>
    <x v="480"/>
  </r>
  <r>
    <x v="33"/>
    <x v="481"/>
  </r>
  <r>
    <x v="10"/>
    <x v="1"/>
  </r>
  <r>
    <x v="11"/>
    <x v="1"/>
  </r>
  <r>
    <x v="0"/>
    <x v="1"/>
  </r>
  <r>
    <x v="11"/>
    <x v="1"/>
  </r>
  <r>
    <x v="34"/>
    <x v="1"/>
  </r>
  <r>
    <x v="2"/>
    <x v="150"/>
  </r>
  <r>
    <x v="22"/>
    <x v="1"/>
  </r>
  <r>
    <x v="1"/>
    <x v="482"/>
  </r>
  <r>
    <x v="13"/>
    <x v="1"/>
  </r>
  <r>
    <x v="17"/>
    <x v="483"/>
  </r>
  <r>
    <x v="0"/>
    <x v="1"/>
  </r>
  <r>
    <x v="13"/>
    <x v="1"/>
  </r>
  <r>
    <x v="26"/>
    <x v="1"/>
  </r>
  <r>
    <x v="24"/>
    <x v="484"/>
  </r>
  <r>
    <x v="37"/>
    <x v="485"/>
  </r>
  <r>
    <x v="8"/>
    <x v="1"/>
  </r>
  <r>
    <x v="33"/>
    <x v="1"/>
  </r>
  <r>
    <x v="3"/>
    <x v="1"/>
  </r>
  <r>
    <x v="3"/>
    <x v="1"/>
  </r>
  <r>
    <x v="25"/>
    <x v="1"/>
  </r>
  <r>
    <x v="5"/>
    <x v="1"/>
  </r>
  <r>
    <x v="20"/>
    <x v="486"/>
  </r>
  <r>
    <x v="28"/>
    <x v="1"/>
  </r>
  <r>
    <x v="5"/>
    <x v="1"/>
  </r>
  <r>
    <x v="29"/>
    <x v="1"/>
  </r>
  <r>
    <x v="37"/>
    <x v="1"/>
  </r>
  <r>
    <x v="17"/>
    <x v="1"/>
  </r>
  <r>
    <x v="22"/>
    <x v="487"/>
  </r>
  <r>
    <x v="50"/>
    <x v="1"/>
  </r>
  <r>
    <x v="9"/>
    <x v="157"/>
  </r>
  <r>
    <x v="28"/>
    <x v="1"/>
  </r>
  <r>
    <x v="12"/>
    <x v="1"/>
  </r>
  <r>
    <x v="26"/>
    <x v="1"/>
  </r>
  <r>
    <x v="10"/>
    <x v="1"/>
  </r>
  <r>
    <x v="11"/>
    <x v="488"/>
  </r>
  <r>
    <x v="28"/>
    <x v="1"/>
  </r>
  <r>
    <x v="13"/>
    <x v="1"/>
  </r>
  <r>
    <x v="34"/>
    <x v="1"/>
  </r>
  <r>
    <x v="15"/>
    <x v="1"/>
  </r>
  <r>
    <x v="5"/>
    <x v="14"/>
  </r>
  <r>
    <x v="15"/>
    <x v="1"/>
  </r>
  <r>
    <x v="11"/>
    <x v="1"/>
  </r>
  <r>
    <x v="28"/>
    <x v="1"/>
  </r>
  <r>
    <x v="17"/>
    <x v="1"/>
  </r>
  <r>
    <x v="5"/>
    <x v="1"/>
  </r>
  <r>
    <x v="46"/>
    <x v="1"/>
  </r>
  <r>
    <x v="20"/>
    <x v="1"/>
  </r>
  <r>
    <x v="25"/>
    <x v="489"/>
  </r>
  <r>
    <x v="51"/>
    <x v="1"/>
  </r>
  <r>
    <x v="0"/>
    <x v="158"/>
  </r>
  <r>
    <x v="34"/>
    <x v="1"/>
  </r>
  <r>
    <x v="4"/>
    <x v="1"/>
  </r>
  <r>
    <x v="29"/>
    <x v="1"/>
  </r>
  <r>
    <x v="50"/>
    <x v="1"/>
  </r>
  <r>
    <x v="46"/>
    <x v="1"/>
  </r>
  <r>
    <x v="2"/>
    <x v="1"/>
  </r>
  <r>
    <x v="5"/>
    <x v="1"/>
  </r>
  <r>
    <x v="3"/>
    <x v="490"/>
  </r>
  <r>
    <x v="34"/>
    <x v="1"/>
  </r>
  <r>
    <x v="5"/>
    <x v="1"/>
  </r>
  <r>
    <x v="4"/>
    <x v="1"/>
  </r>
  <r>
    <x v="1"/>
    <x v="17"/>
  </r>
  <r>
    <x v="4"/>
    <x v="1"/>
  </r>
  <r>
    <x v="3"/>
    <x v="1"/>
  </r>
  <r>
    <x v="35"/>
    <x v="491"/>
  </r>
  <r>
    <x v="34"/>
    <x v="1"/>
  </r>
  <r>
    <x v="20"/>
    <x v="1"/>
  </r>
  <r>
    <x v="11"/>
    <x v="1"/>
  </r>
  <r>
    <x v="7"/>
    <x v="1"/>
  </r>
  <r>
    <x v="11"/>
    <x v="1"/>
  </r>
  <r>
    <x v="47"/>
    <x v="1"/>
  </r>
  <r>
    <x v="17"/>
    <x v="1"/>
  </r>
  <r>
    <x v="12"/>
    <x v="1"/>
  </r>
  <r>
    <x v="51"/>
    <x v="1"/>
  </r>
  <r>
    <x v="47"/>
    <x v="1"/>
  </r>
  <r>
    <x v="13"/>
    <x v="492"/>
  </r>
  <r>
    <x v="10"/>
    <x v="493"/>
  </r>
  <r>
    <x v="7"/>
    <x v="1"/>
  </r>
  <r>
    <x v="38"/>
    <x v="1"/>
  </r>
  <r>
    <x v="50"/>
    <x v="1"/>
  </r>
  <r>
    <x v="31"/>
    <x v="1"/>
  </r>
  <r>
    <x v="33"/>
    <x v="1"/>
  </r>
  <r>
    <x v="9"/>
    <x v="1"/>
  </r>
  <r>
    <x v="46"/>
    <x v="1"/>
  </r>
  <r>
    <x v="0"/>
    <x v="494"/>
  </r>
  <r>
    <x v="10"/>
    <x v="1"/>
  </r>
  <r>
    <x v="5"/>
    <x v="1"/>
  </r>
  <r>
    <x v="11"/>
    <x v="1"/>
  </r>
  <r>
    <x v="3"/>
    <x v="1"/>
  </r>
  <r>
    <x v="3"/>
    <x v="1"/>
  </r>
  <r>
    <x v="35"/>
    <x v="1"/>
  </r>
  <r>
    <x v="9"/>
    <x v="1"/>
  </r>
  <r>
    <x v="23"/>
    <x v="1"/>
  </r>
  <r>
    <x v="15"/>
    <x v="1"/>
  </r>
  <r>
    <x v="4"/>
    <x v="1"/>
  </r>
  <r>
    <x v="12"/>
    <x v="495"/>
  </r>
  <r>
    <x v="14"/>
    <x v="1"/>
  </r>
  <r>
    <x v="5"/>
    <x v="496"/>
  </r>
  <r>
    <x v="13"/>
    <x v="1"/>
  </r>
  <r>
    <x v="2"/>
    <x v="497"/>
  </r>
  <r>
    <x v="10"/>
    <x v="161"/>
  </r>
  <r>
    <x v="5"/>
    <x v="1"/>
  </r>
  <r>
    <x v="14"/>
    <x v="1"/>
  </r>
  <r>
    <x v="51"/>
    <x v="1"/>
  </r>
  <r>
    <x v="9"/>
    <x v="1"/>
  </r>
  <r>
    <x v="15"/>
    <x v="163"/>
  </r>
  <r>
    <x v="36"/>
    <x v="1"/>
  </r>
  <r>
    <x v="37"/>
    <x v="1"/>
  </r>
  <r>
    <x v="41"/>
    <x v="498"/>
  </r>
  <r>
    <x v="0"/>
    <x v="1"/>
  </r>
  <r>
    <x v="35"/>
    <x v="1"/>
  </r>
  <r>
    <x v="47"/>
    <x v="1"/>
  </r>
  <r>
    <x v="8"/>
    <x v="1"/>
  </r>
  <r>
    <x v="1"/>
    <x v="1"/>
  </r>
  <r>
    <x v="3"/>
    <x v="1"/>
  </r>
  <r>
    <x v="38"/>
    <x v="1"/>
  </r>
  <r>
    <x v="10"/>
    <x v="1"/>
  </r>
  <r>
    <x v="0"/>
    <x v="1"/>
  </r>
  <r>
    <x v="0"/>
    <x v="1"/>
  </r>
  <r>
    <x v="15"/>
    <x v="1"/>
  </r>
  <r>
    <x v="4"/>
    <x v="1"/>
  </r>
  <r>
    <x v="5"/>
    <x v="1"/>
  </r>
  <r>
    <x v="17"/>
    <x v="1"/>
  </r>
  <r>
    <x v="4"/>
    <x v="499"/>
  </r>
  <r>
    <x v="6"/>
    <x v="1"/>
  </r>
  <r>
    <x v="5"/>
    <x v="1"/>
  </r>
  <r>
    <x v="2"/>
    <x v="162"/>
  </r>
  <r>
    <x v="9"/>
    <x v="1"/>
  </r>
  <r>
    <x v="6"/>
    <x v="1"/>
  </r>
  <r>
    <x v="0"/>
    <x v="1"/>
  </r>
  <r>
    <x v="4"/>
    <x v="164"/>
  </r>
  <r>
    <x v="5"/>
    <x v="1"/>
  </r>
  <r>
    <x v="27"/>
    <x v="500"/>
  </r>
  <r>
    <x v="0"/>
    <x v="1"/>
  </r>
  <r>
    <x v="5"/>
    <x v="1"/>
  </r>
  <r>
    <x v="40"/>
    <x v="1"/>
  </r>
  <r>
    <x v="8"/>
    <x v="1"/>
  </r>
  <r>
    <x v="40"/>
    <x v="501"/>
  </r>
  <r>
    <x v="13"/>
    <x v="1"/>
  </r>
  <r>
    <x v="5"/>
    <x v="1"/>
  </r>
  <r>
    <x v="28"/>
    <x v="502"/>
  </r>
  <r>
    <x v="34"/>
    <x v="503"/>
  </r>
  <r>
    <x v="46"/>
    <x v="1"/>
  </r>
  <r>
    <x v="47"/>
    <x v="1"/>
  </r>
  <r>
    <x v="41"/>
    <x v="1"/>
  </r>
  <r>
    <x v="27"/>
    <x v="1"/>
  </r>
  <r>
    <x v="5"/>
    <x v="1"/>
  </r>
  <r>
    <x v="1"/>
    <x v="1"/>
  </r>
  <r>
    <x v="35"/>
    <x v="1"/>
  </r>
  <r>
    <x v="0"/>
    <x v="1"/>
  </r>
  <r>
    <x v="27"/>
    <x v="1"/>
  </r>
  <r>
    <x v="32"/>
    <x v="1"/>
  </r>
  <r>
    <x v="9"/>
    <x v="1"/>
  </r>
  <r>
    <x v="0"/>
    <x v="1"/>
  </r>
  <r>
    <x v="15"/>
    <x v="1"/>
  </r>
  <r>
    <x v="4"/>
    <x v="1"/>
  </r>
  <r>
    <x v="13"/>
    <x v="504"/>
  </r>
  <r>
    <x v="5"/>
    <x v="505"/>
  </r>
  <r>
    <x v="5"/>
    <x v="1"/>
  </r>
  <r>
    <x v="1"/>
    <x v="1"/>
  </r>
  <r>
    <x v="16"/>
    <x v="1"/>
  </r>
  <r>
    <x v="19"/>
    <x v="1"/>
  </r>
  <r>
    <x v="17"/>
    <x v="1"/>
  </r>
  <r>
    <x v="23"/>
    <x v="1"/>
  </r>
  <r>
    <x v="14"/>
    <x v="1"/>
  </r>
  <r>
    <x v="6"/>
    <x v="1"/>
  </r>
  <r>
    <x v="22"/>
    <x v="1"/>
  </r>
  <r>
    <x v="25"/>
    <x v="1"/>
  </r>
  <r>
    <x v="5"/>
    <x v="1"/>
  </r>
  <r>
    <x v="7"/>
    <x v="1"/>
  </r>
  <r>
    <x v="11"/>
    <x v="1"/>
  </r>
  <r>
    <x v="3"/>
    <x v="1"/>
  </r>
  <r>
    <x v="35"/>
    <x v="1"/>
  </r>
  <r>
    <x v="0"/>
    <x v="1"/>
  </r>
  <r>
    <x v="40"/>
    <x v="506"/>
  </r>
  <r>
    <x v="43"/>
    <x v="507"/>
  </r>
  <r>
    <x v="5"/>
    <x v="1"/>
  </r>
  <r>
    <x v="7"/>
    <x v="1"/>
  </r>
  <r>
    <x v="10"/>
    <x v="1"/>
  </r>
  <r>
    <x v="2"/>
    <x v="1"/>
  </r>
  <r>
    <x v="15"/>
    <x v="1"/>
  </r>
  <r>
    <x v="4"/>
    <x v="1"/>
  </r>
  <r>
    <x v="5"/>
    <x v="1"/>
  </r>
  <r>
    <x v="7"/>
    <x v="1"/>
  </r>
  <r>
    <x v="12"/>
    <x v="1"/>
  </r>
  <r>
    <x v="4"/>
    <x v="1"/>
  </r>
  <r>
    <x v="35"/>
    <x v="1"/>
  </r>
  <r>
    <x v="0"/>
    <x v="1"/>
  </r>
  <r>
    <x v="28"/>
    <x v="1"/>
  </r>
  <r>
    <x v="34"/>
    <x v="1"/>
  </r>
  <r>
    <x v="11"/>
    <x v="1"/>
  </r>
  <r>
    <x v="3"/>
    <x v="1"/>
  </r>
  <r>
    <x v="5"/>
    <x v="1"/>
  </r>
  <r>
    <x v="24"/>
    <x v="1"/>
  </r>
  <r>
    <x v="28"/>
    <x v="1"/>
  </r>
  <r>
    <x v="34"/>
    <x v="1"/>
  </r>
  <r>
    <x v="40"/>
    <x v="1"/>
  </r>
  <r>
    <x v="43"/>
    <x v="1"/>
  </r>
  <r>
    <x v="26"/>
    <x v="1"/>
  </r>
  <r>
    <x v="29"/>
    <x v="1"/>
  </r>
  <r>
    <x v="17"/>
    <x v="1"/>
  </r>
  <r>
    <x v="23"/>
    <x v="1"/>
  </r>
  <r>
    <x v="11"/>
    <x v="1"/>
  </r>
  <r>
    <x v="3"/>
    <x v="1"/>
  </r>
  <r>
    <x v="22"/>
    <x v="508"/>
  </r>
  <r>
    <x v="25"/>
    <x v="509"/>
  </r>
  <r>
    <x v="46"/>
    <x v="510"/>
  </r>
  <r>
    <x v="47"/>
    <x v="511"/>
  </r>
  <r>
    <x v="10"/>
    <x v="1"/>
  </r>
  <r>
    <x v="2"/>
    <x v="1"/>
  </r>
  <r>
    <x v="40"/>
    <x v="1"/>
  </r>
  <r>
    <x v="43"/>
    <x v="1"/>
  </r>
  <r>
    <x v="5"/>
    <x v="512"/>
  </r>
  <r>
    <x v="24"/>
    <x v="513"/>
  </r>
  <r>
    <x v="26"/>
    <x v="1"/>
  </r>
  <r>
    <x v="29"/>
    <x v="1"/>
  </r>
  <r>
    <x v="40"/>
    <x v="1"/>
  </r>
  <r>
    <x v="43"/>
    <x v="1"/>
  </r>
  <r>
    <x v="46"/>
    <x v="1"/>
  </r>
  <r>
    <x v="47"/>
    <x v="1"/>
  </r>
  <r>
    <x v="41"/>
    <x v="514"/>
  </r>
  <r>
    <x v="27"/>
    <x v="515"/>
  </r>
  <r>
    <x v="11"/>
    <x v="1"/>
  </r>
  <r>
    <x v="3"/>
    <x v="1"/>
  </r>
  <r>
    <x v="12"/>
    <x v="1"/>
  </r>
  <r>
    <x v="4"/>
    <x v="1"/>
  </r>
  <r>
    <x v="28"/>
    <x v="1"/>
  </r>
  <r>
    <x v="34"/>
    <x v="1"/>
  </r>
  <r>
    <x v="22"/>
    <x v="1"/>
  </r>
  <r>
    <x v="25"/>
    <x v="1"/>
  </r>
  <r>
    <x v="46"/>
    <x v="1"/>
  </r>
  <r>
    <x v="47"/>
    <x v="1"/>
  </r>
  <r>
    <x v="15"/>
    <x v="1"/>
  </r>
  <r>
    <x v="4"/>
    <x v="1"/>
  </r>
  <r>
    <x v="12"/>
    <x v="1"/>
  </r>
  <r>
    <x v="4"/>
    <x v="1"/>
  </r>
  <r>
    <x v="26"/>
    <x v="1"/>
  </r>
  <r>
    <x v="29"/>
    <x v="1"/>
  </r>
  <r>
    <x v="17"/>
    <x v="1"/>
  </r>
  <r>
    <x v="20"/>
    <x v="1"/>
  </r>
  <r>
    <x v="14"/>
    <x v="1"/>
  </r>
  <r>
    <x v="6"/>
    <x v="1"/>
  </r>
  <r>
    <x v="12"/>
    <x v="1"/>
  </r>
  <r>
    <x v="4"/>
    <x v="1"/>
  </r>
  <r>
    <x v="46"/>
    <x v="1"/>
  </r>
  <r>
    <x v="47"/>
    <x v="1"/>
  </r>
  <r>
    <x v="18"/>
    <x v="516"/>
  </r>
  <r>
    <x v="21"/>
    <x v="517"/>
  </r>
  <r>
    <x v="22"/>
    <x v="1"/>
  </r>
  <r>
    <x v="25"/>
    <x v="1"/>
  </r>
  <r>
    <x v="17"/>
    <x v="3"/>
  </r>
  <r>
    <x v="23"/>
    <x v="5"/>
  </r>
  <r>
    <x v="10"/>
    <x v="1"/>
  </r>
  <r>
    <x v="2"/>
    <x v="1"/>
  </r>
  <r>
    <x v="16"/>
    <x v="1"/>
  </r>
  <r>
    <x v="19"/>
    <x v="1"/>
  </r>
  <r>
    <x v="26"/>
    <x v="1"/>
  </r>
  <r>
    <x v="29"/>
    <x v="1"/>
  </r>
  <r>
    <x v="38"/>
    <x v="1"/>
  </r>
  <r>
    <x v="5"/>
    <x v="1"/>
  </r>
  <r>
    <x v="14"/>
    <x v="1"/>
  </r>
  <r>
    <x v="6"/>
    <x v="1"/>
  </r>
  <r>
    <x v="12"/>
    <x v="1"/>
  </r>
  <r>
    <x v="4"/>
    <x v="1"/>
  </r>
  <r>
    <x v="15"/>
    <x v="1"/>
  </r>
  <r>
    <x v="4"/>
    <x v="1"/>
  </r>
  <r>
    <x v="11"/>
    <x v="1"/>
  </r>
  <r>
    <x v="3"/>
    <x v="1"/>
  </r>
  <r>
    <x v="5"/>
    <x v="1"/>
  </r>
  <r>
    <x v="1"/>
    <x v="1"/>
  </r>
  <r>
    <x v="13"/>
    <x v="1"/>
  </r>
  <r>
    <x v="5"/>
    <x v="1"/>
  </r>
  <r>
    <x v="5"/>
    <x v="1"/>
  </r>
  <r>
    <x v="1"/>
    <x v="1"/>
  </r>
  <r>
    <x v="15"/>
    <x v="518"/>
  </r>
  <r>
    <x v="4"/>
    <x v="519"/>
  </r>
  <r>
    <x v="28"/>
    <x v="1"/>
  </r>
  <r>
    <x v="34"/>
    <x v="1"/>
  </r>
  <r>
    <x v="26"/>
    <x v="1"/>
  </r>
  <r>
    <x v="29"/>
    <x v="1"/>
  </r>
  <r>
    <x v="10"/>
    <x v="1"/>
  </r>
  <r>
    <x v="8"/>
    <x v="1"/>
  </r>
  <r>
    <x v="22"/>
    <x v="520"/>
  </r>
  <r>
    <x v="25"/>
    <x v="521"/>
  </r>
  <r>
    <x v="28"/>
    <x v="1"/>
  </r>
  <r>
    <x v="34"/>
    <x v="1"/>
  </r>
  <r>
    <x v="22"/>
    <x v="1"/>
  </r>
  <r>
    <x v="25"/>
    <x v="1"/>
  </r>
  <r>
    <x v="46"/>
    <x v="1"/>
  </r>
  <r>
    <x v="47"/>
    <x v="1"/>
  </r>
  <r>
    <x v="9"/>
    <x v="1"/>
  </r>
  <r>
    <x v="0"/>
    <x v="1"/>
  </r>
  <r>
    <x v="35"/>
    <x v="1"/>
  </r>
  <r>
    <x v="0"/>
    <x v="1"/>
  </r>
  <r>
    <x v="12"/>
    <x v="1"/>
  </r>
  <r>
    <x v="4"/>
    <x v="1"/>
  </r>
  <r>
    <x v="9"/>
    <x v="1"/>
  </r>
  <r>
    <x v="0"/>
    <x v="1"/>
  </r>
  <r>
    <x v="31"/>
    <x v="1"/>
  </r>
  <r>
    <x v="36"/>
    <x v="1"/>
  </r>
  <r>
    <x v="11"/>
    <x v="1"/>
  </r>
  <r>
    <x v="3"/>
    <x v="1"/>
  </r>
  <r>
    <x v="15"/>
    <x v="1"/>
  </r>
  <r>
    <x v="4"/>
    <x v="1"/>
  </r>
  <r>
    <x v="10"/>
    <x v="1"/>
  </r>
  <r>
    <x v="8"/>
    <x v="1"/>
  </r>
  <r>
    <x v="15"/>
    <x v="1"/>
  </r>
  <r>
    <x v="4"/>
    <x v="1"/>
  </r>
  <r>
    <x v="17"/>
    <x v="1"/>
  </r>
  <r>
    <x v="20"/>
    <x v="1"/>
  </r>
  <r>
    <x v="40"/>
    <x v="522"/>
  </r>
  <r>
    <x v="43"/>
    <x v="523"/>
  </r>
  <r>
    <x v="28"/>
    <x v="1"/>
  </r>
  <r>
    <x v="34"/>
    <x v="1"/>
  </r>
  <r>
    <x v="17"/>
    <x v="1"/>
  </r>
  <r>
    <x v="20"/>
    <x v="1"/>
  </r>
  <r>
    <x v="9"/>
    <x v="1"/>
  </r>
  <r>
    <x v="0"/>
    <x v="1"/>
  </r>
  <r>
    <x v="26"/>
    <x v="1"/>
  </r>
  <r>
    <x v="29"/>
    <x v="1"/>
  </r>
  <r>
    <x v="12"/>
    <x v="1"/>
  </r>
  <r>
    <x v="4"/>
    <x v="1"/>
  </r>
  <r>
    <x v="14"/>
    <x v="1"/>
  </r>
  <r>
    <x v="6"/>
    <x v="1"/>
  </r>
  <r>
    <x v="11"/>
    <x v="1"/>
  </r>
  <r>
    <x v="3"/>
    <x v="1"/>
  </r>
  <r>
    <x v="13"/>
    <x v="1"/>
  </r>
  <r>
    <x v="5"/>
    <x v="1"/>
  </r>
  <r>
    <x v="5"/>
    <x v="1"/>
  </r>
  <r>
    <x v="1"/>
    <x v="1"/>
  </r>
  <r>
    <x v="22"/>
    <x v="1"/>
  </r>
  <r>
    <x v="25"/>
    <x v="1"/>
  </r>
  <r>
    <x v="17"/>
    <x v="1"/>
  </r>
  <r>
    <x v="23"/>
    <x v="1"/>
  </r>
  <r>
    <x v="10"/>
    <x v="1"/>
  </r>
  <r>
    <x v="2"/>
    <x v="1"/>
  </r>
  <r>
    <x v="41"/>
    <x v="1"/>
  </r>
  <r>
    <x v="27"/>
    <x v="1"/>
  </r>
  <r>
    <x v="15"/>
    <x v="1"/>
  </r>
  <r>
    <x v="4"/>
    <x v="1"/>
  </r>
  <r>
    <x v="11"/>
    <x v="1"/>
  </r>
  <r>
    <x v="3"/>
    <x v="1"/>
  </r>
  <r>
    <x v="28"/>
    <x v="1"/>
  </r>
  <r>
    <x v="34"/>
    <x v="1"/>
  </r>
  <r>
    <x v="26"/>
    <x v="1"/>
  </r>
  <r>
    <x v="29"/>
    <x v="1"/>
  </r>
  <r>
    <x v="22"/>
    <x v="1"/>
  </r>
  <r>
    <x v="25"/>
    <x v="1"/>
  </r>
  <r>
    <x v="5"/>
    <x v="1"/>
  </r>
  <r>
    <x v="1"/>
    <x v="1"/>
  </r>
  <r>
    <x v="5"/>
    <x v="1"/>
  </r>
  <r>
    <x v="1"/>
    <x v="1"/>
  </r>
  <r>
    <x v="13"/>
    <x v="1"/>
  </r>
  <r>
    <x v="5"/>
    <x v="1"/>
  </r>
  <r>
    <x v="4"/>
    <x v="1"/>
  </r>
  <r>
    <x v="21"/>
    <x v="1"/>
  </r>
  <r>
    <x v="7"/>
    <x v="1"/>
  </r>
  <r>
    <x v="20"/>
    <x v="1"/>
  </r>
  <r>
    <x v="17"/>
    <x v="1"/>
  </r>
  <r>
    <x v="11"/>
    <x v="1"/>
  </r>
  <r>
    <x v="0"/>
    <x v="1"/>
  </r>
  <r>
    <x v="28"/>
    <x v="1"/>
  </r>
  <r>
    <x v="12"/>
    <x v="1"/>
  </r>
  <r>
    <x v="11"/>
    <x v="1"/>
  </r>
  <r>
    <x v="24"/>
    <x v="1"/>
  </r>
  <r>
    <x v="12"/>
    <x v="169"/>
  </r>
  <r>
    <x v="10"/>
    <x v="1"/>
  </r>
  <r>
    <x v="22"/>
    <x v="1"/>
  </r>
  <r>
    <x v="11"/>
    <x v="1"/>
  </r>
  <r>
    <x v="13"/>
    <x v="1"/>
  </r>
  <r>
    <x v="43"/>
    <x v="1"/>
  </r>
  <r>
    <x v="43"/>
    <x v="524"/>
  </r>
  <r>
    <x v="24"/>
    <x v="1"/>
  </r>
  <r>
    <x v="33"/>
    <x v="1"/>
  </r>
  <r>
    <x v="55"/>
    <x v="1"/>
  </r>
  <r>
    <x v="20"/>
    <x v="1"/>
  </r>
  <r>
    <x v="3"/>
    <x v="1"/>
  </r>
  <r>
    <x v="34"/>
    <x v="1"/>
  </r>
  <r>
    <x v="4"/>
    <x v="1"/>
  </r>
  <r>
    <x v="3"/>
    <x v="1"/>
  </r>
  <r>
    <x v="17"/>
    <x v="1"/>
  </r>
  <r>
    <x v="4"/>
    <x v="170"/>
  </r>
  <r>
    <x v="2"/>
    <x v="1"/>
  </r>
  <r>
    <x v="25"/>
    <x v="1"/>
  </r>
  <r>
    <x v="3"/>
    <x v="1"/>
  </r>
  <r>
    <x v="5"/>
    <x v="1"/>
  </r>
  <r>
    <x v="40"/>
    <x v="1"/>
  </r>
  <r>
    <x v="15"/>
    <x v="1"/>
  </r>
  <r>
    <x v="50"/>
    <x v="1"/>
  </r>
  <r>
    <x v="37"/>
    <x v="1"/>
  </r>
  <r>
    <x v="5"/>
    <x v="1"/>
  </r>
  <r>
    <x v="31"/>
    <x v="1"/>
  </r>
  <r>
    <x v="5"/>
    <x v="525"/>
  </r>
  <r>
    <x v="33"/>
    <x v="1"/>
  </r>
  <r>
    <x v="23"/>
    <x v="1"/>
  </r>
  <r>
    <x v="35"/>
    <x v="1"/>
  </r>
  <r>
    <x v="17"/>
    <x v="1"/>
  </r>
  <r>
    <x v="53"/>
    <x v="1"/>
  </r>
  <r>
    <x v="4"/>
    <x v="1"/>
  </r>
  <r>
    <x v="46"/>
    <x v="1"/>
  </r>
  <r>
    <x v="51"/>
    <x v="1"/>
  </r>
  <r>
    <x v="27"/>
    <x v="1"/>
  </r>
  <r>
    <x v="7"/>
    <x v="1"/>
  </r>
  <r>
    <x v="36"/>
    <x v="1"/>
  </r>
  <r>
    <x v="1"/>
    <x v="526"/>
  </r>
  <r>
    <x v="37"/>
    <x v="1"/>
  </r>
  <r>
    <x v="35"/>
    <x v="1"/>
  </r>
  <r>
    <x v="12"/>
    <x v="177"/>
  </r>
  <r>
    <x v="0"/>
    <x v="1"/>
  </r>
  <r>
    <x v="20"/>
    <x v="1"/>
  </r>
  <r>
    <x v="40"/>
    <x v="527"/>
  </r>
  <r>
    <x v="13"/>
    <x v="1"/>
  </r>
  <r>
    <x v="38"/>
    <x v="1"/>
  </r>
  <r>
    <x v="26"/>
    <x v="1"/>
  </r>
  <r>
    <x v="12"/>
    <x v="1"/>
  </r>
  <r>
    <x v="13"/>
    <x v="1"/>
  </r>
  <r>
    <x v="47"/>
    <x v="1"/>
  </r>
  <r>
    <x v="5"/>
    <x v="1"/>
  </r>
  <r>
    <x v="31"/>
    <x v="1"/>
  </r>
  <r>
    <x v="13"/>
    <x v="528"/>
  </r>
  <r>
    <x v="32"/>
    <x v="1"/>
  </r>
  <r>
    <x v="10"/>
    <x v="1"/>
  </r>
  <r>
    <x v="17"/>
    <x v="1"/>
  </r>
  <r>
    <x v="0"/>
    <x v="1"/>
  </r>
  <r>
    <x v="10"/>
    <x v="1"/>
  </r>
  <r>
    <x v="4"/>
    <x v="178"/>
  </r>
  <r>
    <x v="10"/>
    <x v="217"/>
  </r>
  <r>
    <x v="43"/>
    <x v="529"/>
  </r>
  <r>
    <x v="13"/>
    <x v="1"/>
  </r>
  <r>
    <x v="5"/>
    <x v="1"/>
  </r>
  <r>
    <x v="11"/>
    <x v="1"/>
  </r>
  <r>
    <x v="12"/>
    <x v="1"/>
  </r>
  <r>
    <x v="5"/>
    <x v="1"/>
  </r>
  <r>
    <x v="29"/>
    <x v="1"/>
  </r>
  <r>
    <x v="4"/>
    <x v="1"/>
  </r>
  <r>
    <x v="5"/>
    <x v="1"/>
  </r>
  <r>
    <x v="9"/>
    <x v="1"/>
  </r>
  <r>
    <x v="7"/>
    <x v="1"/>
  </r>
  <r>
    <x v="36"/>
    <x v="1"/>
  </r>
  <r>
    <x v="5"/>
    <x v="530"/>
  </r>
  <r>
    <x v="2"/>
    <x v="1"/>
  </r>
  <r>
    <x v="30"/>
    <x v="1"/>
  </r>
  <r>
    <x v="20"/>
    <x v="1"/>
  </r>
  <r>
    <x v="12"/>
    <x v="1"/>
  </r>
  <r>
    <x v="2"/>
    <x v="1"/>
  </r>
  <r>
    <x v="12"/>
    <x v="1"/>
  </r>
  <r>
    <x v="8"/>
    <x v="218"/>
  </r>
  <r>
    <x v="22"/>
    <x v="1"/>
  </r>
  <r>
    <x v="5"/>
    <x v="1"/>
  </r>
  <r>
    <x v="14"/>
    <x v="1"/>
  </r>
  <r>
    <x v="3"/>
    <x v="1"/>
  </r>
  <r>
    <x v="35"/>
    <x v="1"/>
  </r>
  <r>
    <x v="4"/>
    <x v="1"/>
  </r>
  <r>
    <x v="28"/>
    <x v="531"/>
  </r>
  <r>
    <x v="0"/>
    <x v="1"/>
  </r>
  <r>
    <x v="11"/>
    <x v="1"/>
  </r>
  <r>
    <x v="50"/>
    <x v="1"/>
  </r>
  <r>
    <x v="5"/>
    <x v="532"/>
  </r>
  <r>
    <x v="52"/>
    <x v="533"/>
  </r>
  <r>
    <x v="17"/>
    <x v="1"/>
  </r>
  <r>
    <x v="21"/>
    <x v="1"/>
  </r>
  <r>
    <x v="4"/>
    <x v="1"/>
  </r>
  <r>
    <x v="4"/>
    <x v="1"/>
  </r>
  <r>
    <x v="25"/>
    <x v="1"/>
  </r>
  <r>
    <x v="15"/>
    <x v="1"/>
  </r>
  <r>
    <x v="46"/>
    <x v="1"/>
  </r>
  <r>
    <x v="6"/>
    <x v="1"/>
  </r>
  <r>
    <x v="0"/>
    <x v="1"/>
  </r>
  <r>
    <x v="34"/>
    <x v="534"/>
  </r>
  <r>
    <x v="3"/>
    <x v="1"/>
  </r>
  <r>
    <x v="51"/>
    <x v="1"/>
  </r>
  <r>
    <x v="5"/>
    <x v="1"/>
  </r>
  <r>
    <x v="1"/>
    <x v="535"/>
  </r>
  <r>
    <x v="26"/>
    <x v="536"/>
  </r>
  <r>
    <x v="12"/>
    <x v="1"/>
  </r>
  <r>
    <x v="40"/>
    <x v="1"/>
  </r>
  <r>
    <x v="23"/>
    <x v="1"/>
  </r>
  <r>
    <x v="26"/>
    <x v="1"/>
  </r>
  <r>
    <x v="35"/>
    <x v="1"/>
  </r>
  <r>
    <x v="10"/>
    <x v="537"/>
  </r>
  <r>
    <x v="4"/>
    <x v="1"/>
  </r>
  <r>
    <x v="26"/>
    <x v="1"/>
  </r>
  <r>
    <x v="47"/>
    <x v="1"/>
  </r>
  <r>
    <x v="46"/>
    <x v="1"/>
  </r>
  <r>
    <x v="7"/>
    <x v="1"/>
  </r>
  <r>
    <x v="4"/>
    <x v="1"/>
  </r>
  <r>
    <x v="43"/>
    <x v="1"/>
  </r>
  <r>
    <x v="29"/>
    <x v="1"/>
  </r>
  <r>
    <x v="0"/>
    <x v="1"/>
  </r>
  <r>
    <x v="2"/>
    <x v="538"/>
  </r>
  <r>
    <x v="5"/>
    <x v="1"/>
  </r>
  <r>
    <x v="29"/>
    <x v="1"/>
  </r>
  <r>
    <x v="13"/>
    <x v="1"/>
  </r>
  <r>
    <x v="41"/>
    <x v="1"/>
  </r>
  <r>
    <x v="5"/>
    <x v="1"/>
  </r>
  <r>
    <x v="40"/>
    <x v="1"/>
  </r>
  <r>
    <x v="40"/>
    <x v="1"/>
  </r>
  <r>
    <x v="40"/>
    <x v="539"/>
  </r>
  <r>
    <x v="5"/>
    <x v="540"/>
  </r>
  <r>
    <x v="47"/>
    <x v="1"/>
  </r>
  <r>
    <x v="28"/>
    <x v="1"/>
  </r>
  <r>
    <x v="17"/>
    <x v="541"/>
  </r>
  <r>
    <x v="10"/>
    <x v="1"/>
  </r>
  <r>
    <x v="22"/>
    <x v="1"/>
  </r>
  <r>
    <x v="7"/>
    <x v="1"/>
  </r>
  <r>
    <x v="5"/>
    <x v="1"/>
  </r>
  <r>
    <x v="27"/>
    <x v="1"/>
  </r>
  <r>
    <x v="7"/>
    <x v="1"/>
  </r>
  <r>
    <x v="43"/>
    <x v="1"/>
  </r>
  <r>
    <x v="38"/>
    <x v="1"/>
  </r>
  <r>
    <x v="53"/>
    <x v="1"/>
  </r>
  <r>
    <x v="5"/>
    <x v="542"/>
  </r>
  <r>
    <x v="11"/>
    <x v="1"/>
  </r>
  <r>
    <x v="43"/>
    <x v="543"/>
  </r>
  <r>
    <x v="1"/>
    <x v="544"/>
  </r>
  <r>
    <x v="34"/>
    <x v="1"/>
  </r>
  <r>
    <x v="10"/>
    <x v="1"/>
  </r>
  <r>
    <x v="23"/>
    <x v="545"/>
  </r>
  <r>
    <x v="15"/>
    <x v="1"/>
  </r>
  <r>
    <x v="2"/>
    <x v="1"/>
  </r>
  <r>
    <x v="25"/>
    <x v="1"/>
  </r>
  <r>
    <x v="46"/>
    <x v="1"/>
  </r>
  <r>
    <x v="5"/>
    <x v="1"/>
  </r>
  <r>
    <x v="15"/>
    <x v="1"/>
  </r>
  <r>
    <x v="9"/>
    <x v="1"/>
  </r>
  <r>
    <x v="17"/>
    <x v="1"/>
  </r>
  <r>
    <x v="5"/>
    <x v="1"/>
  </r>
  <r>
    <x v="7"/>
    <x v="546"/>
  </r>
  <r>
    <x v="3"/>
    <x v="1"/>
  </r>
  <r>
    <x v="12"/>
    <x v="223"/>
  </r>
  <r>
    <x v="8"/>
    <x v="1"/>
  </r>
  <r>
    <x v="40"/>
    <x v="1"/>
  </r>
  <r>
    <x v="5"/>
    <x v="1"/>
  </r>
  <r>
    <x v="13"/>
    <x v="1"/>
  </r>
  <r>
    <x v="22"/>
    <x v="547"/>
  </r>
  <r>
    <x v="14"/>
    <x v="1"/>
  </r>
  <r>
    <x v="4"/>
    <x v="1"/>
  </r>
  <r>
    <x v="47"/>
    <x v="1"/>
  </r>
  <r>
    <x v="1"/>
    <x v="1"/>
  </r>
  <r>
    <x v="26"/>
    <x v="1"/>
  </r>
  <r>
    <x v="4"/>
    <x v="1"/>
  </r>
  <r>
    <x v="0"/>
    <x v="1"/>
  </r>
  <r>
    <x v="23"/>
    <x v="1"/>
  </r>
  <r>
    <x v="5"/>
    <x v="1"/>
  </r>
  <r>
    <x v="4"/>
    <x v="224"/>
  </r>
  <r>
    <x v="43"/>
    <x v="1"/>
  </r>
  <r>
    <x v="1"/>
    <x v="1"/>
  </r>
  <r>
    <x v="5"/>
    <x v="1"/>
  </r>
  <r>
    <x v="25"/>
    <x v="548"/>
  </r>
  <r>
    <x v="6"/>
    <x v="1"/>
  </r>
  <r>
    <x v="10"/>
    <x v="1"/>
  </r>
  <r>
    <x v="29"/>
    <x v="1"/>
  </r>
  <r>
    <x v="11"/>
    <x v="1"/>
  </r>
  <r>
    <x v="12"/>
    <x v="1"/>
  </r>
  <r>
    <x v="14"/>
    <x v="549"/>
  </r>
  <r>
    <x v="5"/>
    <x v="550"/>
  </r>
  <r>
    <x v="30"/>
    <x v="1"/>
  </r>
  <r>
    <x v="1"/>
    <x v="1"/>
  </r>
  <r>
    <x v="27"/>
    <x v="1"/>
  </r>
  <r>
    <x v="26"/>
    <x v="551"/>
  </r>
  <r>
    <x v="38"/>
    <x v="552"/>
  </r>
  <r>
    <x v="50"/>
    <x v="1"/>
  </r>
  <r>
    <x v="8"/>
    <x v="1"/>
  </r>
  <r>
    <x v="3"/>
    <x v="1"/>
  </r>
  <r>
    <x v="4"/>
    <x v="1"/>
  </r>
  <r>
    <x v="11"/>
    <x v="1"/>
  </r>
  <r>
    <x v="6"/>
    <x v="553"/>
  </r>
  <r>
    <x v="24"/>
    <x v="554"/>
  </r>
  <r>
    <x v="5"/>
    <x v="1"/>
  </r>
  <r>
    <x v="35"/>
    <x v="1"/>
  </r>
  <r>
    <x v="0"/>
    <x v="1"/>
  </r>
  <r>
    <x v="26"/>
    <x v="1"/>
  </r>
  <r>
    <x v="29"/>
    <x v="1"/>
  </r>
  <r>
    <x v="41"/>
    <x v="1"/>
  </r>
  <r>
    <x v="27"/>
    <x v="1"/>
  </r>
  <r>
    <x v="22"/>
    <x v="1"/>
  </r>
  <r>
    <x v="25"/>
    <x v="1"/>
  </r>
  <r>
    <x v="35"/>
    <x v="1"/>
  </r>
  <r>
    <x v="0"/>
    <x v="1"/>
  </r>
  <r>
    <x v="10"/>
    <x v="1"/>
  </r>
  <r>
    <x v="2"/>
    <x v="1"/>
  </r>
  <r>
    <x v="11"/>
    <x v="1"/>
  </r>
  <r>
    <x v="3"/>
    <x v="1"/>
  </r>
  <r>
    <x v="16"/>
    <x v="1"/>
  </r>
  <r>
    <x v="19"/>
    <x v="1"/>
  </r>
  <r>
    <x v="26"/>
    <x v="1"/>
  </r>
  <r>
    <x v="29"/>
    <x v="1"/>
  </r>
  <r>
    <x v="30"/>
    <x v="1"/>
  </r>
  <r>
    <x v="21"/>
    <x v="1"/>
  </r>
  <r>
    <x v="26"/>
    <x v="1"/>
  </r>
  <r>
    <x v="29"/>
    <x v="1"/>
  </r>
  <r>
    <x v="10"/>
    <x v="1"/>
  </r>
  <r>
    <x v="8"/>
    <x v="1"/>
  </r>
  <r>
    <x v="5"/>
    <x v="1"/>
  </r>
  <r>
    <x v="1"/>
    <x v="1"/>
  </r>
  <r>
    <x v="10"/>
    <x v="555"/>
  </r>
  <r>
    <x v="2"/>
    <x v="556"/>
  </r>
  <r>
    <x v="5"/>
    <x v="1"/>
  </r>
  <r>
    <x v="7"/>
    <x v="1"/>
  </r>
  <r>
    <x v="9"/>
    <x v="1"/>
  </r>
  <r>
    <x v="0"/>
    <x v="1"/>
  </r>
  <r>
    <x v="12"/>
    <x v="1"/>
  </r>
  <r>
    <x v="4"/>
    <x v="1"/>
  </r>
  <r>
    <x v="5"/>
    <x v="1"/>
  </r>
  <r>
    <x v="24"/>
    <x v="1"/>
  </r>
  <r>
    <x v="5"/>
    <x v="1"/>
  </r>
  <r>
    <x v="1"/>
    <x v="1"/>
  </r>
  <r>
    <x v="12"/>
    <x v="1"/>
  </r>
  <r>
    <x v="4"/>
    <x v="1"/>
  </r>
  <r>
    <x v="50"/>
    <x v="1"/>
  </r>
  <r>
    <x v="51"/>
    <x v="1"/>
  </r>
  <r>
    <x v="28"/>
    <x v="1"/>
  </r>
  <r>
    <x v="34"/>
    <x v="1"/>
  </r>
  <r>
    <x v="11"/>
    <x v="1"/>
  </r>
  <r>
    <x v="3"/>
    <x v="1"/>
  </r>
  <r>
    <x v="5"/>
    <x v="1"/>
  </r>
  <r>
    <x v="7"/>
    <x v="1"/>
  </r>
  <r>
    <x v="12"/>
    <x v="1"/>
  </r>
  <r>
    <x v="4"/>
    <x v="1"/>
  </r>
  <r>
    <x v="26"/>
    <x v="1"/>
  </r>
  <r>
    <x v="29"/>
    <x v="1"/>
  </r>
  <r>
    <x v="10"/>
    <x v="142"/>
  </r>
  <r>
    <x v="8"/>
    <x v="146"/>
  </r>
  <r>
    <x v="10"/>
    <x v="143"/>
  </r>
  <r>
    <x v="2"/>
    <x v="147"/>
  </r>
  <r>
    <x v="10"/>
    <x v="1"/>
  </r>
  <r>
    <x v="8"/>
    <x v="1"/>
  </r>
  <r>
    <x v="12"/>
    <x v="1"/>
  </r>
  <r>
    <x v="4"/>
    <x v="1"/>
  </r>
  <r>
    <x v="5"/>
    <x v="1"/>
  </r>
  <r>
    <x v="1"/>
    <x v="1"/>
  </r>
  <r>
    <x v="17"/>
    <x v="1"/>
  </r>
  <r>
    <x v="23"/>
    <x v="1"/>
  </r>
  <r>
    <x v="10"/>
    <x v="1"/>
  </r>
  <r>
    <x v="8"/>
    <x v="1"/>
  </r>
  <r>
    <x v="15"/>
    <x v="1"/>
  </r>
  <r>
    <x v="4"/>
    <x v="1"/>
  </r>
  <r>
    <x v="11"/>
    <x v="1"/>
  </r>
  <r>
    <x v="3"/>
    <x v="1"/>
  </r>
  <r>
    <x v="13"/>
    <x v="1"/>
  </r>
  <r>
    <x v="5"/>
    <x v="1"/>
  </r>
  <r>
    <x v="26"/>
    <x v="1"/>
  </r>
  <r>
    <x v="29"/>
    <x v="1"/>
  </r>
  <r>
    <x v="12"/>
    <x v="1"/>
  </r>
  <r>
    <x v="4"/>
    <x v="1"/>
  </r>
  <r>
    <x v="40"/>
    <x v="557"/>
  </r>
  <r>
    <x v="43"/>
    <x v="558"/>
  </r>
  <r>
    <x v="41"/>
    <x v="559"/>
  </r>
  <r>
    <x v="27"/>
    <x v="560"/>
  </r>
  <r>
    <x v="40"/>
    <x v="1"/>
  </r>
  <r>
    <x v="43"/>
    <x v="1"/>
  </r>
  <r>
    <x v="26"/>
    <x v="1"/>
  </r>
  <r>
    <x v="29"/>
    <x v="1"/>
  </r>
  <r>
    <x v="5"/>
    <x v="1"/>
  </r>
  <r>
    <x v="7"/>
    <x v="1"/>
  </r>
  <r>
    <x v="13"/>
    <x v="1"/>
  </r>
  <r>
    <x v="5"/>
    <x v="1"/>
  </r>
  <r>
    <x v="11"/>
    <x v="1"/>
  </r>
  <r>
    <x v="3"/>
    <x v="1"/>
  </r>
  <r>
    <x v="11"/>
    <x v="1"/>
  </r>
  <r>
    <x v="3"/>
    <x v="1"/>
  </r>
  <r>
    <x v="22"/>
    <x v="1"/>
  </r>
  <r>
    <x v="25"/>
    <x v="1"/>
  </r>
  <r>
    <x v="11"/>
    <x v="1"/>
  </r>
  <r>
    <x v="3"/>
    <x v="1"/>
  </r>
  <r>
    <x v="28"/>
    <x v="1"/>
  </r>
  <r>
    <x v="34"/>
    <x v="1"/>
  </r>
  <r>
    <x v="10"/>
    <x v="561"/>
  </r>
  <r>
    <x v="2"/>
    <x v="562"/>
  </r>
  <r>
    <x v="26"/>
    <x v="1"/>
  </r>
  <r>
    <x v="29"/>
    <x v="1"/>
  </r>
  <r>
    <x v="16"/>
    <x v="1"/>
  </r>
  <r>
    <x v="19"/>
    <x v="1"/>
  </r>
  <r>
    <x v="17"/>
    <x v="1"/>
  </r>
  <r>
    <x v="20"/>
    <x v="1"/>
  </r>
  <r>
    <x v="5"/>
    <x v="1"/>
  </r>
  <r>
    <x v="7"/>
    <x v="1"/>
  </r>
  <r>
    <x v="22"/>
    <x v="1"/>
  </r>
  <r>
    <x v="25"/>
    <x v="1"/>
  </r>
  <r>
    <x v="13"/>
    <x v="563"/>
  </r>
  <r>
    <x v="5"/>
    <x v="564"/>
  </r>
  <r>
    <x v="14"/>
    <x v="1"/>
  </r>
  <r>
    <x v="6"/>
    <x v="1"/>
  </r>
  <r>
    <x v="10"/>
    <x v="1"/>
  </r>
  <r>
    <x v="8"/>
    <x v="1"/>
  </r>
  <r>
    <x v="26"/>
    <x v="1"/>
  </r>
  <r>
    <x v="29"/>
    <x v="1"/>
  </r>
  <r>
    <x v="11"/>
    <x v="1"/>
  </r>
  <r>
    <x v="3"/>
    <x v="1"/>
  </r>
  <r>
    <x v="14"/>
    <x v="1"/>
  </r>
  <r>
    <x v="6"/>
    <x v="1"/>
  </r>
  <r>
    <x v="12"/>
    <x v="1"/>
  </r>
  <r>
    <x v="4"/>
    <x v="1"/>
  </r>
  <r>
    <x v="28"/>
    <x v="1"/>
  </r>
  <r>
    <x v="34"/>
    <x v="1"/>
  </r>
  <r>
    <x v="10"/>
    <x v="1"/>
  </r>
  <r>
    <x v="2"/>
    <x v="1"/>
  </r>
  <r>
    <x v="58"/>
    <x v="1"/>
  </r>
  <r>
    <x v="59"/>
    <x v="1"/>
  </r>
  <r>
    <x v="14"/>
    <x v="565"/>
  </r>
  <r>
    <x v="6"/>
    <x v="566"/>
  </r>
  <r>
    <x v="5"/>
    <x v="1"/>
  </r>
  <r>
    <x v="24"/>
    <x v="1"/>
  </r>
  <r>
    <x v="5"/>
    <x v="1"/>
  </r>
  <r>
    <x v="1"/>
    <x v="1"/>
  </r>
  <r>
    <x v="5"/>
    <x v="1"/>
  </r>
  <r>
    <x v="1"/>
    <x v="1"/>
  </r>
  <r>
    <x v="28"/>
    <x v="1"/>
  </r>
  <r>
    <x v="34"/>
    <x v="1"/>
  </r>
  <r>
    <x v="5"/>
    <x v="1"/>
  </r>
  <r>
    <x v="1"/>
    <x v="1"/>
  </r>
  <r>
    <x v="11"/>
    <x v="1"/>
  </r>
  <r>
    <x v="3"/>
    <x v="1"/>
  </r>
  <r>
    <x v="12"/>
    <x v="1"/>
  </r>
  <r>
    <x v="4"/>
    <x v="1"/>
  </r>
  <r>
    <x v="33"/>
    <x v="1"/>
  </r>
  <r>
    <x v="37"/>
    <x v="1"/>
  </r>
  <r>
    <x v="28"/>
    <x v="1"/>
  </r>
  <r>
    <x v="34"/>
    <x v="1"/>
  </r>
  <r>
    <x v="26"/>
    <x v="1"/>
  </r>
  <r>
    <x v="29"/>
    <x v="1"/>
  </r>
  <r>
    <x v="28"/>
    <x v="1"/>
  </r>
  <r>
    <x v="34"/>
    <x v="1"/>
  </r>
  <r>
    <x v="35"/>
    <x v="1"/>
  </r>
  <r>
    <x v="0"/>
    <x v="1"/>
  </r>
  <r>
    <x v="26"/>
    <x v="1"/>
  </r>
  <r>
    <x v="29"/>
    <x v="1"/>
  </r>
  <r>
    <x v="22"/>
    <x v="1"/>
  </r>
  <r>
    <x v="25"/>
    <x v="1"/>
  </r>
  <r>
    <x v="5"/>
    <x v="1"/>
  </r>
  <r>
    <x v="24"/>
    <x v="1"/>
  </r>
  <r>
    <x v="40"/>
    <x v="567"/>
  </r>
  <r>
    <x v="43"/>
    <x v="568"/>
  </r>
  <r>
    <x v="31"/>
    <x v="1"/>
  </r>
  <r>
    <x v="36"/>
    <x v="1"/>
  </r>
  <r>
    <x v="5"/>
    <x v="1"/>
  </r>
  <r>
    <x v="24"/>
    <x v="1"/>
  </r>
  <r>
    <x v="17"/>
    <x v="186"/>
  </r>
  <r>
    <x v="20"/>
    <x v="190"/>
  </r>
  <r>
    <x v="10"/>
    <x v="1"/>
  </r>
  <r>
    <x v="2"/>
    <x v="1"/>
  </r>
  <r>
    <x v="26"/>
    <x v="1"/>
  </r>
  <r>
    <x v="29"/>
    <x v="1"/>
  </r>
  <r>
    <x v="10"/>
    <x v="188"/>
  </r>
  <r>
    <x v="2"/>
    <x v="193"/>
  </r>
  <r>
    <x v="5"/>
    <x v="1"/>
  </r>
  <r>
    <x v="7"/>
    <x v="1"/>
  </r>
  <r>
    <x v="10"/>
    <x v="1"/>
  </r>
  <r>
    <x v="8"/>
    <x v="1"/>
  </r>
  <r>
    <x v="11"/>
    <x v="1"/>
  </r>
  <r>
    <x v="3"/>
    <x v="1"/>
  </r>
  <r>
    <x v="10"/>
    <x v="1"/>
  </r>
  <r>
    <x v="2"/>
    <x v="1"/>
  </r>
  <r>
    <x v="33"/>
    <x v="1"/>
  </r>
  <r>
    <x v="37"/>
    <x v="1"/>
  </r>
  <r>
    <x v="5"/>
    <x v="1"/>
  </r>
  <r>
    <x v="1"/>
    <x v="1"/>
  </r>
  <r>
    <x v="5"/>
    <x v="1"/>
  </r>
  <r>
    <x v="7"/>
    <x v="1"/>
  </r>
  <r>
    <x v="50"/>
    <x v="569"/>
  </r>
  <r>
    <x v="51"/>
    <x v="570"/>
  </r>
  <r>
    <x v="13"/>
    <x v="1"/>
  </r>
  <r>
    <x v="5"/>
    <x v="1"/>
  </r>
  <r>
    <x v="13"/>
    <x v="571"/>
  </r>
  <r>
    <x v="5"/>
    <x v="572"/>
  </r>
  <r>
    <x v="50"/>
    <x v="1"/>
  </r>
  <r>
    <x v="51"/>
    <x v="1"/>
  </r>
  <r>
    <x v="28"/>
    <x v="1"/>
  </r>
  <r>
    <x v="34"/>
    <x v="1"/>
  </r>
  <r>
    <x v="54"/>
    <x v="573"/>
  </r>
  <r>
    <x v="11"/>
    <x v="574"/>
  </r>
  <r>
    <x v="17"/>
    <x v="1"/>
  </r>
  <r>
    <x v="23"/>
    <x v="1"/>
  </r>
  <r>
    <x v="22"/>
    <x v="575"/>
  </r>
  <r>
    <x v="25"/>
    <x v="576"/>
  </r>
  <r>
    <x v="26"/>
    <x v="1"/>
  </r>
  <r>
    <x v="29"/>
    <x v="1"/>
  </r>
  <r>
    <x v="5"/>
    <x v="1"/>
  </r>
  <r>
    <x v="1"/>
    <x v="1"/>
  </r>
  <r>
    <x v="10"/>
    <x v="195"/>
  </r>
  <r>
    <x v="8"/>
    <x v="199"/>
  </r>
  <r>
    <x v="5"/>
    <x v="1"/>
  </r>
  <r>
    <x v="1"/>
    <x v="1"/>
  </r>
  <r>
    <x v="5"/>
    <x v="1"/>
  </r>
  <r>
    <x v="1"/>
    <x v="1"/>
  </r>
  <r>
    <x v="15"/>
    <x v="1"/>
  </r>
  <r>
    <x v="4"/>
    <x v="1"/>
  </r>
  <r>
    <x v="33"/>
    <x v="577"/>
  </r>
  <r>
    <x v="37"/>
    <x v="578"/>
  </r>
  <r>
    <x v="13"/>
    <x v="1"/>
  </r>
  <r>
    <x v="5"/>
    <x v="1"/>
  </r>
  <r>
    <x v="35"/>
    <x v="197"/>
  </r>
  <r>
    <x v="0"/>
    <x v="201"/>
  </r>
  <r>
    <x v="22"/>
    <x v="1"/>
  </r>
  <r>
    <x v="25"/>
    <x v="1"/>
  </r>
  <r>
    <x v="14"/>
    <x v="1"/>
  </r>
  <r>
    <x v="6"/>
    <x v="1"/>
  </r>
  <r>
    <x v="9"/>
    <x v="1"/>
  </r>
  <r>
    <x v="0"/>
    <x v="1"/>
  </r>
  <r>
    <x v="11"/>
    <x v="1"/>
  </r>
  <r>
    <x v="3"/>
    <x v="1"/>
  </r>
  <r>
    <x v="50"/>
    <x v="1"/>
  </r>
  <r>
    <x v="51"/>
    <x v="1"/>
  </r>
  <r>
    <x v="26"/>
    <x v="1"/>
  </r>
  <r>
    <x v="29"/>
    <x v="1"/>
  </r>
  <r>
    <x v="10"/>
    <x v="1"/>
  </r>
  <r>
    <x v="2"/>
    <x v="1"/>
  </r>
  <r>
    <x v="14"/>
    <x v="579"/>
  </r>
  <r>
    <x v="6"/>
    <x v="580"/>
  </r>
  <r>
    <x v="5"/>
    <x v="1"/>
  </r>
  <r>
    <x v="24"/>
    <x v="1"/>
  </r>
  <r>
    <x v="9"/>
    <x v="1"/>
  </r>
  <r>
    <x v="0"/>
    <x v="1"/>
  </r>
  <r>
    <x v="5"/>
    <x v="1"/>
  </r>
  <r>
    <x v="1"/>
    <x v="1"/>
  </r>
  <r>
    <x v="22"/>
    <x v="1"/>
  </r>
  <r>
    <x v="25"/>
    <x v="1"/>
  </r>
  <r>
    <x v="17"/>
    <x v="1"/>
  </r>
  <r>
    <x v="20"/>
    <x v="1"/>
  </r>
  <r>
    <x v="14"/>
    <x v="1"/>
  </r>
  <r>
    <x v="6"/>
    <x v="1"/>
  </r>
  <r>
    <x v="26"/>
    <x v="1"/>
  </r>
  <r>
    <x v="29"/>
    <x v="1"/>
  </r>
  <r>
    <x v="13"/>
    <x v="1"/>
  </r>
  <r>
    <x v="5"/>
    <x v="1"/>
  </r>
  <r>
    <x v="26"/>
    <x v="1"/>
  </r>
  <r>
    <x v="29"/>
    <x v="1"/>
  </r>
  <r>
    <x v="33"/>
    <x v="1"/>
  </r>
  <r>
    <x v="37"/>
    <x v="1"/>
  </r>
  <r>
    <x v="5"/>
    <x v="1"/>
  </r>
  <r>
    <x v="7"/>
    <x v="1"/>
  </r>
  <r>
    <x v="11"/>
    <x v="1"/>
  </r>
  <r>
    <x v="3"/>
    <x v="1"/>
  </r>
  <r>
    <x v="28"/>
    <x v="1"/>
  </r>
  <r>
    <x v="34"/>
    <x v="1"/>
  </r>
  <r>
    <x v="13"/>
    <x v="1"/>
  </r>
  <r>
    <x v="5"/>
    <x v="1"/>
  </r>
  <r>
    <x v="14"/>
    <x v="1"/>
  </r>
  <r>
    <x v="6"/>
    <x v="1"/>
  </r>
  <r>
    <x v="10"/>
    <x v="1"/>
  </r>
  <r>
    <x v="8"/>
    <x v="1"/>
  </r>
  <r>
    <x v="11"/>
    <x v="1"/>
  </r>
  <r>
    <x v="3"/>
    <x v="1"/>
  </r>
  <r>
    <x v="10"/>
    <x v="1"/>
  </r>
  <r>
    <x v="2"/>
    <x v="1"/>
  </r>
  <r>
    <x v="5"/>
    <x v="1"/>
  </r>
  <r>
    <x v="1"/>
    <x v="1"/>
  </r>
  <r>
    <x v="50"/>
    <x v="1"/>
  </r>
  <r>
    <x v="51"/>
    <x v="1"/>
  </r>
  <r>
    <x v="15"/>
    <x v="1"/>
  </r>
  <r>
    <x v="4"/>
    <x v="1"/>
  </r>
  <r>
    <x v="9"/>
    <x v="1"/>
  </r>
  <r>
    <x v="0"/>
    <x v="1"/>
  </r>
  <r>
    <x v="13"/>
    <x v="581"/>
  </r>
  <r>
    <x v="5"/>
    <x v="582"/>
  </r>
  <r>
    <x v="12"/>
    <x v="583"/>
  </r>
  <r>
    <x v="4"/>
    <x v="584"/>
  </r>
  <r>
    <x v="17"/>
    <x v="1"/>
  </r>
  <r>
    <x v="23"/>
    <x v="1"/>
  </r>
  <r>
    <x v="40"/>
    <x v="1"/>
  </r>
  <r>
    <x v="43"/>
    <x v="1"/>
  </r>
  <r>
    <x v="40"/>
    <x v="1"/>
  </r>
  <r>
    <x v="43"/>
    <x v="1"/>
  </r>
  <r>
    <x v="31"/>
    <x v="1"/>
  </r>
  <r>
    <x v="36"/>
    <x v="1"/>
  </r>
  <r>
    <x v="10"/>
    <x v="1"/>
  </r>
  <r>
    <x v="2"/>
    <x v="1"/>
  </r>
  <r>
    <x v="15"/>
    <x v="1"/>
  </r>
  <r>
    <x v="4"/>
    <x v="1"/>
  </r>
  <r>
    <x v="50"/>
    <x v="1"/>
  </r>
  <r>
    <x v="51"/>
    <x v="1"/>
  </r>
  <r>
    <x v="10"/>
    <x v="1"/>
  </r>
  <r>
    <x v="2"/>
    <x v="1"/>
  </r>
  <r>
    <x v="10"/>
    <x v="585"/>
  </r>
  <r>
    <x v="8"/>
    <x v="586"/>
  </r>
  <r>
    <x v="46"/>
    <x v="587"/>
  </r>
  <r>
    <x v="47"/>
    <x v="588"/>
  </r>
  <r>
    <x v="10"/>
    <x v="1"/>
  </r>
  <r>
    <x v="2"/>
    <x v="1"/>
  </r>
  <r>
    <x v="40"/>
    <x v="589"/>
  </r>
  <r>
    <x v="43"/>
    <x v="590"/>
  </r>
  <r>
    <x v="35"/>
    <x v="1"/>
  </r>
  <r>
    <x v="0"/>
    <x v="1"/>
  </r>
  <r>
    <x v="17"/>
    <x v="1"/>
  </r>
  <r>
    <x v="20"/>
    <x v="1"/>
  </r>
  <r>
    <x v="16"/>
    <x v="1"/>
  </r>
  <r>
    <x v="19"/>
    <x v="1"/>
  </r>
  <r>
    <x v="5"/>
    <x v="1"/>
  </r>
  <r>
    <x v="1"/>
    <x v="1"/>
  </r>
  <r>
    <x v="5"/>
    <x v="1"/>
  </r>
  <r>
    <x v="7"/>
    <x v="1"/>
  </r>
  <r>
    <x v="30"/>
    <x v="1"/>
  </r>
  <r>
    <x v="21"/>
    <x v="1"/>
  </r>
  <r>
    <x v="46"/>
    <x v="1"/>
  </r>
  <r>
    <x v="47"/>
    <x v="1"/>
  </r>
  <r>
    <x v="14"/>
    <x v="1"/>
  </r>
  <r>
    <x v="6"/>
    <x v="1"/>
  </r>
  <r>
    <x v="22"/>
    <x v="1"/>
  </r>
  <r>
    <x v="25"/>
    <x v="1"/>
  </r>
  <r>
    <x v="22"/>
    <x v="1"/>
  </r>
  <r>
    <x v="25"/>
    <x v="1"/>
  </r>
  <r>
    <x v="40"/>
    <x v="1"/>
  </r>
  <r>
    <x v="53"/>
    <x v="1"/>
  </r>
  <r>
    <x v="11"/>
    <x v="1"/>
  </r>
  <r>
    <x v="3"/>
    <x v="1"/>
  </r>
  <r>
    <x v="13"/>
    <x v="1"/>
  </r>
  <r>
    <x v="5"/>
    <x v="1"/>
  </r>
  <r>
    <x v="5"/>
    <x v="1"/>
  </r>
  <r>
    <x v="7"/>
    <x v="1"/>
  </r>
  <r>
    <x v="28"/>
    <x v="1"/>
  </r>
  <r>
    <x v="34"/>
    <x v="1"/>
  </r>
  <r>
    <x v="10"/>
    <x v="1"/>
  </r>
  <r>
    <x v="8"/>
    <x v="1"/>
  </r>
  <r>
    <x v="46"/>
    <x v="1"/>
  </r>
  <r>
    <x v="47"/>
    <x v="1"/>
  </r>
  <r>
    <x v="12"/>
    <x v="1"/>
  </r>
  <r>
    <x v="4"/>
    <x v="1"/>
  </r>
  <r>
    <x v="22"/>
    <x v="1"/>
  </r>
  <r>
    <x v="25"/>
    <x v="1"/>
  </r>
  <r>
    <x v="5"/>
    <x v="1"/>
  </r>
  <r>
    <x v="7"/>
    <x v="1"/>
  </r>
  <r>
    <x v="26"/>
    <x v="1"/>
  </r>
  <r>
    <x v="29"/>
    <x v="1"/>
  </r>
  <r>
    <x v="28"/>
    <x v="1"/>
  </r>
  <r>
    <x v="34"/>
    <x v="1"/>
  </r>
  <r>
    <x v="14"/>
    <x v="1"/>
  </r>
  <r>
    <x v="6"/>
    <x v="1"/>
  </r>
  <r>
    <x v="5"/>
    <x v="1"/>
  </r>
  <r>
    <x v="7"/>
    <x v="1"/>
  </r>
  <r>
    <x v="5"/>
    <x v="1"/>
  </r>
  <r>
    <x v="24"/>
    <x v="1"/>
  </r>
  <r>
    <x v="26"/>
    <x v="1"/>
  </r>
  <r>
    <x v="29"/>
    <x v="1"/>
  </r>
  <r>
    <x v="12"/>
    <x v="1"/>
  </r>
  <r>
    <x v="4"/>
    <x v="1"/>
  </r>
  <r>
    <x v="40"/>
    <x v="1"/>
  </r>
  <r>
    <x v="43"/>
    <x v="1"/>
  </r>
  <r>
    <x v="13"/>
    <x v="1"/>
  </r>
  <r>
    <x v="5"/>
    <x v="1"/>
  </r>
  <r>
    <x v="46"/>
    <x v="591"/>
  </r>
  <r>
    <x v="47"/>
    <x v="592"/>
  </r>
  <r>
    <x v="31"/>
    <x v="1"/>
  </r>
  <r>
    <x v="36"/>
    <x v="1"/>
  </r>
  <r>
    <x v="40"/>
    <x v="593"/>
  </r>
  <r>
    <x v="43"/>
    <x v="594"/>
  </r>
  <r>
    <x v="26"/>
    <x v="1"/>
  </r>
  <r>
    <x v="29"/>
    <x v="1"/>
  </r>
  <r>
    <x v="35"/>
    <x v="1"/>
  </r>
  <r>
    <x v="0"/>
    <x v="1"/>
  </r>
  <r>
    <x v="5"/>
    <x v="1"/>
  </r>
  <r>
    <x v="1"/>
    <x v="1"/>
  </r>
  <r>
    <x v="10"/>
    <x v="1"/>
  </r>
  <r>
    <x v="2"/>
    <x v="1"/>
  </r>
  <r>
    <x v="5"/>
    <x v="1"/>
  </r>
  <r>
    <x v="1"/>
    <x v="1"/>
  </r>
  <r>
    <x v="10"/>
    <x v="1"/>
  </r>
  <r>
    <x v="8"/>
    <x v="1"/>
  </r>
  <r>
    <x v="11"/>
    <x v="1"/>
  </r>
  <r>
    <x v="3"/>
    <x v="1"/>
  </r>
  <r>
    <x v="54"/>
    <x v="1"/>
  </r>
  <r>
    <x v="11"/>
    <x v="1"/>
  </r>
  <r>
    <x v="15"/>
    <x v="595"/>
  </r>
  <r>
    <x v="4"/>
    <x v="596"/>
  </r>
  <r>
    <x v="5"/>
    <x v="1"/>
  </r>
  <r>
    <x v="1"/>
    <x v="1"/>
  </r>
  <r>
    <x v="30"/>
    <x v="1"/>
  </r>
  <r>
    <x v="21"/>
    <x v="1"/>
  </r>
  <r>
    <x v="5"/>
    <x v="597"/>
  </r>
  <r>
    <x v="24"/>
    <x v="598"/>
  </r>
  <r>
    <x v="12"/>
    <x v="1"/>
  </r>
  <r>
    <x v="4"/>
    <x v="1"/>
  </r>
  <r>
    <x v="46"/>
    <x v="1"/>
  </r>
  <r>
    <x v="47"/>
    <x v="1"/>
  </r>
  <r>
    <x v="26"/>
    <x v="1"/>
  </r>
  <r>
    <x v="29"/>
    <x v="1"/>
  </r>
  <r>
    <x v="17"/>
    <x v="1"/>
  </r>
  <r>
    <x v="20"/>
    <x v="1"/>
  </r>
  <r>
    <x v="18"/>
    <x v="599"/>
  </r>
  <r>
    <x v="21"/>
    <x v="600"/>
  </r>
  <r>
    <x v="16"/>
    <x v="1"/>
  </r>
  <r>
    <x v="19"/>
    <x v="1"/>
  </r>
  <r>
    <x v="5"/>
    <x v="1"/>
  </r>
  <r>
    <x v="1"/>
    <x v="1"/>
  </r>
  <r>
    <x v="14"/>
    <x v="1"/>
  </r>
  <r>
    <x v="6"/>
    <x v="1"/>
  </r>
  <r>
    <x v="15"/>
    <x v="1"/>
  </r>
  <r>
    <x v="4"/>
    <x v="1"/>
  </r>
  <r>
    <x v="33"/>
    <x v="1"/>
  </r>
  <r>
    <x v="37"/>
    <x v="1"/>
  </r>
  <r>
    <x v="15"/>
    <x v="1"/>
  </r>
  <r>
    <x v="4"/>
    <x v="1"/>
  </r>
  <r>
    <x v="26"/>
    <x v="1"/>
  </r>
  <r>
    <x v="29"/>
    <x v="1"/>
  </r>
  <r>
    <x v="10"/>
    <x v="1"/>
  </r>
  <r>
    <x v="2"/>
    <x v="1"/>
  </r>
  <r>
    <x v="50"/>
    <x v="1"/>
  </r>
  <r>
    <x v="51"/>
    <x v="1"/>
  </r>
  <r>
    <x v="28"/>
    <x v="1"/>
  </r>
  <r>
    <x v="46"/>
    <x v="1"/>
  </r>
  <r>
    <x v="21"/>
    <x v="1"/>
  </r>
  <r>
    <x v="10"/>
    <x v="229"/>
  </r>
  <r>
    <x v="32"/>
    <x v="1"/>
  </r>
  <r>
    <x v="26"/>
    <x v="1"/>
  </r>
  <r>
    <x v="29"/>
    <x v="601"/>
  </r>
  <r>
    <x v="5"/>
    <x v="602"/>
  </r>
  <r>
    <x v="18"/>
    <x v="603"/>
  </r>
  <r>
    <x v="15"/>
    <x v="1"/>
  </r>
  <r>
    <x v="51"/>
    <x v="1"/>
  </r>
  <r>
    <x v="9"/>
    <x v="604"/>
  </r>
  <r>
    <x v="17"/>
    <x v="1"/>
  </r>
  <r>
    <x v="14"/>
    <x v="1"/>
  </r>
  <r>
    <x v="3"/>
    <x v="1"/>
  </r>
  <r>
    <x v="10"/>
    <x v="1"/>
  </r>
  <r>
    <x v="47"/>
    <x v="1"/>
  </r>
  <r>
    <x v="2"/>
    <x v="230"/>
  </r>
  <r>
    <x v="15"/>
    <x v="1"/>
  </r>
  <r>
    <x v="29"/>
    <x v="1"/>
  </r>
  <r>
    <x v="21"/>
    <x v="605"/>
  </r>
  <r>
    <x v="4"/>
    <x v="1"/>
  </r>
  <r>
    <x v="11"/>
    <x v="1"/>
  </r>
  <r>
    <x v="10"/>
    <x v="1"/>
  </r>
  <r>
    <x v="0"/>
    <x v="606"/>
  </r>
  <r>
    <x v="10"/>
    <x v="1"/>
  </r>
  <r>
    <x v="23"/>
    <x v="1"/>
  </r>
  <r>
    <x v="6"/>
    <x v="1"/>
  </r>
  <r>
    <x v="2"/>
    <x v="1"/>
  </r>
  <r>
    <x v="39"/>
    <x v="607"/>
  </r>
  <r>
    <x v="17"/>
    <x v="1"/>
  </r>
  <r>
    <x v="11"/>
    <x v="1"/>
  </r>
  <r>
    <x v="18"/>
    <x v="608"/>
  </r>
  <r>
    <x v="9"/>
    <x v="237"/>
  </r>
  <r>
    <x v="15"/>
    <x v="1"/>
  </r>
  <r>
    <x v="4"/>
    <x v="1"/>
  </r>
  <r>
    <x v="3"/>
    <x v="1"/>
  </r>
  <r>
    <x v="8"/>
    <x v="1"/>
  </r>
  <r>
    <x v="27"/>
    <x v="1"/>
  </r>
  <r>
    <x v="2"/>
    <x v="1"/>
  </r>
  <r>
    <x v="26"/>
    <x v="1"/>
  </r>
  <r>
    <x v="38"/>
    <x v="1"/>
  </r>
  <r>
    <x v="12"/>
    <x v="1"/>
  </r>
  <r>
    <x v="42"/>
    <x v="609"/>
  </r>
  <r>
    <x v="20"/>
    <x v="1"/>
  </r>
  <r>
    <x v="52"/>
    <x v="1"/>
  </r>
  <r>
    <x v="3"/>
    <x v="1"/>
  </r>
  <r>
    <x v="21"/>
    <x v="610"/>
  </r>
  <r>
    <x v="0"/>
    <x v="238"/>
  </r>
  <r>
    <x v="4"/>
    <x v="1"/>
  </r>
  <r>
    <x v="16"/>
    <x v="611"/>
  </r>
  <r>
    <x v="26"/>
    <x v="1"/>
  </r>
  <r>
    <x v="15"/>
    <x v="1"/>
  </r>
  <r>
    <x v="32"/>
    <x v="1"/>
  </r>
  <r>
    <x v="14"/>
    <x v="612"/>
  </r>
  <r>
    <x v="29"/>
    <x v="1"/>
  </r>
  <r>
    <x v="13"/>
    <x v="1"/>
  </r>
  <r>
    <x v="5"/>
    <x v="1"/>
  </r>
  <r>
    <x v="4"/>
    <x v="1"/>
  </r>
  <r>
    <x v="26"/>
    <x v="1"/>
  </r>
  <r>
    <x v="28"/>
    <x v="1"/>
  </r>
  <r>
    <x v="19"/>
    <x v="613"/>
  </r>
  <r>
    <x v="29"/>
    <x v="1"/>
  </r>
  <r>
    <x v="9"/>
    <x v="1"/>
  </r>
  <r>
    <x v="4"/>
    <x v="1"/>
  </r>
  <r>
    <x v="48"/>
    <x v="614"/>
  </r>
  <r>
    <x v="6"/>
    <x v="615"/>
  </r>
  <r>
    <x v="10"/>
    <x v="1"/>
  </r>
  <r>
    <x v="5"/>
    <x v="1"/>
  </r>
  <r>
    <x v="5"/>
    <x v="1"/>
  </r>
  <r>
    <x v="28"/>
    <x v="1"/>
  </r>
  <r>
    <x v="5"/>
    <x v="1"/>
  </r>
  <r>
    <x v="22"/>
    <x v="1"/>
  </r>
  <r>
    <x v="34"/>
    <x v="1"/>
  </r>
  <r>
    <x v="0"/>
    <x v="1"/>
  </r>
  <r>
    <x v="13"/>
    <x v="616"/>
  </r>
  <r>
    <x v="49"/>
    <x v="617"/>
  </r>
  <r>
    <x v="35"/>
    <x v="1"/>
  </r>
  <r>
    <x v="40"/>
    <x v="1"/>
  </r>
  <r>
    <x v="2"/>
    <x v="1"/>
  </r>
  <r>
    <x v="1"/>
    <x v="1"/>
  </r>
  <r>
    <x v="34"/>
    <x v="1"/>
  </r>
  <r>
    <x v="1"/>
    <x v="1"/>
  </r>
  <r>
    <x v="40"/>
    <x v="618"/>
  </r>
  <r>
    <x v="25"/>
    <x v="1"/>
  </r>
  <r>
    <x v="5"/>
    <x v="619"/>
  </r>
  <r>
    <x v="0"/>
    <x v="1"/>
  </r>
  <r>
    <x v="17"/>
    <x v="1"/>
  </r>
  <r>
    <x v="43"/>
    <x v="1"/>
  </r>
  <r>
    <x v="10"/>
    <x v="1"/>
  </r>
  <r>
    <x v="43"/>
    <x v="620"/>
  </r>
  <r>
    <x v="12"/>
    <x v="621"/>
  </r>
  <r>
    <x v="26"/>
    <x v="1"/>
  </r>
  <r>
    <x v="5"/>
    <x v="622"/>
  </r>
  <r>
    <x v="50"/>
    <x v="1"/>
  </r>
  <r>
    <x v="5"/>
    <x v="1"/>
  </r>
  <r>
    <x v="26"/>
    <x v="1"/>
  </r>
  <r>
    <x v="11"/>
    <x v="1"/>
  </r>
  <r>
    <x v="23"/>
    <x v="1"/>
  </r>
  <r>
    <x v="28"/>
    <x v="1"/>
  </r>
  <r>
    <x v="13"/>
    <x v="623"/>
  </r>
  <r>
    <x v="5"/>
    <x v="1"/>
  </r>
  <r>
    <x v="8"/>
    <x v="1"/>
  </r>
  <r>
    <x v="4"/>
    <x v="624"/>
  </r>
  <r>
    <x v="46"/>
    <x v="1"/>
  </r>
  <r>
    <x v="29"/>
    <x v="1"/>
  </r>
  <r>
    <x v="15"/>
    <x v="1"/>
  </r>
  <r>
    <x v="1"/>
    <x v="625"/>
  </r>
  <r>
    <x v="51"/>
    <x v="1"/>
  </r>
  <r>
    <x v="1"/>
    <x v="1"/>
  </r>
  <r>
    <x v="29"/>
    <x v="1"/>
  </r>
  <r>
    <x v="27"/>
    <x v="1"/>
  </r>
  <r>
    <x v="12"/>
    <x v="1"/>
  </r>
  <r>
    <x v="26"/>
    <x v="1"/>
  </r>
  <r>
    <x v="3"/>
    <x v="1"/>
  </r>
  <r>
    <x v="34"/>
    <x v="1"/>
  </r>
  <r>
    <x v="5"/>
    <x v="626"/>
  </r>
  <r>
    <x v="5"/>
    <x v="1"/>
  </r>
  <r>
    <x v="28"/>
    <x v="1"/>
  </r>
  <r>
    <x v="7"/>
    <x v="1"/>
  </r>
  <r>
    <x v="40"/>
    <x v="1"/>
  </r>
  <r>
    <x v="46"/>
    <x v="1"/>
  </r>
  <r>
    <x v="14"/>
    <x v="1"/>
  </r>
  <r>
    <x v="47"/>
    <x v="1"/>
  </r>
  <r>
    <x v="12"/>
    <x v="279"/>
  </r>
  <r>
    <x v="4"/>
    <x v="1"/>
  </r>
  <r>
    <x v="26"/>
    <x v="1"/>
  </r>
  <r>
    <x v="41"/>
    <x v="1"/>
  </r>
  <r>
    <x v="32"/>
    <x v="1"/>
  </r>
  <r>
    <x v="4"/>
    <x v="1"/>
  </r>
  <r>
    <x v="29"/>
    <x v="1"/>
  </r>
  <r>
    <x v="10"/>
    <x v="1"/>
  </r>
  <r>
    <x v="10"/>
    <x v="1"/>
  </r>
  <r>
    <x v="5"/>
    <x v="627"/>
  </r>
  <r>
    <x v="24"/>
    <x v="1"/>
  </r>
  <r>
    <x v="26"/>
    <x v="628"/>
  </r>
  <r>
    <x v="5"/>
    <x v="1"/>
  </r>
  <r>
    <x v="28"/>
    <x v="1"/>
  </r>
  <r>
    <x v="15"/>
    <x v="1"/>
  </r>
  <r>
    <x v="34"/>
    <x v="1"/>
  </r>
  <r>
    <x v="43"/>
    <x v="1"/>
  </r>
  <r>
    <x v="22"/>
    <x v="1"/>
  </r>
  <r>
    <x v="47"/>
    <x v="1"/>
  </r>
  <r>
    <x v="6"/>
    <x v="1"/>
  </r>
  <r>
    <x v="28"/>
    <x v="1"/>
  </r>
  <r>
    <x v="13"/>
    <x v="1"/>
  </r>
  <r>
    <x v="31"/>
    <x v="1"/>
  </r>
  <r>
    <x v="4"/>
    <x v="280"/>
  </r>
  <r>
    <x v="10"/>
    <x v="629"/>
  </r>
  <r>
    <x v="28"/>
    <x v="1"/>
  </r>
  <r>
    <x v="29"/>
    <x v="1"/>
  </r>
  <r>
    <x v="27"/>
    <x v="1"/>
  </r>
  <r>
    <x v="26"/>
    <x v="1"/>
  </r>
  <r>
    <x v="5"/>
    <x v="1"/>
  </r>
  <r>
    <x v="18"/>
    <x v="1"/>
  </r>
  <r>
    <x v="2"/>
    <x v="1"/>
  </r>
  <r>
    <x v="11"/>
    <x v="1"/>
  </r>
  <r>
    <x v="14"/>
    <x v="1"/>
  </r>
  <r>
    <x v="8"/>
    <x v="1"/>
  </r>
  <r>
    <x v="1"/>
    <x v="630"/>
  </r>
  <r>
    <x v="29"/>
    <x v="631"/>
  </r>
  <r>
    <x v="7"/>
    <x v="1"/>
  </r>
  <r>
    <x v="34"/>
    <x v="1"/>
  </r>
  <r>
    <x v="5"/>
    <x v="1"/>
  </r>
  <r>
    <x v="4"/>
    <x v="1"/>
  </r>
  <r>
    <x v="25"/>
    <x v="1"/>
  </r>
  <r>
    <x v="34"/>
    <x v="1"/>
  </r>
  <r>
    <x v="10"/>
    <x v="285"/>
  </r>
  <r>
    <x v="5"/>
    <x v="1"/>
  </r>
  <r>
    <x v="36"/>
    <x v="1"/>
  </r>
  <r>
    <x v="8"/>
    <x v="632"/>
  </r>
  <r>
    <x v="34"/>
    <x v="1"/>
  </r>
  <r>
    <x v="30"/>
    <x v="1"/>
  </r>
  <r>
    <x v="29"/>
    <x v="1"/>
  </r>
  <r>
    <x v="7"/>
    <x v="1"/>
  </r>
  <r>
    <x v="21"/>
    <x v="1"/>
  </r>
  <r>
    <x v="12"/>
    <x v="1"/>
  </r>
  <r>
    <x v="26"/>
    <x v="1"/>
  </r>
  <r>
    <x v="3"/>
    <x v="1"/>
  </r>
  <r>
    <x v="6"/>
    <x v="1"/>
  </r>
  <r>
    <x v="1"/>
    <x v="1"/>
  </r>
  <r>
    <x v="10"/>
    <x v="1"/>
  </r>
  <r>
    <x v="13"/>
    <x v="1"/>
  </r>
  <r>
    <x v="5"/>
    <x v="1"/>
  </r>
  <r>
    <x v="2"/>
    <x v="286"/>
  </r>
  <r>
    <x v="21"/>
    <x v="1"/>
  </r>
  <r>
    <x v="5"/>
    <x v="1"/>
  </r>
  <r>
    <x v="4"/>
    <x v="1"/>
  </r>
  <r>
    <x v="29"/>
    <x v="1"/>
  </r>
  <r>
    <x v="15"/>
    <x v="1"/>
  </r>
  <r>
    <x v="8"/>
    <x v="1"/>
  </r>
  <r>
    <x v="5"/>
    <x v="1"/>
  </r>
  <r>
    <x v="1"/>
    <x v="1"/>
  </r>
  <r>
    <x v="56"/>
    <x v="1"/>
  </r>
  <r>
    <x v="40"/>
    <x v="633"/>
  </r>
  <r>
    <x v="17"/>
    <x v="1"/>
  </r>
  <r>
    <x v="9"/>
    <x v="1"/>
  </r>
  <r>
    <x v="13"/>
    <x v="1"/>
  </r>
  <r>
    <x v="22"/>
    <x v="1"/>
  </r>
  <r>
    <x v="5"/>
    <x v="1"/>
  </r>
  <r>
    <x v="1"/>
    <x v="1"/>
  </r>
  <r>
    <x v="5"/>
    <x v="1"/>
  </r>
  <r>
    <x v="4"/>
    <x v="1"/>
  </r>
  <r>
    <x v="40"/>
    <x v="1"/>
  </r>
  <r>
    <x v="46"/>
    <x v="1"/>
  </r>
  <r>
    <x v="15"/>
    <x v="1"/>
  </r>
  <r>
    <x v="15"/>
    <x v="1"/>
  </r>
  <r>
    <x v="33"/>
    <x v="1"/>
  </r>
  <r>
    <x v="28"/>
    <x v="1"/>
  </r>
  <r>
    <x v="57"/>
    <x v="1"/>
  </r>
  <r>
    <x v="22"/>
    <x v="1"/>
  </r>
  <r>
    <x v="43"/>
    <x v="634"/>
  </r>
  <r>
    <x v="20"/>
    <x v="1"/>
  </r>
  <r>
    <x v="0"/>
    <x v="1"/>
  </r>
  <r>
    <x v="5"/>
    <x v="1"/>
  </r>
  <r>
    <x v="14"/>
    <x v="1"/>
  </r>
  <r>
    <x v="34"/>
    <x v="1"/>
  </r>
  <r>
    <x v="15"/>
    <x v="1"/>
  </r>
  <r>
    <x v="4"/>
    <x v="1"/>
  </r>
  <r>
    <x v="10"/>
    <x v="1"/>
  </r>
  <r>
    <x v="2"/>
    <x v="1"/>
  </r>
  <r>
    <x v="10"/>
    <x v="1"/>
  </r>
  <r>
    <x v="8"/>
    <x v="1"/>
  </r>
  <r>
    <x v="5"/>
    <x v="1"/>
  </r>
  <r>
    <x v="1"/>
    <x v="1"/>
  </r>
  <r>
    <x v="10"/>
    <x v="1"/>
  </r>
  <r>
    <x v="8"/>
    <x v="1"/>
  </r>
  <r>
    <x v="5"/>
    <x v="1"/>
  </r>
  <r>
    <x v="24"/>
    <x v="1"/>
  </r>
  <r>
    <x v="28"/>
    <x v="1"/>
  </r>
  <r>
    <x v="34"/>
    <x v="1"/>
  </r>
  <r>
    <x v="5"/>
    <x v="1"/>
  </r>
  <r>
    <x v="7"/>
    <x v="1"/>
  </r>
  <r>
    <x v="31"/>
    <x v="1"/>
  </r>
  <r>
    <x v="36"/>
    <x v="1"/>
  </r>
  <r>
    <x v="10"/>
    <x v="1"/>
  </r>
  <r>
    <x v="2"/>
    <x v="1"/>
  </r>
  <r>
    <x v="17"/>
    <x v="1"/>
  </r>
  <r>
    <x v="20"/>
    <x v="1"/>
  </r>
  <r>
    <x v="22"/>
    <x v="1"/>
  </r>
  <r>
    <x v="25"/>
    <x v="1"/>
  </r>
  <r>
    <x v="28"/>
    <x v="635"/>
  </r>
  <r>
    <x v="34"/>
    <x v="636"/>
  </r>
  <r>
    <x v="35"/>
    <x v="1"/>
  </r>
  <r>
    <x v="0"/>
    <x v="1"/>
  </r>
  <r>
    <x v="11"/>
    <x v="1"/>
  </r>
  <r>
    <x v="3"/>
    <x v="1"/>
  </r>
  <r>
    <x v="11"/>
    <x v="1"/>
  </r>
  <r>
    <x v="3"/>
    <x v="1"/>
  </r>
  <r>
    <x v="14"/>
    <x v="1"/>
  </r>
  <r>
    <x v="6"/>
    <x v="1"/>
  </r>
  <r>
    <x v="10"/>
    <x v="1"/>
  </r>
  <r>
    <x v="2"/>
    <x v="1"/>
  </r>
  <r>
    <x v="5"/>
    <x v="1"/>
  </r>
  <r>
    <x v="1"/>
    <x v="1"/>
  </r>
  <r>
    <x v="10"/>
    <x v="637"/>
  </r>
  <r>
    <x v="2"/>
    <x v="638"/>
  </r>
  <r>
    <x v="9"/>
    <x v="1"/>
  </r>
  <r>
    <x v="0"/>
    <x v="1"/>
  </r>
  <r>
    <x v="38"/>
    <x v="639"/>
  </r>
  <r>
    <x v="5"/>
    <x v="640"/>
  </r>
  <r>
    <x v="26"/>
    <x v="1"/>
  </r>
  <r>
    <x v="29"/>
    <x v="1"/>
  </r>
  <r>
    <x v="17"/>
    <x v="1"/>
  </r>
  <r>
    <x v="20"/>
    <x v="1"/>
  </r>
  <r>
    <x v="15"/>
    <x v="1"/>
  </r>
  <r>
    <x v="4"/>
    <x v="1"/>
  </r>
  <r>
    <x v="5"/>
    <x v="1"/>
  </r>
  <r>
    <x v="1"/>
    <x v="1"/>
  </r>
  <r>
    <x v="46"/>
    <x v="641"/>
  </r>
  <r>
    <x v="47"/>
    <x v="642"/>
  </r>
  <r>
    <x v="10"/>
    <x v="1"/>
  </r>
  <r>
    <x v="2"/>
    <x v="1"/>
  </r>
  <r>
    <x v="14"/>
    <x v="1"/>
  </r>
  <r>
    <x v="6"/>
    <x v="1"/>
  </r>
  <r>
    <x v="10"/>
    <x v="643"/>
  </r>
  <r>
    <x v="8"/>
    <x v="644"/>
  </r>
  <r>
    <x v="17"/>
    <x v="1"/>
  </r>
  <r>
    <x v="20"/>
    <x v="1"/>
  </r>
  <r>
    <x v="9"/>
    <x v="1"/>
  </r>
  <r>
    <x v="0"/>
    <x v="1"/>
  </r>
  <r>
    <x v="15"/>
    <x v="1"/>
  </r>
  <r>
    <x v="4"/>
    <x v="1"/>
  </r>
  <r>
    <x v="5"/>
    <x v="1"/>
  </r>
  <r>
    <x v="1"/>
    <x v="1"/>
  </r>
  <r>
    <x v="41"/>
    <x v="1"/>
  </r>
  <r>
    <x v="27"/>
    <x v="1"/>
  </r>
  <r>
    <x v="13"/>
    <x v="1"/>
  </r>
  <r>
    <x v="5"/>
    <x v="1"/>
  </r>
  <r>
    <x v="35"/>
    <x v="1"/>
  </r>
  <r>
    <x v="0"/>
    <x v="1"/>
  </r>
  <r>
    <x v="15"/>
    <x v="1"/>
  </r>
  <r>
    <x v="4"/>
    <x v="1"/>
  </r>
  <r>
    <x v="5"/>
    <x v="1"/>
  </r>
  <r>
    <x v="7"/>
    <x v="1"/>
  </r>
  <r>
    <x v="40"/>
    <x v="645"/>
  </r>
  <r>
    <x v="43"/>
    <x v="646"/>
  </r>
  <r>
    <x v="11"/>
    <x v="1"/>
  </r>
  <r>
    <x v="3"/>
    <x v="1"/>
  </r>
  <r>
    <x v="50"/>
    <x v="1"/>
  </r>
  <r>
    <x v="51"/>
    <x v="1"/>
  </r>
  <r>
    <x v="5"/>
    <x v="1"/>
  </r>
  <r>
    <x v="1"/>
    <x v="1"/>
  </r>
  <r>
    <x v="26"/>
    <x v="1"/>
  </r>
  <r>
    <x v="29"/>
    <x v="1"/>
  </r>
  <r>
    <x v="40"/>
    <x v="1"/>
  </r>
  <r>
    <x v="43"/>
    <x v="1"/>
  </r>
  <r>
    <x v="11"/>
    <x v="1"/>
  </r>
  <r>
    <x v="3"/>
    <x v="1"/>
  </r>
  <r>
    <x v="5"/>
    <x v="1"/>
  </r>
  <r>
    <x v="1"/>
    <x v="1"/>
  </r>
  <r>
    <x v="50"/>
    <x v="1"/>
  </r>
  <r>
    <x v="51"/>
    <x v="1"/>
  </r>
  <r>
    <x v="10"/>
    <x v="1"/>
  </r>
  <r>
    <x v="8"/>
    <x v="1"/>
  </r>
  <r>
    <x v="26"/>
    <x v="1"/>
  </r>
  <r>
    <x v="29"/>
    <x v="1"/>
  </r>
  <r>
    <x v="15"/>
    <x v="1"/>
  </r>
  <r>
    <x v="4"/>
    <x v="1"/>
  </r>
  <r>
    <x v="15"/>
    <x v="1"/>
  </r>
  <r>
    <x v="4"/>
    <x v="1"/>
  </r>
  <r>
    <x v="28"/>
    <x v="1"/>
  </r>
  <r>
    <x v="34"/>
    <x v="1"/>
  </r>
  <r>
    <x v="22"/>
    <x v="1"/>
  </r>
  <r>
    <x v="25"/>
    <x v="1"/>
  </r>
  <r>
    <x v="5"/>
    <x v="1"/>
  </r>
  <r>
    <x v="7"/>
    <x v="1"/>
  </r>
  <r>
    <x v="26"/>
    <x v="1"/>
  </r>
  <r>
    <x v="29"/>
    <x v="1"/>
  </r>
  <r>
    <x v="5"/>
    <x v="1"/>
  </r>
  <r>
    <x v="7"/>
    <x v="1"/>
  </r>
  <r>
    <x v="13"/>
    <x v="1"/>
  </r>
  <r>
    <x v="5"/>
    <x v="1"/>
  </r>
  <r>
    <x v="17"/>
    <x v="1"/>
  </r>
  <r>
    <x v="23"/>
    <x v="1"/>
  </r>
  <r>
    <x v="35"/>
    <x v="1"/>
  </r>
  <r>
    <x v="0"/>
    <x v="1"/>
  </r>
  <r>
    <x v="44"/>
    <x v="647"/>
  </r>
  <r>
    <x v="45"/>
    <x v="648"/>
  </r>
  <r>
    <x v="11"/>
    <x v="1"/>
  </r>
  <r>
    <x v="3"/>
    <x v="1"/>
  </r>
  <r>
    <x v="10"/>
    <x v="1"/>
  </r>
  <r>
    <x v="2"/>
    <x v="1"/>
  </r>
  <r>
    <x v="26"/>
    <x v="1"/>
  </r>
  <r>
    <x v="29"/>
    <x v="1"/>
  </r>
  <r>
    <x v="40"/>
    <x v="1"/>
  </r>
  <r>
    <x v="53"/>
    <x v="1"/>
  </r>
  <r>
    <x v="27"/>
    <x v="1"/>
  </r>
  <r>
    <x v="32"/>
    <x v="1"/>
  </r>
  <r>
    <x v="35"/>
    <x v="1"/>
  </r>
  <r>
    <x v="0"/>
    <x v="1"/>
  </r>
  <r>
    <x v="15"/>
    <x v="1"/>
  </r>
  <r>
    <x v="4"/>
    <x v="1"/>
  </r>
  <r>
    <x v="22"/>
    <x v="1"/>
  </r>
  <r>
    <x v="25"/>
    <x v="1"/>
  </r>
  <r>
    <x v="5"/>
    <x v="1"/>
  </r>
  <r>
    <x v="1"/>
    <x v="1"/>
  </r>
  <r>
    <x v="11"/>
    <x v="1"/>
  </r>
  <r>
    <x v="3"/>
    <x v="1"/>
  </r>
  <r>
    <x v="18"/>
    <x v="1"/>
  </r>
  <r>
    <x v="21"/>
    <x v="1"/>
  </r>
  <r>
    <x v="46"/>
    <x v="1"/>
  </r>
  <r>
    <x v="47"/>
    <x v="1"/>
  </r>
  <r>
    <x v="15"/>
    <x v="1"/>
  </r>
  <r>
    <x v="4"/>
    <x v="1"/>
  </r>
  <r>
    <x v="27"/>
    <x v="1"/>
  </r>
  <r>
    <x v="32"/>
    <x v="1"/>
  </r>
  <r>
    <x v="17"/>
    <x v="1"/>
  </r>
  <r>
    <x v="20"/>
    <x v="1"/>
  </r>
  <r>
    <x v="10"/>
    <x v="1"/>
  </r>
  <r>
    <x v="2"/>
    <x v="1"/>
  </r>
  <r>
    <x v="12"/>
    <x v="1"/>
  </r>
  <r>
    <x v="4"/>
    <x v="1"/>
  </r>
  <r>
    <x v="40"/>
    <x v="1"/>
  </r>
  <r>
    <x v="43"/>
    <x v="1"/>
  </r>
  <r>
    <x v="9"/>
    <x v="1"/>
  </r>
  <r>
    <x v="0"/>
    <x v="1"/>
  </r>
  <r>
    <x v="15"/>
    <x v="1"/>
  </r>
  <r>
    <x v="4"/>
    <x v="1"/>
  </r>
  <r>
    <x v="13"/>
    <x v="1"/>
  </r>
  <r>
    <x v="5"/>
    <x v="1"/>
  </r>
  <r>
    <x v="41"/>
    <x v="1"/>
  </r>
  <r>
    <x v="27"/>
    <x v="1"/>
  </r>
  <r>
    <x v="5"/>
    <x v="1"/>
  </r>
  <r>
    <x v="7"/>
    <x v="1"/>
  </r>
  <r>
    <x v="40"/>
    <x v="649"/>
  </r>
  <r>
    <x v="43"/>
    <x v="650"/>
  </r>
  <r>
    <x v="10"/>
    <x v="1"/>
  </r>
  <r>
    <x v="2"/>
    <x v="1"/>
  </r>
  <r>
    <x v="10"/>
    <x v="315"/>
  </r>
  <r>
    <x v="8"/>
    <x v="316"/>
  </r>
  <r>
    <x v="11"/>
    <x v="1"/>
  </r>
  <r>
    <x v="3"/>
    <x v="1"/>
  </r>
  <r>
    <x v="12"/>
    <x v="1"/>
  </r>
  <r>
    <x v="4"/>
    <x v="1"/>
  </r>
  <r>
    <x v="33"/>
    <x v="1"/>
  </r>
  <r>
    <x v="37"/>
    <x v="1"/>
  </r>
  <r>
    <x v="30"/>
    <x v="1"/>
  </r>
  <r>
    <x v="21"/>
    <x v="1"/>
  </r>
  <r>
    <x v="10"/>
    <x v="1"/>
  </r>
  <r>
    <x v="8"/>
    <x v="1"/>
  </r>
  <r>
    <x v="39"/>
    <x v="1"/>
  </r>
  <r>
    <x v="42"/>
    <x v="1"/>
  </r>
  <r>
    <x v="40"/>
    <x v="501"/>
  </r>
  <r>
    <x v="43"/>
    <x v="524"/>
  </r>
  <r>
    <x v="15"/>
    <x v="317"/>
  </r>
  <r>
    <x v="4"/>
    <x v="319"/>
  </r>
  <r>
    <x v="9"/>
    <x v="1"/>
  </r>
  <r>
    <x v="0"/>
    <x v="1"/>
  </r>
  <r>
    <x v="13"/>
    <x v="1"/>
  </r>
  <r>
    <x v="5"/>
    <x v="1"/>
  </r>
  <r>
    <x v="13"/>
    <x v="1"/>
  </r>
  <r>
    <x v="5"/>
    <x v="1"/>
  </r>
  <r>
    <x v="10"/>
    <x v="1"/>
  </r>
  <r>
    <x v="8"/>
    <x v="1"/>
  </r>
  <r>
    <x v="5"/>
    <x v="1"/>
  </r>
  <r>
    <x v="1"/>
    <x v="1"/>
  </r>
  <r>
    <x v="5"/>
    <x v="1"/>
  </r>
  <r>
    <x v="1"/>
    <x v="1"/>
  </r>
  <r>
    <x v="35"/>
    <x v="1"/>
  </r>
  <r>
    <x v="0"/>
    <x v="1"/>
  </r>
  <r>
    <x v="17"/>
    <x v="1"/>
  </r>
  <r>
    <x v="23"/>
    <x v="1"/>
  </r>
  <r>
    <x v="40"/>
    <x v="1"/>
  </r>
  <r>
    <x v="43"/>
    <x v="1"/>
  </r>
  <r>
    <x v="13"/>
    <x v="651"/>
  </r>
  <r>
    <x v="5"/>
    <x v="652"/>
  </r>
  <r>
    <x v="46"/>
    <x v="1"/>
  </r>
  <r>
    <x v="47"/>
    <x v="1"/>
  </r>
  <r>
    <x v="26"/>
    <x v="1"/>
  </r>
  <r>
    <x v="29"/>
    <x v="1"/>
  </r>
  <r>
    <x v="17"/>
    <x v="1"/>
  </r>
  <r>
    <x v="25"/>
    <x v="1"/>
  </r>
  <r>
    <x v="1"/>
    <x v="1"/>
  </r>
  <r>
    <x v="17"/>
    <x v="1"/>
  </r>
  <r>
    <x v="24"/>
    <x v="1"/>
  </r>
  <r>
    <x v="43"/>
    <x v="1"/>
  </r>
  <r>
    <x v="47"/>
    <x v="1"/>
  </r>
  <r>
    <x v="5"/>
    <x v="1"/>
  </r>
  <r>
    <x v="4"/>
    <x v="1"/>
  </r>
  <r>
    <x v="33"/>
    <x v="1"/>
  </r>
  <r>
    <x v="14"/>
    <x v="1"/>
  </r>
  <r>
    <x v="10"/>
    <x v="1"/>
  </r>
  <r>
    <x v="4"/>
    <x v="1"/>
  </r>
  <r>
    <x v="15"/>
    <x v="1"/>
  </r>
  <r>
    <x v="37"/>
    <x v="1"/>
  </r>
  <r>
    <x v="34"/>
    <x v="1"/>
  </r>
  <r>
    <x v="26"/>
    <x v="1"/>
  </r>
  <r>
    <x v="25"/>
    <x v="1"/>
  </r>
  <r>
    <x v="6"/>
    <x v="1"/>
  </r>
  <r>
    <x v="28"/>
    <x v="1"/>
  </r>
  <r>
    <x v="23"/>
    <x v="1"/>
  </r>
  <r>
    <x v="5"/>
    <x v="1"/>
  </r>
  <r>
    <x v="20"/>
    <x v="1"/>
  </r>
  <r>
    <x v="11"/>
    <x v="1"/>
  </r>
  <r>
    <x v="40"/>
    <x v="1"/>
  </r>
  <r>
    <x v="31"/>
    <x v="1"/>
  </r>
  <r>
    <x v="7"/>
    <x v="1"/>
  </r>
  <r>
    <x v="37"/>
    <x v="1"/>
  </r>
  <r>
    <x v="6"/>
    <x v="1"/>
  </r>
  <r>
    <x v="8"/>
    <x v="1"/>
  </r>
  <r>
    <x v="4"/>
    <x v="1"/>
  </r>
  <r>
    <x v="29"/>
    <x v="1"/>
  </r>
  <r>
    <x v="10"/>
    <x v="1"/>
  </r>
  <r>
    <x v="34"/>
    <x v="1"/>
  </r>
  <r>
    <x v="41"/>
    <x v="1"/>
  </r>
  <r>
    <x v="35"/>
    <x v="1"/>
  </r>
  <r>
    <x v="10"/>
    <x v="1"/>
  </r>
  <r>
    <x v="7"/>
    <x v="1"/>
  </r>
  <r>
    <x v="10"/>
    <x v="1"/>
  </r>
  <r>
    <x v="3"/>
    <x v="1"/>
  </r>
  <r>
    <x v="26"/>
    <x v="1"/>
  </r>
  <r>
    <x v="43"/>
    <x v="1"/>
  </r>
  <r>
    <x v="36"/>
    <x v="1"/>
  </r>
  <r>
    <x v="5"/>
    <x v="1"/>
  </r>
  <r>
    <x v="2"/>
    <x v="1"/>
  </r>
  <r>
    <x v="27"/>
    <x v="1"/>
  </r>
  <r>
    <x v="31"/>
    <x v="1"/>
  </r>
  <r>
    <x v="0"/>
    <x v="1"/>
  </r>
  <r>
    <x v="2"/>
    <x v="1"/>
  </r>
  <r>
    <x v="17"/>
    <x v="1"/>
  </r>
  <r>
    <x v="8"/>
    <x v="1"/>
  </r>
  <r>
    <x v="26"/>
    <x v="1"/>
  </r>
  <r>
    <x v="29"/>
    <x v="1"/>
  </r>
  <r>
    <x v="13"/>
    <x v="1"/>
  </r>
  <r>
    <x v="15"/>
    <x v="1"/>
  </r>
  <r>
    <x v="35"/>
    <x v="1"/>
  </r>
  <r>
    <x v="11"/>
    <x v="1"/>
  </r>
  <r>
    <x v="14"/>
    <x v="1"/>
  </r>
  <r>
    <x v="22"/>
    <x v="1"/>
  </r>
  <r>
    <x v="7"/>
    <x v="1"/>
  </r>
  <r>
    <x v="36"/>
    <x v="1"/>
  </r>
  <r>
    <x v="26"/>
    <x v="1"/>
  </r>
  <r>
    <x v="9"/>
    <x v="1"/>
  </r>
  <r>
    <x v="20"/>
    <x v="1"/>
  </r>
  <r>
    <x v="30"/>
    <x v="1"/>
  </r>
  <r>
    <x v="10"/>
    <x v="1"/>
  </r>
  <r>
    <x v="29"/>
    <x v="1"/>
  </r>
  <r>
    <x v="5"/>
    <x v="1"/>
  </r>
  <r>
    <x v="4"/>
    <x v="1"/>
  </r>
  <r>
    <x v="11"/>
    <x v="1"/>
  </r>
  <r>
    <x v="16"/>
    <x v="1"/>
  </r>
  <r>
    <x v="0"/>
    <x v="1"/>
  </r>
  <r>
    <x v="3"/>
    <x v="1"/>
  </r>
  <r>
    <x v="6"/>
    <x v="1"/>
  </r>
  <r>
    <x v="25"/>
    <x v="1"/>
  </r>
  <r>
    <x v="30"/>
    <x v="1"/>
  </r>
  <r>
    <x v="29"/>
    <x v="1"/>
  </r>
  <r>
    <x v="0"/>
    <x v="1"/>
  </r>
  <r>
    <x v="21"/>
    <x v="1"/>
  </r>
  <r>
    <x v="2"/>
    <x v="1"/>
  </r>
  <r>
    <x v="10"/>
    <x v="653"/>
  </r>
  <r>
    <x v="5"/>
    <x v="1"/>
  </r>
  <r>
    <x v="3"/>
    <x v="1"/>
  </r>
  <r>
    <x v="19"/>
    <x v="1"/>
  </r>
  <r>
    <x v="12"/>
    <x v="1"/>
  </r>
  <r>
    <x v="5"/>
    <x v="1"/>
  </r>
  <r>
    <x v="17"/>
    <x v="1"/>
  </r>
  <r>
    <x v="5"/>
    <x v="1"/>
  </r>
  <r>
    <x v="5"/>
    <x v="1"/>
  </r>
  <r>
    <x v="39"/>
    <x v="1"/>
  </r>
  <r>
    <x v="26"/>
    <x v="1"/>
  </r>
  <r>
    <x v="21"/>
    <x v="1"/>
  </r>
  <r>
    <x v="28"/>
    <x v="1"/>
  </r>
  <r>
    <x v="2"/>
    <x v="654"/>
  </r>
  <r>
    <x v="10"/>
    <x v="1"/>
  </r>
  <r>
    <x v="7"/>
    <x v="1"/>
  </r>
  <r>
    <x v="10"/>
    <x v="1"/>
  </r>
  <r>
    <x v="4"/>
    <x v="1"/>
  </r>
  <r>
    <x v="24"/>
    <x v="1"/>
  </r>
  <r>
    <x v="26"/>
    <x v="1"/>
  </r>
  <r>
    <x v="20"/>
    <x v="1"/>
  </r>
  <r>
    <x v="10"/>
    <x v="1"/>
  </r>
  <r>
    <x v="1"/>
    <x v="1"/>
  </r>
  <r>
    <x v="1"/>
    <x v="1"/>
  </r>
  <r>
    <x v="35"/>
    <x v="1"/>
  </r>
  <r>
    <x v="42"/>
    <x v="1"/>
  </r>
  <r>
    <x v="29"/>
    <x v="1"/>
  </r>
  <r>
    <x v="34"/>
    <x v="1"/>
  </r>
  <r>
    <x v="8"/>
    <x v="1"/>
  </r>
  <r>
    <x v="8"/>
    <x v="1"/>
  </r>
  <r>
    <x v="29"/>
    <x v="1"/>
  </r>
  <r>
    <x v="14"/>
    <x v="1"/>
  </r>
  <r>
    <x v="8"/>
    <x v="1"/>
  </r>
  <r>
    <x v="5"/>
    <x v="1"/>
  </r>
  <r>
    <x v="0"/>
    <x v="1"/>
  </r>
  <r>
    <x v="26"/>
    <x v="1"/>
  </r>
  <r>
    <x v="15"/>
    <x v="1"/>
  </r>
  <r>
    <x v="41"/>
    <x v="1"/>
  </r>
  <r>
    <x v="52"/>
    <x v="655"/>
  </r>
  <r>
    <x v="40"/>
    <x v="656"/>
  </r>
  <r>
    <x v="40"/>
    <x v="1"/>
  </r>
  <r>
    <x v="5"/>
    <x v="1"/>
  </r>
  <r>
    <x v="17"/>
    <x v="1"/>
  </r>
  <r>
    <x v="33"/>
    <x v="1"/>
  </r>
  <r>
    <x v="11"/>
    <x v="1"/>
  </r>
  <r>
    <x v="13"/>
    <x v="1"/>
  </r>
  <r>
    <x v="6"/>
    <x v="1"/>
  </r>
  <r>
    <x v="16"/>
    <x v="657"/>
  </r>
  <r>
    <x v="13"/>
    <x v="1"/>
  </r>
  <r>
    <x v="35"/>
    <x v="1"/>
  </r>
  <r>
    <x v="33"/>
    <x v="1"/>
  </r>
  <r>
    <x v="1"/>
    <x v="1"/>
  </r>
  <r>
    <x v="11"/>
    <x v="1"/>
  </r>
  <r>
    <x v="29"/>
    <x v="1"/>
  </r>
  <r>
    <x v="4"/>
    <x v="1"/>
  </r>
  <r>
    <x v="27"/>
    <x v="1"/>
  </r>
  <r>
    <x v="10"/>
    <x v="1"/>
  </r>
  <r>
    <x v="5"/>
    <x v="658"/>
  </r>
  <r>
    <x v="26"/>
    <x v="659"/>
  </r>
  <r>
    <x v="43"/>
    <x v="660"/>
  </r>
  <r>
    <x v="43"/>
    <x v="1"/>
  </r>
  <r>
    <x v="7"/>
    <x v="1"/>
  </r>
  <r>
    <x v="23"/>
    <x v="1"/>
  </r>
  <r>
    <x v="37"/>
    <x v="1"/>
  </r>
  <r>
    <x v="15"/>
    <x v="1"/>
  </r>
  <r>
    <x v="11"/>
    <x v="1"/>
  </r>
  <r>
    <x v="16"/>
    <x v="1"/>
  </r>
  <r>
    <x v="3"/>
    <x v="1"/>
  </r>
  <r>
    <x v="5"/>
    <x v="1"/>
  </r>
  <r>
    <x v="19"/>
    <x v="661"/>
  </r>
  <r>
    <x v="5"/>
    <x v="1"/>
  </r>
  <r>
    <x v="0"/>
    <x v="1"/>
  </r>
  <r>
    <x v="37"/>
    <x v="1"/>
  </r>
  <r>
    <x v="10"/>
    <x v="1"/>
  </r>
  <r>
    <x v="30"/>
    <x v="1"/>
  </r>
  <r>
    <x v="3"/>
    <x v="1"/>
  </r>
  <r>
    <x v="40"/>
    <x v="662"/>
  </r>
  <r>
    <x v="28"/>
    <x v="1"/>
  </r>
  <r>
    <x v="10"/>
    <x v="663"/>
  </r>
  <r>
    <x v="2"/>
    <x v="1"/>
  </r>
  <r>
    <x v="26"/>
    <x v="1"/>
  </r>
  <r>
    <x v="1"/>
    <x v="664"/>
  </r>
  <r>
    <x v="12"/>
    <x v="1"/>
  </r>
  <r>
    <x v="5"/>
    <x v="1"/>
  </r>
  <r>
    <x v="28"/>
    <x v="1"/>
  </r>
  <r>
    <x v="4"/>
    <x v="1"/>
  </r>
  <r>
    <x v="13"/>
    <x v="665"/>
  </r>
  <r>
    <x v="5"/>
    <x v="1"/>
  </r>
  <r>
    <x v="3"/>
    <x v="1"/>
  </r>
  <r>
    <x v="19"/>
    <x v="1"/>
  </r>
  <r>
    <x v="22"/>
    <x v="1"/>
  </r>
  <r>
    <x v="17"/>
    <x v="1"/>
  </r>
  <r>
    <x v="28"/>
    <x v="1"/>
  </r>
  <r>
    <x v="8"/>
    <x v="1"/>
  </r>
  <r>
    <x v="21"/>
    <x v="1"/>
  </r>
  <r>
    <x v="53"/>
    <x v="666"/>
  </r>
  <r>
    <x v="14"/>
    <x v="1"/>
  </r>
  <r>
    <x v="11"/>
    <x v="1"/>
  </r>
  <r>
    <x v="34"/>
    <x v="1"/>
  </r>
  <r>
    <x v="2"/>
    <x v="667"/>
  </r>
  <r>
    <x v="10"/>
    <x v="1"/>
  </r>
  <r>
    <x v="29"/>
    <x v="1"/>
  </r>
  <r>
    <x v="4"/>
    <x v="1"/>
  </r>
  <r>
    <x v="24"/>
    <x v="1"/>
  </r>
  <r>
    <x v="31"/>
    <x v="1"/>
  </r>
  <r>
    <x v="34"/>
    <x v="1"/>
  </r>
  <r>
    <x v="40"/>
    <x v="668"/>
  </r>
  <r>
    <x v="5"/>
    <x v="669"/>
  </r>
  <r>
    <x v="1"/>
    <x v="1"/>
  </r>
  <r>
    <x v="12"/>
    <x v="1"/>
  </r>
  <r>
    <x v="5"/>
    <x v="670"/>
  </r>
  <r>
    <x v="28"/>
    <x v="1"/>
  </r>
  <r>
    <x v="5"/>
    <x v="1"/>
  </r>
  <r>
    <x v="25"/>
    <x v="1"/>
  </r>
  <r>
    <x v="5"/>
    <x v="1"/>
  </r>
  <r>
    <x v="20"/>
    <x v="1"/>
  </r>
  <r>
    <x v="34"/>
    <x v="1"/>
  </r>
  <r>
    <x v="27"/>
    <x v="1"/>
  </r>
  <r>
    <x v="26"/>
    <x v="1"/>
  </r>
  <r>
    <x v="40"/>
    <x v="671"/>
  </r>
  <r>
    <x v="33"/>
    <x v="1"/>
  </r>
  <r>
    <x v="46"/>
    <x v="1"/>
  </r>
  <r>
    <x v="6"/>
    <x v="1"/>
  </r>
  <r>
    <x v="3"/>
    <x v="1"/>
  </r>
  <r>
    <x v="10"/>
    <x v="1"/>
  </r>
  <r>
    <x v="41"/>
    <x v="1"/>
  </r>
  <r>
    <x v="28"/>
    <x v="1"/>
  </r>
  <r>
    <x v="8"/>
    <x v="1"/>
  </r>
  <r>
    <x v="40"/>
    <x v="1"/>
  </r>
  <r>
    <x v="39"/>
    <x v="1"/>
  </r>
  <r>
    <x v="36"/>
    <x v="1"/>
  </r>
  <r>
    <x v="28"/>
    <x v="1"/>
  </r>
  <r>
    <x v="43"/>
    <x v="672"/>
  </r>
  <r>
    <x v="5"/>
    <x v="1"/>
  </r>
  <r>
    <x v="4"/>
    <x v="1"/>
  </r>
  <r>
    <x v="16"/>
    <x v="1"/>
  </r>
  <r>
    <x v="19"/>
    <x v="1"/>
  </r>
  <r>
    <x v="22"/>
    <x v="1"/>
  </r>
  <r>
    <x v="25"/>
    <x v="1"/>
  </r>
  <r>
    <x v="5"/>
    <x v="1"/>
  </r>
  <r>
    <x v="1"/>
    <x v="1"/>
  </r>
  <r>
    <x v="10"/>
    <x v="673"/>
  </r>
  <r>
    <x v="2"/>
    <x v="674"/>
  </r>
  <r>
    <x v="28"/>
    <x v="1"/>
  </r>
  <r>
    <x v="34"/>
    <x v="1"/>
  </r>
  <r>
    <x v="46"/>
    <x v="1"/>
  </r>
  <r>
    <x v="47"/>
    <x v="1"/>
  </r>
  <r>
    <x v="26"/>
    <x v="1"/>
  </r>
  <r>
    <x v="29"/>
    <x v="1"/>
  </r>
  <r>
    <x v="40"/>
    <x v="675"/>
  </r>
  <r>
    <x v="43"/>
    <x v="676"/>
  </r>
  <r>
    <x v="38"/>
    <x v="677"/>
  </r>
  <r>
    <x v="5"/>
    <x v="678"/>
  </r>
  <r>
    <x v="28"/>
    <x v="1"/>
  </r>
  <r>
    <x v="34"/>
    <x v="1"/>
  </r>
  <r>
    <x v="13"/>
    <x v="1"/>
  </r>
  <r>
    <x v="5"/>
    <x v="1"/>
  </r>
  <r>
    <x v="46"/>
    <x v="679"/>
  </r>
  <r>
    <x v="47"/>
    <x v="680"/>
  </r>
  <r>
    <x v="5"/>
    <x v="1"/>
  </r>
  <r>
    <x v="1"/>
    <x v="1"/>
  </r>
  <r>
    <x v="26"/>
    <x v="1"/>
  </r>
  <r>
    <x v="29"/>
    <x v="1"/>
  </r>
  <r>
    <x v="10"/>
    <x v="1"/>
  </r>
  <r>
    <x v="8"/>
    <x v="1"/>
  </r>
  <r>
    <x v="5"/>
    <x v="1"/>
  </r>
  <r>
    <x v="1"/>
    <x v="1"/>
  </r>
  <r>
    <x v="9"/>
    <x v="3"/>
  </r>
  <r>
    <x v="0"/>
    <x v="5"/>
  </r>
  <r>
    <x v="17"/>
    <x v="4"/>
  </r>
  <r>
    <x v="23"/>
    <x v="6"/>
  </r>
  <r>
    <x v="10"/>
    <x v="1"/>
  </r>
  <r>
    <x v="2"/>
    <x v="1"/>
  </r>
  <r>
    <x v="11"/>
    <x v="1"/>
  </r>
  <r>
    <x v="3"/>
    <x v="1"/>
  </r>
  <r>
    <x v="14"/>
    <x v="1"/>
  </r>
  <r>
    <x v="6"/>
    <x v="1"/>
  </r>
  <r>
    <x v="5"/>
    <x v="1"/>
  </r>
  <r>
    <x v="7"/>
    <x v="1"/>
  </r>
  <r>
    <x v="12"/>
    <x v="1"/>
  </r>
  <r>
    <x v="4"/>
    <x v="1"/>
  </r>
  <r>
    <x v="31"/>
    <x v="1"/>
  </r>
  <r>
    <x v="36"/>
    <x v="1"/>
  </r>
  <r>
    <x v="5"/>
    <x v="1"/>
  </r>
  <r>
    <x v="7"/>
    <x v="1"/>
  </r>
  <r>
    <x v="26"/>
    <x v="1"/>
  </r>
  <r>
    <x v="29"/>
    <x v="1"/>
  </r>
  <r>
    <x v="54"/>
    <x v="681"/>
  </r>
  <r>
    <x v="11"/>
    <x v="682"/>
  </r>
  <r>
    <x v="11"/>
    <x v="1"/>
  </r>
  <r>
    <x v="3"/>
    <x v="1"/>
  </r>
  <r>
    <x v="14"/>
    <x v="1"/>
  </r>
  <r>
    <x v="6"/>
    <x v="1"/>
  </r>
  <r>
    <x v="40"/>
    <x v="1"/>
  </r>
  <r>
    <x v="43"/>
    <x v="1"/>
  </r>
  <r>
    <x v="11"/>
    <x v="1"/>
  </r>
  <r>
    <x v="3"/>
    <x v="1"/>
  </r>
  <r>
    <x v="10"/>
    <x v="7"/>
  </r>
  <r>
    <x v="2"/>
    <x v="8"/>
  </r>
  <r>
    <x v="30"/>
    <x v="1"/>
  </r>
  <r>
    <x v="21"/>
    <x v="1"/>
  </r>
  <r>
    <x v="26"/>
    <x v="1"/>
  </r>
  <r>
    <x v="29"/>
    <x v="1"/>
  </r>
  <r>
    <x v="5"/>
    <x v="1"/>
  </r>
  <r>
    <x v="1"/>
    <x v="1"/>
  </r>
  <r>
    <x v="5"/>
    <x v="1"/>
  </r>
  <r>
    <x v="24"/>
    <x v="1"/>
  </r>
  <r>
    <x v="46"/>
    <x v="1"/>
  </r>
  <r>
    <x v="47"/>
    <x v="1"/>
  </r>
  <r>
    <x v="12"/>
    <x v="331"/>
  </r>
  <r>
    <x v="4"/>
    <x v="333"/>
  </r>
  <r>
    <x v="15"/>
    <x v="1"/>
  </r>
  <r>
    <x v="4"/>
    <x v="1"/>
  </r>
  <r>
    <x v="12"/>
    <x v="1"/>
  </r>
  <r>
    <x v="4"/>
    <x v="1"/>
  </r>
  <r>
    <x v="5"/>
    <x v="1"/>
  </r>
  <r>
    <x v="1"/>
    <x v="1"/>
  </r>
  <r>
    <x v="40"/>
    <x v="1"/>
  </r>
  <r>
    <x v="43"/>
    <x v="1"/>
  </r>
  <r>
    <x v="14"/>
    <x v="1"/>
  </r>
  <r>
    <x v="6"/>
    <x v="1"/>
  </r>
  <r>
    <x v="12"/>
    <x v="332"/>
  </r>
  <r>
    <x v="4"/>
    <x v="338"/>
  </r>
  <r>
    <x v="11"/>
    <x v="1"/>
  </r>
  <r>
    <x v="3"/>
    <x v="1"/>
  </r>
  <r>
    <x v="10"/>
    <x v="1"/>
  </r>
  <r>
    <x v="2"/>
    <x v="1"/>
  </r>
  <r>
    <x v="5"/>
    <x v="1"/>
  </r>
  <r>
    <x v="1"/>
    <x v="1"/>
  </r>
  <r>
    <x v="10"/>
    <x v="335"/>
  </r>
  <r>
    <x v="2"/>
    <x v="368"/>
  </r>
  <r>
    <x v="40"/>
    <x v="683"/>
  </r>
  <r>
    <x v="43"/>
    <x v="684"/>
  </r>
  <r>
    <x v="16"/>
    <x v="1"/>
  </r>
  <r>
    <x v="19"/>
    <x v="1"/>
  </r>
  <r>
    <x v="48"/>
    <x v="1"/>
  </r>
  <r>
    <x v="49"/>
    <x v="1"/>
  </r>
  <r>
    <x v="10"/>
    <x v="1"/>
  </r>
  <r>
    <x v="8"/>
    <x v="1"/>
  </r>
  <r>
    <x v="18"/>
    <x v="1"/>
  </r>
  <r>
    <x v="21"/>
    <x v="1"/>
  </r>
  <r>
    <x v="26"/>
    <x v="1"/>
  </r>
  <r>
    <x v="29"/>
    <x v="1"/>
  </r>
  <r>
    <x v="38"/>
    <x v="1"/>
  </r>
  <r>
    <x v="5"/>
    <x v="1"/>
  </r>
  <r>
    <x v="50"/>
    <x v="1"/>
  </r>
  <r>
    <x v="51"/>
    <x v="1"/>
  </r>
  <r>
    <x v="15"/>
    <x v="1"/>
  </r>
  <r>
    <x v="4"/>
    <x v="1"/>
  </r>
  <r>
    <x v="11"/>
    <x v="1"/>
  </r>
  <r>
    <x v="3"/>
    <x v="1"/>
  </r>
  <r>
    <x v="26"/>
    <x v="1"/>
  </r>
  <r>
    <x v="29"/>
    <x v="1"/>
  </r>
  <r>
    <x v="5"/>
    <x v="1"/>
  </r>
  <r>
    <x v="7"/>
    <x v="1"/>
  </r>
  <r>
    <x v="5"/>
    <x v="1"/>
  </r>
  <r>
    <x v="1"/>
    <x v="1"/>
  </r>
  <r>
    <x v="28"/>
    <x v="1"/>
  </r>
  <r>
    <x v="34"/>
    <x v="1"/>
  </r>
  <r>
    <x v="17"/>
    <x v="1"/>
  </r>
  <r>
    <x v="20"/>
    <x v="1"/>
  </r>
  <r>
    <x v="9"/>
    <x v="1"/>
  </r>
  <r>
    <x v="0"/>
    <x v="1"/>
  </r>
  <r>
    <x v="14"/>
    <x v="1"/>
  </r>
  <r>
    <x v="6"/>
    <x v="1"/>
  </r>
  <r>
    <x v="5"/>
    <x v="1"/>
  </r>
  <r>
    <x v="1"/>
    <x v="1"/>
  </r>
  <r>
    <x v="17"/>
    <x v="1"/>
  </r>
  <r>
    <x v="23"/>
    <x v="1"/>
  </r>
  <r>
    <x v="10"/>
    <x v="1"/>
  </r>
  <r>
    <x v="2"/>
    <x v="1"/>
  </r>
  <r>
    <x v="10"/>
    <x v="1"/>
  </r>
  <r>
    <x v="8"/>
    <x v="1"/>
  </r>
  <r>
    <x v="15"/>
    <x v="1"/>
  </r>
  <r>
    <x v="4"/>
    <x v="1"/>
  </r>
  <r>
    <x v="33"/>
    <x v="1"/>
  </r>
  <r>
    <x v="37"/>
    <x v="1"/>
  </r>
  <r>
    <x v="5"/>
    <x v="1"/>
  </r>
  <r>
    <x v="7"/>
    <x v="1"/>
  </r>
  <r>
    <x v="11"/>
    <x v="1"/>
  </r>
  <r>
    <x v="3"/>
    <x v="1"/>
  </r>
  <r>
    <x v="38"/>
    <x v="1"/>
  </r>
  <r>
    <x v="5"/>
    <x v="1"/>
  </r>
  <r>
    <x v="12"/>
    <x v="20"/>
  </r>
  <r>
    <x v="4"/>
    <x v="23"/>
  </r>
  <r>
    <x v="18"/>
    <x v="1"/>
  </r>
  <r>
    <x v="21"/>
    <x v="1"/>
  </r>
  <r>
    <x v="40"/>
    <x v="1"/>
  </r>
  <r>
    <x v="43"/>
    <x v="1"/>
  </r>
  <r>
    <x v="22"/>
    <x v="1"/>
  </r>
  <r>
    <x v="25"/>
    <x v="1"/>
  </r>
  <r>
    <x v="13"/>
    <x v="1"/>
  </r>
  <r>
    <x v="5"/>
    <x v="1"/>
  </r>
  <r>
    <x v="17"/>
    <x v="1"/>
  </r>
  <r>
    <x v="20"/>
    <x v="1"/>
  </r>
  <r>
    <x v="16"/>
    <x v="1"/>
  </r>
  <r>
    <x v="19"/>
    <x v="1"/>
  </r>
  <r>
    <x v="15"/>
    <x v="375"/>
  </r>
  <r>
    <x v="4"/>
    <x v="378"/>
  </r>
  <r>
    <x v="11"/>
    <x v="1"/>
  </r>
  <r>
    <x v="3"/>
    <x v="1"/>
  </r>
  <r>
    <x v="5"/>
    <x v="1"/>
  </r>
  <r>
    <x v="7"/>
    <x v="1"/>
  </r>
  <r>
    <x v="22"/>
    <x v="685"/>
  </r>
  <r>
    <x v="25"/>
    <x v="686"/>
  </r>
  <r>
    <x v="26"/>
    <x v="1"/>
  </r>
  <r>
    <x v="29"/>
    <x v="1"/>
  </r>
  <r>
    <x v="35"/>
    <x v="1"/>
  </r>
  <r>
    <x v="0"/>
    <x v="1"/>
  </r>
  <r>
    <x v="17"/>
    <x v="1"/>
  </r>
  <r>
    <x v="20"/>
    <x v="1"/>
  </r>
  <r>
    <x v="26"/>
    <x v="1"/>
  </r>
  <r>
    <x v="29"/>
    <x v="1"/>
  </r>
  <r>
    <x v="11"/>
    <x v="1"/>
  </r>
  <r>
    <x v="3"/>
    <x v="1"/>
  </r>
  <r>
    <x v="28"/>
    <x v="1"/>
  </r>
  <r>
    <x v="34"/>
    <x v="1"/>
  </r>
  <r>
    <x v="38"/>
    <x v="1"/>
  </r>
  <r>
    <x v="5"/>
    <x v="1"/>
  </r>
  <r>
    <x v="48"/>
    <x v="1"/>
  </r>
  <r>
    <x v="49"/>
    <x v="1"/>
  </r>
  <r>
    <x v="15"/>
    <x v="1"/>
  </r>
  <r>
    <x v="4"/>
    <x v="1"/>
  </r>
  <r>
    <x v="26"/>
    <x v="1"/>
  </r>
  <r>
    <x v="29"/>
    <x v="1"/>
  </r>
  <r>
    <x v="13"/>
    <x v="687"/>
  </r>
  <r>
    <x v="5"/>
    <x v="688"/>
  </r>
  <r>
    <x v="26"/>
    <x v="1"/>
  </r>
  <r>
    <x v="29"/>
    <x v="1"/>
  </r>
  <r>
    <x v="40"/>
    <x v="1"/>
  </r>
  <r>
    <x v="43"/>
    <x v="1"/>
  </r>
  <r>
    <x v="9"/>
    <x v="1"/>
  </r>
  <r>
    <x v="0"/>
    <x v="1"/>
  </r>
  <r>
    <x v="40"/>
    <x v="1"/>
  </r>
  <r>
    <x v="43"/>
    <x v="1"/>
  </r>
  <r>
    <x v="28"/>
    <x v="1"/>
  </r>
  <r>
    <x v="34"/>
    <x v="1"/>
  </r>
  <r>
    <x v="10"/>
    <x v="1"/>
  </r>
  <r>
    <x v="2"/>
    <x v="1"/>
  </r>
  <r>
    <x v="41"/>
    <x v="1"/>
  </r>
  <r>
    <x v="27"/>
    <x v="1"/>
  </r>
  <r>
    <x v="35"/>
    <x v="1"/>
  </r>
  <r>
    <x v="0"/>
    <x v="1"/>
  </r>
  <r>
    <x v="17"/>
    <x v="1"/>
  </r>
  <r>
    <x v="23"/>
    <x v="1"/>
  </r>
  <r>
    <x v="39"/>
    <x v="1"/>
  </r>
  <r>
    <x v="42"/>
    <x v="1"/>
  </r>
  <r>
    <x v="33"/>
    <x v="1"/>
  </r>
  <r>
    <x v="37"/>
    <x v="1"/>
  </r>
  <r>
    <x v="11"/>
    <x v="1"/>
  </r>
  <r>
    <x v="10"/>
    <x v="1"/>
  </r>
  <r>
    <x v="7"/>
    <x v="689"/>
  </r>
  <r>
    <x v="34"/>
    <x v="1"/>
  </r>
  <r>
    <x v="24"/>
    <x v="1"/>
  </r>
  <r>
    <x v="1"/>
    <x v="1"/>
  </r>
  <r>
    <x v="27"/>
    <x v="1"/>
  </r>
  <r>
    <x v="10"/>
    <x v="1"/>
  </r>
  <r>
    <x v="46"/>
    <x v="1"/>
  </r>
  <r>
    <x v="32"/>
    <x v="1"/>
  </r>
  <r>
    <x v="5"/>
    <x v="690"/>
  </r>
  <r>
    <x v="29"/>
    <x v="1"/>
  </r>
  <r>
    <x v="43"/>
    <x v="691"/>
  </r>
  <r>
    <x v="11"/>
    <x v="1"/>
  </r>
  <r>
    <x v="37"/>
    <x v="1"/>
  </r>
  <r>
    <x v="47"/>
    <x v="1"/>
  </r>
  <r>
    <x v="8"/>
    <x v="1"/>
  </r>
  <r>
    <x v="27"/>
    <x v="1"/>
  </r>
  <r>
    <x v="15"/>
    <x v="353"/>
  </r>
  <r>
    <x v="34"/>
    <x v="1"/>
  </r>
  <r>
    <x v="35"/>
    <x v="1"/>
  </r>
  <r>
    <x v="28"/>
    <x v="1"/>
  </r>
  <r>
    <x v="43"/>
    <x v="1"/>
  </r>
  <r>
    <x v="42"/>
    <x v="1"/>
  </r>
  <r>
    <x v="34"/>
    <x v="1"/>
  </r>
  <r>
    <x v="5"/>
    <x v="1"/>
  </r>
  <r>
    <x v="1"/>
    <x v="1"/>
  </r>
  <r>
    <x v="22"/>
    <x v="692"/>
  </r>
  <r>
    <x v="14"/>
    <x v="693"/>
  </r>
  <r>
    <x v="8"/>
    <x v="1"/>
  </r>
  <r>
    <x v="40"/>
    <x v="694"/>
  </r>
  <r>
    <x v="31"/>
    <x v="1"/>
  </r>
  <r>
    <x v="5"/>
    <x v="1"/>
  </r>
  <r>
    <x v="32"/>
    <x v="1"/>
  </r>
  <r>
    <x v="8"/>
    <x v="1"/>
  </r>
  <r>
    <x v="47"/>
    <x v="1"/>
  </r>
  <r>
    <x v="17"/>
    <x v="1"/>
  </r>
  <r>
    <x v="1"/>
    <x v="695"/>
  </r>
  <r>
    <x v="3"/>
    <x v="1"/>
  </r>
  <r>
    <x v="4"/>
    <x v="354"/>
  </r>
  <r>
    <x v="26"/>
    <x v="1"/>
  </r>
  <r>
    <x v="0"/>
    <x v="1"/>
  </r>
  <r>
    <x v="34"/>
    <x v="1"/>
  </r>
  <r>
    <x v="40"/>
    <x v="1"/>
  </r>
  <r>
    <x v="10"/>
    <x v="1"/>
  </r>
  <r>
    <x v="10"/>
    <x v="1"/>
  </r>
  <r>
    <x v="1"/>
    <x v="1"/>
  </r>
  <r>
    <x v="25"/>
    <x v="696"/>
  </r>
  <r>
    <x v="6"/>
    <x v="697"/>
  </r>
  <r>
    <x v="43"/>
    <x v="698"/>
  </r>
  <r>
    <x v="36"/>
    <x v="1"/>
  </r>
  <r>
    <x v="7"/>
    <x v="1"/>
  </r>
  <r>
    <x v="20"/>
    <x v="1"/>
  </r>
  <r>
    <x v="5"/>
    <x v="699"/>
  </r>
  <r>
    <x v="29"/>
    <x v="1"/>
  </r>
  <r>
    <x v="5"/>
    <x v="1"/>
  </r>
  <r>
    <x v="43"/>
    <x v="1"/>
  </r>
  <r>
    <x v="2"/>
    <x v="1"/>
  </r>
  <r>
    <x v="33"/>
    <x v="1"/>
  </r>
  <r>
    <x v="14"/>
    <x v="1"/>
  </r>
  <r>
    <x v="2"/>
    <x v="1"/>
  </r>
  <r>
    <x v="5"/>
    <x v="1"/>
  </r>
  <r>
    <x v="9"/>
    <x v="1"/>
  </r>
  <r>
    <x v="7"/>
    <x v="700"/>
  </r>
  <r>
    <x v="17"/>
    <x v="1"/>
  </r>
  <r>
    <x v="22"/>
    <x v="701"/>
  </r>
  <r>
    <x v="26"/>
    <x v="1"/>
  </r>
  <r>
    <x v="7"/>
    <x v="1"/>
  </r>
  <r>
    <x v="37"/>
    <x v="1"/>
  </r>
  <r>
    <x v="5"/>
    <x v="1"/>
  </r>
  <r>
    <x v="50"/>
    <x v="1"/>
  </r>
  <r>
    <x v="12"/>
    <x v="363"/>
  </r>
  <r>
    <x v="6"/>
    <x v="1"/>
  </r>
  <r>
    <x v="10"/>
    <x v="1"/>
  </r>
  <r>
    <x v="7"/>
    <x v="1"/>
  </r>
  <r>
    <x v="28"/>
    <x v="1"/>
  </r>
  <r>
    <x v="0"/>
    <x v="1"/>
  </r>
  <r>
    <x v="35"/>
    <x v="1"/>
  </r>
  <r>
    <x v="17"/>
    <x v="1"/>
  </r>
  <r>
    <x v="23"/>
    <x v="1"/>
  </r>
  <r>
    <x v="14"/>
    <x v="1"/>
  </r>
  <r>
    <x v="25"/>
    <x v="702"/>
  </r>
  <r>
    <x v="10"/>
    <x v="1"/>
  </r>
  <r>
    <x v="29"/>
    <x v="1"/>
  </r>
  <r>
    <x v="24"/>
    <x v="1"/>
  </r>
  <r>
    <x v="51"/>
    <x v="1"/>
  </r>
  <r>
    <x v="4"/>
    <x v="364"/>
  </r>
  <r>
    <x v="26"/>
    <x v="1"/>
  </r>
  <r>
    <x v="8"/>
    <x v="1"/>
  </r>
  <r>
    <x v="15"/>
    <x v="1"/>
  </r>
  <r>
    <x v="10"/>
    <x v="397"/>
  </r>
  <r>
    <x v="11"/>
    <x v="1"/>
  </r>
  <r>
    <x v="15"/>
    <x v="1"/>
  </r>
  <r>
    <x v="46"/>
    <x v="1"/>
  </r>
  <r>
    <x v="31"/>
    <x v="1"/>
  </r>
  <r>
    <x v="13"/>
    <x v="1"/>
  </r>
  <r>
    <x v="34"/>
    <x v="1"/>
  </r>
  <r>
    <x v="0"/>
    <x v="1"/>
  </r>
  <r>
    <x v="20"/>
    <x v="1"/>
  </r>
  <r>
    <x v="6"/>
    <x v="1"/>
  </r>
  <r>
    <x v="14"/>
    <x v="703"/>
  </r>
  <r>
    <x v="2"/>
    <x v="1"/>
  </r>
  <r>
    <x v="10"/>
    <x v="1"/>
  </r>
  <r>
    <x v="29"/>
    <x v="1"/>
  </r>
  <r>
    <x v="4"/>
    <x v="1"/>
  </r>
  <r>
    <x v="17"/>
    <x v="1"/>
  </r>
  <r>
    <x v="2"/>
    <x v="398"/>
  </r>
  <r>
    <x v="22"/>
    <x v="704"/>
  </r>
  <r>
    <x v="3"/>
    <x v="1"/>
  </r>
  <r>
    <x v="4"/>
    <x v="1"/>
  </r>
  <r>
    <x v="47"/>
    <x v="1"/>
  </r>
  <r>
    <x v="10"/>
    <x v="1"/>
  </r>
  <r>
    <x v="36"/>
    <x v="1"/>
  </r>
  <r>
    <x v="5"/>
    <x v="1"/>
  </r>
  <r>
    <x v="6"/>
    <x v="705"/>
  </r>
  <r>
    <x v="10"/>
    <x v="1"/>
  </r>
  <r>
    <x v="2"/>
    <x v="1"/>
  </r>
  <r>
    <x v="22"/>
    <x v="1"/>
  </r>
  <r>
    <x v="20"/>
    <x v="1"/>
  </r>
  <r>
    <x v="35"/>
    <x v="1"/>
  </r>
  <r>
    <x v="25"/>
    <x v="706"/>
  </r>
  <r>
    <x v="28"/>
    <x v="1"/>
  </r>
  <r>
    <x v="8"/>
    <x v="1"/>
  </r>
  <r>
    <x v="17"/>
    <x v="1"/>
  </r>
  <r>
    <x v="9"/>
    <x v="1"/>
  </r>
  <r>
    <x v="13"/>
    <x v="1"/>
  </r>
  <r>
    <x v="26"/>
    <x v="1"/>
  </r>
  <r>
    <x v="10"/>
    <x v="1"/>
  </r>
  <r>
    <x v="26"/>
    <x v="1"/>
  </r>
  <r>
    <x v="17"/>
    <x v="1"/>
  </r>
  <r>
    <x v="22"/>
    <x v="707"/>
  </r>
  <r>
    <x v="8"/>
    <x v="1"/>
  </r>
  <r>
    <x v="10"/>
    <x v="1"/>
  </r>
  <r>
    <x v="15"/>
    <x v="1"/>
  </r>
  <r>
    <x v="10"/>
    <x v="1"/>
  </r>
  <r>
    <x v="25"/>
    <x v="1"/>
  </r>
  <r>
    <x v="11"/>
    <x v="1"/>
  </r>
  <r>
    <x v="0"/>
    <x v="1"/>
  </r>
  <r>
    <x v="21"/>
    <x v="1"/>
  </r>
  <r>
    <x v="10"/>
    <x v="44"/>
  </r>
  <r>
    <x v="34"/>
    <x v="1"/>
  </r>
  <r>
    <x v="46"/>
    <x v="1"/>
  </r>
  <r>
    <x v="38"/>
    <x v="1"/>
  </r>
  <r>
    <x v="12"/>
    <x v="1"/>
  </r>
  <r>
    <x v="35"/>
    <x v="1"/>
  </r>
  <r>
    <x v="20"/>
    <x v="1"/>
  </r>
  <r>
    <x v="0"/>
    <x v="1"/>
  </r>
  <r>
    <x v="14"/>
    <x v="1"/>
  </r>
  <r>
    <x v="5"/>
    <x v="1"/>
  </r>
  <r>
    <x v="29"/>
    <x v="1"/>
  </r>
  <r>
    <x v="8"/>
    <x v="1"/>
  </r>
  <r>
    <x v="29"/>
    <x v="1"/>
  </r>
  <r>
    <x v="23"/>
    <x v="1"/>
  </r>
  <r>
    <x v="25"/>
    <x v="708"/>
  </r>
  <r>
    <x v="2"/>
    <x v="1"/>
  </r>
  <r>
    <x v="30"/>
    <x v="1"/>
  </r>
  <r>
    <x v="4"/>
    <x v="1"/>
  </r>
  <r>
    <x v="22"/>
    <x v="1"/>
  </r>
  <r>
    <x v="8"/>
    <x v="1"/>
  </r>
  <r>
    <x v="17"/>
    <x v="1"/>
  </r>
  <r>
    <x v="26"/>
    <x v="1"/>
  </r>
  <r>
    <x v="3"/>
    <x v="1"/>
  </r>
  <r>
    <x v="13"/>
    <x v="1"/>
  </r>
  <r>
    <x v="5"/>
    <x v="1"/>
  </r>
  <r>
    <x v="55"/>
    <x v="1"/>
  </r>
  <r>
    <x v="5"/>
    <x v="1"/>
  </r>
  <r>
    <x v="8"/>
    <x v="45"/>
  </r>
  <r>
    <x v="47"/>
    <x v="1"/>
  </r>
  <r>
    <x v="10"/>
    <x v="1"/>
  </r>
  <r>
    <x v="5"/>
    <x v="1"/>
  </r>
  <r>
    <x v="4"/>
    <x v="1"/>
  </r>
  <r>
    <x v="17"/>
    <x v="1"/>
  </r>
  <r>
    <x v="0"/>
    <x v="1"/>
  </r>
  <r>
    <x v="6"/>
    <x v="1"/>
  </r>
  <r>
    <x v="11"/>
    <x v="1"/>
  </r>
  <r>
    <x v="12"/>
    <x v="1"/>
  </r>
  <r>
    <x v="35"/>
    <x v="1"/>
  </r>
  <r>
    <x v="21"/>
    <x v="1"/>
  </r>
  <r>
    <x v="25"/>
    <x v="1"/>
  </r>
  <r>
    <x v="22"/>
    <x v="1"/>
  </r>
  <r>
    <x v="20"/>
    <x v="1"/>
  </r>
  <r>
    <x v="29"/>
    <x v="1"/>
  </r>
  <r>
    <x v="5"/>
    <x v="1"/>
  </r>
  <r>
    <x v="7"/>
    <x v="1"/>
  </r>
  <r>
    <x v="7"/>
    <x v="1"/>
  </r>
  <r>
    <x v="8"/>
    <x v="1"/>
  </r>
  <r>
    <x v="23"/>
    <x v="1"/>
  </r>
  <r>
    <x v="26"/>
    <x v="1"/>
  </r>
  <r>
    <x v="15"/>
    <x v="1"/>
  </r>
  <r>
    <x v="3"/>
    <x v="1"/>
  </r>
  <r>
    <x v="4"/>
    <x v="1"/>
  </r>
  <r>
    <x v="46"/>
    <x v="709"/>
  </r>
  <r>
    <x v="0"/>
    <x v="1"/>
  </r>
  <r>
    <x v="25"/>
    <x v="1"/>
  </r>
  <r>
    <x v="5"/>
    <x v="1"/>
  </r>
  <r>
    <x v="5"/>
    <x v="1"/>
  </r>
  <r>
    <x v="5"/>
    <x v="1"/>
  </r>
  <r>
    <x v="29"/>
    <x v="1"/>
  </r>
  <r>
    <x v="4"/>
    <x v="1"/>
  </r>
  <r>
    <x v="40"/>
    <x v="1"/>
  </r>
  <r>
    <x v="10"/>
    <x v="1"/>
  </r>
  <r>
    <x v="47"/>
    <x v="710"/>
  </r>
  <r>
    <x v="5"/>
    <x v="1"/>
  </r>
  <r>
    <x v="9"/>
    <x v="1"/>
  </r>
  <r>
    <x v="13"/>
    <x v="1"/>
  </r>
  <r>
    <x v="27"/>
    <x v="1"/>
  </r>
  <r>
    <x v="10"/>
    <x v="1"/>
  </r>
  <r>
    <x v="7"/>
    <x v="1"/>
  </r>
  <r>
    <x v="24"/>
    <x v="1"/>
  </r>
  <r>
    <x v="35"/>
    <x v="1"/>
  </r>
  <r>
    <x v="1"/>
    <x v="1"/>
  </r>
  <r>
    <x v="15"/>
    <x v="78"/>
  </r>
  <r>
    <x v="5"/>
    <x v="1"/>
  </r>
  <r>
    <x v="33"/>
    <x v="1"/>
  </r>
  <r>
    <x v="10"/>
    <x v="1"/>
  </r>
  <r>
    <x v="43"/>
    <x v="1"/>
  </r>
  <r>
    <x v="3"/>
    <x v="1"/>
  </r>
  <r>
    <x v="48"/>
    <x v="1"/>
  </r>
  <r>
    <x v="49"/>
    <x v="1"/>
  </r>
  <r>
    <x v="10"/>
    <x v="1"/>
  </r>
  <r>
    <x v="8"/>
    <x v="1"/>
  </r>
  <r>
    <x v="12"/>
    <x v="31"/>
  </r>
  <r>
    <x v="4"/>
    <x v="52"/>
  </r>
  <r>
    <x v="10"/>
    <x v="1"/>
  </r>
  <r>
    <x v="8"/>
    <x v="1"/>
  </r>
  <r>
    <x v="18"/>
    <x v="1"/>
  </r>
  <r>
    <x v="21"/>
    <x v="1"/>
  </r>
  <r>
    <x v="41"/>
    <x v="1"/>
  </r>
  <r>
    <x v="27"/>
    <x v="1"/>
  </r>
  <r>
    <x v="5"/>
    <x v="1"/>
  </r>
  <r>
    <x v="1"/>
    <x v="1"/>
  </r>
  <r>
    <x v="27"/>
    <x v="1"/>
  </r>
  <r>
    <x v="32"/>
    <x v="1"/>
  </r>
  <r>
    <x v="28"/>
    <x v="1"/>
  </r>
  <r>
    <x v="34"/>
    <x v="1"/>
  </r>
  <r>
    <x v="13"/>
    <x v="711"/>
  </r>
  <r>
    <x v="5"/>
    <x v="712"/>
  </r>
  <r>
    <x v="35"/>
    <x v="1"/>
  </r>
  <r>
    <x v="0"/>
    <x v="1"/>
  </r>
  <r>
    <x v="28"/>
    <x v="1"/>
  </r>
  <r>
    <x v="34"/>
    <x v="1"/>
  </r>
  <r>
    <x v="11"/>
    <x v="1"/>
  </r>
  <r>
    <x v="3"/>
    <x v="1"/>
  </r>
  <r>
    <x v="5"/>
    <x v="1"/>
  </r>
  <r>
    <x v="7"/>
    <x v="1"/>
  </r>
  <r>
    <x v="22"/>
    <x v="1"/>
  </r>
  <r>
    <x v="25"/>
    <x v="1"/>
  </r>
  <r>
    <x v="5"/>
    <x v="1"/>
  </r>
  <r>
    <x v="7"/>
    <x v="1"/>
  </r>
  <r>
    <x v="11"/>
    <x v="1"/>
  </r>
  <r>
    <x v="3"/>
    <x v="1"/>
  </r>
  <r>
    <x v="5"/>
    <x v="1"/>
  </r>
  <r>
    <x v="7"/>
    <x v="1"/>
  </r>
  <r>
    <x v="17"/>
    <x v="1"/>
  </r>
  <r>
    <x v="20"/>
    <x v="1"/>
  </r>
  <r>
    <x v="12"/>
    <x v="387"/>
  </r>
  <r>
    <x v="4"/>
    <x v="389"/>
  </r>
  <r>
    <x v="10"/>
    <x v="1"/>
  </r>
  <r>
    <x v="8"/>
    <x v="1"/>
  </r>
  <r>
    <x v="5"/>
    <x v="1"/>
  </r>
  <r>
    <x v="1"/>
    <x v="1"/>
  </r>
  <r>
    <x v="26"/>
    <x v="1"/>
  </r>
  <r>
    <x v="29"/>
    <x v="1"/>
  </r>
  <r>
    <x v="26"/>
    <x v="1"/>
  </r>
  <r>
    <x v="29"/>
    <x v="1"/>
  </r>
  <r>
    <x v="33"/>
    <x v="1"/>
  </r>
  <r>
    <x v="37"/>
    <x v="1"/>
  </r>
  <r>
    <x v="31"/>
    <x v="1"/>
  </r>
  <r>
    <x v="36"/>
    <x v="1"/>
  </r>
  <r>
    <x v="10"/>
    <x v="55"/>
  </r>
  <r>
    <x v="8"/>
    <x v="57"/>
  </r>
  <r>
    <x v="26"/>
    <x v="1"/>
  </r>
  <r>
    <x v="29"/>
    <x v="1"/>
  </r>
  <r>
    <x v="48"/>
    <x v="1"/>
  </r>
  <r>
    <x v="49"/>
    <x v="1"/>
  </r>
  <r>
    <x v="17"/>
    <x v="388"/>
  </r>
  <r>
    <x v="23"/>
    <x v="390"/>
  </r>
  <r>
    <x v="22"/>
    <x v="1"/>
  </r>
  <r>
    <x v="25"/>
    <x v="1"/>
  </r>
  <r>
    <x v="5"/>
    <x v="1"/>
  </r>
  <r>
    <x v="1"/>
    <x v="1"/>
  </r>
  <r>
    <x v="11"/>
    <x v="1"/>
  </r>
  <r>
    <x v="3"/>
    <x v="1"/>
  </r>
  <r>
    <x v="14"/>
    <x v="1"/>
  </r>
  <r>
    <x v="6"/>
    <x v="1"/>
  </r>
  <r>
    <x v="15"/>
    <x v="1"/>
  </r>
  <r>
    <x v="4"/>
    <x v="1"/>
  </r>
  <r>
    <x v="13"/>
    <x v="713"/>
  </r>
  <r>
    <x v="5"/>
    <x v="714"/>
  </r>
  <r>
    <x v="40"/>
    <x v="1"/>
  </r>
  <r>
    <x v="43"/>
    <x v="1"/>
  </r>
  <r>
    <x v="17"/>
    <x v="1"/>
  </r>
  <r>
    <x v="23"/>
    <x v="1"/>
  </r>
  <r>
    <x v="30"/>
    <x v="1"/>
  </r>
  <r>
    <x v="21"/>
    <x v="1"/>
  </r>
  <r>
    <x v="11"/>
    <x v="1"/>
  </r>
  <r>
    <x v="3"/>
    <x v="1"/>
  </r>
  <r>
    <x v="15"/>
    <x v="1"/>
  </r>
  <r>
    <x v="4"/>
    <x v="1"/>
  </r>
  <r>
    <x v="40"/>
    <x v="1"/>
  </r>
  <r>
    <x v="43"/>
    <x v="1"/>
  </r>
  <r>
    <x v="40"/>
    <x v="1"/>
  </r>
  <r>
    <x v="43"/>
    <x v="1"/>
  </r>
  <r>
    <x v="28"/>
    <x v="1"/>
  </r>
  <r>
    <x v="34"/>
    <x v="1"/>
  </r>
  <r>
    <x v="5"/>
    <x v="1"/>
  </r>
  <r>
    <x v="7"/>
    <x v="1"/>
  </r>
  <r>
    <x v="26"/>
    <x v="1"/>
  </r>
  <r>
    <x v="29"/>
    <x v="1"/>
  </r>
  <r>
    <x v="35"/>
    <x v="1"/>
  </r>
  <r>
    <x v="0"/>
    <x v="1"/>
  </r>
  <r>
    <x v="5"/>
    <x v="1"/>
  </r>
  <r>
    <x v="1"/>
    <x v="1"/>
  </r>
  <r>
    <x v="31"/>
    <x v="715"/>
  </r>
  <r>
    <x v="36"/>
    <x v="716"/>
  </r>
  <r>
    <x v="12"/>
    <x v="1"/>
  </r>
  <r>
    <x v="4"/>
    <x v="1"/>
  </r>
  <r>
    <x v="28"/>
    <x v="1"/>
  </r>
  <r>
    <x v="34"/>
    <x v="1"/>
  </r>
  <r>
    <x v="15"/>
    <x v="1"/>
  </r>
  <r>
    <x v="4"/>
    <x v="1"/>
  </r>
  <r>
    <x v="5"/>
    <x v="1"/>
  </r>
  <r>
    <x v="1"/>
    <x v="1"/>
  </r>
  <r>
    <x v="31"/>
    <x v="1"/>
  </r>
  <r>
    <x v="36"/>
    <x v="1"/>
  </r>
  <r>
    <x v="16"/>
    <x v="1"/>
  </r>
  <r>
    <x v="19"/>
    <x v="1"/>
  </r>
  <r>
    <x v="5"/>
    <x v="1"/>
  </r>
  <r>
    <x v="7"/>
    <x v="1"/>
  </r>
  <r>
    <x v="40"/>
    <x v="717"/>
  </r>
  <r>
    <x v="43"/>
    <x v="718"/>
  </r>
  <r>
    <x v="10"/>
    <x v="1"/>
  </r>
  <r>
    <x v="2"/>
    <x v="1"/>
  </r>
  <r>
    <x v="40"/>
    <x v="1"/>
  </r>
  <r>
    <x v="43"/>
    <x v="1"/>
  </r>
  <r>
    <x v="15"/>
    <x v="1"/>
  </r>
  <r>
    <x v="4"/>
    <x v="1"/>
  </r>
  <r>
    <x v="26"/>
    <x v="1"/>
  </r>
  <r>
    <x v="29"/>
    <x v="1"/>
  </r>
  <r>
    <x v="28"/>
    <x v="1"/>
  </r>
  <r>
    <x v="34"/>
    <x v="1"/>
  </r>
  <r>
    <x v="10"/>
    <x v="1"/>
  </r>
  <r>
    <x v="8"/>
    <x v="1"/>
  </r>
  <r>
    <x v="11"/>
    <x v="1"/>
  </r>
  <r>
    <x v="3"/>
    <x v="1"/>
  </r>
  <r>
    <x v="14"/>
    <x v="1"/>
  </r>
  <r>
    <x v="6"/>
    <x v="1"/>
  </r>
  <r>
    <x v="5"/>
    <x v="1"/>
  </r>
  <r>
    <x v="1"/>
    <x v="1"/>
  </r>
  <r>
    <x v="28"/>
    <x v="1"/>
  </r>
  <r>
    <x v="34"/>
    <x v="1"/>
  </r>
  <r>
    <x v="33"/>
    <x v="1"/>
  </r>
  <r>
    <x v="37"/>
    <x v="1"/>
  </r>
  <r>
    <x v="12"/>
    <x v="63"/>
  </r>
  <r>
    <x v="4"/>
    <x v="66"/>
  </r>
  <r>
    <x v="5"/>
    <x v="1"/>
  </r>
  <r>
    <x v="7"/>
    <x v="1"/>
  </r>
  <r>
    <x v="33"/>
    <x v="1"/>
  </r>
  <r>
    <x v="37"/>
    <x v="1"/>
  </r>
  <r>
    <x v="10"/>
    <x v="1"/>
  </r>
  <r>
    <x v="8"/>
    <x v="1"/>
  </r>
  <r>
    <x v="26"/>
    <x v="1"/>
  </r>
  <r>
    <x v="29"/>
    <x v="1"/>
  </r>
  <r>
    <x v="28"/>
    <x v="719"/>
  </r>
  <r>
    <x v="34"/>
    <x v="720"/>
  </r>
  <r>
    <x v="5"/>
    <x v="1"/>
  </r>
  <r>
    <x v="7"/>
    <x v="1"/>
  </r>
  <r>
    <x v="11"/>
    <x v="1"/>
  </r>
  <r>
    <x v="3"/>
    <x v="1"/>
  </r>
  <r>
    <x v="22"/>
    <x v="1"/>
  </r>
  <r>
    <x v="25"/>
    <x v="1"/>
  </r>
  <r>
    <x v="12"/>
    <x v="421"/>
  </r>
  <r>
    <x v="4"/>
    <x v="423"/>
  </r>
  <r>
    <x v="9"/>
    <x v="1"/>
  </r>
  <r>
    <x v="0"/>
    <x v="1"/>
  </r>
  <r>
    <x v="28"/>
    <x v="1"/>
  </r>
  <r>
    <x v="34"/>
    <x v="1"/>
  </r>
  <r>
    <x v="17"/>
    <x v="1"/>
  </r>
  <r>
    <x v="20"/>
    <x v="1"/>
  </r>
  <r>
    <x v="15"/>
    <x v="1"/>
  </r>
  <r>
    <x v="4"/>
    <x v="1"/>
  </r>
  <r>
    <x v="10"/>
    <x v="1"/>
  </r>
  <r>
    <x v="2"/>
    <x v="1"/>
  </r>
  <r>
    <x v="46"/>
    <x v="1"/>
  </r>
  <r>
    <x v="47"/>
    <x v="1"/>
  </r>
  <r>
    <x v="40"/>
    <x v="1"/>
  </r>
  <r>
    <x v="43"/>
    <x v="1"/>
  </r>
  <r>
    <x v="17"/>
    <x v="1"/>
  </r>
  <r>
    <x v="20"/>
    <x v="1"/>
  </r>
  <r>
    <x v="14"/>
    <x v="1"/>
  </r>
  <r>
    <x v="6"/>
    <x v="1"/>
  </r>
  <r>
    <x v="5"/>
    <x v="1"/>
  </r>
  <r>
    <x v="7"/>
    <x v="1"/>
  </r>
  <r>
    <x v="15"/>
    <x v="1"/>
  </r>
  <r>
    <x v="4"/>
    <x v="1"/>
  </r>
  <r>
    <x v="13"/>
    <x v="721"/>
  </r>
  <r>
    <x v="5"/>
    <x v="722"/>
  </r>
  <r>
    <x v="40"/>
    <x v="1"/>
  </r>
  <r>
    <x v="43"/>
    <x v="1"/>
  </r>
  <r>
    <x v="17"/>
    <x v="1"/>
  </r>
  <r>
    <x v="23"/>
    <x v="1"/>
  </r>
  <r>
    <x v="13"/>
    <x v="1"/>
  </r>
  <r>
    <x v="5"/>
    <x v="1"/>
  </r>
  <r>
    <x v="12"/>
    <x v="1"/>
  </r>
  <r>
    <x v="4"/>
    <x v="1"/>
  </r>
  <r>
    <x v="11"/>
    <x v="1"/>
  </r>
  <r>
    <x v="3"/>
    <x v="1"/>
  </r>
  <r>
    <x v="46"/>
    <x v="723"/>
  </r>
  <r>
    <x v="47"/>
    <x v="724"/>
  </r>
  <r>
    <x v="14"/>
    <x v="725"/>
  </r>
  <r>
    <x v="6"/>
    <x v="726"/>
  </r>
  <r>
    <x v="15"/>
    <x v="1"/>
  </r>
  <r>
    <x v="4"/>
    <x v="1"/>
  </r>
  <r>
    <x v="26"/>
    <x v="1"/>
  </r>
  <r>
    <x v="29"/>
    <x v="1"/>
  </r>
  <r>
    <x v="5"/>
    <x v="1"/>
  </r>
  <r>
    <x v="7"/>
    <x v="1"/>
  </r>
  <r>
    <x v="5"/>
    <x v="1"/>
  </r>
  <r>
    <x v="7"/>
    <x v="1"/>
  </r>
  <r>
    <x v="35"/>
    <x v="1"/>
  </r>
  <r>
    <x v="0"/>
    <x v="1"/>
  </r>
  <r>
    <x v="39"/>
    <x v="1"/>
  </r>
  <r>
    <x v="42"/>
    <x v="1"/>
  </r>
  <r>
    <x v="5"/>
    <x v="1"/>
  </r>
  <r>
    <x v="7"/>
    <x v="1"/>
  </r>
  <r>
    <x v="28"/>
    <x v="1"/>
  </r>
  <r>
    <x v="34"/>
    <x v="1"/>
  </r>
  <r>
    <x v="10"/>
    <x v="1"/>
  </r>
  <r>
    <x v="8"/>
    <x v="1"/>
  </r>
  <r>
    <x v="10"/>
    <x v="1"/>
  </r>
  <r>
    <x v="8"/>
    <x v="1"/>
  </r>
  <r>
    <x v="2"/>
    <x v="1"/>
  </r>
  <r>
    <x v="7"/>
    <x v="1"/>
  </r>
  <r>
    <x v="0"/>
    <x v="1"/>
  </r>
  <r>
    <x v="5"/>
    <x v="1"/>
  </r>
  <r>
    <x v="5"/>
    <x v="727"/>
  </r>
  <r>
    <x v="12"/>
    <x v="1"/>
  </r>
  <r>
    <x v="32"/>
    <x v="1"/>
  </r>
  <r>
    <x v="2"/>
    <x v="1"/>
  </r>
  <r>
    <x v="5"/>
    <x v="728"/>
  </r>
  <r>
    <x v="15"/>
    <x v="1"/>
  </r>
  <r>
    <x v="0"/>
    <x v="1"/>
  </r>
  <r>
    <x v="26"/>
    <x v="1"/>
  </r>
  <r>
    <x v="13"/>
    <x v="1"/>
  </r>
  <r>
    <x v="18"/>
    <x v="1"/>
  </r>
  <r>
    <x v="50"/>
    <x v="1"/>
  </r>
  <r>
    <x v="4"/>
    <x v="79"/>
  </r>
  <r>
    <x v="1"/>
    <x v="1"/>
  </r>
  <r>
    <x v="37"/>
    <x v="1"/>
  </r>
  <r>
    <x v="8"/>
    <x v="1"/>
  </r>
  <r>
    <x v="5"/>
    <x v="1"/>
  </r>
  <r>
    <x v="30"/>
    <x v="1"/>
  </r>
  <r>
    <x v="7"/>
    <x v="729"/>
  </r>
  <r>
    <x v="4"/>
    <x v="1"/>
  </r>
  <r>
    <x v="22"/>
    <x v="1"/>
  </r>
  <r>
    <x v="40"/>
    <x v="589"/>
  </r>
  <r>
    <x v="1"/>
    <x v="730"/>
  </r>
  <r>
    <x v="4"/>
    <x v="1"/>
  </r>
  <r>
    <x v="29"/>
    <x v="1"/>
  </r>
  <r>
    <x v="13"/>
    <x v="1"/>
  </r>
  <r>
    <x v="5"/>
    <x v="1"/>
  </r>
  <r>
    <x v="5"/>
    <x v="1"/>
  </r>
  <r>
    <x v="21"/>
    <x v="1"/>
  </r>
  <r>
    <x v="51"/>
    <x v="1"/>
  </r>
  <r>
    <x v="10"/>
    <x v="1"/>
  </r>
  <r>
    <x v="1"/>
    <x v="1"/>
  </r>
  <r>
    <x v="21"/>
    <x v="1"/>
  </r>
  <r>
    <x v="9"/>
    <x v="88"/>
  </r>
  <r>
    <x v="25"/>
    <x v="1"/>
  </r>
  <r>
    <x v="43"/>
    <x v="590"/>
  </r>
  <r>
    <x v="5"/>
    <x v="1"/>
  </r>
  <r>
    <x v="7"/>
    <x v="1"/>
  </r>
  <r>
    <x v="8"/>
    <x v="1"/>
  </r>
  <r>
    <x v="28"/>
    <x v="731"/>
  </r>
  <r>
    <x v="15"/>
    <x v="1"/>
  </r>
  <r>
    <x v="40"/>
    <x v="1"/>
  </r>
  <r>
    <x v="10"/>
    <x v="1"/>
  </r>
  <r>
    <x v="10"/>
    <x v="1"/>
  </r>
  <r>
    <x v="0"/>
    <x v="89"/>
  </r>
  <r>
    <x v="10"/>
    <x v="1"/>
  </r>
  <r>
    <x v="44"/>
    <x v="1"/>
  </r>
  <r>
    <x v="17"/>
    <x v="1"/>
  </r>
  <r>
    <x v="26"/>
    <x v="1"/>
  </r>
  <r>
    <x v="9"/>
    <x v="1"/>
  </r>
  <r>
    <x v="13"/>
    <x v="1"/>
  </r>
  <r>
    <x v="34"/>
    <x v="732"/>
  </r>
  <r>
    <x v="4"/>
    <x v="1"/>
  </r>
  <r>
    <x v="43"/>
    <x v="1"/>
  </r>
  <r>
    <x v="8"/>
    <x v="1"/>
  </r>
  <r>
    <x v="2"/>
    <x v="1"/>
  </r>
  <r>
    <x v="14"/>
    <x v="1"/>
  </r>
  <r>
    <x v="11"/>
    <x v="1"/>
  </r>
  <r>
    <x v="2"/>
    <x v="1"/>
  </r>
  <r>
    <x v="45"/>
    <x v="1"/>
  </r>
  <r>
    <x v="20"/>
    <x v="1"/>
  </r>
  <r>
    <x v="29"/>
    <x v="1"/>
  </r>
  <r>
    <x v="5"/>
    <x v="1"/>
  </r>
  <r>
    <x v="17"/>
    <x v="1"/>
  </r>
  <r>
    <x v="0"/>
    <x v="1"/>
  </r>
  <r>
    <x v="5"/>
    <x v="1"/>
  </r>
  <r>
    <x v="14"/>
    <x v="1"/>
  </r>
  <r>
    <x v="11"/>
    <x v="1"/>
  </r>
  <r>
    <x v="28"/>
    <x v="1"/>
  </r>
  <r>
    <x v="15"/>
    <x v="1"/>
  </r>
  <r>
    <x v="46"/>
    <x v="1"/>
  </r>
  <r>
    <x v="6"/>
    <x v="1"/>
  </r>
  <r>
    <x v="12"/>
    <x v="1"/>
  </r>
  <r>
    <x v="15"/>
    <x v="1"/>
  </r>
  <r>
    <x v="3"/>
    <x v="1"/>
  </r>
  <r>
    <x v="7"/>
    <x v="1"/>
  </r>
  <r>
    <x v="23"/>
    <x v="1"/>
  </r>
  <r>
    <x v="18"/>
    <x v="1"/>
  </r>
  <r>
    <x v="26"/>
    <x v="1"/>
  </r>
  <r>
    <x v="22"/>
    <x v="1"/>
  </r>
  <r>
    <x v="6"/>
    <x v="1"/>
  </r>
  <r>
    <x v="3"/>
    <x v="1"/>
  </r>
  <r>
    <x v="34"/>
    <x v="1"/>
  </r>
  <r>
    <x v="4"/>
    <x v="1"/>
  </r>
  <r>
    <x v="47"/>
    <x v="1"/>
  </r>
  <r>
    <x v="46"/>
    <x v="733"/>
  </r>
  <r>
    <x v="40"/>
    <x v="1"/>
  </r>
  <r>
    <x v="5"/>
    <x v="1"/>
  </r>
  <r>
    <x v="10"/>
    <x v="94"/>
  </r>
  <r>
    <x v="38"/>
    <x v="1"/>
  </r>
  <r>
    <x v="4"/>
    <x v="1"/>
  </r>
  <r>
    <x v="4"/>
    <x v="1"/>
  </r>
  <r>
    <x v="46"/>
    <x v="1"/>
  </r>
  <r>
    <x v="10"/>
    <x v="1"/>
  </r>
  <r>
    <x v="21"/>
    <x v="1"/>
  </r>
  <r>
    <x v="35"/>
    <x v="1"/>
  </r>
  <r>
    <x v="29"/>
    <x v="1"/>
  </r>
  <r>
    <x v="5"/>
    <x v="1"/>
  </r>
  <r>
    <x v="25"/>
    <x v="1"/>
  </r>
  <r>
    <x v="28"/>
    <x v="734"/>
  </r>
  <r>
    <x v="9"/>
    <x v="1"/>
  </r>
  <r>
    <x v="47"/>
    <x v="735"/>
  </r>
  <r>
    <x v="43"/>
    <x v="1"/>
  </r>
  <r>
    <x v="7"/>
    <x v="1"/>
  </r>
  <r>
    <x v="48"/>
    <x v="1"/>
  </r>
  <r>
    <x v="26"/>
    <x v="1"/>
  </r>
  <r>
    <x v="8"/>
    <x v="95"/>
  </r>
  <r>
    <x v="5"/>
    <x v="1"/>
  </r>
  <r>
    <x v="14"/>
    <x v="1"/>
  </r>
  <r>
    <x v="12"/>
    <x v="1"/>
  </r>
  <r>
    <x v="18"/>
    <x v="1"/>
  </r>
  <r>
    <x v="10"/>
    <x v="98"/>
  </r>
  <r>
    <x v="47"/>
    <x v="1"/>
  </r>
  <r>
    <x v="2"/>
    <x v="1"/>
  </r>
  <r>
    <x v="0"/>
    <x v="1"/>
  </r>
  <r>
    <x v="1"/>
    <x v="1"/>
  </r>
  <r>
    <x v="34"/>
    <x v="736"/>
  </r>
  <r>
    <x v="0"/>
    <x v="1"/>
  </r>
  <r>
    <x v="40"/>
    <x v="1"/>
  </r>
  <r>
    <x v="10"/>
    <x v="1"/>
  </r>
  <r>
    <x v="49"/>
    <x v="1"/>
  </r>
  <r>
    <x v="29"/>
    <x v="1"/>
  </r>
  <r>
    <x v="11"/>
    <x v="1"/>
  </r>
  <r>
    <x v="6"/>
    <x v="1"/>
  </r>
  <r>
    <x v="4"/>
    <x v="1"/>
  </r>
  <r>
    <x v="12"/>
    <x v="104"/>
  </r>
  <r>
    <x v="21"/>
    <x v="1"/>
  </r>
  <r>
    <x v="2"/>
    <x v="99"/>
  </r>
  <r>
    <x v="5"/>
    <x v="1"/>
  </r>
  <r>
    <x v="10"/>
    <x v="1"/>
  </r>
  <r>
    <x v="5"/>
    <x v="1"/>
  </r>
  <r>
    <x v="53"/>
    <x v="1"/>
  </r>
  <r>
    <x v="44"/>
    <x v="1"/>
  </r>
  <r>
    <x v="8"/>
    <x v="1"/>
  </r>
  <r>
    <x v="3"/>
    <x v="1"/>
  </r>
  <r>
    <x v="14"/>
    <x v="1"/>
  </r>
  <r>
    <x v="4"/>
    <x v="105"/>
  </r>
  <r>
    <x v="10"/>
    <x v="112"/>
  </r>
  <r>
    <x v="26"/>
    <x v="1"/>
  </r>
  <r>
    <x v="7"/>
    <x v="1"/>
  </r>
  <r>
    <x v="2"/>
    <x v="1"/>
  </r>
  <r>
    <x v="24"/>
    <x v="1"/>
  </r>
  <r>
    <x v="45"/>
    <x v="1"/>
  </r>
  <r>
    <x v="12"/>
    <x v="457"/>
  </r>
  <r>
    <x v="11"/>
    <x v="737"/>
  </r>
  <r>
    <x v="40"/>
    <x v="738"/>
  </r>
  <r>
    <x v="13"/>
    <x v="739"/>
  </r>
  <r>
    <x v="6"/>
    <x v="1"/>
  </r>
  <r>
    <x v="8"/>
    <x v="113"/>
  </r>
  <r>
    <x v="10"/>
    <x v="1"/>
  </r>
  <r>
    <x v="29"/>
    <x v="1"/>
  </r>
  <r>
    <x v="11"/>
    <x v="1"/>
  </r>
  <r>
    <x v="15"/>
    <x v="1"/>
  </r>
  <r>
    <x v="28"/>
    <x v="1"/>
  </r>
  <r>
    <x v="22"/>
    <x v="1"/>
  </r>
  <r>
    <x v="10"/>
    <x v="1"/>
  </r>
  <r>
    <x v="4"/>
    <x v="458"/>
  </r>
  <r>
    <x v="3"/>
    <x v="740"/>
  </r>
  <r>
    <x v="43"/>
    <x v="741"/>
  </r>
  <r>
    <x v="11"/>
    <x v="1"/>
  </r>
  <r>
    <x v="5"/>
    <x v="742"/>
  </r>
  <r>
    <x v="10"/>
    <x v="1"/>
  </r>
  <r>
    <x v="2"/>
    <x v="1"/>
  </r>
  <r>
    <x v="11"/>
    <x v="1"/>
  </r>
  <r>
    <x v="44"/>
    <x v="1"/>
  </r>
  <r>
    <x v="3"/>
    <x v="1"/>
  </r>
  <r>
    <x v="4"/>
    <x v="1"/>
  </r>
  <r>
    <x v="13"/>
    <x v="1"/>
  </r>
  <r>
    <x v="34"/>
    <x v="1"/>
  </r>
  <r>
    <x v="25"/>
    <x v="1"/>
  </r>
  <r>
    <x v="13"/>
    <x v="1"/>
  </r>
  <r>
    <x v="8"/>
    <x v="1"/>
  </r>
  <r>
    <x v="15"/>
    <x v="1"/>
  </r>
  <r>
    <x v="3"/>
    <x v="1"/>
  </r>
  <r>
    <x v="30"/>
    <x v="1"/>
  </r>
  <r>
    <x v="8"/>
    <x v="1"/>
  </r>
  <r>
    <x v="17"/>
    <x v="1"/>
  </r>
  <r>
    <x v="3"/>
    <x v="1"/>
  </r>
  <r>
    <x v="45"/>
    <x v="1"/>
  </r>
  <r>
    <x v="40"/>
    <x v="743"/>
  </r>
  <r>
    <x v="5"/>
    <x v="1"/>
  </r>
  <r>
    <x v="26"/>
    <x v="1"/>
  </r>
  <r>
    <x v="5"/>
    <x v="1"/>
  </r>
  <r>
    <x v="4"/>
    <x v="1"/>
  </r>
  <r>
    <x v="21"/>
    <x v="1"/>
  </r>
  <r>
    <x v="9"/>
    <x v="1"/>
  </r>
  <r>
    <x v="20"/>
    <x v="1"/>
  </r>
  <r>
    <x v="33"/>
    <x v="1"/>
  </r>
  <r>
    <x v="43"/>
    <x v="744"/>
  </r>
  <r>
    <x v="10"/>
    <x v="1"/>
  </r>
  <r>
    <x v="38"/>
    <x v="1"/>
  </r>
  <r>
    <x v="11"/>
    <x v="1"/>
  </r>
  <r>
    <x v="29"/>
    <x v="1"/>
  </r>
  <r>
    <x v="12"/>
    <x v="151"/>
  </r>
  <r>
    <x v="15"/>
    <x v="1"/>
  </r>
  <r>
    <x v="0"/>
    <x v="1"/>
  </r>
  <r>
    <x v="13"/>
    <x v="1"/>
  </r>
  <r>
    <x v="40"/>
    <x v="1"/>
  </r>
  <r>
    <x v="44"/>
    <x v="1"/>
  </r>
  <r>
    <x v="10"/>
    <x v="1"/>
  </r>
  <r>
    <x v="5"/>
    <x v="1"/>
  </r>
  <r>
    <x v="37"/>
    <x v="1"/>
  </r>
  <r>
    <x v="40"/>
    <x v="1"/>
  </r>
  <r>
    <x v="8"/>
    <x v="1"/>
  </r>
  <r>
    <x v="31"/>
    <x v="1"/>
  </r>
  <r>
    <x v="5"/>
    <x v="1"/>
  </r>
  <r>
    <x v="28"/>
    <x v="1"/>
  </r>
  <r>
    <x v="3"/>
    <x v="1"/>
  </r>
  <r>
    <x v="4"/>
    <x v="152"/>
  </r>
  <r>
    <x v="4"/>
    <x v="1"/>
  </r>
  <r>
    <x v="28"/>
    <x v="1"/>
  </r>
  <r>
    <x v="33"/>
    <x v="1"/>
  </r>
  <r>
    <x v="5"/>
    <x v="1"/>
  </r>
  <r>
    <x v="7"/>
    <x v="1"/>
  </r>
  <r>
    <x v="26"/>
    <x v="1"/>
  </r>
  <r>
    <x v="29"/>
    <x v="1"/>
  </r>
  <r>
    <x v="10"/>
    <x v="1"/>
  </r>
  <r>
    <x v="2"/>
    <x v="1"/>
  </r>
  <r>
    <x v="35"/>
    <x v="1"/>
  </r>
  <r>
    <x v="0"/>
    <x v="1"/>
  </r>
  <r>
    <x v="5"/>
    <x v="1"/>
  </r>
  <r>
    <x v="7"/>
    <x v="1"/>
  </r>
  <r>
    <x v="9"/>
    <x v="1"/>
  </r>
  <r>
    <x v="0"/>
    <x v="1"/>
  </r>
  <r>
    <x v="26"/>
    <x v="1"/>
  </r>
  <r>
    <x v="29"/>
    <x v="1"/>
  </r>
  <r>
    <x v="13"/>
    <x v="1"/>
  </r>
  <r>
    <x v="5"/>
    <x v="1"/>
  </r>
  <r>
    <x v="22"/>
    <x v="1"/>
  </r>
  <r>
    <x v="25"/>
    <x v="1"/>
  </r>
  <r>
    <x v="22"/>
    <x v="1"/>
  </r>
  <r>
    <x v="25"/>
    <x v="1"/>
  </r>
  <r>
    <x v="50"/>
    <x v="1"/>
  </r>
  <r>
    <x v="51"/>
    <x v="1"/>
  </r>
  <r>
    <x v="10"/>
    <x v="1"/>
  </r>
  <r>
    <x v="2"/>
    <x v="1"/>
  </r>
  <r>
    <x v="40"/>
    <x v="745"/>
  </r>
  <r>
    <x v="43"/>
    <x v="746"/>
  </r>
  <r>
    <x v="12"/>
    <x v="1"/>
  </r>
  <r>
    <x v="4"/>
    <x v="1"/>
  </r>
  <r>
    <x v="11"/>
    <x v="1"/>
  </r>
  <r>
    <x v="3"/>
    <x v="1"/>
  </r>
  <r>
    <x v="12"/>
    <x v="1"/>
  </r>
  <r>
    <x v="4"/>
    <x v="1"/>
  </r>
  <r>
    <x v="17"/>
    <x v="1"/>
  </r>
  <r>
    <x v="23"/>
    <x v="1"/>
  </r>
  <r>
    <x v="22"/>
    <x v="1"/>
  </r>
  <r>
    <x v="25"/>
    <x v="1"/>
  </r>
  <r>
    <x v="5"/>
    <x v="1"/>
  </r>
  <r>
    <x v="1"/>
    <x v="1"/>
  </r>
  <r>
    <x v="22"/>
    <x v="1"/>
  </r>
  <r>
    <x v="25"/>
    <x v="1"/>
  </r>
  <r>
    <x v="33"/>
    <x v="1"/>
  </r>
  <r>
    <x v="37"/>
    <x v="1"/>
  </r>
  <r>
    <x v="11"/>
    <x v="1"/>
  </r>
  <r>
    <x v="3"/>
    <x v="1"/>
  </r>
  <r>
    <x v="10"/>
    <x v="1"/>
  </r>
  <r>
    <x v="8"/>
    <x v="1"/>
  </r>
  <r>
    <x v="13"/>
    <x v="1"/>
  </r>
  <r>
    <x v="5"/>
    <x v="1"/>
  </r>
  <r>
    <x v="26"/>
    <x v="1"/>
  </r>
  <r>
    <x v="29"/>
    <x v="1"/>
  </r>
  <r>
    <x v="22"/>
    <x v="1"/>
  </r>
  <r>
    <x v="25"/>
    <x v="1"/>
  </r>
  <r>
    <x v="13"/>
    <x v="1"/>
  </r>
  <r>
    <x v="5"/>
    <x v="1"/>
  </r>
  <r>
    <x v="5"/>
    <x v="1"/>
  </r>
  <r>
    <x v="1"/>
    <x v="1"/>
  </r>
  <r>
    <x v="11"/>
    <x v="1"/>
  </r>
  <r>
    <x v="3"/>
    <x v="1"/>
  </r>
  <r>
    <x v="10"/>
    <x v="437"/>
  </r>
  <r>
    <x v="8"/>
    <x v="440"/>
  </r>
  <r>
    <x v="15"/>
    <x v="1"/>
  </r>
  <r>
    <x v="4"/>
    <x v="1"/>
  </r>
  <r>
    <x v="5"/>
    <x v="1"/>
  </r>
  <r>
    <x v="7"/>
    <x v="1"/>
  </r>
  <r>
    <x v="10"/>
    <x v="1"/>
  </r>
  <r>
    <x v="8"/>
    <x v="1"/>
  </r>
  <r>
    <x v="28"/>
    <x v="1"/>
  </r>
  <r>
    <x v="34"/>
    <x v="1"/>
  </r>
  <r>
    <x v="5"/>
    <x v="1"/>
  </r>
  <r>
    <x v="1"/>
    <x v="1"/>
  </r>
  <r>
    <x v="12"/>
    <x v="121"/>
  </r>
  <r>
    <x v="4"/>
    <x v="124"/>
  </r>
  <r>
    <x v="33"/>
    <x v="1"/>
  </r>
  <r>
    <x v="37"/>
    <x v="1"/>
  </r>
  <r>
    <x v="28"/>
    <x v="1"/>
  </r>
  <r>
    <x v="34"/>
    <x v="1"/>
  </r>
  <r>
    <x v="17"/>
    <x v="1"/>
  </r>
  <r>
    <x v="23"/>
    <x v="1"/>
  </r>
  <r>
    <x v="31"/>
    <x v="1"/>
  </r>
  <r>
    <x v="36"/>
    <x v="1"/>
  </r>
  <r>
    <x v="17"/>
    <x v="1"/>
  </r>
  <r>
    <x v="20"/>
    <x v="1"/>
  </r>
  <r>
    <x v="40"/>
    <x v="747"/>
  </r>
  <r>
    <x v="43"/>
    <x v="748"/>
  </r>
  <r>
    <x v="46"/>
    <x v="1"/>
  </r>
  <r>
    <x v="47"/>
    <x v="1"/>
  </r>
  <r>
    <x v="5"/>
    <x v="1"/>
  </r>
  <r>
    <x v="7"/>
    <x v="1"/>
  </r>
  <r>
    <x v="5"/>
    <x v="1"/>
  </r>
  <r>
    <x v="1"/>
    <x v="1"/>
  </r>
  <r>
    <x v="28"/>
    <x v="1"/>
  </r>
  <r>
    <x v="34"/>
    <x v="1"/>
  </r>
  <r>
    <x v="27"/>
    <x v="1"/>
  </r>
  <r>
    <x v="32"/>
    <x v="1"/>
  </r>
  <r>
    <x v="17"/>
    <x v="1"/>
  </r>
  <r>
    <x v="23"/>
    <x v="1"/>
  </r>
  <r>
    <x v="10"/>
    <x v="123"/>
  </r>
  <r>
    <x v="2"/>
    <x v="129"/>
  </r>
  <r>
    <x v="40"/>
    <x v="749"/>
  </r>
  <r>
    <x v="43"/>
    <x v="750"/>
  </r>
  <r>
    <x v="11"/>
    <x v="1"/>
  </r>
  <r>
    <x v="3"/>
    <x v="1"/>
  </r>
  <r>
    <x v="10"/>
    <x v="1"/>
  </r>
  <r>
    <x v="8"/>
    <x v="1"/>
  </r>
  <r>
    <x v="12"/>
    <x v="1"/>
  </r>
  <r>
    <x v="4"/>
    <x v="1"/>
  </r>
  <r>
    <x v="40"/>
    <x v="751"/>
  </r>
  <r>
    <x v="43"/>
    <x v="752"/>
  </r>
  <r>
    <x v="31"/>
    <x v="1"/>
  </r>
  <r>
    <x v="36"/>
    <x v="1"/>
  </r>
  <r>
    <x v="17"/>
    <x v="1"/>
  </r>
  <r>
    <x v="23"/>
    <x v="1"/>
  </r>
  <r>
    <x v="27"/>
    <x v="1"/>
  </r>
  <r>
    <x v="32"/>
    <x v="1"/>
  </r>
  <r>
    <x v="10"/>
    <x v="1"/>
  </r>
  <r>
    <x v="2"/>
    <x v="1"/>
  </r>
  <r>
    <x v="5"/>
    <x v="1"/>
  </r>
  <r>
    <x v="1"/>
    <x v="1"/>
  </r>
  <r>
    <x v="10"/>
    <x v="444"/>
  </r>
  <r>
    <x v="2"/>
    <x v="447"/>
  </r>
  <r>
    <x v="15"/>
    <x v="445"/>
  </r>
  <r>
    <x v="4"/>
    <x v="448"/>
  </r>
  <r>
    <x v="5"/>
    <x v="1"/>
  </r>
  <r>
    <x v="1"/>
    <x v="1"/>
  </r>
  <r>
    <x v="22"/>
    <x v="753"/>
  </r>
  <r>
    <x v="25"/>
    <x v="754"/>
  </r>
  <r>
    <x v="11"/>
    <x v="1"/>
  </r>
  <r>
    <x v="3"/>
    <x v="1"/>
  </r>
  <r>
    <x v="5"/>
    <x v="1"/>
  </r>
  <r>
    <x v="7"/>
    <x v="1"/>
  </r>
  <r>
    <x v="11"/>
    <x v="1"/>
  </r>
  <r>
    <x v="3"/>
    <x v="1"/>
  </r>
  <r>
    <x v="22"/>
    <x v="1"/>
  </r>
  <r>
    <x v="25"/>
    <x v="1"/>
  </r>
  <r>
    <x v="40"/>
    <x v="1"/>
  </r>
  <r>
    <x v="43"/>
    <x v="1"/>
  </r>
  <r>
    <x v="13"/>
    <x v="755"/>
  </r>
  <r>
    <x v="5"/>
    <x v="756"/>
  </r>
  <r>
    <x v="10"/>
    <x v="1"/>
  </r>
  <r>
    <x v="2"/>
    <x v="1"/>
  </r>
  <r>
    <x v="35"/>
    <x v="1"/>
  </r>
  <r>
    <x v="0"/>
    <x v="1"/>
  </r>
  <r>
    <x v="11"/>
    <x v="1"/>
  </r>
  <r>
    <x v="3"/>
    <x v="1"/>
  </r>
  <r>
    <x v="22"/>
    <x v="1"/>
  </r>
  <r>
    <x v="25"/>
    <x v="1"/>
  </r>
  <r>
    <x v="5"/>
    <x v="1"/>
  </r>
  <r>
    <x v="7"/>
    <x v="1"/>
  </r>
  <r>
    <x v="14"/>
    <x v="1"/>
  </r>
  <r>
    <x v="6"/>
    <x v="1"/>
  </r>
  <r>
    <x v="26"/>
    <x v="1"/>
  </r>
  <r>
    <x v="29"/>
    <x v="1"/>
  </r>
  <r>
    <x v="5"/>
    <x v="1"/>
  </r>
  <r>
    <x v="7"/>
    <x v="1"/>
  </r>
  <r>
    <x v="5"/>
    <x v="1"/>
  </r>
  <r>
    <x v="1"/>
    <x v="1"/>
  </r>
  <r>
    <x v="5"/>
    <x v="1"/>
  </r>
  <r>
    <x v="24"/>
    <x v="1"/>
  </r>
  <r>
    <x v="40"/>
    <x v="1"/>
  </r>
  <r>
    <x v="43"/>
    <x v="1"/>
  </r>
  <r>
    <x v="26"/>
    <x v="1"/>
  </r>
  <r>
    <x v="29"/>
    <x v="1"/>
  </r>
  <r>
    <x v="5"/>
    <x v="1"/>
  </r>
  <r>
    <x v="7"/>
    <x v="1"/>
  </r>
  <r>
    <x v="22"/>
    <x v="1"/>
  </r>
  <r>
    <x v="25"/>
    <x v="1"/>
  </r>
  <r>
    <x v="5"/>
    <x v="1"/>
  </r>
  <r>
    <x v="7"/>
    <x v="1"/>
  </r>
  <r>
    <x v="26"/>
    <x v="1"/>
  </r>
  <r>
    <x v="29"/>
    <x v="1"/>
  </r>
  <r>
    <x v="15"/>
    <x v="1"/>
  </r>
  <r>
    <x v="4"/>
    <x v="1"/>
  </r>
  <r>
    <x v="12"/>
    <x v="1"/>
  </r>
  <r>
    <x v="4"/>
    <x v="1"/>
  </r>
  <r>
    <x v="27"/>
    <x v="1"/>
  </r>
  <r>
    <x v="32"/>
    <x v="1"/>
  </r>
  <r>
    <x v="27"/>
    <x v="757"/>
  </r>
  <r>
    <x v="32"/>
    <x v="758"/>
  </r>
  <r>
    <x v="33"/>
    <x v="1"/>
  </r>
  <r>
    <x v="37"/>
    <x v="1"/>
  </r>
  <r>
    <x v="40"/>
    <x v="759"/>
  </r>
  <r>
    <x v="43"/>
    <x v="760"/>
  </r>
  <r>
    <x v="10"/>
    <x v="1"/>
  </r>
  <r>
    <x v="8"/>
    <x v="1"/>
  </r>
  <r>
    <x v="44"/>
    <x v="1"/>
  </r>
  <r>
    <x v="45"/>
    <x v="1"/>
  </r>
  <r>
    <x v="12"/>
    <x v="1"/>
  </r>
  <r>
    <x v="4"/>
    <x v="1"/>
  </r>
  <r>
    <x v="13"/>
    <x v="1"/>
  </r>
  <r>
    <x v="5"/>
    <x v="1"/>
  </r>
  <r>
    <x v="10"/>
    <x v="1"/>
  </r>
  <r>
    <x v="2"/>
    <x v="1"/>
  </r>
  <r>
    <x v="50"/>
    <x v="1"/>
  </r>
  <r>
    <x v="51"/>
    <x v="1"/>
  </r>
  <r>
    <x v="26"/>
    <x v="1"/>
  </r>
  <r>
    <x v="29"/>
    <x v="1"/>
  </r>
  <r>
    <x v="27"/>
    <x v="1"/>
  </r>
  <r>
    <x v="32"/>
    <x v="1"/>
  </r>
  <r>
    <x v="12"/>
    <x v="1"/>
  </r>
  <r>
    <x v="4"/>
    <x v="1"/>
  </r>
  <r>
    <x v="5"/>
    <x v="1"/>
  </r>
  <r>
    <x v="1"/>
    <x v="1"/>
  </r>
  <r>
    <x v="10"/>
    <x v="475"/>
  </r>
  <r>
    <x v="2"/>
    <x v="477"/>
  </r>
  <r>
    <x v="15"/>
    <x v="1"/>
  </r>
  <r>
    <x v="4"/>
    <x v="1"/>
  </r>
  <r>
    <x v="46"/>
    <x v="1"/>
  </r>
  <r>
    <x v="47"/>
    <x v="1"/>
  </r>
  <r>
    <x v="28"/>
    <x v="1"/>
  </r>
  <r>
    <x v="34"/>
    <x v="1"/>
  </r>
  <r>
    <x v="10"/>
    <x v="1"/>
  </r>
  <r>
    <x v="2"/>
    <x v="1"/>
  </r>
  <r>
    <x v="5"/>
    <x v="1"/>
  </r>
  <r>
    <x v="1"/>
    <x v="1"/>
  </r>
  <r>
    <x v="17"/>
    <x v="1"/>
  </r>
  <r>
    <x v="5"/>
    <x v="1"/>
  </r>
  <r>
    <x v="43"/>
    <x v="1"/>
  </r>
  <r>
    <x v="45"/>
    <x v="1"/>
  </r>
  <r>
    <x v="2"/>
    <x v="1"/>
  </r>
  <r>
    <x v="40"/>
    <x v="1"/>
  </r>
  <r>
    <x v="13"/>
    <x v="1"/>
  </r>
  <r>
    <x v="1"/>
    <x v="1"/>
  </r>
  <r>
    <x v="43"/>
    <x v="1"/>
  </r>
  <r>
    <x v="36"/>
    <x v="1"/>
  </r>
  <r>
    <x v="34"/>
    <x v="1"/>
  </r>
  <r>
    <x v="12"/>
    <x v="1"/>
  </r>
  <r>
    <x v="22"/>
    <x v="1"/>
  </r>
  <r>
    <x v="10"/>
    <x v="1"/>
  </r>
  <r>
    <x v="35"/>
    <x v="1"/>
  </r>
  <r>
    <x v="11"/>
    <x v="1"/>
  </r>
  <r>
    <x v="34"/>
    <x v="1"/>
  </r>
  <r>
    <x v="31"/>
    <x v="1"/>
  </r>
  <r>
    <x v="37"/>
    <x v="1"/>
  </r>
  <r>
    <x v="33"/>
    <x v="1"/>
  </r>
  <r>
    <x v="43"/>
    <x v="1"/>
  </r>
  <r>
    <x v="5"/>
    <x v="1"/>
  </r>
  <r>
    <x v="40"/>
    <x v="1"/>
  </r>
  <r>
    <x v="4"/>
    <x v="1"/>
  </r>
  <r>
    <x v="25"/>
    <x v="1"/>
  </r>
  <r>
    <x v="2"/>
    <x v="1"/>
  </r>
  <r>
    <x v="50"/>
    <x v="1"/>
  </r>
  <r>
    <x v="0"/>
    <x v="1"/>
  </r>
  <r>
    <x v="3"/>
    <x v="1"/>
  </r>
  <r>
    <x v="17"/>
    <x v="1"/>
  </r>
  <r>
    <x v="36"/>
    <x v="1"/>
  </r>
  <r>
    <x v="37"/>
    <x v="1"/>
  </r>
  <r>
    <x v="26"/>
    <x v="1"/>
  </r>
  <r>
    <x v="43"/>
    <x v="1"/>
  </r>
  <r>
    <x v="46"/>
    <x v="761"/>
  </r>
  <r>
    <x v="51"/>
    <x v="1"/>
  </r>
  <r>
    <x v="20"/>
    <x v="1"/>
  </r>
  <r>
    <x v="11"/>
    <x v="1"/>
  </r>
  <r>
    <x v="5"/>
    <x v="1"/>
  </r>
  <r>
    <x v="5"/>
    <x v="762"/>
  </r>
  <r>
    <x v="5"/>
    <x v="1"/>
  </r>
  <r>
    <x v="17"/>
    <x v="1"/>
  </r>
  <r>
    <x v="29"/>
    <x v="1"/>
  </r>
  <r>
    <x v="40"/>
    <x v="763"/>
  </r>
  <r>
    <x v="47"/>
    <x v="764"/>
  </r>
  <r>
    <x v="33"/>
    <x v="1"/>
  </r>
  <r>
    <x v="10"/>
    <x v="1"/>
  </r>
  <r>
    <x v="11"/>
    <x v="1"/>
  </r>
  <r>
    <x v="15"/>
    <x v="1"/>
  </r>
  <r>
    <x v="41"/>
    <x v="1"/>
  </r>
  <r>
    <x v="12"/>
    <x v="1"/>
  </r>
  <r>
    <x v="10"/>
    <x v="1"/>
  </r>
  <r>
    <x v="17"/>
    <x v="1"/>
  </r>
  <r>
    <x v="28"/>
    <x v="1"/>
  </r>
  <r>
    <x v="3"/>
    <x v="1"/>
  </r>
  <r>
    <x v="1"/>
    <x v="1"/>
  </r>
  <r>
    <x v="12"/>
    <x v="467"/>
  </r>
  <r>
    <x v="26"/>
    <x v="1"/>
  </r>
  <r>
    <x v="7"/>
    <x v="765"/>
  </r>
  <r>
    <x v="7"/>
    <x v="1"/>
  </r>
  <r>
    <x v="20"/>
    <x v="1"/>
  </r>
  <r>
    <x v="13"/>
    <x v="1"/>
  </r>
  <r>
    <x v="11"/>
    <x v="1"/>
  </r>
  <r>
    <x v="22"/>
    <x v="1"/>
  </r>
  <r>
    <x v="43"/>
    <x v="766"/>
  </r>
  <r>
    <x v="12"/>
    <x v="1"/>
  </r>
  <r>
    <x v="5"/>
    <x v="767"/>
  </r>
  <r>
    <x v="37"/>
    <x v="1"/>
  </r>
  <r>
    <x v="8"/>
    <x v="1"/>
  </r>
  <r>
    <x v="3"/>
    <x v="1"/>
  </r>
  <r>
    <x v="4"/>
    <x v="1"/>
  </r>
  <r>
    <x v="27"/>
    <x v="1"/>
  </r>
  <r>
    <x v="4"/>
    <x v="1"/>
  </r>
  <r>
    <x v="2"/>
    <x v="1"/>
  </r>
  <r>
    <x v="23"/>
    <x v="1"/>
  </r>
  <r>
    <x v="34"/>
    <x v="1"/>
  </r>
  <r>
    <x v="40"/>
    <x v="768"/>
  </r>
  <r>
    <x v="50"/>
    <x v="1"/>
  </r>
  <r>
    <x v="4"/>
    <x v="468"/>
  </r>
  <r>
    <x v="29"/>
    <x v="1"/>
  </r>
  <r>
    <x v="17"/>
    <x v="1"/>
  </r>
  <r>
    <x v="5"/>
    <x v="1"/>
  </r>
  <r>
    <x v="10"/>
    <x v="1"/>
  </r>
  <r>
    <x v="3"/>
    <x v="1"/>
  </r>
  <r>
    <x v="25"/>
    <x v="1"/>
  </r>
  <r>
    <x v="5"/>
    <x v="1"/>
  </r>
  <r>
    <x v="10"/>
    <x v="1"/>
  </r>
  <r>
    <x v="40"/>
    <x v="1"/>
  </r>
  <r>
    <x v="35"/>
    <x v="1"/>
  </r>
  <r>
    <x v="4"/>
    <x v="1"/>
  </r>
  <r>
    <x v="13"/>
    <x v="1"/>
  </r>
  <r>
    <x v="7"/>
    <x v="769"/>
  </r>
  <r>
    <x v="9"/>
    <x v="1"/>
  </r>
  <r>
    <x v="26"/>
    <x v="1"/>
  </r>
  <r>
    <x v="28"/>
    <x v="1"/>
  </r>
  <r>
    <x v="16"/>
    <x v="1"/>
  </r>
  <r>
    <x v="48"/>
    <x v="1"/>
  </r>
  <r>
    <x v="43"/>
    <x v="770"/>
  </r>
  <r>
    <x v="51"/>
    <x v="1"/>
  </r>
  <r>
    <x v="26"/>
    <x v="1"/>
  </r>
  <r>
    <x v="23"/>
    <x v="1"/>
  </r>
  <r>
    <x v="18"/>
    <x v="1"/>
  </r>
  <r>
    <x v="11"/>
    <x v="1"/>
  </r>
  <r>
    <x v="35"/>
    <x v="1"/>
  </r>
  <r>
    <x v="2"/>
    <x v="1"/>
  </r>
  <r>
    <x v="10"/>
    <x v="1"/>
  </r>
  <r>
    <x v="7"/>
    <x v="1"/>
  </r>
  <r>
    <x v="2"/>
    <x v="1"/>
  </r>
  <r>
    <x v="43"/>
    <x v="1"/>
  </r>
  <r>
    <x v="0"/>
    <x v="1"/>
  </r>
  <r>
    <x v="5"/>
    <x v="1"/>
  </r>
  <r>
    <x v="5"/>
    <x v="1"/>
  </r>
  <r>
    <x v="15"/>
    <x v="1"/>
  </r>
  <r>
    <x v="11"/>
    <x v="1"/>
  </r>
  <r>
    <x v="0"/>
    <x v="1"/>
  </r>
  <r>
    <x v="29"/>
    <x v="1"/>
  </r>
  <r>
    <x v="22"/>
    <x v="771"/>
  </r>
  <r>
    <x v="34"/>
    <x v="1"/>
  </r>
  <r>
    <x v="19"/>
    <x v="1"/>
  </r>
  <r>
    <x v="5"/>
    <x v="1"/>
  </r>
  <r>
    <x v="49"/>
    <x v="1"/>
  </r>
  <r>
    <x v="26"/>
    <x v="1"/>
  </r>
  <r>
    <x v="28"/>
    <x v="1"/>
  </r>
  <r>
    <x v="29"/>
    <x v="1"/>
  </r>
  <r>
    <x v="21"/>
    <x v="1"/>
  </r>
  <r>
    <x v="3"/>
    <x v="1"/>
  </r>
  <r>
    <x v="0"/>
    <x v="1"/>
  </r>
  <r>
    <x v="2"/>
    <x v="1"/>
  </r>
  <r>
    <x v="18"/>
    <x v="772"/>
  </r>
  <r>
    <x v="13"/>
    <x v="1"/>
  </r>
  <r>
    <x v="5"/>
    <x v="1"/>
  </r>
  <r>
    <x v="1"/>
    <x v="1"/>
  </r>
  <r>
    <x v="4"/>
    <x v="1"/>
  </r>
  <r>
    <x v="3"/>
    <x v="1"/>
  </r>
  <r>
    <x v="12"/>
    <x v="1"/>
  </r>
  <r>
    <x v="25"/>
    <x v="773"/>
  </r>
  <r>
    <x v="7"/>
    <x v="1"/>
  </r>
  <r>
    <x v="29"/>
    <x v="1"/>
  </r>
  <r>
    <x v="34"/>
    <x v="1"/>
  </r>
  <r>
    <x v="31"/>
    <x v="1"/>
  </r>
  <r>
    <x v="33"/>
    <x v="1"/>
  </r>
  <r>
    <x v="21"/>
    <x v="774"/>
  </r>
  <r>
    <x v="26"/>
    <x v="1"/>
  </r>
  <r>
    <x v="5"/>
    <x v="1"/>
  </r>
  <r>
    <x v="7"/>
    <x v="1"/>
  </r>
  <r>
    <x v="4"/>
    <x v="1"/>
  </r>
  <r>
    <x v="15"/>
    <x v="1"/>
  </r>
  <r>
    <x v="22"/>
    <x v="1"/>
  </r>
  <r>
    <x v="10"/>
    <x v="1"/>
  </r>
  <r>
    <x v="36"/>
    <x v="1"/>
  </r>
  <r>
    <x v="37"/>
    <x v="1"/>
  </r>
  <r>
    <x v="46"/>
    <x v="1"/>
  </r>
  <r>
    <x v="40"/>
    <x v="775"/>
  </r>
  <r>
    <x v="12"/>
    <x v="1"/>
  </r>
  <r>
    <x v="29"/>
    <x v="1"/>
  </r>
  <r>
    <x v="16"/>
    <x v="1"/>
  </r>
  <r>
    <x v="18"/>
    <x v="776"/>
  </r>
  <r>
    <x v="4"/>
    <x v="1"/>
  </r>
  <r>
    <x v="15"/>
    <x v="1"/>
  </r>
  <r>
    <x v="15"/>
    <x v="1"/>
  </r>
  <r>
    <x v="17"/>
    <x v="175"/>
  </r>
  <r>
    <x v="25"/>
    <x v="1"/>
  </r>
  <r>
    <x v="14"/>
    <x v="1"/>
  </r>
  <r>
    <x v="2"/>
    <x v="1"/>
  </r>
  <r>
    <x v="17"/>
    <x v="1"/>
  </r>
  <r>
    <x v="47"/>
    <x v="1"/>
  </r>
  <r>
    <x v="11"/>
    <x v="1"/>
  </r>
  <r>
    <x v="43"/>
    <x v="777"/>
  </r>
  <r>
    <x v="13"/>
    <x v="778"/>
  </r>
  <r>
    <x v="4"/>
    <x v="1"/>
  </r>
  <r>
    <x v="19"/>
    <x v="1"/>
  </r>
  <r>
    <x v="21"/>
    <x v="779"/>
  </r>
  <r>
    <x v="26"/>
    <x v="1"/>
  </r>
  <r>
    <x v="16"/>
    <x v="1"/>
  </r>
  <r>
    <x v="12"/>
    <x v="1"/>
  </r>
  <r>
    <x v="4"/>
    <x v="1"/>
  </r>
  <r>
    <x v="11"/>
    <x v="1"/>
  </r>
  <r>
    <x v="4"/>
    <x v="1"/>
  </r>
  <r>
    <x v="23"/>
    <x v="176"/>
  </r>
  <r>
    <x v="28"/>
    <x v="1"/>
  </r>
  <r>
    <x v="6"/>
    <x v="1"/>
  </r>
  <r>
    <x v="20"/>
    <x v="1"/>
  </r>
  <r>
    <x v="12"/>
    <x v="1"/>
  </r>
  <r>
    <x v="3"/>
    <x v="1"/>
  </r>
  <r>
    <x v="17"/>
    <x v="3"/>
  </r>
  <r>
    <x v="5"/>
    <x v="780"/>
  </r>
  <r>
    <x v="26"/>
    <x v="1"/>
  </r>
  <r>
    <x v="12"/>
    <x v="1"/>
  </r>
  <r>
    <x v="46"/>
    <x v="1"/>
  </r>
  <r>
    <x v="29"/>
    <x v="1"/>
  </r>
  <r>
    <x v="19"/>
    <x v="1"/>
  </r>
  <r>
    <x v="4"/>
    <x v="1"/>
  </r>
  <r>
    <x v="3"/>
    <x v="1"/>
  </r>
  <r>
    <x v="34"/>
    <x v="1"/>
  </r>
  <r>
    <x v="28"/>
    <x v="1"/>
  </r>
  <r>
    <x v="4"/>
    <x v="1"/>
  </r>
  <r>
    <x v="23"/>
    <x v="5"/>
  </r>
  <r>
    <x v="29"/>
    <x v="1"/>
  </r>
  <r>
    <x v="4"/>
    <x v="1"/>
  </r>
  <r>
    <x v="47"/>
    <x v="1"/>
  </r>
  <r>
    <x v="17"/>
    <x v="1"/>
  </r>
  <r>
    <x v="28"/>
    <x v="1"/>
  </r>
  <r>
    <x v="28"/>
    <x v="781"/>
  </r>
  <r>
    <x v="34"/>
    <x v="1"/>
  </r>
  <r>
    <x v="15"/>
    <x v="518"/>
  </r>
  <r>
    <x v="33"/>
    <x v="1"/>
  </r>
  <r>
    <x v="28"/>
    <x v="782"/>
  </r>
  <r>
    <x v="10"/>
    <x v="1"/>
  </r>
  <r>
    <x v="9"/>
    <x v="1"/>
  </r>
  <r>
    <x v="23"/>
    <x v="1"/>
  </r>
  <r>
    <x v="35"/>
    <x v="1"/>
  </r>
  <r>
    <x v="34"/>
    <x v="1"/>
  </r>
  <r>
    <x v="27"/>
    <x v="1"/>
  </r>
  <r>
    <x v="10"/>
    <x v="1"/>
  </r>
  <r>
    <x v="34"/>
    <x v="783"/>
  </r>
  <r>
    <x v="4"/>
    <x v="519"/>
  </r>
  <r>
    <x v="23"/>
    <x v="1"/>
  </r>
  <r>
    <x v="22"/>
    <x v="784"/>
  </r>
  <r>
    <x v="25"/>
    <x v="785"/>
  </r>
  <r>
    <x v="33"/>
    <x v="786"/>
  </r>
  <r>
    <x v="37"/>
    <x v="787"/>
  </r>
  <r>
    <x v="22"/>
    <x v="1"/>
  </r>
  <r>
    <x v="25"/>
    <x v="1"/>
  </r>
  <r>
    <x v="10"/>
    <x v="1"/>
  </r>
  <r>
    <x v="2"/>
    <x v="1"/>
  </r>
  <r>
    <x v="10"/>
    <x v="1"/>
  </r>
  <r>
    <x v="2"/>
    <x v="1"/>
  </r>
  <r>
    <x v="14"/>
    <x v="1"/>
  </r>
  <r>
    <x v="6"/>
    <x v="1"/>
  </r>
  <r>
    <x v="5"/>
    <x v="1"/>
  </r>
  <r>
    <x v="7"/>
    <x v="1"/>
  </r>
  <r>
    <x v="15"/>
    <x v="1"/>
  </r>
  <r>
    <x v="4"/>
    <x v="1"/>
  </r>
  <r>
    <x v="9"/>
    <x v="1"/>
  </r>
  <r>
    <x v="0"/>
    <x v="1"/>
  </r>
  <r>
    <x v="22"/>
    <x v="1"/>
  </r>
  <r>
    <x v="25"/>
    <x v="1"/>
  </r>
  <r>
    <x v="10"/>
    <x v="1"/>
  </r>
  <r>
    <x v="8"/>
    <x v="1"/>
  </r>
  <r>
    <x v="28"/>
    <x v="788"/>
  </r>
  <r>
    <x v="34"/>
    <x v="789"/>
  </r>
  <r>
    <x v="28"/>
    <x v="1"/>
  </r>
  <r>
    <x v="34"/>
    <x v="1"/>
  </r>
  <r>
    <x v="28"/>
    <x v="1"/>
  </r>
  <r>
    <x v="34"/>
    <x v="1"/>
  </r>
  <r>
    <x v="40"/>
    <x v="1"/>
  </r>
  <r>
    <x v="43"/>
    <x v="1"/>
  </r>
  <r>
    <x v="26"/>
    <x v="1"/>
  </r>
  <r>
    <x v="29"/>
    <x v="1"/>
  </r>
  <r>
    <x v="10"/>
    <x v="1"/>
  </r>
  <r>
    <x v="8"/>
    <x v="1"/>
  </r>
  <r>
    <x v="12"/>
    <x v="1"/>
  </r>
  <r>
    <x v="4"/>
    <x v="1"/>
  </r>
  <r>
    <x v="22"/>
    <x v="790"/>
  </r>
  <r>
    <x v="25"/>
    <x v="791"/>
  </r>
  <r>
    <x v="17"/>
    <x v="483"/>
  </r>
  <r>
    <x v="20"/>
    <x v="486"/>
  </r>
  <r>
    <x v="10"/>
    <x v="1"/>
  </r>
  <r>
    <x v="2"/>
    <x v="1"/>
  </r>
  <r>
    <x v="11"/>
    <x v="1"/>
  </r>
  <r>
    <x v="3"/>
    <x v="1"/>
  </r>
  <r>
    <x v="14"/>
    <x v="1"/>
  </r>
  <r>
    <x v="6"/>
    <x v="1"/>
  </r>
  <r>
    <x v="26"/>
    <x v="1"/>
  </r>
  <r>
    <x v="29"/>
    <x v="1"/>
  </r>
  <r>
    <x v="22"/>
    <x v="1"/>
  </r>
  <r>
    <x v="25"/>
    <x v="1"/>
  </r>
  <r>
    <x v="13"/>
    <x v="792"/>
  </r>
  <r>
    <x v="5"/>
    <x v="793"/>
  </r>
  <r>
    <x v="5"/>
    <x v="1"/>
  </r>
  <r>
    <x v="1"/>
    <x v="1"/>
  </r>
  <r>
    <x v="5"/>
    <x v="1"/>
  </r>
  <r>
    <x v="1"/>
    <x v="1"/>
  </r>
  <r>
    <x v="46"/>
    <x v="1"/>
  </r>
  <r>
    <x v="47"/>
    <x v="1"/>
  </r>
  <r>
    <x v="5"/>
    <x v="1"/>
  </r>
  <r>
    <x v="7"/>
    <x v="1"/>
  </r>
  <r>
    <x v="15"/>
    <x v="1"/>
  </r>
  <r>
    <x v="4"/>
    <x v="1"/>
  </r>
  <r>
    <x v="10"/>
    <x v="1"/>
  </r>
  <r>
    <x v="2"/>
    <x v="1"/>
  </r>
  <r>
    <x v="50"/>
    <x v="1"/>
  </r>
  <r>
    <x v="51"/>
    <x v="1"/>
  </r>
  <r>
    <x v="40"/>
    <x v="1"/>
  </r>
  <r>
    <x v="43"/>
    <x v="1"/>
  </r>
  <r>
    <x v="10"/>
    <x v="1"/>
  </r>
  <r>
    <x v="2"/>
    <x v="1"/>
  </r>
  <r>
    <x v="46"/>
    <x v="1"/>
  </r>
  <r>
    <x v="47"/>
    <x v="1"/>
  </r>
  <r>
    <x v="26"/>
    <x v="1"/>
  </r>
  <r>
    <x v="29"/>
    <x v="1"/>
  </r>
  <r>
    <x v="17"/>
    <x v="1"/>
  </r>
  <r>
    <x v="23"/>
    <x v="1"/>
  </r>
  <r>
    <x v="46"/>
    <x v="794"/>
  </r>
  <r>
    <x v="47"/>
    <x v="795"/>
  </r>
  <r>
    <x v="17"/>
    <x v="1"/>
  </r>
  <r>
    <x v="23"/>
    <x v="1"/>
  </r>
  <r>
    <x v="5"/>
    <x v="1"/>
  </r>
  <r>
    <x v="24"/>
    <x v="1"/>
  </r>
  <r>
    <x v="5"/>
    <x v="1"/>
  </r>
  <r>
    <x v="1"/>
    <x v="1"/>
  </r>
  <r>
    <x v="22"/>
    <x v="1"/>
  </r>
  <r>
    <x v="25"/>
    <x v="1"/>
  </r>
  <r>
    <x v="50"/>
    <x v="1"/>
  </r>
  <r>
    <x v="51"/>
    <x v="1"/>
  </r>
  <r>
    <x v="10"/>
    <x v="1"/>
  </r>
  <r>
    <x v="8"/>
    <x v="1"/>
  </r>
  <r>
    <x v="11"/>
    <x v="1"/>
  </r>
  <r>
    <x v="3"/>
    <x v="1"/>
  </r>
  <r>
    <x v="35"/>
    <x v="491"/>
  </r>
  <r>
    <x v="0"/>
    <x v="494"/>
  </r>
  <r>
    <x v="40"/>
    <x v="1"/>
  </r>
  <r>
    <x v="53"/>
    <x v="1"/>
  </r>
  <r>
    <x v="12"/>
    <x v="1"/>
  </r>
  <r>
    <x v="4"/>
    <x v="1"/>
  </r>
  <r>
    <x v="13"/>
    <x v="1"/>
  </r>
  <r>
    <x v="5"/>
    <x v="1"/>
  </r>
  <r>
    <x v="26"/>
    <x v="1"/>
  </r>
  <r>
    <x v="29"/>
    <x v="1"/>
  </r>
  <r>
    <x v="5"/>
    <x v="1"/>
  </r>
  <r>
    <x v="1"/>
    <x v="1"/>
  </r>
  <r>
    <x v="10"/>
    <x v="1"/>
  </r>
  <r>
    <x v="8"/>
    <x v="1"/>
  </r>
  <r>
    <x v="22"/>
    <x v="1"/>
  </r>
  <r>
    <x v="25"/>
    <x v="1"/>
  </r>
  <r>
    <x v="11"/>
    <x v="1"/>
  </r>
  <r>
    <x v="3"/>
    <x v="1"/>
  </r>
  <r>
    <x v="10"/>
    <x v="493"/>
  </r>
  <r>
    <x v="2"/>
    <x v="497"/>
  </r>
  <r>
    <x v="5"/>
    <x v="1"/>
  </r>
  <r>
    <x v="1"/>
    <x v="1"/>
  </r>
  <r>
    <x v="28"/>
    <x v="1"/>
  </r>
  <r>
    <x v="34"/>
    <x v="1"/>
  </r>
  <r>
    <x v="26"/>
    <x v="1"/>
  </r>
  <r>
    <x v="29"/>
    <x v="1"/>
  </r>
  <r>
    <x v="5"/>
    <x v="1"/>
  </r>
  <r>
    <x v="7"/>
    <x v="1"/>
  </r>
  <r>
    <x v="26"/>
    <x v="1"/>
  </r>
  <r>
    <x v="29"/>
    <x v="1"/>
  </r>
  <r>
    <x v="10"/>
    <x v="1"/>
  </r>
  <r>
    <x v="8"/>
    <x v="1"/>
  </r>
  <r>
    <x v="9"/>
    <x v="1"/>
  </r>
  <r>
    <x v="0"/>
    <x v="1"/>
  </r>
  <r>
    <x v="12"/>
    <x v="495"/>
  </r>
  <r>
    <x v="4"/>
    <x v="499"/>
  </r>
  <r>
    <x v="40"/>
    <x v="796"/>
  </r>
  <r>
    <x v="43"/>
    <x v="797"/>
  </r>
  <r>
    <x v="13"/>
    <x v="798"/>
  </r>
  <r>
    <x v="5"/>
    <x v="799"/>
  </r>
  <r>
    <x v="11"/>
    <x v="1"/>
  </r>
  <r>
    <x v="3"/>
    <x v="1"/>
  </r>
  <r>
    <x v="5"/>
    <x v="1"/>
  </r>
  <r>
    <x v="7"/>
    <x v="1"/>
  </r>
  <r>
    <x v="46"/>
    <x v="1"/>
  </r>
  <r>
    <x v="47"/>
    <x v="1"/>
  </r>
  <r>
    <x v="5"/>
    <x v="1"/>
  </r>
  <r>
    <x v="1"/>
    <x v="1"/>
  </r>
  <r>
    <x v="13"/>
    <x v="1"/>
  </r>
  <r>
    <x v="5"/>
    <x v="1"/>
  </r>
  <r>
    <x v="10"/>
    <x v="1"/>
  </r>
  <r>
    <x v="8"/>
    <x v="1"/>
  </r>
  <r>
    <x v="11"/>
    <x v="1"/>
  </r>
  <r>
    <x v="3"/>
    <x v="1"/>
  </r>
  <r>
    <x v="30"/>
    <x v="1"/>
  </r>
  <r>
    <x v="21"/>
    <x v="1"/>
  </r>
  <r>
    <x v="17"/>
    <x v="1"/>
  </r>
  <r>
    <x v="20"/>
    <x v="1"/>
  </r>
  <r>
    <x v="9"/>
    <x v="192"/>
  </r>
  <r>
    <x v="0"/>
    <x v="194"/>
  </r>
  <r>
    <x v="31"/>
    <x v="1"/>
  </r>
  <r>
    <x v="36"/>
    <x v="1"/>
  </r>
  <r>
    <x v="33"/>
    <x v="1"/>
  </r>
  <r>
    <x v="37"/>
    <x v="1"/>
  </r>
  <r>
    <x v="5"/>
    <x v="1"/>
  </r>
  <r>
    <x v="1"/>
    <x v="1"/>
  </r>
  <r>
    <x v="14"/>
    <x v="1"/>
  </r>
  <r>
    <x v="6"/>
    <x v="1"/>
  </r>
  <r>
    <x v="15"/>
    <x v="1"/>
  </r>
  <r>
    <x v="4"/>
    <x v="1"/>
  </r>
  <r>
    <x v="5"/>
    <x v="1"/>
  </r>
  <r>
    <x v="1"/>
    <x v="1"/>
  </r>
  <r>
    <x v="5"/>
    <x v="1"/>
  </r>
  <r>
    <x v="7"/>
    <x v="1"/>
  </r>
  <r>
    <x v="44"/>
    <x v="1"/>
  </r>
  <r>
    <x v="45"/>
    <x v="1"/>
  </r>
  <r>
    <x v="26"/>
    <x v="1"/>
  </r>
  <r>
    <x v="29"/>
    <x v="1"/>
  </r>
  <r>
    <x v="13"/>
    <x v="1"/>
  </r>
  <r>
    <x v="5"/>
    <x v="1"/>
  </r>
  <r>
    <x v="10"/>
    <x v="1"/>
  </r>
  <r>
    <x v="2"/>
    <x v="1"/>
  </r>
  <r>
    <x v="26"/>
    <x v="1"/>
  </r>
  <r>
    <x v="29"/>
    <x v="1"/>
  </r>
  <r>
    <x v="5"/>
    <x v="1"/>
  </r>
  <r>
    <x v="7"/>
    <x v="1"/>
  </r>
  <r>
    <x v="46"/>
    <x v="1"/>
  </r>
  <r>
    <x v="47"/>
    <x v="1"/>
  </r>
  <r>
    <x v="13"/>
    <x v="800"/>
  </r>
  <r>
    <x v="5"/>
    <x v="801"/>
  </r>
  <r>
    <x v="17"/>
    <x v="1"/>
  </r>
  <r>
    <x v="20"/>
    <x v="1"/>
  </r>
  <r>
    <x v="40"/>
    <x v="1"/>
  </r>
  <r>
    <x v="43"/>
    <x v="1"/>
  </r>
  <r>
    <x v="10"/>
    <x v="1"/>
  </r>
  <r>
    <x v="8"/>
    <x v="1"/>
  </r>
  <r>
    <x v="11"/>
    <x v="1"/>
  </r>
  <r>
    <x v="3"/>
    <x v="1"/>
  </r>
  <r>
    <x v="5"/>
    <x v="1"/>
  </r>
  <r>
    <x v="24"/>
    <x v="1"/>
  </r>
  <r>
    <x v="28"/>
    <x v="1"/>
  </r>
  <r>
    <x v="34"/>
    <x v="1"/>
  </r>
  <r>
    <x v="16"/>
    <x v="1"/>
  </r>
  <r>
    <x v="19"/>
    <x v="1"/>
  </r>
  <r>
    <x v="5"/>
    <x v="1"/>
  </r>
  <r>
    <x v="7"/>
    <x v="1"/>
  </r>
  <r>
    <x v="35"/>
    <x v="1"/>
  </r>
  <r>
    <x v="0"/>
    <x v="1"/>
  </r>
  <r>
    <x v="12"/>
    <x v="1"/>
  </r>
  <r>
    <x v="4"/>
    <x v="1"/>
  </r>
  <r>
    <x v="5"/>
    <x v="1"/>
  </r>
  <r>
    <x v="1"/>
    <x v="1"/>
  </r>
  <r>
    <x v="40"/>
    <x v="802"/>
  </r>
  <r>
    <x v="43"/>
    <x v="803"/>
  </r>
  <r>
    <x v="13"/>
    <x v="1"/>
  </r>
  <r>
    <x v="5"/>
    <x v="1"/>
  </r>
  <r>
    <x v="12"/>
    <x v="1"/>
  </r>
  <r>
    <x v="4"/>
    <x v="1"/>
  </r>
  <r>
    <x v="46"/>
    <x v="1"/>
  </r>
  <r>
    <x v="47"/>
    <x v="1"/>
  </r>
  <r>
    <x v="10"/>
    <x v="1"/>
  </r>
  <r>
    <x v="8"/>
    <x v="1"/>
  </r>
  <r>
    <x v="15"/>
    <x v="1"/>
  </r>
  <r>
    <x v="37"/>
    <x v="1"/>
  </r>
  <r>
    <x v="34"/>
    <x v="804"/>
  </r>
  <r>
    <x v="2"/>
    <x v="1"/>
  </r>
  <r>
    <x v="0"/>
    <x v="1"/>
  </r>
  <r>
    <x v="0"/>
    <x v="1"/>
  </r>
  <r>
    <x v="32"/>
    <x v="1"/>
  </r>
  <r>
    <x v="16"/>
    <x v="1"/>
  </r>
  <r>
    <x v="22"/>
    <x v="1"/>
  </r>
  <r>
    <x v="31"/>
    <x v="1"/>
  </r>
  <r>
    <x v="8"/>
    <x v="1"/>
  </r>
  <r>
    <x v="10"/>
    <x v="1"/>
  </r>
  <r>
    <x v="26"/>
    <x v="1"/>
  </r>
  <r>
    <x v="13"/>
    <x v="1"/>
  </r>
  <r>
    <x v="5"/>
    <x v="1"/>
  </r>
  <r>
    <x v="17"/>
    <x v="1"/>
  </r>
  <r>
    <x v="4"/>
    <x v="1"/>
  </r>
  <r>
    <x v="5"/>
    <x v="1"/>
  </r>
  <r>
    <x v="11"/>
    <x v="1"/>
  </r>
  <r>
    <x v="14"/>
    <x v="1"/>
  </r>
  <r>
    <x v="11"/>
    <x v="1"/>
  </r>
  <r>
    <x v="12"/>
    <x v="1"/>
  </r>
  <r>
    <x v="26"/>
    <x v="1"/>
  </r>
  <r>
    <x v="19"/>
    <x v="1"/>
  </r>
  <r>
    <x v="25"/>
    <x v="1"/>
  </r>
  <r>
    <x v="36"/>
    <x v="1"/>
  </r>
  <r>
    <x v="28"/>
    <x v="1"/>
  </r>
  <r>
    <x v="30"/>
    <x v="805"/>
  </r>
  <r>
    <x v="5"/>
    <x v="1"/>
  </r>
  <r>
    <x v="14"/>
    <x v="806"/>
  </r>
  <r>
    <x v="11"/>
    <x v="1"/>
  </r>
  <r>
    <x v="2"/>
    <x v="1"/>
  </r>
  <r>
    <x v="29"/>
    <x v="1"/>
  </r>
  <r>
    <x v="28"/>
    <x v="1"/>
  </r>
  <r>
    <x v="5"/>
    <x v="1"/>
  </r>
  <r>
    <x v="7"/>
    <x v="1"/>
  </r>
  <r>
    <x v="20"/>
    <x v="1"/>
  </r>
  <r>
    <x v="7"/>
    <x v="1"/>
  </r>
  <r>
    <x v="5"/>
    <x v="807"/>
  </r>
  <r>
    <x v="3"/>
    <x v="1"/>
  </r>
  <r>
    <x v="6"/>
    <x v="1"/>
  </r>
  <r>
    <x v="3"/>
    <x v="1"/>
  </r>
  <r>
    <x v="17"/>
    <x v="1"/>
  </r>
  <r>
    <x v="26"/>
    <x v="1"/>
  </r>
  <r>
    <x v="22"/>
    <x v="1"/>
  </r>
  <r>
    <x v="4"/>
    <x v="1"/>
  </r>
  <r>
    <x v="29"/>
    <x v="1"/>
  </r>
  <r>
    <x v="15"/>
    <x v="1"/>
  </r>
  <r>
    <x v="26"/>
    <x v="1"/>
  </r>
  <r>
    <x v="40"/>
    <x v="1"/>
  </r>
  <r>
    <x v="5"/>
    <x v="1"/>
  </r>
  <r>
    <x v="34"/>
    <x v="1"/>
  </r>
  <r>
    <x v="21"/>
    <x v="808"/>
  </r>
  <r>
    <x v="1"/>
    <x v="1"/>
  </r>
  <r>
    <x v="5"/>
    <x v="1"/>
  </r>
  <r>
    <x v="17"/>
    <x v="1"/>
  </r>
  <r>
    <x v="6"/>
    <x v="809"/>
  </r>
  <r>
    <x v="3"/>
    <x v="1"/>
  </r>
  <r>
    <x v="34"/>
    <x v="1"/>
  </r>
  <r>
    <x v="11"/>
    <x v="1"/>
  </r>
  <r>
    <x v="1"/>
    <x v="810"/>
  </r>
  <r>
    <x v="23"/>
    <x v="1"/>
  </r>
  <r>
    <x v="29"/>
    <x v="1"/>
  </r>
  <r>
    <x v="52"/>
    <x v="1"/>
  </r>
  <r>
    <x v="25"/>
    <x v="1"/>
  </r>
  <r>
    <x v="4"/>
    <x v="1"/>
  </r>
  <r>
    <x v="29"/>
    <x v="1"/>
  </r>
  <r>
    <x v="13"/>
    <x v="1"/>
  </r>
  <r>
    <x v="10"/>
    <x v="1"/>
  </r>
  <r>
    <x v="43"/>
    <x v="1"/>
  </r>
  <r>
    <x v="1"/>
    <x v="1"/>
  </r>
  <r>
    <x v="26"/>
    <x v="1"/>
  </r>
  <r>
    <x v="7"/>
    <x v="1"/>
  </r>
  <r>
    <x v="23"/>
    <x v="1"/>
  </r>
  <r>
    <x v="5"/>
    <x v="1"/>
  </r>
  <r>
    <x v="35"/>
    <x v="1"/>
  </r>
  <r>
    <x v="12"/>
    <x v="1"/>
  </r>
  <r>
    <x v="3"/>
    <x v="1"/>
  </r>
  <r>
    <x v="10"/>
    <x v="1"/>
  </r>
  <r>
    <x v="28"/>
    <x v="1"/>
  </r>
  <r>
    <x v="12"/>
    <x v="1"/>
  </r>
  <r>
    <x v="5"/>
    <x v="811"/>
  </r>
  <r>
    <x v="26"/>
    <x v="1"/>
  </r>
  <r>
    <x v="27"/>
    <x v="1"/>
  </r>
  <r>
    <x v="14"/>
    <x v="1"/>
  </r>
  <r>
    <x v="5"/>
    <x v="1"/>
  </r>
  <r>
    <x v="8"/>
    <x v="1"/>
  </r>
  <r>
    <x v="29"/>
    <x v="1"/>
  </r>
  <r>
    <x v="7"/>
    <x v="1"/>
  </r>
  <r>
    <x v="0"/>
    <x v="1"/>
  </r>
  <r>
    <x v="10"/>
    <x v="555"/>
  </r>
  <r>
    <x v="4"/>
    <x v="1"/>
  </r>
  <r>
    <x v="13"/>
    <x v="1"/>
  </r>
  <r>
    <x v="8"/>
    <x v="1"/>
  </r>
  <r>
    <x v="34"/>
    <x v="1"/>
  </r>
  <r>
    <x v="4"/>
    <x v="1"/>
  </r>
  <r>
    <x v="5"/>
    <x v="1"/>
  </r>
  <r>
    <x v="7"/>
    <x v="812"/>
  </r>
  <r>
    <x v="33"/>
    <x v="1"/>
  </r>
  <r>
    <x v="32"/>
    <x v="1"/>
  </r>
  <r>
    <x v="6"/>
    <x v="1"/>
  </r>
  <r>
    <x v="12"/>
    <x v="1"/>
  </r>
  <r>
    <x v="17"/>
    <x v="1"/>
  </r>
  <r>
    <x v="27"/>
    <x v="1"/>
  </r>
  <r>
    <x v="5"/>
    <x v="1"/>
  </r>
  <r>
    <x v="26"/>
    <x v="1"/>
  </r>
  <r>
    <x v="2"/>
    <x v="556"/>
  </r>
  <r>
    <x v="12"/>
    <x v="1"/>
  </r>
  <r>
    <x v="5"/>
    <x v="1"/>
  </r>
  <r>
    <x v="1"/>
    <x v="1"/>
  </r>
  <r>
    <x v="12"/>
    <x v="231"/>
  </r>
  <r>
    <x v="37"/>
    <x v="1"/>
  </r>
  <r>
    <x v="4"/>
    <x v="1"/>
  </r>
  <r>
    <x v="23"/>
    <x v="1"/>
  </r>
  <r>
    <x v="32"/>
    <x v="1"/>
  </r>
  <r>
    <x v="5"/>
    <x v="1"/>
  </r>
  <r>
    <x v="7"/>
    <x v="1"/>
  </r>
  <r>
    <x v="29"/>
    <x v="1"/>
  </r>
  <r>
    <x v="28"/>
    <x v="1"/>
  </r>
  <r>
    <x v="17"/>
    <x v="1"/>
  </r>
  <r>
    <x v="4"/>
    <x v="1"/>
  </r>
  <r>
    <x v="28"/>
    <x v="1"/>
  </r>
  <r>
    <x v="4"/>
    <x v="232"/>
  </r>
  <r>
    <x v="15"/>
    <x v="1"/>
  </r>
  <r>
    <x v="33"/>
    <x v="1"/>
  </r>
  <r>
    <x v="28"/>
    <x v="1"/>
  </r>
  <r>
    <x v="22"/>
    <x v="813"/>
  </r>
  <r>
    <x v="40"/>
    <x v="1"/>
  </r>
  <r>
    <x v="5"/>
    <x v="1"/>
  </r>
  <r>
    <x v="11"/>
    <x v="1"/>
  </r>
  <r>
    <x v="1"/>
    <x v="1"/>
  </r>
  <r>
    <x v="12"/>
    <x v="1"/>
  </r>
  <r>
    <x v="17"/>
    <x v="1"/>
  </r>
  <r>
    <x v="9"/>
    <x v="1"/>
  </r>
  <r>
    <x v="34"/>
    <x v="1"/>
  </r>
  <r>
    <x v="23"/>
    <x v="1"/>
  </r>
  <r>
    <x v="5"/>
    <x v="1"/>
  </r>
  <r>
    <x v="34"/>
    <x v="1"/>
  </r>
  <r>
    <x v="15"/>
    <x v="1"/>
  </r>
  <r>
    <x v="4"/>
    <x v="1"/>
  </r>
  <r>
    <x v="37"/>
    <x v="1"/>
  </r>
  <r>
    <x v="34"/>
    <x v="1"/>
  </r>
  <r>
    <x v="25"/>
    <x v="814"/>
  </r>
  <r>
    <x v="43"/>
    <x v="1"/>
  </r>
  <r>
    <x v="1"/>
    <x v="1"/>
  </r>
  <r>
    <x v="3"/>
    <x v="1"/>
  </r>
  <r>
    <x v="14"/>
    <x v="815"/>
  </r>
  <r>
    <x v="4"/>
    <x v="1"/>
  </r>
  <r>
    <x v="20"/>
    <x v="1"/>
  </r>
  <r>
    <x v="0"/>
    <x v="1"/>
  </r>
  <r>
    <x v="14"/>
    <x v="1"/>
  </r>
  <r>
    <x v="10"/>
    <x v="241"/>
  </r>
  <r>
    <x v="40"/>
    <x v="1"/>
  </r>
  <r>
    <x v="31"/>
    <x v="1"/>
  </r>
  <r>
    <x v="26"/>
    <x v="1"/>
  </r>
  <r>
    <x v="46"/>
    <x v="1"/>
  </r>
  <r>
    <x v="7"/>
    <x v="1"/>
  </r>
  <r>
    <x v="14"/>
    <x v="1"/>
  </r>
  <r>
    <x v="4"/>
    <x v="1"/>
  </r>
  <r>
    <x v="10"/>
    <x v="1"/>
  </r>
  <r>
    <x v="10"/>
    <x v="561"/>
  </r>
  <r>
    <x v="39"/>
    <x v="816"/>
  </r>
  <r>
    <x v="13"/>
    <x v="817"/>
  </r>
  <r>
    <x v="6"/>
    <x v="818"/>
  </r>
  <r>
    <x v="13"/>
    <x v="1"/>
  </r>
  <r>
    <x v="40"/>
    <x v="1"/>
  </r>
  <r>
    <x v="46"/>
    <x v="819"/>
  </r>
  <r>
    <x v="6"/>
    <x v="1"/>
  </r>
  <r>
    <x v="8"/>
    <x v="242"/>
  </r>
  <r>
    <x v="43"/>
    <x v="1"/>
  </r>
  <r>
    <x v="36"/>
    <x v="1"/>
  </r>
  <r>
    <x v="10"/>
    <x v="1"/>
  </r>
  <r>
    <x v="29"/>
    <x v="1"/>
  </r>
  <r>
    <x v="5"/>
    <x v="1"/>
  </r>
  <r>
    <x v="47"/>
    <x v="1"/>
  </r>
  <r>
    <x v="5"/>
    <x v="820"/>
  </r>
  <r>
    <x v="10"/>
    <x v="1"/>
  </r>
  <r>
    <x v="6"/>
    <x v="1"/>
  </r>
  <r>
    <x v="40"/>
    <x v="1"/>
  </r>
  <r>
    <x v="2"/>
    <x v="1"/>
  </r>
  <r>
    <x v="46"/>
    <x v="1"/>
  </r>
  <r>
    <x v="13"/>
    <x v="821"/>
  </r>
  <r>
    <x v="2"/>
    <x v="562"/>
  </r>
  <r>
    <x v="42"/>
    <x v="822"/>
  </r>
  <r>
    <x v="5"/>
    <x v="823"/>
  </r>
  <r>
    <x v="5"/>
    <x v="1"/>
  </r>
  <r>
    <x v="43"/>
    <x v="1"/>
  </r>
  <r>
    <x v="35"/>
    <x v="1"/>
  </r>
  <r>
    <x v="12"/>
    <x v="1"/>
  </r>
  <r>
    <x v="47"/>
    <x v="824"/>
  </r>
  <r>
    <x v="26"/>
    <x v="1"/>
  </r>
  <r>
    <x v="22"/>
    <x v="1"/>
  </r>
  <r>
    <x v="8"/>
    <x v="1"/>
  </r>
  <r>
    <x v="10"/>
    <x v="1"/>
  </r>
  <r>
    <x v="26"/>
    <x v="1"/>
  </r>
  <r>
    <x v="7"/>
    <x v="1"/>
  </r>
  <r>
    <x v="24"/>
    <x v="825"/>
  </r>
  <r>
    <x v="8"/>
    <x v="1"/>
  </r>
  <r>
    <x v="43"/>
    <x v="1"/>
  </r>
  <r>
    <x v="47"/>
    <x v="1"/>
  </r>
  <r>
    <x v="5"/>
    <x v="826"/>
  </r>
  <r>
    <x v="28"/>
    <x v="1"/>
  </r>
  <r>
    <x v="0"/>
    <x v="1"/>
  </r>
  <r>
    <x v="4"/>
    <x v="1"/>
  </r>
  <r>
    <x v="29"/>
    <x v="1"/>
  </r>
  <r>
    <x v="25"/>
    <x v="1"/>
  </r>
  <r>
    <x v="8"/>
    <x v="1"/>
  </r>
  <r>
    <x v="29"/>
    <x v="1"/>
  </r>
  <r>
    <x v="27"/>
    <x v="1"/>
  </r>
  <r>
    <x v="12"/>
    <x v="1"/>
  </r>
  <r>
    <x v="9"/>
    <x v="1"/>
  </r>
  <r>
    <x v="34"/>
    <x v="1"/>
  </r>
  <r>
    <x v="56"/>
    <x v="1"/>
  </r>
  <r>
    <x v="33"/>
    <x v="1"/>
  </r>
  <r>
    <x v="22"/>
    <x v="1"/>
  </r>
  <r>
    <x v="26"/>
    <x v="1"/>
  </r>
  <r>
    <x v="29"/>
    <x v="1"/>
  </r>
  <r>
    <x v="11"/>
    <x v="1"/>
  </r>
  <r>
    <x v="3"/>
    <x v="1"/>
  </r>
  <r>
    <x v="46"/>
    <x v="827"/>
  </r>
  <r>
    <x v="47"/>
    <x v="828"/>
  </r>
  <r>
    <x v="10"/>
    <x v="1"/>
  </r>
  <r>
    <x v="2"/>
    <x v="1"/>
  </r>
  <r>
    <x v="5"/>
    <x v="1"/>
  </r>
  <r>
    <x v="7"/>
    <x v="1"/>
  </r>
  <r>
    <x v="16"/>
    <x v="1"/>
  </r>
  <r>
    <x v="19"/>
    <x v="1"/>
  </r>
  <r>
    <x v="28"/>
    <x v="829"/>
  </r>
  <r>
    <x v="34"/>
    <x v="830"/>
  </r>
  <r>
    <x v="5"/>
    <x v="1"/>
  </r>
  <r>
    <x v="1"/>
    <x v="1"/>
  </r>
  <r>
    <x v="5"/>
    <x v="1"/>
  </r>
  <r>
    <x v="1"/>
    <x v="1"/>
  </r>
  <r>
    <x v="11"/>
    <x v="1"/>
  </r>
  <r>
    <x v="3"/>
    <x v="1"/>
  </r>
  <r>
    <x v="14"/>
    <x v="1"/>
  </r>
  <r>
    <x v="6"/>
    <x v="1"/>
  </r>
  <r>
    <x v="17"/>
    <x v="1"/>
  </r>
  <r>
    <x v="23"/>
    <x v="1"/>
  </r>
  <r>
    <x v="28"/>
    <x v="831"/>
  </r>
  <r>
    <x v="34"/>
    <x v="832"/>
  </r>
  <r>
    <x v="9"/>
    <x v="1"/>
  </r>
  <r>
    <x v="0"/>
    <x v="1"/>
  </r>
  <r>
    <x v="54"/>
    <x v="1"/>
  </r>
  <r>
    <x v="11"/>
    <x v="1"/>
  </r>
  <r>
    <x v="5"/>
    <x v="1"/>
  </r>
  <r>
    <x v="1"/>
    <x v="1"/>
  </r>
  <r>
    <x v="12"/>
    <x v="1"/>
  </r>
  <r>
    <x v="4"/>
    <x v="1"/>
  </r>
  <r>
    <x v="28"/>
    <x v="1"/>
  </r>
  <r>
    <x v="34"/>
    <x v="1"/>
  </r>
  <r>
    <x v="40"/>
    <x v="1"/>
  </r>
  <r>
    <x v="43"/>
    <x v="1"/>
  </r>
  <r>
    <x v="10"/>
    <x v="1"/>
  </r>
  <r>
    <x v="2"/>
    <x v="1"/>
  </r>
  <r>
    <x v="35"/>
    <x v="1"/>
  </r>
  <r>
    <x v="0"/>
    <x v="1"/>
  </r>
  <r>
    <x v="26"/>
    <x v="1"/>
  </r>
  <r>
    <x v="29"/>
    <x v="1"/>
  </r>
  <r>
    <x v="12"/>
    <x v="207"/>
  </r>
  <r>
    <x v="4"/>
    <x v="244"/>
  </r>
  <r>
    <x v="5"/>
    <x v="1"/>
  </r>
  <r>
    <x v="24"/>
    <x v="1"/>
  </r>
  <r>
    <x v="26"/>
    <x v="1"/>
  </r>
  <r>
    <x v="29"/>
    <x v="1"/>
  </r>
  <r>
    <x v="31"/>
    <x v="1"/>
  </r>
  <r>
    <x v="36"/>
    <x v="1"/>
  </r>
  <r>
    <x v="13"/>
    <x v="1"/>
  </r>
  <r>
    <x v="5"/>
    <x v="1"/>
  </r>
  <r>
    <x v="5"/>
    <x v="1"/>
  </r>
  <r>
    <x v="7"/>
    <x v="1"/>
  </r>
  <r>
    <x v="10"/>
    <x v="1"/>
  </r>
  <r>
    <x v="8"/>
    <x v="1"/>
  </r>
  <r>
    <x v="50"/>
    <x v="1"/>
  </r>
  <r>
    <x v="51"/>
    <x v="1"/>
  </r>
  <r>
    <x v="10"/>
    <x v="537"/>
  </r>
  <r>
    <x v="2"/>
    <x v="538"/>
  </r>
  <r>
    <x v="5"/>
    <x v="1"/>
  </r>
  <r>
    <x v="1"/>
    <x v="1"/>
  </r>
  <r>
    <x v="11"/>
    <x v="1"/>
  </r>
  <r>
    <x v="3"/>
    <x v="1"/>
  </r>
  <r>
    <x v="28"/>
    <x v="1"/>
  </r>
  <r>
    <x v="34"/>
    <x v="1"/>
  </r>
  <r>
    <x v="26"/>
    <x v="1"/>
  </r>
  <r>
    <x v="29"/>
    <x v="1"/>
  </r>
  <r>
    <x v="14"/>
    <x v="1"/>
  </r>
  <r>
    <x v="6"/>
    <x v="1"/>
  </r>
  <r>
    <x v="11"/>
    <x v="1"/>
  </r>
  <r>
    <x v="3"/>
    <x v="1"/>
  </r>
  <r>
    <x v="10"/>
    <x v="1"/>
  </r>
  <r>
    <x v="8"/>
    <x v="1"/>
  </r>
  <r>
    <x v="28"/>
    <x v="1"/>
  </r>
  <r>
    <x v="34"/>
    <x v="1"/>
  </r>
  <r>
    <x v="15"/>
    <x v="251"/>
  </r>
  <r>
    <x v="4"/>
    <x v="256"/>
  </r>
  <r>
    <x v="10"/>
    <x v="1"/>
  </r>
  <r>
    <x v="8"/>
    <x v="1"/>
  </r>
  <r>
    <x v="11"/>
    <x v="1"/>
  </r>
  <r>
    <x v="3"/>
    <x v="1"/>
  </r>
  <r>
    <x v="40"/>
    <x v="833"/>
  </r>
  <r>
    <x v="43"/>
    <x v="834"/>
  </r>
  <r>
    <x v="5"/>
    <x v="1"/>
  </r>
  <r>
    <x v="7"/>
    <x v="1"/>
  </r>
  <r>
    <x v="10"/>
    <x v="1"/>
  </r>
  <r>
    <x v="2"/>
    <x v="1"/>
  </r>
  <r>
    <x v="17"/>
    <x v="1"/>
  </r>
  <r>
    <x v="20"/>
    <x v="1"/>
  </r>
  <r>
    <x v="46"/>
    <x v="1"/>
  </r>
  <r>
    <x v="47"/>
    <x v="1"/>
  </r>
  <r>
    <x v="5"/>
    <x v="1"/>
  </r>
  <r>
    <x v="7"/>
    <x v="1"/>
  </r>
  <r>
    <x v="17"/>
    <x v="541"/>
  </r>
  <r>
    <x v="23"/>
    <x v="545"/>
  </r>
  <r>
    <x v="15"/>
    <x v="1"/>
  </r>
  <r>
    <x v="4"/>
    <x v="1"/>
  </r>
  <r>
    <x v="13"/>
    <x v="1"/>
  </r>
  <r>
    <x v="5"/>
    <x v="1"/>
  </r>
  <r>
    <x v="10"/>
    <x v="1"/>
  </r>
  <r>
    <x v="8"/>
    <x v="1"/>
  </r>
  <r>
    <x v="18"/>
    <x v="835"/>
  </r>
  <r>
    <x v="21"/>
    <x v="836"/>
  </r>
  <r>
    <x v="15"/>
    <x v="1"/>
  </r>
  <r>
    <x v="4"/>
    <x v="1"/>
  </r>
  <r>
    <x v="12"/>
    <x v="1"/>
  </r>
  <r>
    <x v="4"/>
    <x v="1"/>
  </r>
  <r>
    <x v="9"/>
    <x v="1"/>
  </r>
  <r>
    <x v="0"/>
    <x v="1"/>
  </r>
  <r>
    <x v="5"/>
    <x v="1"/>
  </r>
  <r>
    <x v="1"/>
    <x v="1"/>
  </r>
  <r>
    <x v="27"/>
    <x v="1"/>
  </r>
  <r>
    <x v="32"/>
    <x v="1"/>
  </r>
  <r>
    <x v="5"/>
    <x v="1"/>
  </r>
  <r>
    <x v="1"/>
    <x v="1"/>
  </r>
  <r>
    <x v="11"/>
    <x v="1"/>
  </r>
  <r>
    <x v="3"/>
    <x v="1"/>
  </r>
  <r>
    <x v="46"/>
    <x v="1"/>
  </r>
  <r>
    <x v="47"/>
    <x v="1"/>
  </r>
  <r>
    <x v="12"/>
    <x v="260"/>
  </r>
  <r>
    <x v="4"/>
    <x v="263"/>
  </r>
  <r>
    <x v="28"/>
    <x v="1"/>
  </r>
  <r>
    <x v="34"/>
    <x v="1"/>
  </r>
  <r>
    <x v="5"/>
    <x v="1"/>
  </r>
  <r>
    <x v="7"/>
    <x v="1"/>
  </r>
  <r>
    <x v="16"/>
    <x v="1"/>
  </r>
  <r>
    <x v="19"/>
    <x v="1"/>
  </r>
  <r>
    <x v="5"/>
    <x v="1"/>
  </r>
  <r>
    <x v="1"/>
    <x v="1"/>
  </r>
  <r>
    <x v="14"/>
    <x v="1"/>
  </r>
  <r>
    <x v="6"/>
    <x v="1"/>
  </r>
  <r>
    <x v="31"/>
    <x v="1"/>
  </r>
  <r>
    <x v="36"/>
    <x v="1"/>
  </r>
  <r>
    <x v="35"/>
    <x v="1"/>
  </r>
  <r>
    <x v="0"/>
    <x v="1"/>
  </r>
  <r>
    <x v="10"/>
    <x v="1"/>
  </r>
  <r>
    <x v="8"/>
    <x v="1"/>
  </r>
  <r>
    <x v="11"/>
    <x v="1"/>
  </r>
  <r>
    <x v="3"/>
    <x v="1"/>
  </r>
  <r>
    <x v="40"/>
    <x v="837"/>
  </r>
  <r>
    <x v="43"/>
    <x v="838"/>
  </r>
  <r>
    <x v="28"/>
    <x v="1"/>
  </r>
  <r>
    <x v="34"/>
    <x v="1"/>
  </r>
  <r>
    <x v="13"/>
    <x v="1"/>
  </r>
  <r>
    <x v="5"/>
    <x v="1"/>
  </r>
  <r>
    <x v="31"/>
    <x v="1"/>
  </r>
  <r>
    <x v="36"/>
    <x v="1"/>
  </r>
  <r>
    <x v="33"/>
    <x v="1"/>
  </r>
  <r>
    <x v="37"/>
    <x v="1"/>
  </r>
  <r>
    <x v="28"/>
    <x v="1"/>
  </r>
  <r>
    <x v="34"/>
    <x v="1"/>
  </r>
  <r>
    <x v="15"/>
    <x v="1"/>
  </r>
  <r>
    <x v="4"/>
    <x v="1"/>
  </r>
  <r>
    <x v="5"/>
    <x v="1"/>
  </r>
  <r>
    <x v="24"/>
    <x v="1"/>
  </r>
  <r>
    <x v="39"/>
    <x v="1"/>
  </r>
  <r>
    <x v="42"/>
    <x v="1"/>
  </r>
  <r>
    <x v="11"/>
    <x v="1"/>
  </r>
  <r>
    <x v="3"/>
    <x v="1"/>
  </r>
  <r>
    <x v="9"/>
    <x v="604"/>
  </r>
  <r>
    <x v="0"/>
    <x v="606"/>
  </r>
  <r>
    <x v="5"/>
    <x v="1"/>
  </r>
  <r>
    <x v="7"/>
    <x v="1"/>
  </r>
  <r>
    <x v="15"/>
    <x v="1"/>
  </r>
  <r>
    <x v="4"/>
    <x v="1"/>
  </r>
  <r>
    <x v="17"/>
    <x v="1"/>
  </r>
  <r>
    <x v="23"/>
    <x v="1"/>
  </r>
  <r>
    <x v="31"/>
    <x v="1"/>
  </r>
  <r>
    <x v="36"/>
    <x v="1"/>
  </r>
  <r>
    <x v="50"/>
    <x v="1"/>
  </r>
  <r>
    <x v="51"/>
    <x v="1"/>
  </r>
  <r>
    <x v="10"/>
    <x v="1"/>
  </r>
  <r>
    <x v="2"/>
    <x v="1"/>
  </r>
  <r>
    <x v="9"/>
    <x v="1"/>
  </r>
  <r>
    <x v="0"/>
    <x v="1"/>
  </r>
  <r>
    <x v="15"/>
    <x v="1"/>
  </r>
  <r>
    <x v="4"/>
    <x v="1"/>
  </r>
  <r>
    <x v="41"/>
    <x v="839"/>
  </r>
  <r>
    <x v="27"/>
    <x v="840"/>
  </r>
  <r>
    <x v="46"/>
    <x v="1"/>
  </r>
  <r>
    <x v="47"/>
    <x v="1"/>
  </r>
  <r>
    <x v="10"/>
    <x v="1"/>
  </r>
  <r>
    <x v="2"/>
    <x v="1"/>
  </r>
  <r>
    <x v="5"/>
    <x v="1"/>
  </r>
  <r>
    <x v="1"/>
    <x v="1"/>
  </r>
  <r>
    <x v="28"/>
    <x v="1"/>
  </r>
  <r>
    <x v="34"/>
    <x v="1"/>
  </r>
  <r>
    <x v="26"/>
    <x v="1"/>
  </r>
  <r>
    <x v="29"/>
    <x v="1"/>
  </r>
  <r>
    <x v="16"/>
    <x v="841"/>
  </r>
  <r>
    <x v="19"/>
    <x v="842"/>
  </r>
  <r>
    <x v="5"/>
    <x v="1"/>
  </r>
  <r>
    <x v="7"/>
    <x v="1"/>
  </r>
  <r>
    <x v="17"/>
    <x v="1"/>
  </r>
  <r>
    <x v="20"/>
    <x v="1"/>
  </r>
  <r>
    <x v="5"/>
    <x v="1"/>
  </r>
  <r>
    <x v="7"/>
    <x v="1"/>
  </r>
  <r>
    <x v="40"/>
    <x v="1"/>
  </r>
  <r>
    <x v="53"/>
    <x v="1"/>
  </r>
  <r>
    <x v="10"/>
    <x v="1"/>
  </r>
  <r>
    <x v="2"/>
    <x v="1"/>
  </r>
  <r>
    <x v="17"/>
    <x v="1"/>
  </r>
  <r>
    <x v="20"/>
    <x v="1"/>
  </r>
  <r>
    <x v="12"/>
    <x v="1"/>
  </r>
  <r>
    <x v="4"/>
    <x v="1"/>
  </r>
  <r>
    <x v="10"/>
    <x v="1"/>
  </r>
  <r>
    <x v="8"/>
    <x v="1"/>
  </r>
  <r>
    <x v="12"/>
    <x v="1"/>
  </r>
  <r>
    <x v="4"/>
    <x v="1"/>
  </r>
  <r>
    <x v="28"/>
    <x v="1"/>
  </r>
  <r>
    <x v="34"/>
    <x v="1"/>
  </r>
  <r>
    <x v="40"/>
    <x v="1"/>
  </r>
  <r>
    <x v="43"/>
    <x v="1"/>
  </r>
  <r>
    <x v="48"/>
    <x v="843"/>
  </r>
  <r>
    <x v="49"/>
    <x v="844"/>
  </r>
  <r>
    <x v="5"/>
    <x v="1"/>
  </r>
  <r>
    <x v="7"/>
    <x v="1"/>
  </r>
  <r>
    <x v="13"/>
    <x v="1"/>
  </r>
  <r>
    <x v="5"/>
    <x v="1"/>
  </r>
  <r>
    <x v="18"/>
    <x v="1"/>
  </r>
  <r>
    <x v="21"/>
    <x v="1"/>
  </r>
  <r>
    <x v="31"/>
    <x v="1"/>
  </r>
  <r>
    <x v="36"/>
    <x v="1"/>
  </r>
  <r>
    <x v="31"/>
    <x v="1"/>
  </r>
  <r>
    <x v="36"/>
    <x v="1"/>
  </r>
  <r>
    <x v="40"/>
    <x v="845"/>
  </r>
  <r>
    <x v="43"/>
    <x v="846"/>
  </r>
  <r>
    <x v="26"/>
    <x v="1"/>
  </r>
  <r>
    <x v="29"/>
    <x v="1"/>
  </r>
  <r>
    <x v="46"/>
    <x v="1"/>
  </r>
  <r>
    <x v="47"/>
    <x v="1"/>
  </r>
  <r>
    <x v="17"/>
    <x v="1"/>
  </r>
  <r>
    <x v="23"/>
    <x v="1"/>
  </r>
  <r>
    <x v="10"/>
    <x v="1"/>
  </r>
  <r>
    <x v="2"/>
    <x v="1"/>
  </r>
  <r>
    <x v="11"/>
    <x v="1"/>
  </r>
  <r>
    <x v="3"/>
    <x v="1"/>
  </r>
  <r>
    <x v="11"/>
    <x v="847"/>
  </r>
  <r>
    <x v="3"/>
    <x v="848"/>
  </r>
  <r>
    <x v="14"/>
    <x v="1"/>
  </r>
  <r>
    <x v="6"/>
    <x v="1"/>
  </r>
  <r>
    <x v="5"/>
    <x v="1"/>
  </r>
  <r>
    <x v="7"/>
    <x v="1"/>
  </r>
  <r>
    <x v="10"/>
    <x v="1"/>
  </r>
  <r>
    <x v="8"/>
    <x v="1"/>
  </r>
  <r>
    <x v="30"/>
    <x v="1"/>
  </r>
  <r>
    <x v="21"/>
    <x v="1"/>
  </r>
  <r>
    <x v="5"/>
    <x v="1"/>
  </r>
  <r>
    <x v="1"/>
    <x v="1"/>
  </r>
  <r>
    <x v="5"/>
    <x v="1"/>
  </r>
  <r>
    <x v="1"/>
    <x v="1"/>
  </r>
  <r>
    <x v="35"/>
    <x v="1"/>
  </r>
  <r>
    <x v="0"/>
    <x v="1"/>
  </r>
  <r>
    <x v="27"/>
    <x v="849"/>
  </r>
  <r>
    <x v="32"/>
    <x v="850"/>
  </r>
  <r>
    <x v="28"/>
    <x v="1"/>
  </r>
  <r>
    <x v="34"/>
    <x v="1"/>
  </r>
  <r>
    <x v="11"/>
    <x v="1"/>
  </r>
  <r>
    <x v="3"/>
    <x v="1"/>
  </r>
  <r>
    <x v="46"/>
    <x v="1"/>
  </r>
  <r>
    <x v="47"/>
    <x v="1"/>
  </r>
  <r>
    <x v="5"/>
    <x v="1"/>
  </r>
  <r>
    <x v="7"/>
    <x v="1"/>
  </r>
  <r>
    <x v="22"/>
    <x v="851"/>
  </r>
  <r>
    <x v="25"/>
    <x v="852"/>
  </r>
  <r>
    <x v="27"/>
    <x v="1"/>
  </r>
  <r>
    <x v="32"/>
    <x v="1"/>
  </r>
  <r>
    <x v="46"/>
    <x v="1"/>
  </r>
  <r>
    <x v="47"/>
    <x v="1"/>
  </r>
  <r>
    <x v="15"/>
    <x v="301"/>
  </r>
  <r>
    <x v="4"/>
    <x v="307"/>
  </r>
  <r>
    <x v="50"/>
    <x v="1"/>
  </r>
  <r>
    <x v="51"/>
    <x v="1"/>
  </r>
  <r>
    <x v="12"/>
    <x v="1"/>
  </r>
  <r>
    <x v="4"/>
    <x v="1"/>
  </r>
  <r>
    <x v="5"/>
    <x v="1"/>
  </r>
  <r>
    <x v="1"/>
    <x v="1"/>
  </r>
  <r>
    <x v="35"/>
    <x v="1"/>
  </r>
  <r>
    <x v="0"/>
    <x v="1"/>
  </r>
  <r>
    <x v="11"/>
    <x v="1"/>
  </r>
  <r>
    <x v="3"/>
    <x v="1"/>
  </r>
  <r>
    <x v="13"/>
    <x v="1"/>
  </r>
  <r>
    <x v="5"/>
    <x v="1"/>
  </r>
  <r>
    <x v="46"/>
    <x v="1"/>
  </r>
  <r>
    <x v="47"/>
    <x v="1"/>
  </r>
  <r>
    <x v="22"/>
    <x v="853"/>
  </r>
  <r>
    <x v="25"/>
    <x v="854"/>
  </r>
  <r>
    <x v="5"/>
    <x v="1"/>
  </r>
  <r>
    <x v="7"/>
    <x v="1"/>
  </r>
  <r>
    <x v="12"/>
    <x v="621"/>
  </r>
  <r>
    <x v="4"/>
    <x v="624"/>
  </r>
  <r>
    <x v="5"/>
    <x v="1"/>
  </r>
  <r>
    <x v="7"/>
    <x v="1"/>
  </r>
  <r>
    <x v="10"/>
    <x v="1"/>
  </r>
  <r>
    <x v="2"/>
    <x v="1"/>
  </r>
  <r>
    <x v="40"/>
    <x v="1"/>
  </r>
  <r>
    <x v="43"/>
    <x v="1"/>
  </r>
  <r>
    <x v="12"/>
    <x v="1"/>
  </r>
  <r>
    <x v="4"/>
    <x v="1"/>
  </r>
  <r>
    <x v="28"/>
    <x v="1"/>
  </r>
  <r>
    <x v="34"/>
    <x v="1"/>
  </r>
  <r>
    <x v="15"/>
    <x v="1"/>
  </r>
  <r>
    <x v="4"/>
    <x v="1"/>
  </r>
  <r>
    <x v="26"/>
    <x v="1"/>
  </r>
  <r>
    <x v="29"/>
    <x v="1"/>
  </r>
  <r>
    <x v="15"/>
    <x v="1"/>
  </r>
  <r>
    <x v="4"/>
    <x v="1"/>
  </r>
  <r>
    <x v="5"/>
    <x v="1"/>
  </r>
  <r>
    <x v="1"/>
    <x v="1"/>
  </r>
  <r>
    <x v="14"/>
    <x v="1"/>
  </r>
  <r>
    <x v="6"/>
    <x v="1"/>
  </r>
  <r>
    <x v="26"/>
    <x v="1"/>
  </r>
  <r>
    <x v="29"/>
    <x v="1"/>
  </r>
  <r>
    <x v="46"/>
    <x v="1"/>
  </r>
  <r>
    <x v="47"/>
    <x v="1"/>
  </r>
  <r>
    <x v="10"/>
    <x v="1"/>
  </r>
  <r>
    <x v="2"/>
    <x v="1"/>
  </r>
  <r>
    <x v="5"/>
    <x v="1"/>
  </r>
  <r>
    <x v="7"/>
    <x v="1"/>
  </r>
  <r>
    <x v="9"/>
    <x v="1"/>
  </r>
  <r>
    <x v="0"/>
    <x v="1"/>
  </r>
  <r>
    <x v="15"/>
    <x v="1"/>
  </r>
  <r>
    <x v="4"/>
    <x v="1"/>
  </r>
  <r>
    <x v="18"/>
    <x v="855"/>
  </r>
  <r>
    <x v="21"/>
    <x v="856"/>
  </r>
  <r>
    <x v="41"/>
    <x v="1"/>
  </r>
  <r>
    <x v="27"/>
    <x v="1"/>
  </r>
  <r>
    <x v="33"/>
    <x v="1"/>
  </r>
  <r>
    <x v="37"/>
    <x v="1"/>
  </r>
  <r>
    <x v="40"/>
    <x v="1"/>
  </r>
  <r>
    <x v="43"/>
    <x v="1"/>
  </r>
  <r>
    <x v="5"/>
    <x v="1"/>
  </r>
  <r>
    <x v="1"/>
    <x v="1"/>
  </r>
  <r>
    <x v="17"/>
    <x v="312"/>
  </r>
  <r>
    <x v="23"/>
    <x v="314"/>
  </r>
  <r>
    <x v="14"/>
    <x v="1"/>
  </r>
  <r>
    <x v="6"/>
    <x v="1"/>
  </r>
  <r>
    <x v="10"/>
    <x v="1"/>
  </r>
  <r>
    <x v="2"/>
    <x v="1"/>
  </r>
  <r>
    <x v="10"/>
    <x v="629"/>
  </r>
  <r>
    <x v="8"/>
    <x v="632"/>
  </r>
  <r>
    <x v="5"/>
    <x v="1"/>
  </r>
  <r>
    <x v="7"/>
    <x v="1"/>
  </r>
  <r>
    <x v="12"/>
    <x v="1"/>
  </r>
  <r>
    <x v="4"/>
    <x v="1"/>
  </r>
  <r>
    <x v="54"/>
    <x v="857"/>
  </r>
  <r>
    <x v="11"/>
    <x v="858"/>
  </r>
  <r>
    <x v="28"/>
    <x v="1"/>
  </r>
  <r>
    <x v="34"/>
    <x v="1"/>
  </r>
  <r>
    <x v="26"/>
    <x v="1"/>
  </r>
  <r>
    <x v="29"/>
    <x v="1"/>
  </r>
  <r>
    <x v="33"/>
    <x v="1"/>
  </r>
  <r>
    <x v="37"/>
    <x v="1"/>
  </r>
  <r>
    <x v="22"/>
    <x v="1"/>
  </r>
  <r>
    <x v="25"/>
    <x v="1"/>
  </r>
  <r>
    <x v="13"/>
    <x v="1"/>
  </r>
  <r>
    <x v="5"/>
    <x v="1"/>
  </r>
  <r>
    <x v="17"/>
    <x v="1"/>
  </r>
  <r>
    <x v="20"/>
    <x v="1"/>
  </r>
  <r>
    <x v="5"/>
    <x v="1"/>
  </r>
  <r>
    <x v="24"/>
    <x v="1"/>
  </r>
  <r>
    <x v="40"/>
    <x v="1"/>
  </r>
  <r>
    <x v="43"/>
    <x v="1"/>
  </r>
  <r>
    <x v="46"/>
    <x v="1"/>
  </r>
  <r>
    <x v="47"/>
    <x v="1"/>
  </r>
  <r>
    <x v="17"/>
    <x v="1"/>
  </r>
  <r>
    <x v="20"/>
    <x v="1"/>
  </r>
  <r>
    <x v="5"/>
    <x v="1"/>
  </r>
  <r>
    <x v="1"/>
    <x v="1"/>
  </r>
  <r>
    <x v="15"/>
    <x v="1"/>
  </r>
  <r>
    <x v="4"/>
    <x v="1"/>
  </r>
  <r>
    <x v="17"/>
    <x v="1"/>
  </r>
  <r>
    <x v="23"/>
    <x v="1"/>
  </r>
  <r>
    <x v="5"/>
    <x v="1"/>
  </r>
  <r>
    <x v="1"/>
    <x v="1"/>
  </r>
  <r>
    <x v="17"/>
    <x v="1"/>
  </r>
  <r>
    <x v="20"/>
    <x v="1"/>
  </r>
  <r>
    <x v="5"/>
    <x v="1"/>
  </r>
  <r>
    <x v="7"/>
    <x v="1"/>
  </r>
  <r>
    <x v="9"/>
    <x v="1"/>
  </r>
  <r>
    <x v="0"/>
    <x v="1"/>
  </r>
  <r>
    <x v="26"/>
    <x v="1"/>
  </r>
  <r>
    <x v="29"/>
    <x v="1"/>
  </r>
  <r>
    <x v="15"/>
    <x v="1"/>
  </r>
  <r>
    <x v="4"/>
    <x v="1"/>
  </r>
  <r>
    <x v="46"/>
    <x v="1"/>
  </r>
  <r>
    <x v="47"/>
    <x v="1"/>
  </r>
  <r>
    <x v="15"/>
    <x v="1"/>
  </r>
  <r>
    <x v="4"/>
    <x v="1"/>
  </r>
  <r>
    <x v="46"/>
    <x v="1"/>
  </r>
  <r>
    <x v="47"/>
    <x v="1"/>
  </r>
  <r>
    <x v="18"/>
    <x v="1"/>
  </r>
  <r>
    <x v="21"/>
    <x v="1"/>
  </r>
  <r>
    <x v="39"/>
    <x v="1"/>
  </r>
  <r>
    <x v="42"/>
    <x v="1"/>
  </r>
  <r>
    <x v="10"/>
    <x v="1"/>
  </r>
  <r>
    <x v="8"/>
    <x v="1"/>
  </r>
  <r>
    <x v="17"/>
    <x v="1"/>
  </r>
  <r>
    <x v="23"/>
    <x v="1"/>
  </r>
  <r>
    <x v="14"/>
    <x v="1"/>
  </r>
  <r>
    <x v="6"/>
    <x v="1"/>
  </r>
  <r>
    <x v="10"/>
    <x v="1"/>
  </r>
  <r>
    <x v="8"/>
    <x v="1"/>
  </r>
  <r>
    <x v="41"/>
    <x v="859"/>
  </r>
  <r>
    <x v="27"/>
    <x v="860"/>
  </r>
  <r>
    <x v="35"/>
    <x v="1"/>
  </r>
  <r>
    <x v="0"/>
    <x v="1"/>
  </r>
  <r>
    <x v="15"/>
    <x v="1"/>
  </r>
  <r>
    <x v="4"/>
    <x v="1"/>
  </r>
  <r>
    <x v="12"/>
    <x v="1"/>
  </r>
  <r>
    <x v="4"/>
    <x v="1"/>
  </r>
  <r>
    <x v="13"/>
    <x v="861"/>
  </r>
  <r>
    <x v="5"/>
    <x v="862"/>
  </r>
  <r>
    <x v="10"/>
    <x v="1"/>
  </r>
  <r>
    <x v="2"/>
    <x v="1"/>
  </r>
  <r>
    <x v="35"/>
    <x v="1"/>
  </r>
  <r>
    <x v="0"/>
    <x v="1"/>
  </r>
  <r>
    <x v="17"/>
    <x v="1"/>
  </r>
  <r>
    <x v="23"/>
    <x v="1"/>
  </r>
  <r>
    <x v="12"/>
    <x v="1"/>
  </r>
  <r>
    <x v="4"/>
    <x v="1"/>
  </r>
  <r>
    <x v="11"/>
    <x v="1"/>
  </r>
  <r>
    <x v="3"/>
    <x v="1"/>
  </r>
  <r>
    <x v="15"/>
    <x v="1"/>
  </r>
  <r>
    <x v="4"/>
    <x v="1"/>
  </r>
  <r>
    <x v="5"/>
    <x v="1"/>
  </r>
  <r>
    <x v="1"/>
    <x v="1"/>
  </r>
  <r>
    <x v="26"/>
    <x v="1"/>
  </r>
  <r>
    <x v="10"/>
    <x v="1"/>
  </r>
  <r>
    <x v="11"/>
    <x v="1"/>
  </r>
  <r>
    <x v="32"/>
    <x v="1"/>
  </r>
  <r>
    <x v="4"/>
    <x v="1"/>
  </r>
  <r>
    <x v="0"/>
    <x v="1"/>
  </r>
  <r>
    <x v="12"/>
    <x v="1"/>
  </r>
  <r>
    <x v="57"/>
    <x v="1"/>
  </r>
  <r>
    <x v="5"/>
    <x v="1"/>
  </r>
  <r>
    <x v="37"/>
    <x v="1"/>
  </r>
  <r>
    <x v="25"/>
    <x v="1"/>
  </r>
  <r>
    <x v="29"/>
    <x v="1"/>
  </r>
  <r>
    <x v="28"/>
    <x v="1"/>
  </r>
  <r>
    <x v="2"/>
    <x v="1"/>
  </r>
  <r>
    <x v="14"/>
    <x v="1"/>
  </r>
  <r>
    <x v="50"/>
    <x v="863"/>
  </r>
  <r>
    <x v="3"/>
    <x v="1"/>
  </r>
  <r>
    <x v="15"/>
    <x v="283"/>
  </r>
  <r>
    <x v="4"/>
    <x v="1"/>
  </r>
  <r>
    <x v="28"/>
    <x v="1"/>
  </r>
  <r>
    <x v="10"/>
    <x v="1"/>
  </r>
  <r>
    <x v="26"/>
    <x v="1"/>
  </r>
  <r>
    <x v="22"/>
    <x v="1"/>
  </r>
  <r>
    <x v="5"/>
    <x v="1"/>
  </r>
  <r>
    <x v="1"/>
    <x v="1"/>
  </r>
  <r>
    <x v="13"/>
    <x v="1"/>
  </r>
  <r>
    <x v="34"/>
    <x v="1"/>
  </r>
  <r>
    <x v="6"/>
    <x v="1"/>
  </r>
  <r>
    <x v="9"/>
    <x v="1"/>
  </r>
  <r>
    <x v="51"/>
    <x v="864"/>
  </r>
  <r>
    <x v="5"/>
    <x v="1"/>
  </r>
  <r>
    <x v="10"/>
    <x v="1"/>
  </r>
  <r>
    <x v="4"/>
    <x v="284"/>
  </r>
  <r>
    <x v="5"/>
    <x v="1"/>
  </r>
  <r>
    <x v="34"/>
    <x v="1"/>
  </r>
  <r>
    <x v="8"/>
    <x v="1"/>
  </r>
  <r>
    <x v="5"/>
    <x v="865"/>
  </r>
  <r>
    <x v="29"/>
    <x v="1"/>
  </r>
  <r>
    <x v="25"/>
    <x v="1"/>
  </r>
  <r>
    <x v="1"/>
    <x v="1"/>
  </r>
  <r>
    <x v="31"/>
    <x v="1"/>
  </r>
  <r>
    <x v="15"/>
    <x v="1"/>
  </r>
  <r>
    <x v="10"/>
    <x v="1"/>
  </r>
  <r>
    <x v="5"/>
    <x v="1"/>
  </r>
  <r>
    <x v="10"/>
    <x v="1"/>
  </r>
  <r>
    <x v="17"/>
    <x v="1"/>
  </r>
  <r>
    <x v="0"/>
    <x v="1"/>
  </r>
  <r>
    <x v="1"/>
    <x v="1"/>
  </r>
  <r>
    <x v="11"/>
    <x v="1"/>
  </r>
  <r>
    <x v="8"/>
    <x v="1"/>
  </r>
  <r>
    <x v="15"/>
    <x v="1"/>
  </r>
  <r>
    <x v="1"/>
    <x v="1"/>
  </r>
  <r>
    <x v="1"/>
    <x v="866"/>
  </r>
  <r>
    <x v="12"/>
    <x v="1"/>
  </r>
  <r>
    <x v="36"/>
    <x v="1"/>
  </r>
  <r>
    <x v="4"/>
    <x v="1"/>
  </r>
  <r>
    <x v="8"/>
    <x v="1"/>
  </r>
  <r>
    <x v="10"/>
    <x v="1"/>
  </r>
  <r>
    <x v="10"/>
    <x v="1"/>
  </r>
  <r>
    <x v="2"/>
    <x v="1"/>
  </r>
  <r>
    <x v="20"/>
    <x v="1"/>
  </r>
  <r>
    <x v="3"/>
    <x v="1"/>
  </r>
  <r>
    <x v="5"/>
    <x v="1"/>
  </r>
  <r>
    <x v="4"/>
    <x v="1"/>
  </r>
  <r>
    <x v="5"/>
    <x v="1"/>
  </r>
  <r>
    <x v="5"/>
    <x v="1"/>
  </r>
  <r>
    <x v="28"/>
    <x v="1"/>
  </r>
  <r>
    <x v="17"/>
    <x v="1"/>
  </r>
  <r>
    <x v="40"/>
    <x v="1"/>
  </r>
  <r>
    <x v="22"/>
    <x v="1"/>
  </r>
  <r>
    <x v="46"/>
    <x v="1"/>
  </r>
  <r>
    <x v="10"/>
    <x v="289"/>
  </r>
  <r>
    <x v="4"/>
    <x v="1"/>
  </r>
  <r>
    <x v="26"/>
    <x v="1"/>
  </r>
  <r>
    <x v="8"/>
    <x v="1"/>
  </r>
  <r>
    <x v="8"/>
    <x v="1"/>
  </r>
  <r>
    <x v="10"/>
    <x v="1"/>
  </r>
  <r>
    <x v="22"/>
    <x v="867"/>
  </r>
  <r>
    <x v="11"/>
    <x v="1"/>
  </r>
  <r>
    <x v="10"/>
    <x v="1"/>
  </r>
  <r>
    <x v="12"/>
    <x v="1"/>
  </r>
  <r>
    <x v="24"/>
    <x v="1"/>
  </r>
  <r>
    <x v="1"/>
    <x v="1"/>
  </r>
  <r>
    <x v="24"/>
    <x v="1"/>
  </r>
  <r>
    <x v="34"/>
    <x v="1"/>
  </r>
  <r>
    <x v="5"/>
    <x v="1"/>
  </r>
  <r>
    <x v="23"/>
    <x v="1"/>
  </r>
  <r>
    <x v="43"/>
    <x v="1"/>
  </r>
  <r>
    <x v="25"/>
    <x v="1"/>
  </r>
  <r>
    <x v="47"/>
    <x v="1"/>
  </r>
  <r>
    <x v="2"/>
    <x v="290"/>
  </r>
  <r>
    <x v="40"/>
    <x v="745"/>
  </r>
  <r>
    <x v="29"/>
    <x v="1"/>
  </r>
  <r>
    <x v="13"/>
    <x v="1"/>
  </r>
  <r>
    <x v="8"/>
    <x v="1"/>
  </r>
  <r>
    <x v="25"/>
    <x v="868"/>
  </r>
  <r>
    <x v="3"/>
    <x v="1"/>
  </r>
  <r>
    <x v="35"/>
    <x v="1"/>
  </r>
  <r>
    <x v="10"/>
    <x v="1"/>
  </r>
  <r>
    <x v="2"/>
    <x v="1"/>
  </r>
  <r>
    <x v="4"/>
    <x v="1"/>
  </r>
  <r>
    <x v="26"/>
    <x v="1"/>
  </r>
  <r>
    <x v="12"/>
    <x v="293"/>
  </r>
  <r>
    <x v="1"/>
    <x v="1"/>
  </r>
  <r>
    <x v="46"/>
    <x v="1"/>
  </r>
  <r>
    <x v="10"/>
    <x v="1"/>
  </r>
  <r>
    <x v="43"/>
    <x v="746"/>
  </r>
  <r>
    <x v="11"/>
    <x v="1"/>
  </r>
  <r>
    <x v="16"/>
    <x v="1"/>
  </r>
  <r>
    <x v="5"/>
    <x v="1"/>
  </r>
  <r>
    <x v="0"/>
    <x v="1"/>
  </r>
  <r>
    <x v="8"/>
    <x v="1"/>
  </r>
  <r>
    <x v="5"/>
    <x v="1"/>
  </r>
  <r>
    <x v="5"/>
    <x v="1"/>
  </r>
  <r>
    <x v="29"/>
    <x v="1"/>
  </r>
  <r>
    <x v="30"/>
    <x v="1"/>
  </r>
  <r>
    <x v="4"/>
    <x v="294"/>
  </r>
  <r>
    <x v="10"/>
    <x v="295"/>
  </r>
  <r>
    <x v="47"/>
    <x v="1"/>
  </r>
  <r>
    <x v="52"/>
    <x v="869"/>
  </r>
  <r>
    <x v="5"/>
    <x v="1"/>
  </r>
  <r>
    <x v="12"/>
    <x v="1"/>
  </r>
  <r>
    <x v="5"/>
    <x v="870"/>
  </r>
  <r>
    <x v="8"/>
    <x v="1"/>
  </r>
  <r>
    <x v="3"/>
    <x v="1"/>
  </r>
  <r>
    <x v="12"/>
    <x v="583"/>
  </r>
  <r>
    <x v="5"/>
    <x v="1"/>
  </r>
  <r>
    <x v="19"/>
    <x v="1"/>
  </r>
  <r>
    <x v="5"/>
    <x v="1"/>
  </r>
  <r>
    <x v="46"/>
    <x v="1"/>
  </r>
  <r>
    <x v="1"/>
    <x v="1"/>
  </r>
  <r>
    <x v="28"/>
    <x v="1"/>
  </r>
  <r>
    <x v="7"/>
    <x v="1"/>
  </r>
  <r>
    <x v="21"/>
    <x v="1"/>
  </r>
  <r>
    <x v="15"/>
    <x v="1"/>
  </r>
  <r>
    <x v="2"/>
    <x v="296"/>
  </r>
  <r>
    <x v="26"/>
    <x v="871"/>
  </r>
  <r>
    <x v="7"/>
    <x v="1"/>
  </r>
  <r>
    <x v="28"/>
    <x v="1"/>
  </r>
  <r>
    <x v="4"/>
    <x v="1"/>
  </r>
  <r>
    <x v="24"/>
    <x v="872"/>
  </r>
  <r>
    <x v="26"/>
    <x v="1"/>
  </r>
  <r>
    <x v="4"/>
    <x v="584"/>
  </r>
  <r>
    <x v="1"/>
    <x v="1"/>
  </r>
  <r>
    <x v="10"/>
    <x v="585"/>
  </r>
  <r>
    <x v="1"/>
    <x v="1"/>
  </r>
  <r>
    <x v="9"/>
    <x v="1"/>
  </r>
  <r>
    <x v="47"/>
    <x v="1"/>
  </r>
  <r>
    <x v="5"/>
    <x v="873"/>
  </r>
  <r>
    <x v="34"/>
    <x v="1"/>
  </r>
  <r>
    <x v="14"/>
    <x v="1"/>
  </r>
  <r>
    <x v="4"/>
    <x v="1"/>
  </r>
  <r>
    <x v="28"/>
    <x v="1"/>
  </r>
  <r>
    <x v="34"/>
    <x v="1"/>
  </r>
  <r>
    <x v="10"/>
    <x v="1"/>
  </r>
  <r>
    <x v="29"/>
    <x v="1"/>
  </r>
  <r>
    <x v="5"/>
    <x v="1"/>
  </r>
  <r>
    <x v="8"/>
    <x v="586"/>
  </r>
  <r>
    <x v="0"/>
    <x v="1"/>
  </r>
  <r>
    <x v="10"/>
    <x v="1"/>
  </r>
  <r>
    <x v="7"/>
    <x v="874"/>
  </r>
  <r>
    <x v="12"/>
    <x v="1"/>
  </r>
  <r>
    <x v="17"/>
    <x v="1"/>
  </r>
  <r>
    <x v="41"/>
    <x v="1"/>
  </r>
  <r>
    <x v="6"/>
    <x v="1"/>
  </r>
  <r>
    <x v="34"/>
    <x v="1"/>
  </r>
  <r>
    <x v="26"/>
    <x v="1"/>
  </r>
  <r>
    <x v="40"/>
    <x v="1"/>
  </r>
  <r>
    <x v="2"/>
    <x v="1"/>
  </r>
  <r>
    <x v="7"/>
    <x v="1"/>
  </r>
  <r>
    <x v="2"/>
    <x v="1"/>
  </r>
  <r>
    <x v="28"/>
    <x v="1"/>
  </r>
  <r>
    <x v="4"/>
    <x v="1"/>
  </r>
  <r>
    <x v="20"/>
    <x v="1"/>
  </r>
  <r>
    <x v="27"/>
    <x v="1"/>
  </r>
  <r>
    <x v="11"/>
    <x v="1"/>
  </r>
  <r>
    <x v="29"/>
    <x v="1"/>
  </r>
  <r>
    <x v="43"/>
    <x v="1"/>
  </r>
  <r>
    <x v="16"/>
    <x v="1"/>
  </r>
  <r>
    <x v="17"/>
    <x v="1"/>
  </r>
  <r>
    <x v="22"/>
    <x v="875"/>
  </r>
  <r>
    <x v="34"/>
    <x v="1"/>
  </r>
  <r>
    <x v="33"/>
    <x v="1"/>
  </r>
  <r>
    <x v="46"/>
    <x v="1"/>
  </r>
  <r>
    <x v="3"/>
    <x v="1"/>
  </r>
  <r>
    <x v="22"/>
    <x v="1"/>
  </r>
  <r>
    <x v="16"/>
    <x v="1"/>
  </r>
  <r>
    <x v="19"/>
    <x v="1"/>
  </r>
  <r>
    <x v="5"/>
    <x v="1"/>
  </r>
  <r>
    <x v="20"/>
    <x v="1"/>
  </r>
  <r>
    <x v="25"/>
    <x v="876"/>
  </r>
  <r>
    <x v="14"/>
    <x v="1"/>
  </r>
  <r>
    <x v="15"/>
    <x v="1"/>
  </r>
  <r>
    <x v="37"/>
    <x v="1"/>
  </r>
  <r>
    <x v="47"/>
    <x v="1"/>
  </r>
  <r>
    <x v="13"/>
    <x v="1"/>
  </r>
  <r>
    <x v="15"/>
    <x v="595"/>
  </r>
  <r>
    <x v="35"/>
    <x v="1"/>
  </r>
  <r>
    <x v="25"/>
    <x v="1"/>
  </r>
  <r>
    <x v="14"/>
    <x v="1"/>
  </r>
  <r>
    <x v="19"/>
    <x v="1"/>
  </r>
  <r>
    <x v="1"/>
    <x v="1"/>
  </r>
  <r>
    <x v="28"/>
    <x v="1"/>
  </r>
  <r>
    <x v="17"/>
    <x v="1"/>
  </r>
  <r>
    <x v="22"/>
    <x v="877"/>
  </r>
  <r>
    <x v="6"/>
    <x v="1"/>
  </r>
  <r>
    <x v="16"/>
    <x v="1"/>
  </r>
  <r>
    <x v="26"/>
    <x v="1"/>
  </r>
  <r>
    <x v="4"/>
    <x v="1"/>
  </r>
  <r>
    <x v="10"/>
    <x v="1"/>
  </r>
  <r>
    <x v="5"/>
    <x v="1"/>
  </r>
  <r>
    <x v="13"/>
    <x v="878"/>
  </r>
  <r>
    <x v="5"/>
    <x v="1"/>
  </r>
  <r>
    <x v="5"/>
    <x v="1"/>
  </r>
  <r>
    <x v="4"/>
    <x v="596"/>
  </r>
  <r>
    <x v="38"/>
    <x v="879"/>
  </r>
  <r>
    <x v="5"/>
    <x v="880"/>
  </r>
  <r>
    <x v="5"/>
    <x v="1"/>
  </r>
  <r>
    <x v="7"/>
    <x v="1"/>
  </r>
  <r>
    <x v="35"/>
    <x v="1"/>
  </r>
  <r>
    <x v="0"/>
    <x v="1"/>
  </r>
  <r>
    <x v="9"/>
    <x v="1"/>
  </r>
  <r>
    <x v="0"/>
    <x v="1"/>
  </r>
  <r>
    <x v="28"/>
    <x v="1"/>
  </r>
  <r>
    <x v="34"/>
    <x v="1"/>
  </r>
  <r>
    <x v="11"/>
    <x v="1"/>
  </r>
  <r>
    <x v="3"/>
    <x v="1"/>
  </r>
  <r>
    <x v="5"/>
    <x v="1"/>
  </r>
  <r>
    <x v="1"/>
    <x v="1"/>
  </r>
  <r>
    <x v="52"/>
    <x v="1"/>
  </r>
  <r>
    <x v="26"/>
    <x v="1"/>
  </r>
  <r>
    <x v="33"/>
    <x v="1"/>
  </r>
  <r>
    <x v="37"/>
    <x v="1"/>
  </r>
  <r>
    <x v="9"/>
    <x v="1"/>
  </r>
  <r>
    <x v="0"/>
    <x v="1"/>
  </r>
  <r>
    <x v="26"/>
    <x v="1"/>
  </r>
  <r>
    <x v="29"/>
    <x v="1"/>
  </r>
  <r>
    <x v="15"/>
    <x v="1"/>
  </r>
  <r>
    <x v="4"/>
    <x v="1"/>
  </r>
  <r>
    <x v="17"/>
    <x v="1"/>
  </r>
  <r>
    <x v="20"/>
    <x v="1"/>
  </r>
  <r>
    <x v="10"/>
    <x v="1"/>
  </r>
  <r>
    <x v="8"/>
    <x v="1"/>
  </r>
  <r>
    <x v="9"/>
    <x v="1"/>
  </r>
  <r>
    <x v="0"/>
    <x v="1"/>
  </r>
  <r>
    <x v="11"/>
    <x v="1"/>
  </r>
  <r>
    <x v="3"/>
    <x v="1"/>
  </r>
  <r>
    <x v="26"/>
    <x v="1"/>
  </r>
  <r>
    <x v="29"/>
    <x v="1"/>
  </r>
  <r>
    <x v="5"/>
    <x v="1"/>
  </r>
  <r>
    <x v="7"/>
    <x v="1"/>
  </r>
  <r>
    <x v="28"/>
    <x v="782"/>
  </r>
  <r>
    <x v="34"/>
    <x v="804"/>
  </r>
  <r>
    <x v="26"/>
    <x v="1"/>
  </r>
  <r>
    <x v="29"/>
    <x v="1"/>
  </r>
  <r>
    <x v="12"/>
    <x v="1"/>
  </r>
  <r>
    <x v="4"/>
    <x v="1"/>
  </r>
  <r>
    <x v="28"/>
    <x v="1"/>
  </r>
  <r>
    <x v="34"/>
    <x v="1"/>
  </r>
  <r>
    <x v="10"/>
    <x v="653"/>
  </r>
  <r>
    <x v="2"/>
    <x v="654"/>
  </r>
  <r>
    <x v="12"/>
    <x v="1"/>
  </r>
  <r>
    <x v="4"/>
    <x v="1"/>
  </r>
  <r>
    <x v="27"/>
    <x v="1"/>
  </r>
  <r>
    <x v="32"/>
    <x v="1"/>
  </r>
  <r>
    <x v="5"/>
    <x v="1"/>
  </r>
  <r>
    <x v="1"/>
    <x v="1"/>
  </r>
  <r>
    <x v="17"/>
    <x v="1"/>
  </r>
  <r>
    <x v="23"/>
    <x v="1"/>
  </r>
  <r>
    <x v="31"/>
    <x v="1"/>
  </r>
  <r>
    <x v="36"/>
    <x v="1"/>
  </r>
  <r>
    <x v="13"/>
    <x v="881"/>
  </r>
  <r>
    <x v="5"/>
    <x v="882"/>
  </r>
  <r>
    <x v="26"/>
    <x v="1"/>
  </r>
  <r>
    <x v="29"/>
    <x v="1"/>
  </r>
  <r>
    <x v="5"/>
    <x v="1"/>
  </r>
  <r>
    <x v="7"/>
    <x v="1"/>
  </r>
  <r>
    <x v="13"/>
    <x v="1"/>
  </r>
  <r>
    <x v="5"/>
    <x v="1"/>
  </r>
  <r>
    <x v="5"/>
    <x v="1"/>
  </r>
  <r>
    <x v="1"/>
    <x v="1"/>
  </r>
  <r>
    <x v="28"/>
    <x v="1"/>
  </r>
  <r>
    <x v="34"/>
    <x v="1"/>
  </r>
  <r>
    <x v="35"/>
    <x v="1"/>
  </r>
  <r>
    <x v="0"/>
    <x v="1"/>
  </r>
  <r>
    <x v="15"/>
    <x v="1"/>
  </r>
  <r>
    <x v="4"/>
    <x v="1"/>
  </r>
  <r>
    <x v="16"/>
    <x v="883"/>
  </r>
  <r>
    <x v="19"/>
    <x v="884"/>
  </r>
  <r>
    <x v="48"/>
    <x v="885"/>
  </r>
  <r>
    <x v="49"/>
    <x v="886"/>
  </r>
  <r>
    <x v="28"/>
    <x v="1"/>
  </r>
  <r>
    <x v="34"/>
    <x v="1"/>
  </r>
  <r>
    <x v="10"/>
    <x v="1"/>
  </r>
  <r>
    <x v="8"/>
    <x v="1"/>
  </r>
  <r>
    <x v="22"/>
    <x v="1"/>
  </r>
  <r>
    <x v="25"/>
    <x v="1"/>
  </r>
  <r>
    <x v="5"/>
    <x v="1"/>
  </r>
  <r>
    <x v="1"/>
    <x v="1"/>
  </r>
  <r>
    <x v="16"/>
    <x v="1"/>
  </r>
  <r>
    <x v="19"/>
    <x v="1"/>
  </r>
  <r>
    <x v="30"/>
    <x v="1"/>
  </r>
  <r>
    <x v="21"/>
    <x v="1"/>
  </r>
  <r>
    <x v="40"/>
    <x v="1"/>
  </r>
  <r>
    <x v="43"/>
    <x v="1"/>
  </r>
  <r>
    <x v="10"/>
    <x v="1"/>
  </r>
  <r>
    <x v="2"/>
    <x v="1"/>
  </r>
  <r>
    <x v="26"/>
    <x v="1"/>
  </r>
  <r>
    <x v="29"/>
    <x v="1"/>
  </r>
  <r>
    <x v="28"/>
    <x v="1"/>
  </r>
  <r>
    <x v="34"/>
    <x v="1"/>
  </r>
  <r>
    <x v="40"/>
    <x v="887"/>
  </r>
  <r>
    <x v="43"/>
    <x v="888"/>
  </r>
  <r>
    <x v="12"/>
    <x v="1"/>
  </r>
  <r>
    <x v="4"/>
    <x v="1"/>
  </r>
  <r>
    <x v="5"/>
    <x v="1"/>
  </r>
  <r>
    <x v="24"/>
    <x v="1"/>
  </r>
  <r>
    <x v="5"/>
    <x v="1"/>
  </r>
  <r>
    <x v="1"/>
    <x v="1"/>
  </r>
  <r>
    <x v="46"/>
    <x v="232"/>
  </r>
  <r>
    <x v="47"/>
    <x v="231"/>
  </r>
  <r>
    <x v="22"/>
    <x v="1"/>
  </r>
  <r>
    <x v="25"/>
    <x v="1"/>
  </r>
  <r>
    <x v="28"/>
    <x v="1"/>
  </r>
  <r>
    <x v="34"/>
    <x v="1"/>
  </r>
  <r>
    <x v="14"/>
    <x v="889"/>
  </r>
  <r>
    <x v="6"/>
    <x v="890"/>
  </r>
  <r>
    <x v="14"/>
    <x v="1"/>
  </r>
  <r>
    <x v="6"/>
    <x v="1"/>
  </r>
  <r>
    <x v="10"/>
    <x v="376"/>
  </r>
  <r>
    <x v="8"/>
    <x v="381"/>
  </r>
  <r>
    <x v="26"/>
    <x v="1"/>
  </r>
  <r>
    <x v="29"/>
    <x v="1"/>
  </r>
  <r>
    <x v="5"/>
    <x v="1"/>
  </r>
  <r>
    <x v="7"/>
    <x v="1"/>
  </r>
  <r>
    <x v="12"/>
    <x v="377"/>
  </r>
  <r>
    <x v="4"/>
    <x v="382"/>
  </r>
  <r>
    <x v="38"/>
    <x v="1"/>
  </r>
  <r>
    <x v="5"/>
    <x v="1"/>
  </r>
  <r>
    <x v="5"/>
    <x v="1"/>
  </r>
  <r>
    <x v="1"/>
    <x v="1"/>
  </r>
  <r>
    <x v="11"/>
    <x v="1"/>
  </r>
  <r>
    <x v="3"/>
    <x v="1"/>
  </r>
  <r>
    <x v="10"/>
    <x v="1"/>
  </r>
  <r>
    <x v="8"/>
    <x v="1"/>
  </r>
  <r>
    <x v="13"/>
    <x v="891"/>
  </r>
  <r>
    <x v="5"/>
    <x v="892"/>
  </r>
  <r>
    <x v="5"/>
    <x v="1"/>
  </r>
  <r>
    <x v="7"/>
    <x v="1"/>
  </r>
  <r>
    <x v="10"/>
    <x v="663"/>
  </r>
  <r>
    <x v="2"/>
    <x v="667"/>
  </r>
  <r>
    <x v="12"/>
    <x v="1"/>
  </r>
  <r>
    <x v="28"/>
    <x v="1"/>
  </r>
  <r>
    <x v="5"/>
    <x v="893"/>
  </r>
  <r>
    <x v="9"/>
    <x v="1"/>
  </r>
  <r>
    <x v="40"/>
    <x v="1"/>
  </r>
  <r>
    <x v="46"/>
    <x v="1"/>
  </r>
  <r>
    <x v="41"/>
    <x v="1"/>
  </r>
  <r>
    <x v="5"/>
    <x v="1"/>
  </r>
  <r>
    <x v="40"/>
    <x v="1"/>
  </r>
  <r>
    <x v="5"/>
    <x v="1"/>
  </r>
  <r>
    <x v="11"/>
    <x v="1"/>
  </r>
  <r>
    <x v="4"/>
    <x v="1"/>
  </r>
  <r>
    <x v="34"/>
    <x v="1"/>
  </r>
  <r>
    <x v="24"/>
    <x v="894"/>
  </r>
  <r>
    <x v="0"/>
    <x v="1"/>
  </r>
  <r>
    <x v="43"/>
    <x v="1"/>
  </r>
  <r>
    <x v="47"/>
    <x v="1"/>
  </r>
  <r>
    <x v="27"/>
    <x v="1"/>
  </r>
  <r>
    <x v="7"/>
    <x v="1"/>
  </r>
  <r>
    <x v="43"/>
    <x v="1"/>
  </r>
  <r>
    <x v="1"/>
    <x v="1"/>
  </r>
  <r>
    <x v="3"/>
    <x v="1"/>
  </r>
  <r>
    <x v="0"/>
    <x v="1"/>
  </r>
  <r>
    <x v="30"/>
    <x v="1"/>
  </r>
  <r>
    <x v="31"/>
    <x v="895"/>
  </r>
  <r>
    <x v="5"/>
    <x v="1"/>
  </r>
  <r>
    <x v="5"/>
    <x v="1"/>
  </r>
  <r>
    <x v="6"/>
    <x v="1"/>
  </r>
  <r>
    <x v="10"/>
    <x v="345"/>
  </r>
  <r>
    <x v="35"/>
    <x v="1"/>
  </r>
  <r>
    <x v="17"/>
    <x v="1"/>
  </r>
  <r>
    <x v="12"/>
    <x v="1"/>
  </r>
  <r>
    <x v="5"/>
    <x v="1"/>
  </r>
  <r>
    <x v="40"/>
    <x v="896"/>
  </r>
  <r>
    <x v="31"/>
    <x v="1"/>
  </r>
  <r>
    <x v="34"/>
    <x v="1"/>
  </r>
  <r>
    <x v="5"/>
    <x v="1"/>
  </r>
  <r>
    <x v="20"/>
    <x v="1"/>
  </r>
  <r>
    <x v="25"/>
    <x v="897"/>
  </r>
  <r>
    <x v="19"/>
    <x v="1"/>
  </r>
  <r>
    <x v="29"/>
    <x v="1"/>
  </r>
  <r>
    <x v="26"/>
    <x v="1"/>
  </r>
  <r>
    <x v="8"/>
    <x v="1"/>
  </r>
  <r>
    <x v="50"/>
    <x v="1"/>
  </r>
  <r>
    <x v="28"/>
    <x v="1"/>
  </r>
  <r>
    <x v="5"/>
    <x v="898"/>
  </r>
  <r>
    <x v="1"/>
    <x v="1"/>
  </r>
  <r>
    <x v="24"/>
    <x v="1"/>
  </r>
  <r>
    <x v="10"/>
    <x v="1"/>
  </r>
  <r>
    <x v="5"/>
    <x v="1"/>
  </r>
  <r>
    <x v="28"/>
    <x v="1"/>
  </r>
  <r>
    <x v="21"/>
    <x v="1"/>
  </r>
  <r>
    <x v="17"/>
    <x v="1"/>
  </r>
  <r>
    <x v="36"/>
    <x v="899"/>
  </r>
  <r>
    <x v="24"/>
    <x v="1"/>
  </r>
  <r>
    <x v="1"/>
    <x v="1"/>
  </r>
  <r>
    <x v="10"/>
    <x v="1"/>
  </r>
  <r>
    <x v="2"/>
    <x v="346"/>
  </r>
  <r>
    <x v="0"/>
    <x v="1"/>
  </r>
  <r>
    <x v="23"/>
    <x v="1"/>
  </r>
  <r>
    <x v="4"/>
    <x v="1"/>
  </r>
  <r>
    <x v="24"/>
    <x v="1"/>
  </r>
  <r>
    <x v="43"/>
    <x v="900"/>
  </r>
  <r>
    <x v="36"/>
    <x v="1"/>
  </r>
  <r>
    <x v="5"/>
    <x v="901"/>
  </r>
  <r>
    <x v="1"/>
    <x v="1"/>
  </r>
  <r>
    <x v="50"/>
    <x v="1"/>
  </r>
  <r>
    <x v="21"/>
    <x v="1"/>
  </r>
  <r>
    <x v="29"/>
    <x v="1"/>
  </r>
  <r>
    <x v="17"/>
    <x v="1"/>
  </r>
  <r>
    <x v="33"/>
    <x v="1"/>
  </r>
  <r>
    <x v="51"/>
    <x v="1"/>
  </r>
  <r>
    <x v="38"/>
    <x v="902"/>
  </r>
  <r>
    <x v="35"/>
    <x v="1"/>
  </r>
  <r>
    <x v="34"/>
    <x v="1"/>
  </r>
  <r>
    <x v="17"/>
    <x v="1"/>
  </r>
  <r>
    <x v="22"/>
    <x v="1"/>
  </r>
  <r>
    <x v="26"/>
    <x v="1"/>
  </r>
  <r>
    <x v="2"/>
    <x v="1"/>
  </r>
  <r>
    <x v="1"/>
    <x v="1"/>
  </r>
  <r>
    <x v="34"/>
    <x v="1"/>
  </r>
  <r>
    <x v="41"/>
    <x v="1"/>
  </r>
  <r>
    <x v="23"/>
    <x v="1"/>
  </r>
  <r>
    <x v="8"/>
    <x v="1"/>
  </r>
  <r>
    <x v="13"/>
    <x v="1"/>
  </r>
  <r>
    <x v="40"/>
    <x v="1"/>
  </r>
  <r>
    <x v="10"/>
    <x v="1"/>
  </r>
  <r>
    <x v="11"/>
    <x v="1"/>
  </r>
  <r>
    <x v="24"/>
    <x v="903"/>
  </r>
  <r>
    <x v="10"/>
    <x v="637"/>
  </r>
  <r>
    <x v="51"/>
    <x v="1"/>
  </r>
  <r>
    <x v="55"/>
    <x v="1"/>
  </r>
  <r>
    <x v="20"/>
    <x v="1"/>
  </r>
  <r>
    <x v="37"/>
    <x v="1"/>
  </r>
  <r>
    <x v="5"/>
    <x v="904"/>
  </r>
  <r>
    <x v="17"/>
    <x v="1"/>
  </r>
  <r>
    <x v="0"/>
    <x v="1"/>
  </r>
  <r>
    <x v="20"/>
    <x v="1"/>
  </r>
  <r>
    <x v="5"/>
    <x v="1"/>
  </r>
  <r>
    <x v="25"/>
    <x v="1"/>
  </r>
  <r>
    <x v="29"/>
    <x v="1"/>
  </r>
  <r>
    <x v="27"/>
    <x v="1"/>
  </r>
  <r>
    <x v="11"/>
    <x v="1"/>
  </r>
  <r>
    <x v="5"/>
    <x v="1"/>
  </r>
  <r>
    <x v="43"/>
    <x v="1"/>
  </r>
  <r>
    <x v="8"/>
    <x v="1"/>
  </r>
  <r>
    <x v="3"/>
    <x v="1"/>
  </r>
  <r>
    <x v="2"/>
    <x v="638"/>
  </r>
  <r>
    <x v="17"/>
    <x v="1"/>
  </r>
  <r>
    <x v="22"/>
    <x v="1"/>
  </r>
  <r>
    <x v="11"/>
    <x v="1"/>
  </r>
  <r>
    <x v="17"/>
    <x v="1"/>
  </r>
  <r>
    <x v="28"/>
    <x v="788"/>
  </r>
  <r>
    <x v="26"/>
    <x v="1"/>
  </r>
  <r>
    <x v="20"/>
    <x v="1"/>
  </r>
  <r>
    <x v="13"/>
    <x v="1"/>
  </r>
  <r>
    <x v="1"/>
    <x v="1"/>
  </r>
  <r>
    <x v="5"/>
    <x v="1"/>
  </r>
  <r>
    <x v="10"/>
    <x v="643"/>
  </r>
  <r>
    <x v="3"/>
    <x v="1"/>
  </r>
  <r>
    <x v="28"/>
    <x v="1"/>
  </r>
  <r>
    <x v="15"/>
    <x v="1"/>
  </r>
  <r>
    <x v="5"/>
    <x v="1"/>
  </r>
  <r>
    <x v="20"/>
    <x v="1"/>
  </r>
  <r>
    <x v="25"/>
    <x v="1"/>
  </r>
  <r>
    <x v="3"/>
    <x v="1"/>
  </r>
  <r>
    <x v="23"/>
    <x v="1"/>
  </r>
  <r>
    <x v="34"/>
    <x v="789"/>
  </r>
  <r>
    <x v="29"/>
    <x v="1"/>
  </r>
  <r>
    <x v="40"/>
    <x v="1"/>
  </r>
  <r>
    <x v="5"/>
    <x v="1"/>
  </r>
  <r>
    <x v="35"/>
    <x v="1"/>
  </r>
  <r>
    <x v="1"/>
    <x v="1"/>
  </r>
  <r>
    <x v="14"/>
    <x v="1"/>
  </r>
  <r>
    <x v="5"/>
    <x v="905"/>
  </r>
  <r>
    <x v="8"/>
    <x v="644"/>
  </r>
  <r>
    <x v="50"/>
    <x v="1"/>
  </r>
  <r>
    <x v="35"/>
    <x v="1"/>
  </r>
  <r>
    <x v="34"/>
    <x v="1"/>
  </r>
  <r>
    <x v="28"/>
    <x v="906"/>
  </r>
  <r>
    <x v="15"/>
    <x v="1"/>
  </r>
  <r>
    <x v="11"/>
    <x v="1"/>
  </r>
  <r>
    <x v="4"/>
    <x v="1"/>
  </r>
  <r>
    <x v="7"/>
    <x v="1"/>
  </r>
  <r>
    <x v="14"/>
    <x v="1"/>
  </r>
  <r>
    <x v="10"/>
    <x v="1"/>
  </r>
  <r>
    <x v="43"/>
    <x v="1"/>
  </r>
  <r>
    <x v="17"/>
    <x v="1"/>
  </r>
  <r>
    <x v="0"/>
    <x v="1"/>
  </r>
  <r>
    <x v="27"/>
    <x v="1"/>
  </r>
  <r>
    <x v="6"/>
    <x v="1"/>
  </r>
  <r>
    <x v="44"/>
    <x v="907"/>
  </r>
  <r>
    <x v="7"/>
    <x v="908"/>
  </r>
  <r>
    <x v="35"/>
    <x v="1"/>
  </r>
  <r>
    <x v="15"/>
    <x v="1"/>
  </r>
  <r>
    <x v="12"/>
    <x v="1"/>
  </r>
  <r>
    <x v="51"/>
    <x v="1"/>
  </r>
  <r>
    <x v="14"/>
    <x v="909"/>
  </r>
  <r>
    <x v="13"/>
    <x v="1"/>
  </r>
  <r>
    <x v="0"/>
    <x v="1"/>
  </r>
  <r>
    <x v="34"/>
    <x v="910"/>
  </r>
  <r>
    <x v="4"/>
    <x v="1"/>
  </r>
  <r>
    <x v="3"/>
    <x v="1"/>
  </r>
  <r>
    <x v="5"/>
    <x v="1"/>
  </r>
  <r>
    <x v="50"/>
    <x v="1"/>
  </r>
  <r>
    <x v="14"/>
    <x v="1"/>
  </r>
  <r>
    <x v="6"/>
    <x v="1"/>
  </r>
  <r>
    <x v="5"/>
    <x v="1"/>
  </r>
  <r>
    <x v="8"/>
    <x v="1"/>
  </r>
  <r>
    <x v="23"/>
    <x v="1"/>
  </r>
  <r>
    <x v="35"/>
    <x v="1"/>
  </r>
  <r>
    <x v="15"/>
    <x v="1"/>
  </r>
  <r>
    <x v="32"/>
    <x v="1"/>
  </r>
  <r>
    <x v="5"/>
    <x v="1"/>
  </r>
  <r>
    <x v="45"/>
    <x v="911"/>
  </r>
  <r>
    <x v="0"/>
    <x v="1"/>
  </r>
  <r>
    <x v="4"/>
    <x v="1"/>
  </r>
  <r>
    <x v="4"/>
    <x v="1"/>
  </r>
  <r>
    <x v="6"/>
    <x v="912"/>
  </r>
  <r>
    <x v="5"/>
    <x v="1"/>
  </r>
  <r>
    <x v="10"/>
    <x v="1"/>
  </r>
  <r>
    <x v="24"/>
    <x v="1"/>
  </r>
  <r>
    <x v="51"/>
    <x v="1"/>
  </r>
  <r>
    <x v="9"/>
    <x v="1"/>
  </r>
  <r>
    <x v="15"/>
    <x v="1"/>
  </r>
  <r>
    <x v="6"/>
    <x v="1"/>
  </r>
  <r>
    <x v="1"/>
    <x v="1"/>
  </r>
  <r>
    <x v="41"/>
    <x v="1"/>
  </r>
  <r>
    <x v="0"/>
    <x v="1"/>
  </r>
  <r>
    <x v="4"/>
    <x v="1"/>
  </r>
  <r>
    <x v="26"/>
    <x v="1"/>
  </r>
  <r>
    <x v="7"/>
    <x v="1"/>
  </r>
  <r>
    <x v="5"/>
    <x v="1"/>
  </r>
  <r>
    <x v="2"/>
    <x v="1"/>
  </r>
  <r>
    <x v="9"/>
    <x v="1"/>
  </r>
  <r>
    <x v="40"/>
    <x v="913"/>
  </r>
  <r>
    <x v="13"/>
    <x v="1"/>
  </r>
  <r>
    <x v="0"/>
    <x v="1"/>
  </r>
  <r>
    <x v="4"/>
    <x v="1"/>
  </r>
  <r>
    <x v="27"/>
    <x v="1"/>
  </r>
  <r>
    <x v="17"/>
    <x v="1"/>
  </r>
  <r>
    <x v="29"/>
    <x v="1"/>
  </r>
  <r>
    <x v="28"/>
    <x v="1"/>
  </r>
  <r>
    <x v="46"/>
    <x v="1"/>
  </r>
  <r>
    <x v="7"/>
    <x v="1"/>
  </r>
  <r>
    <x v="0"/>
    <x v="1"/>
  </r>
  <r>
    <x v="11"/>
    <x v="1"/>
  </r>
  <r>
    <x v="43"/>
    <x v="914"/>
  </r>
  <r>
    <x v="5"/>
    <x v="1"/>
  </r>
  <r>
    <x v="13"/>
    <x v="1"/>
  </r>
  <r>
    <x v="5"/>
    <x v="1"/>
  </r>
  <r>
    <x v="12"/>
    <x v="1"/>
  </r>
  <r>
    <x v="16"/>
    <x v="1"/>
  </r>
  <r>
    <x v="10"/>
    <x v="401"/>
  </r>
  <r>
    <x v="5"/>
    <x v="1"/>
  </r>
  <r>
    <x v="20"/>
    <x v="1"/>
  </r>
  <r>
    <x v="11"/>
    <x v="1"/>
  </r>
  <r>
    <x v="30"/>
    <x v="1"/>
  </r>
  <r>
    <x v="14"/>
    <x v="1"/>
  </r>
  <r>
    <x v="34"/>
    <x v="1"/>
  </r>
  <r>
    <x v="13"/>
    <x v="1"/>
  </r>
  <r>
    <x v="5"/>
    <x v="1"/>
  </r>
  <r>
    <x v="47"/>
    <x v="1"/>
  </r>
  <r>
    <x v="10"/>
    <x v="1"/>
  </r>
  <r>
    <x v="17"/>
    <x v="1"/>
  </r>
  <r>
    <x v="54"/>
    <x v="1"/>
  </r>
  <r>
    <x v="3"/>
    <x v="1"/>
  </r>
  <r>
    <x v="46"/>
    <x v="1"/>
  </r>
  <r>
    <x v="26"/>
    <x v="1"/>
  </r>
  <r>
    <x v="5"/>
    <x v="1"/>
  </r>
  <r>
    <x v="7"/>
    <x v="1"/>
  </r>
  <r>
    <x v="4"/>
    <x v="1"/>
  </r>
  <r>
    <x v="5"/>
    <x v="1"/>
  </r>
  <r>
    <x v="19"/>
    <x v="1"/>
  </r>
  <r>
    <x v="28"/>
    <x v="1"/>
  </r>
  <r>
    <x v="2"/>
    <x v="402"/>
  </r>
  <r>
    <x v="1"/>
    <x v="1"/>
  </r>
  <r>
    <x v="28"/>
    <x v="1"/>
  </r>
  <r>
    <x v="10"/>
    <x v="1"/>
  </r>
  <r>
    <x v="3"/>
    <x v="1"/>
  </r>
  <r>
    <x v="21"/>
    <x v="1"/>
  </r>
  <r>
    <x v="6"/>
    <x v="1"/>
  </r>
  <r>
    <x v="46"/>
    <x v="1"/>
  </r>
  <r>
    <x v="5"/>
    <x v="915"/>
  </r>
  <r>
    <x v="5"/>
    <x v="1"/>
  </r>
  <r>
    <x v="7"/>
    <x v="1"/>
  </r>
  <r>
    <x v="35"/>
    <x v="1"/>
  </r>
  <r>
    <x v="8"/>
    <x v="1"/>
  </r>
  <r>
    <x v="10"/>
    <x v="1"/>
  </r>
  <r>
    <x v="23"/>
    <x v="1"/>
  </r>
  <r>
    <x v="11"/>
    <x v="1"/>
  </r>
  <r>
    <x v="47"/>
    <x v="1"/>
  </r>
  <r>
    <x v="14"/>
    <x v="1"/>
  </r>
  <r>
    <x v="29"/>
    <x v="1"/>
  </r>
  <r>
    <x v="1"/>
    <x v="1"/>
  </r>
  <r>
    <x v="34"/>
    <x v="1"/>
  </r>
  <r>
    <x v="34"/>
    <x v="1"/>
  </r>
  <r>
    <x v="8"/>
    <x v="1"/>
  </r>
  <r>
    <x v="28"/>
    <x v="1"/>
  </r>
  <r>
    <x v="38"/>
    <x v="916"/>
  </r>
  <r>
    <x v="31"/>
    <x v="1"/>
  </r>
  <r>
    <x v="47"/>
    <x v="1"/>
  </r>
  <r>
    <x v="48"/>
    <x v="1"/>
  </r>
  <r>
    <x v="24"/>
    <x v="917"/>
  </r>
  <r>
    <x v="10"/>
    <x v="1"/>
  </r>
  <r>
    <x v="26"/>
    <x v="1"/>
  </r>
  <r>
    <x v="0"/>
    <x v="1"/>
  </r>
  <r>
    <x v="46"/>
    <x v="918"/>
  </r>
  <r>
    <x v="11"/>
    <x v="1"/>
  </r>
  <r>
    <x v="2"/>
    <x v="1"/>
  </r>
  <r>
    <x v="5"/>
    <x v="919"/>
  </r>
  <r>
    <x v="18"/>
    <x v="1"/>
  </r>
  <r>
    <x v="6"/>
    <x v="1"/>
  </r>
  <r>
    <x v="10"/>
    <x v="673"/>
  </r>
  <r>
    <x v="34"/>
    <x v="1"/>
  </r>
  <r>
    <x v="5"/>
    <x v="920"/>
  </r>
  <r>
    <x v="36"/>
    <x v="1"/>
  </r>
  <r>
    <x v="49"/>
    <x v="1"/>
  </r>
  <r>
    <x v="8"/>
    <x v="1"/>
  </r>
  <r>
    <x v="29"/>
    <x v="1"/>
  </r>
  <r>
    <x v="47"/>
    <x v="921"/>
  </r>
  <r>
    <x v="3"/>
    <x v="1"/>
  </r>
  <r>
    <x v="1"/>
    <x v="922"/>
  </r>
  <r>
    <x v="21"/>
    <x v="1"/>
  </r>
  <r>
    <x v="2"/>
    <x v="674"/>
  </r>
  <r>
    <x v="60"/>
    <x v="9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F1:G63" firstHeaderRow="1" firstDataRow="1" firstDataCol="1"/>
  <pivotFields count="2">
    <pivotField axis="axisRow" showAll="0">
      <items count="62">
        <item x="13"/>
        <item x="44"/>
        <item x="38"/>
        <item x="24"/>
        <item x="54"/>
        <item x="52"/>
        <item x="31"/>
        <item x="39"/>
        <item x="10"/>
        <item x="17"/>
        <item x="25"/>
        <item x="46"/>
        <item x="43"/>
        <item x="28"/>
        <item x="6"/>
        <item x="37"/>
        <item x="51"/>
        <item x="0"/>
        <item x="32"/>
        <item x="49"/>
        <item x="19"/>
        <item x="58"/>
        <item x="57"/>
        <item x="53"/>
        <item x="55"/>
        <item x="4"/>
        <item x="45"/>
        <item x="48"/>
        <item x="42"/>
        <item x="8"/>
        <item x="35"/>
        <item x="2"/>
        <item x="9"/>
        <item x="27"/>
        <item x="41"/>
        <item x="21"/>
        <item x="30"/>
        <item x="22"/>
        <item x="47"/>
        <item x="18"/>
        <item x="36"/>
        <item x="40"/>
        <item x="16"/>
        <item x="34"/>
        <item x="59"/>
        <item x="14"/>
        <item x="33"/>
        <item x="50"/>
        <item x="56"/>
        <item x="15"/>
        <item x="20"/>
        <item x="12"/>
        <item x="23"/>
        <item x="1"/>
        <item x="7"/>
        <item x="5"/>
        <item x="3"/>
        <item x="29"/>
        <item x="11"/>
        <item x="26"/>
        <item x="60"/>
        <item t="default"/>
      </items>
    </pivotField>
    <pivotField dataField="1" showAll="0">
      <items count="925">
        <item x="144"/>
        <item x="672"/>
        <item x="590"/>
        <item x="202"/>
        <item x="626"/>
        <item x="580"/>
        <item x="35"/>
        <item x="666"/>
        <item x="133"/>
        <item x="182"/>
        <item x="60"/>
        <item x="789"/>
        <item x="119"/>
        <item x="803"/>
        <item x="226"/>
        <item x="214"/>
        <item x="107"/>
        <item x="323"/>
        <item x="625"/>
        <item x="900"/>
        <item x="166"/>
        <item x="348"/>
        <item x="786"/>
        <item x="352"/>
        <item x="206"/>
        <item x="748"/>
        <item x="535"/>
        <item x="129"/>
        <item x="758"/>
        <item x="462"/>
        <item x="264"/>
        <item x="261"/>
        <item x="801"/>
        <item x="866"/>
        <item x="370"/>
        <item x="409"/>
        <item x="826"/>
        <item x="553"/>
        <item x="398"/>
        <item x="773"/>
        <item x="350"/>
        <item x="464"/>
        <item x="270"/>
        <item x="810"/>
        <item x="689"/>
        <item x="396"/>
        <item x="770"/>
        <item x="125"/>
        <item x="456"/>
        <item x="756"/>
        <item x="472"/>
        <item x="908"/>
        <item x="288"/>
        <item x="860"/>
        <item x="556"/>
        <item x="823"/>
        <item x="725"/>
        <item x="97"/>
        <item x="249"/>
        <item x="109"/>
        <item x="765"/>
        <item x="524"/>
        <item x="712"/>
        <item x="600"/>
        <item x="774"/>
        <item x="766"/>
        <item x="131"/>
        <item x="54"/>
        <item x="442"/>
        <item x="91"/>
        <item x="282"/>
        <item x="664"/>
        <item x="71"/>
        <item x="791"/>
        <item x="500"/>
        <item x="252"/>
        <item x="646"/>
        <item x="546"/>
        <item x="617"/>
        <item x="706"/>
        <item x="697"/>
        <item x="257"/>
        <item x="720"/>
        <item x="407"/>
        <item x="602"/>
        <item x="19"/>
        <item x="718"/>
        <item x="482"/>
        <item x="648"/>
        <item x="660"/>
        <item x="922"/>
        <item x="429"/>
        <item x="8"/>
        <item x="750"/>
        <item x="735"/>
        <item x="83"/>
        <item x="779"/>
        <item x="258"/>
        <item x="87"/>
        <item x="620"/>
        <item x="402"/>
        <item x="503"/>
        <item x="650"/>
        <item x="882"/>
        <item x="386"/>
        <item x="729"/>
        <item x="436"/>
        <item x="630"/>
        <item x="369"/>
        <item x="624"/>
        <item x="850"/>
        <item x="744"/>
        <item x="140"/>
        <item x="478"/>
        <item x="406"/>
        <item x="172"/>
        <item x="513"/>
        <item x="105"/>
        <item x="51"/>
        <item x="700"/>
        <item x="601"/>
        <item x="904"/>
        <item x="366"/>
        <item x="435"/>
        <item x="181"/>
        <item x="705"/>
        <item x="184"/>
        <item x="890"/>
        <item x="248"/>
        <item x="497"/>
        <item x="440"/>
        <item x="526"/>
        <item x="507"/>
        <item x="255"/>
        <item x="118"/>
        <item x="530"/>
        <item x="242"/>
        <item x="698"/>
        <item x="691"/>
        <item x="496"/>
        <item x="268"/>
        <item x="309"/>
        <item x="276"/>
        <item x="619"/>
        <item x="651"/>
        <item x="912"/>
        <item x="267"/>
        <item x="920"/>
        <item x="654"/>
        <item x="302"/>
        <item x="596"/>
        <item x="560"/>
        <item x="638"/>
        <item x="631"/>
        <item x="716"/>
        <item x="325"/>
        <item x="543"/>
        <item x="137"/>
        <item x="412"/>
        <item x="792"/>
        <item x="294"/>
        <item x="921"/>
        <item x="572"/>
        <item x="164"/>
        <item x="313"/>
        <item x="862"/>
        <item x="447"/>
        <item x="441"/>
        <item x="740"/>
        <item x="473"/>
        <item x="150"/>
        <item x="329"/>
        <item x="888"/>
        <item x="449"/>
        <item x="808"/>
        <item x="568"/>
        <item x="81"/>
        <item x="825"/>
        <item x="37"/>
        <item x="65"/>
        <item x="333"/>
        <item x="416"/>
        <item x="134"/>
        <item x="892"/>
        <item x="384"/>
        <item x="240"/>
        <item x="200"/>
        <item x="292"/>
        <item x="822"/>
        <item x="340"/>
        <item x="899"/>
        <item x="852"/>
        <item x="903"/>
        <item x="509"/>
        <item x="174"/>
        <item x="160"/>
        <item x="844"/>
        <item x="829"/>
        <item x="395"/>
        <item x="505"/>
        <item x="290"/>
        <item x="517"/>
        <item x="536"/>
        <item x="842"/>
        <item x="418"/>
        <item x="812"/>
        <item x="702"/>
        <item x="230"/>
        <item x="832"/>
        <item x="111"/>
        <item x="884"/>
        <item x="49"/>
        <item x="741"/>
        <item x="216"/>
        <item x="338"/>
        <item x="746"/>
        <item x="523"/>
        <item x="910"/>
        <item x="538"/>
        <item x="30"/>
        <item x="688"/>
        <item x="588"/>
        <item x="576"/>
        <item x="400"/>
        <item x="117"/>
        <item x="562"/>
        <item x="570"/>
        <item x="280"/>
        <item x="632"/>
        <item x="911"/>
        <item x="360"/>
        <item x="305"/>
        <item x="609"/>
        <item x="64"/>
        <item x="460"/>
        <item x="66"/>
        <item x="714"/>
        <item x="564"/>
        <item x="838"/>
        <item x="869"/>
        <item x="494"/>
        <item x="680"/>
        <item x="893"/>
        <item x="191"/>
        <item x="548"/>
        <item x="222"/>
        <item x="708"/>
        <item x="880"/>
        <item x="797"/>
        <item x="574"/>
        <item x="446"/>
        <item x="674"/>
        <item x="362"/>
        <item x="389"/>
        <item x="486"/>
        <item x="354"/>
        <item x="154"/>
        <item x="834"/>
        <item x="669"/>
        <item x="610"/>
        <item x="730"/>
        <item x="695"/>
        <item x="374"/>
        <item x="451"/>
        <item x="898"/>
        <item x="917"/>
        <item x="113"/>
        <item x="189"/>
        <item x="739"/>
        <item x="342"/>
        <item x="864"/>
        <item x="193"/>
        <item x="764"/>
        <item x="220"/>
        <item x="529"/>
        <item x="872"/>
        <item x="857"/>
        <item x="330"/>
        <item x="598"/>
        <item x="477"/>
        <item x="426"/>
        <item x="124"/>
        <item x="466"/>
        <item x="582"/>
        <item x="24"/>
        <item x="752"/>
        <item x="846"/>
        <item x="367"/>
        <item x="103"/>
        <item x="414"/>
        <item x="612"/>
        <item x="59"/>
        <item x="566"/>
        <item x="139"/>
        <item x="635"/>
        <item x="0"/>
        <item x="364"/>
        <item x="736"/>
        <item x="142"/>
        <item x="45"/>
        <item x="12"/>
        <item x="809"/>
        <item x="147"/>
        <item x="245"/>
        <item x="344"/>
        <item x="228"/>
        <item x="68"/>
        <item x="854"/>
        <item x="9"/>
        <item x="23"/>
        <item x="43"/>
        <item x="824"/>
        <item x="29"/>
        <item x="89"/>
        <item x="732"/>
        <item x="34"/>
        <item x="152"/>
        <item x="201"/>
        <item x="644"/>
        <item x="531"/>
        <item x="75"/>
        <item x="217"/>
        <item x="780"/>
        <item x="722"/>
        <item x="246"/>
        <item x="244"/>
        <item x="115"/>
        <item x="696"/>
        <item x="769"/>
        <item x="132"/>
        <item x="777"/>
        <item x="47"/>
        <item x="760"/>
        <item x="99"/>
        <item x="519"/>
        <item x="642"/>
        <item x="170"/>
        <item x="606"/>
        <item x="640"/>
        <item x="321"/>
        <item x="836"/>
        <item x="484"/>
        <item x="296"/>
        <item x="39"/>
        <item x="303"/>
        <item x="190"/>
        <item x="120"/>
        <item x="914"/>
        <item x="234"/>
        <item x="886"/>
        <item x="676"/>
        <item x="868"/>
        <item x="876"/>
        <item x="474"/>
        <item x="814"/>
        <item x="72"/>
        <item x="27"/>
        <item x="686"/>
        <item x="667"/>
        <item x="558"/>
        <item x="613"/>
        <item x="818"/>
        <item x="236"/>
        <item x="278"/>
        <item x="848"/>
        <item x="468"/>
        <item x="840"/>
        <item x="661"/>
        <item x="724"/>
        <item x="783"/>
        <item x="798"/>
        <item x="874"/>
        <item x="346"/>
        <item x="458"/>
        <item x="490"/>
        <item x="274"/>
        <item x="378"/>
        <item x="195"/>
        <item x="286"/>
        <item x="85"/>
        <item x="212"/>
        <item x="162"/>
        <item x="308"/>
        <item x="316"/>
        <item x="545"/>
        <item x="655"/>
        <item x="634"/>
        <item x="52"/>
        <item x="684"/>
        <item x="594"/>
        <item x="554"/>
        <item x="176"/>
        <item x="521"/>
        <item x="592"/>
        <item x="93"/>
        <item x="678"/>
        <item x="481"/>
        <item x="41"/>
        <item x="178"/>
        <item x="168"/>
        <item x="256"/>
        <item x="681"/>
        <item x="434"/>
        <item x="17"/>
        <item x="586"/>
        <item x="382"/>
        <item x="238"/>
        <item x="578"/>
        <item x="194"/>
        <item x="423"/>
        <item x="301"/>
        <item x="420"/>
        <item x="795"/>
        <item x="368"/>
        <item x="224"/>
        <item x="605"/>
        <item x="328"/>
        <item x="158"/>
        <item x="372"/>
        <item x="489"/>
        <item x="544"/>
        <item x="94"/>
        <item x="499"/>
        <item x="897"/>
        <item x="156"/>
        <item x="390"/>
        <item x="16"/>
        <item x="428"/>
        <item x="454"/>
        <item x="448"/>
        <item x="828"/>
        <item x="101"/>
        <item x="356"/>
        <item x="584"/>
        <item x="284"/>
        <item x="430"/>
        <item x="263"/>
        <item x="393"/>
        <item x="57"/>
        <item x="21"/>
        <item x="319"/>
        <item x="79"/>
        <item x="404"/>
        <item x="300"/>
        <item x="148"/>
        <item x="515"/>
        <item x="205"/>
        <item x="782"/>
        <item x="754"/>
        <item x="5"/>
        <item x="358"/>
        <item x="381"/>
        <item x="304"/>
        <item x="785"/>
        <item x="6"/>
        <item x="314"/>
        <item x="383"/>
        <item x="710"/>
        <item x="856"/>
        <item x="231"/>
        <item x="511"/>
        <item x="1"/>
        <item x="510"/>
        <item x="232"/>
        <item x="855"/>
        <item x="709"/>
        <item x="379"/>
        <item x="312"/>
        <item x="4"/>
        <item x="784"/>
        <item x="298"/>
        <item x="376"/>
        <item x="357"/>
        <item x="3"/>
        <item x="753"/>
        <item x="804"/>
        <item x="203"/>
        <item x="514"/>
        <item x="145"/>
        <item x="271"/>
        <item x="403"/>
        <item x="78"/>
        <item x="317"/>
        <item x="18"/>
        <item x="55"/>
        <item x="391"/>
        <item x="260"/>
        <item x="427"/>
        <item x="283"/>
        <item x="583"/>
        <item x="355"/>
        <item x="100"/>
        <item x="827"/>
        <item x="445"/>
        <item x="453"/>
        <item x="424"/>
        <item x="13"/>
        <item x="388"/>
        <item x="155"/>
        <item x="877"/>
        <item x="495"/>
        <item x="95"/>
        <item x="540"/>
        <item x="487"/>
        <item x="371"/>
        <item x="157"/>
        <item x="324"/>
        <item x="603"/>
        <item x="223"/>
        <item x="335"/>
        <item x="794"/>
        <item x="419"/>
        <item x="307"/>
        <item x="421"/>
        <item x="192"/>
        <item x="577"/>
        <item x="237"/>
        <item x="377"/>
        <item x="585"/>
        <item x="14"/>
        <item x="431"/>
        <item x="682"/>
        <item x="251"/>
        <item x="167"/>
        <item x="177"/>
        <item x="40"/>
        <item x="485"/>
        <item x="677"/>
        <item x="92"/>
        <item x="591"/>
        <item x="520"/>
        <item x="175"/>
        <item x="550"/>
        <item x="593"/>
        <item x="683"/>
        <item x="31"/>
        <item x="633"/>
        <item x="659"/>
        <item x="541"/>
        <item x="315"/>
        <item x="310"/>
        <item x="161"/>
        <item x="211"/>
        <item x="84"/>
        <item x="285"/>
        <item x="199"/>
        <item x="375"/>
        <item x="273"/>
        <item x="488"/>
        <item x="457"/>
        <item x="345"/>
        <item x="873"/>
        <item x="799"/>
        <item x="781"/>
        <item x="723"/>
        <item x="657"/>
        <item x="839"/>
        <item x="467"/>
        <item x="847"/>
        <item x="277"/>
        <item x="235"/>
        <item x="815"/>
        <item x="611"/>
        <item x="557"/>
        <item x="663"/>
        <item x="685"/>
        <item x="25"/>
        <item x="70"/>
        <item x="813"/>
        <item x="471"/>
        <item x="875"/>
        <item x="867"/>
        <item x="675"/>
        <item x="885"/>
        <item x="233"/>
        <item x="913"/>
        <item x="77"/>
        <item x="186"/>
        <item x="297"/>
        <item x="38"/>
        <item x="295"/>
        <item x="480"/>
        <item x="835"/>
        <item x="318"/>
        <item x="639"/>
        <item x="604"/>
        <item x="169"/>
        <item x="641"/>
        <item x="518"/>
        <item x="98"/>
        <item x="759"/>
        <item x="46"/>
        <item x="775"/>
        <item x="127"/>
        <item x="767"/>
        <item x="692"/>
        <item x="114"/>
        <item x="207"/>
        <item x="209"/>
        <item x="721"/>
        <item x="778"/>
        <item x="218"/>
        <item x="73"/>
        <item x="534"/>
        <item x="643"/>
        <item x="197"/>
        <item x="151"/>
        <item x="32"/>
        <item x="731"/>
        <item x="88"/>
        <item x="26"/>
        <item x="819"/>
        <item x="42"/>
        <item x="20"/>
        <item x="11"/>
        <item x="853"/>
        <item x="67"/>
        <item x="227"/>
        <item x="343"/>
        <item x="208"/>
        <item x="143"/>
        <item x="806"/>
        <item x="10"/>
        <item x="44"/>
        <item x="146"/>
        <item x="734"/>
        <item x="363"/>
        <item x="2"/>
        <item x="636"/>
        <item x="136"/>
        <item x="565"/>
        <item x="56"/>
        <item x="615"/>
        <item x="413"/>
        <item x="102"/>
        <item x="334"/>
        <item x="845"/>
        <item x="751"/>
        <item x="22"/>
        <item x="581"/>
        <item x="465"/>
        <item x="121"/>
        <item x="422"/>
        <item x="475"/>
        <item x="597"/>
        <item x="327"/>
        <item x="858"/>
        <item x="870"/>
        <item x="527"/>
        <item x="219"/>
        <item x="761"/>
        <item x="188"/>
        <item x="863"/>
        <item x="341"/>
        <item x="742"/>
        <item x="185"/>
        <item x="112"/>
        <item x="915"/>
        <item x="878"/>
        <item x="452"/>
        <item x="373"/>
        <item x="690"/>
        <item x="728"/>
        <item x="608"/>
        <item x="665"/>
        <item x="833"/>
        <item x="153"/>
        <item x="353"/>
        <item x="483"/>
        <item x="387"/>
        <item x="361"/>
        <item x="673"/>
        <item x="443"/>
        <item x="573"/>
        <item x="796"/>
        <item x="879"/>
        <item x="707"/>
        <item x="221"/>
        <item x="547"/>
        <item x="187"/>
        <item x="894"/>
        <item x="679"/>
        <item x="491"/>
        <item x="871"/>
        <item x="837"/>
        <item x="563"/>
        <item x="713"/>
        <item x="63"/>
        <item x="459"/>
        <item x="61"/>
        <item x="607"/>
        <item x="299"/>
        <item x="359"/>
        <item x="907"/>
        <item x="629"/>
        <item x="279"/>
        <item x="569"/>
        <item x="561"/>
        <item x="116"/>
        <item x="399"/>
        <item x="575"/>
        <item x="587"/>
        <item x="687"/>
        <item x="28"/>
        <item x="537"/>
        <item x="906"/>
        <item x="522"/>
        <item x="745"/>
        <item x="332"/>
        <item x="215"/>
        <item x="738"/>
        <item x="48"/>
        <item x="883"/>
        <item x="110"/>
        <item x="831"/>
        <item x="229"/>
        <item x="701"/>
        <item x="811"/>
        <item x="417"/>
        <item x="841"/>
        <item x="533"/>
        <item x="516"/>
        <item x="289"/>
        <item x="504"/>
        <item x="392"/>
        <item x="830"/>
        <item x="843"/>
        <item x="159"/>
        <item x="173"/>
        <item x="508"/>
        <item x="901"/>
        <item x="851"/>
        <item x="895"/>
        <item x="339"/>
        <item x="816"/>
        <item x="291"/>
        <item x="196"/>
        <item x="239"/>
        <item x="380"/>
        <item x="891"/>
        <item x="130"/>
        <item x="415"/>
        <item x="331"/>
        <item x="62"/>
        <item x="36"/>
        <item x="820"/>
        <item x="80"/>
        <item x="567"/>
        <item x="805"/>
        <item x="450"/>
        <item x="887"/>
        <item x="326"/>
        <item x="149"/>
        <item x="470"/>
        <item x="737"/>
        <item x="438"/>
        <item x="444"/>
        <item x="861"/>
        <item x="311"/>
        <item x="163"/>
        <item x="571"/>
        <item x="918"/>
        <item x="293"/>
        <item x="793"/>
        <item x="411"/>
        <item x="135"/>
        <item x="539"/>
        <item x="322"/>
        <item x="715"/>
        <item x="628"/>
        <item x="637"/>
        <item x="559"/>
        <item x="595"/>
        <item x="272"/>
        <item x="653"/>
        <item x="916"/>
        <item x="265"/>
        <item x="909"/>
        <item x="652"/>
        <item x="616"/>
        <item x="275"/>
        <item x="306"/>
        <item x="266"/>
        <item x="492"/>
        <item x="671"/>
        <item x="694"/>
        <item x="241"/>
        <item x="528"/>
        <item x="74"/>
        <item x="250"/>
        <item x="506"/>
        <item x="525"/>
        <item x="437"/>
        <item x="493"/>
        <item x="210"/>
        <item x="889"/>
        <item x="183"/>
        <item x="703"/>
        <item x="179"/>
        <item x="432"/>
        <item x="365"/>
        <item x="902"/>
        <item x="551"/>
        <item x="699"/>
        <item x="50"/>
        <item x="104"/>
        <item x="512"/>
        <item x="171"/>
        <item x="405"/>
        <item x="476"/>
        <item x="138"/>
        <item x="743"/>
        <item x="849"/>
        <item x="621"/>
        <item x="336"/>
        <item x="627"/>
        <item x="433"/>
        <item x="727"/>
        <item x="385"/>
        <item x="881"/>
        <item x="649"/>
        <item x="502"/>
        <item x="401"/>
        <item x="618"/>
        <item x="86"/>
        <item x="254"/>
        <item x="776"/>
        <item x="82"/>
        <item x="733"/>
        <item x="749"/>
        <item x="7"/>
        <item x="425"/>
        <item x="919"/>
        <item x="656"/>
        <item x="647"/>
        <item x="479"/>
        <item x="717"/>
        <item x="15"/>
        <item x="552"/>
        <item x="408"/>
        <item x="719"/>
        <item x="253"/>
        <item x="693"/>
        <item x="704"/>
        <item x="614"/>
        <item x="542"/>
        <item x="645"/>
        <item x="247"/>
        <item x="498"/>
        <item x="790"/>
        <item x="69"/>
        <item x="658"/>
        <item x="281"/>
        <item x="90"/>
        <item x="439"/>
        <item x="53"/>
        <item x="126"/>
        <item x="763"/>
        <item x="772"/>
        <item x="599"/>
        <item x="711"/>
        <item x="501"/>
        <item x="762"/>
        <item x="108"/>
        <item x="243"/>
        <item x="96"/>
        <item x="726"/>
        <item x="817"/>
        <item x="555"/>
        <item x="859"/>
        <item x="287"/>
        <item x="905"/>
        <item x="469"/>
        <item x="755"/>
        <item x="455"/>
        <item x="122"/>
        <item x="768"/>
        <item x="394"/>
        <item x="670"/>
        <item x="807"/>
        <item x="269"/>
        <item x="463"/>
        <item x="349"/>
        <item x="771"/>
        <item x="397"/>
        <item x="549"/>
        <item x="821"/>
        <item x="410"/>
        <item x="337"/>
        <item x="865"/>
        <item x="800"/>
        <item x="259"/>
        <item x="262"/>
        <item x="461"/>
        <item x="757"/>
        <item x="123"/>
        <item x="532"/>
        <item x="747"/>
        <item x="204"/>
        <item x="351"/>
        <item x="787"/>
        <item x="347"/>
        <item x="165"/>
        <item x="896"/>
        <item x="622"/>
        <item x="320"/>
        <item x="106"/>
        <item x="213"/>
        <item x="225"/>
        <item x="802"/>
        <item x="76"/>
        <item x="788"/>
        <item x="58"/>
        <item x="180"/>
        <item x="128"/>
        <item x="662"/>
        <item x="33"/>
        <item x="579"/>
        <item x="623"/>
        <item x="198"/>
        <item x="589"/>
        <item x="668"/>
        <item x="141"/>
        <item x="923"/>
        <item t="default"/>
      </items>
    </pivotField>
  </pivotFields>
  <rowFields count="1">
    <field x="0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AMOUNT" fld="1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EZ1242"/>
  <sheetViews>
    <sheetView tabSelected="1" zoomScaleNormal="100" zoomScaleSheetLayoutView="100" workbookViewId="0">
      <pane xSplit="4" ySplit="1" topLeftCell="E87" activePane="bottomRight" state="frozen"/>
      <selection pane="topRight" activeCell="C1" sqref="C1"/>
      <selection pane="bottomLeft" activeCell="A2" sqref="A2"/>
      <selection pane="bottomRight" activeCell="K102" sqref="K102"/>
    </sheetView>
  </sheetViews>
  <sheetFormatPr defaultRowHeight="12" outlineLevelCol="1"/>
  <cols>
    <col min="1" max="1" width="22.5" style="28" bestFit="1" customWidth="1"/>
    <col min="2" max="2" width="22.375" style="28" customWidth="1"/>
    <col min="3" max="3" width="11.625" style="28" customWidth="1"/>
    <col min="4" max="4" width="43.375" style="56" customWidth="1"/>
    <col min="5" max="5" width="23.75" style="32" customWidth="1"/>
    <col min="6" max="6" width="7.75" style="28" bestFit="1" customWidth="1"/>
    <col min="7" max="7" width="8" style="28" bestFit="1" customWidth="1"/>
    <col min="8" max="8" width="7.875" style="28" bestFit="1" customWidth="1"/>
    <col min="9" max="10" width="7.875" style="28" customWidth="1"/>
    <col min="11" max="11" width="37.75" style="28" customWidth="1"/>
    <col min="12" max="12" width="8.125" style="28" hidden="1" customWidth="1" outlineLevel="1"/>
    <col min="13" max="13" width="5.375" style="28" hidden="1" customWidth="1" outlineLevel="1"/>
    <col min="14" max="14" width="13.875" style="28" hidden="1" customWidth="1" outlineLevel="1"/>
    <col min="15" max="15" width="13" style="28" hidden="1" customWidth="1" outlineLevel="1"/>
    <col min="16" max="16" width="9" style="28" collapsed="1"/>
    <col min="17" max="16384" width="9" style="28"/>
  </cols>
  <sheetData>
    <row r="1" spans="1:16" ht="24">
      <c r="A1" s="1" t="s">
        <v>1399</v>
      </c>
      <c r="B1" s="1" t="s">
        <v>0</v>
      </c>
      <c r="C1" s="1" t="s">
        <v>3539</v>
      </c>
      <c r="D1" s="54" t="s">
        <v>14</v>
      </c>
      <c r="E1" s="2" t="s">
        <v>3390</v>
      </c>
      <c r="F1" s="2" t="s">
        <v>1438</v>
      </c>
      <c r="G1" s="2" t="s">
        <v>1439</v>
      </c>
      <c r="H1" s="2" t="s">
        <v>3396</v>
      </c>
      <c r="I1" s="2" t="s">
        <v>3543</v>
      </c>
      <c r="J1" s="2" t="s">
        <v>5391</v>
      </c>
      <c r="K1" s="2" t="s">
        <v>875</v>
      </c>
      <c r="L1" s="2" t="s">
        <v>3439</v>
      </c>
      <c r="M1" s="28" t="s">
        <v>3397</v>
      </c>
      <c r="N1" s="28" t="s">
        <v>3398</v>
      </c>
      <c r="O1" s="12" t="s">
        <v>3438</v>
      </c>
      <c r="P1" s="88" t="s">
        <v>4777</v>
      </c>
    </row>
    <row r="2" spans="1:16" s="29" customFormat="1">
      <c r="A2" s="17" t="s">
        <v>2</v>
      </c>
      <c r="B2" s="17">
        <v>1000002000</v>
      </c>
      <c r="C2" s="73" t="s">
        <v>3577</v>
      </c>
      <c r="D2" s="3" t="s">
        <v>36</v>
      </c>
      <c r="E2" s="17" t="s">
        <v>2193</v>
      </c>
      <c r="F2" s="17" t="s">
        <v>3528</v>
      </c>
      <c r="G2" s="17" t="s">
        <v>3528</v>
      </c>
      <c r="H2" s="17" t="s">
        <v>3529</v>
      </c>
      <c r="I2" s="17" t="s">
        <v>3544</v>
      </c>
      <c r="J2" s="17" t="s">
        <v>9</v>
      </c>
      <c r="K2" s="49" t="s">
        <v>894</v>
      </c>
      <c r="L2" s="4" t="str">
        <f ca="1">IF(ISERROR(VLOOKUP(B2,'ETL Scope'!I:I,1,0)),"NA","ETL")</f>
        <v>NA</v>
      </c>
      <c r="M2" s="29">
        <f ca="1">COUNTIF('Data-WK'!A:A,'V1'!B:B)</f>
        <v>1</v>
      </c>
      <c r="N2" s="29" t="e">
        <f ca="1">VLOOKUP(E2,'IFRS only'!A:A,1,0)</f>
        <v>#N/A</v>
      </c>
      <c r="P2" s="89"/>
    </row>
    <row r="3" spans="1:16" s="29" customFormat="1">
      <c r="A3" s="17" t="s">
        <v>2</v>
      </c>
      <c r="B3" s="17">
        <v>1000002010</v>
      </c>
      <c r="C3" s="73" t="s">
        <v>3577</v>
      </c>
      <c r="D3" s="3" t="s">
        <v>37</v>
      </c>
      <c r="E3" s="17" t="s">
        <v>2194</v>
      </c>
      <c r="F3" s="17" t="s">
        <v>3528</v>
      </c>
      <c r="G3" s="17" t="s">
        <v>3528</v>
      </c>
      <c r="H3" s="17" t="s">
        <v>3529</v>
      </c>
      <c r="I3" s="17" t="s">
        <v>3544</v>
      </c>
      <c r="J3" s="17" t="s">
        <v>9</v>
      </c>
      <c r="K3" s="49" t="s">
        <v>895</v>
      </c>
      <c r="L3" s="4" t="str">
        <f ca="1">IF(ISERROR(VLOOKUP(B3,'ETL Scope'!I:I,1,0)),"NA","ETL")</f>
        <v>NA</v>
      </c>
      <c r="M3" s="29">
        <f ca="1">COUNTIF('Data-WK'!A:A,'V1'!B:B)</f>
        <v>1</v>
      </c>
      <c r="N3" s="29" t="e">
        <f ca="1">VLOOKUP(E3,'IFRS only'!A:A,1,0)</f>
        <v>#N/A</v>
      </c>
      <c r="P3" s="89"/>
    </row>
    <row r="4" spans="1:16" s="29" customFormat="1" ht="12" customHeight="1">
      <c r="A4" s="17" t="s">
        <v>2</v>
      </c>
      <c r="B4" s="17">
        <v>1000002020</v>
      </c>
      <c r="C4" s="73" t="s">
        <v>3577</v>
      </c>
      <c r="D4" s="86" t="s">
        <v>5667</v>
      </c>
      <c r="E4" s="17" t="s">
        <v>2195</v>
      </c>
      <c r="F4" s="17" t="s">
        <v>3528</v>
      </c>
      <c r="G4" s="17" t="s">
        <v>3528</v>
      </c>
      <c r="H4" s="17" t="s">
        <v>3529</v>
      </c>
      <c r="I4" s="17" t="s">
        <v>3545</v>
      </c>
      <c r="J4" s="17" t="s">
        <v>9</v>
      </c>
      <c r="K4" s="49" t="s">
        <v>5816</v>
      </c>
      <c r="L4" s="4" t="str">
        <f ca="1">IF(ISERROR(VLOOKUP(B4,'ETL Scope'!I:I,1,0)),"NA","ETL")</f>
        <v>NA</v>
      </c>
      <c r="M4" s="29">
        <f ca="1">COUNTIF('Data-WK'!A:A,'V1'!B:B)</f>
        <v>1</v>
      </c>
      <c r="N4" s="29" t="e">
        <f ca="1">VLOOKUP(E4,'IFRS only'!A:A,1,0)</f>
        <v>#N/A</v>
      </c>
      <c r="P4" s="89"/>
    </row>
    <row r="5" spans="1:16" s="29" customFormat="1" ht="12" customHeight="1">
      <c r="A5" s="17" t="s">
        <v>2</v>
      </c>
      <c r="B5" s="17">
        <v>1010000000</v>
      </c>
      <c r="C5" s="73" t="s">
        <v>4424</v>
      </c>
      <c r="D5" s="86" t="s">
        <v>5668</v>
      </c>
      <c r="E5" s="17" t="s">
        <v>2192</v>
      </c>
      <c r="F5" s="17" t="s">
        <v>3529</v>
      </c>
      <c r="G5" s="17" t="s">
        <v>3528</v>
      </c>
      <c r="H5" s="17" t="s">
        <v>3529</v>
      </c>
      <c r="I5" s="17" t="s">
        <v>3544</v>
      </c>
      <c r="J5" s="17" t="s">
        <v>9</v>
      </c>
      <c r="K5" s="49" t="s">
        <v>893</v>
      </c>
      <c r="L5" s="4" t="str">
        <f ca="1">IF(ISERROR(VLOOKUP(B5,'ETL Scope'!I:I,1,0)),"NA","ETL")</f>
        <v>NA</v>
      </c>
      <c r="M5" s="29">
        <f ca="1">COUNTIF('Data-WK'!A:A,'V1'!B:B)</f>
        <v>1</v>
      </c>
      <c r="N5" s="29" t="str">
        <f ca="1">VLOOKUP(E5,'IFRS only'!A:A,1,0)</f>
        <v>120506</v>
      </c>
      <c r="P5" s="89"/>
    </row>
    <row r="6" spans="1:16" s="29" customFormat="1" ht="12" customHeight="1">
      <c r="A6" s="17" t="s">
        <v>2</v>
      </c>
      <c r="B6" s="17">
        <v>1010002000</v>
      </c>
      <c r="C6" s="73" t="s">
        <v>4424</v>
      </c>
      <c r="D6" s="3" t="s">
        <v>5307</v>
      </c>
      <c r="E6" s="17" t="s">
        <v>2188</v>
      </c>
      <c r="F6" s="17" t="s">
        <v>3528</v>
      </c>
      <c r="G6" s="17" t="s">
        <v>3528</v>
      </c>
      <c r="H6" s="17" t="s">
        <v>3529</v>
      </c>
      <c r="I6" s="17" t="s">
        <v>3544</v>
      </c>
      <c r="J6" s="17" t="s">
        <v>9</v>
      </c>
      <c r="K6" s="49" t="s">
        <v>887</v>
      </c>
      <c r="L6" s="4" t="str">
        <f ca="1">IF(ISERROR(VLOOKUP(B6,'ETL Scope'!I:I,1,0)),"NA","ETL")</f>
        <v>NA</v>
      </c>
      <c r="M6" s="29">
        <f ca="1">COUNTIF('Data-WK'!A:A,'V1'!B:B)</f>
        <v>7</v>
      </c>
      <c r="N6" s="29" t="e">
        <f ca="1">VLOOKUP(E6,'IFRS only'!A:A,1,0)</f>
        <v>#N/A</v>
      </c>
      <c r="P6" s="89"/>
    </row>
    <row r="7" spans="1:16" s="29" customFormat="1">
      <c r="A7" s="17" t="s">
        <v>2</v>
      </c>
      <c r="B7" s="17">
        <v>1010002010</v>
      </c>
      <c r="C7" s="73" t="s">
        <v>4424</v>
      </c>
      <c r="D7" s="3" t="s">
        <v>5308</v>
      </c>
      <c r="E7" s="17" t="s">
        <v>2189</v>
      </c>
      <c r="F7" s="17" t="s">
        <v>3528</v>
      </c>
      <c r="G7" s="17" t="s">
        <v>3528</v>
      </c>
      <c r="H7" s="17" t="s">
        <v>3529</v>
      </c>
      <c r="I7" s="17" t="s">
        <v>3544</v>
      </c>
      <c r="J7" s="17" t="s">
        <v>9</v>
      </c>
      <c r="K7" s="49" t="s">
        <v>890</v>
      </c>
      <c r="L7" s="4" t="str">
        <f ca="1">IF(ISERROR(VLOOKUP(B7,'ETL Scope'!I:I,1,0)),"NA","ETL")</f>
        <v>NA</v>
      </c>
      <c r="M7" s="29">
        <f ca="1">COUNTIF('Data-WK'!A:A,'V1'!B:B)</f>
        <v>6</v>
      </c>
      <c r="N7" s="29" t="e">
        <f ca="1">VLOOKUP(E7,'IFRS only'!A:A,1,0)</f>
        <v>#N/A</v>
      </c>
      <c r="P7" s="89"/>
    </row>
    <row r="8" spans="1:16" s="29" customFormat="1" ht="12" customHeight="1">
      <c r="A8" s="17" t="s">
        <v>2</v>
      </c>
      <c r="B8" s="17">
        <v>1010002020</v>
      </c>
      <c r="C8" s="73" t="s">
        <v>4424</v>
      </c>
      <c r="D8" s="3" t="s">
        <v>5309</v>
      </c>
      <c r="E8" s="17" t="s">
        <v>2190</v>
      </c>
      <c r="F8" s="17" t="s">
        <v>3528</v>
      </c>
      <c r="G8" s="17" t="s">
        <v>3528</v>
      </c>
      <c r="H8" s="17" t="s">
        <v>3529</v>
      </c>
      <c r="I8" s="17" t="s">
        <v>3544</v>
      </c>
      <c r="J8" s="17" t="s">
        <v>9</v>
      </c>
      <c r="K8" s="49" t="s">
        <v>891</v>
      </c>
      <c r="L8" s="4" t="str">
        <f ca="1">IF(ISERROR(VLOOKUP(B8,'ETL Scope'!I:I,1,0)),"NA","ETL")</f>
        <v>NA</v>
      </c>
      <c r="M8" s="29">
        <f ca="1">COUNTIF('Data-WK'!A:A,'V1'!B:B)</f>
        <v>7</v>
      </c>
      <c r="N8" s="29" t="e">
        <f ca="1">VLOOKUP(E8,'IFRS only'!A:A,1,0)</f>
        <v>#N/A</v>
      </c>
      <c r="P8" s="89"/>
    </row>
    <row r="9" spans="1:16" s="29" customFormat="1" ht="12" customHeight="1">
      <c r="A9" s="17" t="s">
        <v>2</v>
      </c>
      <c r="B9" s="17">
        <v>1010002021</v>
      </c>
      <c r="C9" s="73" t="s">
        <v>4424</v>
      </c>
      <c r="D9" s="86" t="s">
        <v>5669</v>
      </c>
      <c r="E9" s="17" t="s">
        <v>2190</v>
      </c>
      <c r="F9" s="17" t="s">
        <v>1544</v>
      </c>
      <c r="G9" s="17" t="s">
        <v>3525</v>
      </c>
      <c r="H9" s="17" t="s">
        <v>3525</v>
      </c>
      <c r="I9" s="17" t="s">
        <v>3525</v>
      </c>
      <c r="J9" s="17" t="s">
        <v>9</v>
      </c>
      <c r="K9" s="49" t="s">
        <v>891</v>
      </c>
      <c r="L9" s="4" t="str">
        <f ca="1">IF(ISERROR(VLOOKUP(B9,'ETL Scope'!I:I,1,0)),"NA","ETL")</f>
        <v>NA</v>
      </c>
      <c r="M9" s="29">
        <f ca="1">COUNTIF('Data-WK'!A:A,'V1'!B:B)</f>
        <v>0</v>
      </c>
      <c r="N9" s="29" t="e">
        <f ca="1">VLOOKUP(E9,'IFRS only'!A:A,1,0)</f>
        <v>#N/A</v>
      </c>
      <c r="P9" s="89"/>
    </row>
    <row r="10" spans="1:16" s="29" customFormat="1" ht="12" customHeight="1">
      <c r="A10" s="17" t="s">
        <v>2</v>
      </c>
      <c r="B10" s="17">
        <v>1010002030</v>
      </c>
      <c r="C10" s="73" t="s">
        <v>4424</v>
      </c>
      <c r="D10" s="86" t="s">
        <v>5670</v>
      </c>
      <c r="E10" s="17" t="s">
        <v>2191</v>
      </c>
      <c r="F10" s="17" t="s">
        <v>3528</v>
      </c>
      <c r="G10" s="17" t="s">
        <v>3528</v>
      </c>
      <c r="H10" s="17" t="s">
        <v>3529</v>
      </c>
      <c r="I10" s="17" t="s">
        <v>3544</v>
      </c>
      <c r="J10" s="17" t="s">
        <v>9</v>
      </c>
      <c r="K10" s="49" t="s">
        <v>892</v>
      </c>
      <c r="L10" s="4" t="str">
        <f ca="1">IF(ISERROR(VLOOKUP(B10,'ETL Scope'!I:I,1,0)),"NA","ETL")</f>
        <v>NA</v>
      </c>
      <c r="M10" s="29">
        <f ca="1">COUNTIF('Data-WK'!A:A,'V1'!B:B)</f>
        <v>7</v>
      </c>
      <c r="N10" s="29" t="e">
        <f ca="1">VLOOKUP(E10,'IFRS only'!A:A,1,0)</f>
        <v>#N/A</v>
      </c>
      <c r="P10" s="89"/>
    </row>
    <row r="11" spans="1:16" s="29" customFormat="1">
      <c r="A11" s="17" t="s">
        <v>2</v>
      </c>
      <c r="B11" s="17">
        <v>1030000000</v>
      </c>
      <c r="C11" s="73" t="s">
        <v>4425</v>
      </c>
      <c r="D11" s="3" t="s">
        <v>5310</v>
      </c>
      <c r="E11" s="17" t="s">
        <v>2203</v>
      </c>
      <c r="F11" s="17" t="s">
        <v>9</v>
      </c>
      <c r="G11" s="17" t="s">
        <v>3528</v>
      </c>
      <c r="H11" s="17" t="s">
        <v>3529</v>
      </c>
      <c r="I11" s="17" t="s">
        <v>3544</v>
      </c>
      <c r="J11" s="17" t="s">
        <v>9</v>
      </c>
      <c r="K11" s="49" t="s">
        <v>902</v>
      </c>
      <c r="L11" s="4" t="str">
        <f ca="1">IF(ISERROR(VLOOKUP(B11,'ETL Scope'!I:I,1,0)),"NA","ETL")</f>
        <v>NA</v>
      </c>
      <c r="M11" s="29">
        <f ca="1">COUNTIF('Data-WK'!A:A,'V1'!B:B)</f>
        <v>12</v>
      </c>
      <c r="N11" s="29" t="str">
        <f ca="1">VLOOKUP(E11,'IFRS only'!A:A,1,0)</f>
        <v>121001</v>
      </c>
      <c r="P11" s="89"/>
    </row>
    <row r="12" spans="1:16" s="29" customFormat="1">
      <c r="A12" s="17" t="s">
        <v>2</v>
      </c>
      <c r="B12" s="17">
        <v>1030000010</v>
      </c>
      <c r="C12" s="73" t="s">
        <v>4425</v>
      </c>
      <c r="D12" s="3" t="s">
        <v>5774</v>
      </c>
      <c r="E12" s="51" t="s">
        <v>1484</v>
      </c>
      <c r="F12" s="17" t="s">
        <v>1544</v>
      </c>
      <c r="G12" s="17" t="s">
        <v>1544</v>
      </c>
      <c r="H12" s="17" t="s">
        <v>3525</v>
      </c>
      <c r="I12" s="17" t="s">
        <v>3545</v>
      </c>
      <c r="J12" s="17" t="s">
        <v>3391</v>
      </c>
      <c r="K12" s="49" t="s">
        <v>5399</v>
      </c>
      <c r="L12" s="4" t="str">
        <f ca="1">IF(ISERROR(VLOOKUP(B12,'ETL Scope'!I:I,1,0)),"NA","ETL")</f>
        <v>NA</v>
      </c>
      <c r="M12" s="29">
        <f ca="1">COUNTIF('Data-WK'!A:A,'V1'!B:B)</f>
        <v>0</v>
      </c>
      <c r="N12" s="29" t="e">
        <f ca="1">VLOOKUP(E12,'IFRS only'!A:A,1,0)</f>
        <v>#N/A</v>
      </c>
      <c r="P12" s="89"/>
    </row>
    <row r="13" spans="1:16" s="29" customFormat="1">
      <c r="A13" s="17" t="s">
        <v>2</v>
      </c>
      <c r="B13" s="17">
        <v>1030000020</v>
      </c>
      <c r="C13" s="73" t="s">
        <v>4425</v>
      </c>
      <c r="D13" s="3" t="s">
        <v>5763</v>
      </c>
      <c r="E13" s="17" t="s">
        <v>1952</v>
      </c>
      <c r="F13" s="17" t="s">
        <v>1544</v>
      </c>
      <c r="G13" s="17" t="s">
        <v>1544</v>
      </c>
      <c r="H13" s="17" t="s">
        <v>3525</v>
      </c>
      <c r="I13" s="17" t="s">
        <v>3545</v>
      </c>
      <c r="J13" s="17" t="s">
        <v>5392</v>
      </c>
      <c r="K13" s="49" t="s">
        <v>5399</v>
      </c>
      <c r="L13" s="4" t="str">
        <f ca="1">IF(ISERROR(VLOOKUP(B13,'ETL Scope'!I:I,1,0)),"NA","ETL")</f>
        <v>NA</v>
      </c>
      <c r="M13" s="29">
        <f ca="1">COUNTIF('Data-WK'!A:A,'V1'!B:B)</f>
        <v>0</v>
      </c>
      <c r="N13" s="29" t="e">
        <f ca="1">VLOOKUP(E13,'IFRS only'!A:A,1,0)</f>
        <v>#N/A</v>
      </c>
      <c r="P13" s="89"/>
    </row>
    <row r="14" spans="1:16" s="29" customFormat="1">
      <c r="A14" s="17" t="s">
        <v>1</v>
      </c>
      <c r="B14" s="17">
        <v>1140000000</v>
      </c>
      <c r="C14" s="73" t="s">
        <v>4426</v>
      </c>
      <c r="D14" s="3" t="s">
        <v>4780</v>
      </c>
      <c r="E14" s="17" t="s">
        <v>1541</v>
      </c>
      <c r="F14" s="17" t="s">
        <v>1544</v>
      </c>
      <c r="G14" s="17" t="s">
        <v>1544</v>
      </c>
      <c r="H14" s="17" t="s">
        <v>3525</v>
      </c>
      <c r="I14" s="17" t="s">
        <v>3544</v>
      </c>
      <c r="J14" s="17" t="s">
        <v>9</v>
      </c>
      <c r="K14" s="49" t="s">
        <v>886</v>
      </c>
      <c r="L14" s="4" t="str">
        <f ca="1">IF(ISERROR(VLOOKUP(B14,'ETL Scope'!I:I,1,0)),"NA","ETL")</f>
        <v>NA</v>
      </c>
      <c r="M14" s="29">
        <f ca="1">COUNTIF('Data-WK'!A:A,'V1'!B:B)</f>
        <v>75</v>
      </c>
      <c r="N14" s="29" t="e">
        <f ca="1">VLOOKUP(E14,'IFRS only'!A:A,1,0)</f>
        <v>#VALUE!</v>
      </c>
      <c r="P14" s="89"/>
    </row>
    <row r="15" spans="1:16" s="30" customFormat="1">
      <c r="A15" s="17" t="s">
        <v>1</v>
      </c>
      <c r="B15" s="17">
        <v>1140002000</v>
      </c>
      <c r="C15" s="73" t="s">
        <v>4426</v>
      </c>
      <c r="D15" s="3" t="s">
        <v>5579</v>
      </c>
      <c r="E15" s="17">
        <v>160102</v>
      </c>
      <c r="F15" s="17" t="s">
        <v>3391</v>
      </c>
      <c r="G15" s="17" t="s">
        <v>3391</v>
      </c>
      <c r="H15" s="17" t="s">
        <v>9</v>
      </c>
      <c r="I15" s="17" t="s">
        <v>9</v>
      </c>
      <c r="J15" s="17" t="s">
        <v>9</v>
      </c>
      <c r="K15" s="49" t="s">
        <v>5400</v>
      </c>
      <c r="L15" s="4"/>
      <c r="M15" s="29"/>
      <c r="N15" s="29"/>
      <c r="O15" s="29"/>
      <c r="P15" s="89" t="s">
        <v>5297</v>
      </c>
    </row>
    <row r="16" spans="1:16" s="30" customFormat="1">
      <c r="A16" s="17" t="s">
        <v>1</v>
      </c>
      <c r="B16" s="17">
        <v>1140003000</v>
      </c>
      <c r="C16" s="73" t="s">
        <v>4426</v>
      </c>
      <c r="D16" s="86" t="s">
        <v>5671</v>
      </c>
      <c r="E16" s="17" t="s">
        <v>5296</v>
      </c>
      <c r="F16" s="17" t="s">
        <v>1544</v>
      </c>
      <c r="G16" s="17" t="s">
        <v>1544</v>
      </c>
      <c r="H16" s="17" t="s">
        <v>3525</v>
      </c>
      <c r="I16" s="17" t="s">
        <v>3545</v>
      </c>
      <c r="J16" s="17" t="s">
        <v>9</v>
      </c>
      <c r="K16" s="49" t="s">
        <v>5399</v>
      </c>
      <c r="L16" s="4" t="str">
        <f ca="1">IF(ISERROR(VLOOKUP(B16,'ETL Scope'!I:I,1,0)),"NA","ETL")</f>
        <v>NA</v>
      </c>
      <c r="M16" s="29">
        <f ca="1">COUNTIF('Data-WK'!A:A,'V1'!B:B)</f>
        <v>0</v>
      </c>
      <c r="N16" s="29" t="e">
        <f ca="1">VLOOKUP(E16,'IFRS only'!A:A,1,0)</f>
        <v>#VALUE!</v>
      </c>
      <c r="O16" s="29"/>
      <c r="P16" s="89" t="s">
        <v>5297</v>
      </c>
    </row>
    <row r="17" spans="1:16" s="30" customFormat="1">
      <c r="A17" s="17" t="s">
        <v>1</v>
      </c>
      <c r="B17" s="17">
        <v>1140110000</v>
      </c>
      <c r="C17" s="73" t="s">
        <v>4427</v>
      </c>
      <c r="D17" s="3" t="s">
        <v>5580</v>
      </c>
      <c r="E17" s="17" t="s">
        <v>1540</v>
      </c>
      <c r="F17" s="17" t="s">
        <v>1544</v>
      </c>
      <c r="G17" s="17" t="s">
        <v>1544</v>
      </c>
      <c r="H17" s="17" t="s">
        <v>3525</v>
      </c>
      <c r="I17" s="17" t="s">
        <v>3544</v>
      </c>
      <c r="J17" s="17" t="s">
        <v>9</v>
      </c>
      <c r="K17" s="49" t="s">
        <v>885</v>
      </c>
      <c r="L17" s="4" t="str">
        <f ca="1">IF(ISERROR(VLOOKUP(B17,'ETL Scope'!I:I,1,0)),"NA","ETL")</f>
        <v>NA</v>
      </c>
      <c r="M17" s="29">
        <f ca="1">COUNTIF('Data-WK'!A:A,'V1'!B:B)</f>
        <v>75</v>
      </c>
      <c r="N17" s="29" t="e">
        <f ca="1">VLOOKUP(E17,'IFRS only'!A:A,1,0)</f>
        <v>#VALUE!</v>
      </c>
      <c r="P17" s="89"/>
    </row>
    <row r="18" spans="1:16" s="30" customFormat="1">
      <c r="A18" s="17" t="s">
        <v>2</v>
      </c>
      <c r="B18" s="17">
        <v>1143010000</v>
      </c>
      <c r="C18" s="73" t="s">
        <v>4428</v>
      </c>
      <c r="D18" s="3" t="s">
        <v>5311</v>
      </c>
      <c r="E18" s="17" t="s">
        <v>1959</v>
      </c>
      <c r="F18" s="17" t="s">
        <v>1544</v>
      </c>
      <c r="G18" s="17" t="s">
        <v>1544</v>
      </c>
      <c r="H18" s="17" t="s">
        <v>3525</v>
      </c>
      <c r="I18" s="17" t="s">
        <v>3544</v>
      </c>
      <c r="J18" s="17" t="s">
        <v>9</v>
      </c>
      <c r="K18" s="49" t="s">
        <v>884</v>
      </c>
      <c r="L18" s="4" t="str">
        <f ca="1">IF(ISERROR(VLOOKUP(B18,'ETL Scope'!I:I,1,0)),"NA","ETL")</f>
        <v>NA</v>
      </c>
      <c r="M18" s="29">
        <f ca="1">COUNTIF('Data-WK'!A:A,'V1'!B:B)</f>
        <v>1</v>
      </c>
      <c r="N18" s="29" t="e">
        <f ca="1">VLOOKUP(E18,'IFRS only'!A:A,1,0)</f>
        <v>#N/A</v>
      </c>
      <c r="P18" s="89"/>
    </row>
    <row r="19" spans="1:16" s="29" customFormat="1">
      <c r="A19" s="17" t="s">
        <v>2</v>
      </c>
      <c r="B19" s="17">
        <v>1143011000</v>
      </c>
      <c r="C19" s="73" t="s">
        <v>4428</v>
      </c>
      <c r="D19" s="3" t="s">
        <v>5581</v>
      </c>
      <c r="E19" s="17" t="s">
        <v>1959</v>
      </c>
      <c r="F19" s="17" t="s">
        <v>1544</v>
      </c>
      <c r="G19" s="17" t="s">
        <v>1544</v>
      </c>
      <c r="H19" s="17" t="s">
        <v>3525</v>
      </c>
      <c r="I19" s="17" t="s">
        <v>3545</v>
      </c>
      <c r="J19" s="17" t="s">
        <v>3391</v>
      </c>
      <c r="K19" s="49" t="s">
        <v>881</v>
      </c>
      <c r="L19" s="4" t="str">
        <f ca="1">IF(ISERROR(VLOOKUP(B19,'ETL Scope'!I:I,1,0)),"NA","ETL")</f>
        <v>NA</v>
      </c>
      <c r="M19" s="29">
        <f ca="1">COUNTIF('Data-WK'!A:A,'V1'!B:B)</f>
        <v>1</v>
      </c>
      <c r="N19" s="29" t="e">
        <f ca="1">VLOOKUP(E19,'IFRS only'!A:A,1,0)</f>
        <v>#N/A</v>
      </c>
      <c r="O19" s="30"/>
      <c r="P19" s="89"/>
    </row>
    <row r="20" spans="1:16" s="29" customFormat="1">
      <c r="A20" s="17" t="s">
        <v>2</v>
      </c>
      <c r="B20" s="17">
        <v>1143110000</v>
      </c>
      <c r="C20" s="73" t="s">
        <v>4429</v>
      </c>
      <c r="D20" s="3" t="s">
        <v>5312</v>
      </c>
      <c r="E20" s="17" t="s">
        <v>1959</v>
      </c>
      <c r="F20" s="17" t="s">
        <v>1544</v>
      </c>
      <c r="G20" s="17" t="s">
        <v>1544</v>
      </c>
      <c r="H20" s="17" t="s">
        <v>3525</v>
      </c>
      <c r="I20" s="17" t="s">
        <v>3544</v>
      </c>
      <c r="J20" s="17" t="s">
        <v>9</v>
      </c>
      <c r="K20" s="49" t="s">
        <v>883</v>
      </c>
      <c r="L20" s="4" t="str">
        <f ca="1">IF(ISERROR(VLOOKUP(B20,'ETL Scope'!I:I,1,0)),"NA","ETL")</f>
        <v>NA</v>
      </c>
      <c r="M20" s="29">
        <f ca="1">COUNTIF('Data-WK'!A:A,'V1'!B:B)</f>
        <v>1</v>
      </c>
      <c r="N20" s="29" t="e">
        <f ca="1">VLOOKUP(E20,'IFRS only'!A:A,1,0)</f>
        <v>#N/A</v>
      </c>
      <c r="P20" s="89"/>
    </row>
    <row r="21" spans="1:16" s="29" customFormat="1">
      <c r="A21" s="17" t="s">
        <v>2</v>
      </c>
      <c r="B21" s="17">
        <v>1143111000</v>
      </c>
      <c r="C21" s="73" t="s">
        <v>4429</v>
      </c>
      <c r="D21" s="3" t="s">
        <v>5582</v>
      </c>
      <c r="E21" s="17" t="s">
        <v>1959</v>
      </c>
      <c r="F21" s="17" t="s">
        <v>1544</v>
      </c>
      <c r="G21" s="17" t="s">
        <v>1544</v>
      </c>
      <c r="H21" s="17" t="s">
        <v>3525</v>
      </c>
      <c r="I21" s="17" t="s">
        <v>1544</v>
      </c>
      <c r="J21" s="17" t="s">
        <v>5388</v>
      </c>
      <c r="K21" s="49" t="s">
        <v>880</v>
      </c>
      <c r="L21" s="89"/>
    </row>
    <row r="22" spans="1:16" s="31" customFormat="1">
      <c r="A22" s="17" t="s">
        <v>2</v>
      </c>
      <c r="B22" s="17">
        <v>1240000000</v>
      </c>
      <c r="C22" s="73" t="s">
        <v>4430</v>
      </c>
      <c r="D22" s="3" t="s">
        <v>5313</v>
      </c>
      <c r="E22" s="52" t="s">
        <v>2199</v>
      </c>
      <c r="F22" s="17" t="s">
        <v>3528</v>
      </c>
      <c r="G22" s="17" t="s">
        <v>3528</v>
      </c>
      <c r="H22" s="17" t="s">
        <v>3529</v>
      </c>
      <c r="I22" s="17" t="s">
        <v>3544</v>
      </c>
      <c r="J22" s="17" t="s">
        <v>9</v>
      </c>
      <c r="K22" s="49" t="s">
        <v>898</v>
      </c>
      <c r="L22" s="4" t="str">
        <f ca="1">IF(ISERROR(VLOOKUP(B22,'ETL Scope'!I:I,1,0)),"NA","ETL")</f>
        <v>NA</v>
      </c>
      <c r="M22" s="29">
        <f ca="1">COUNTIF('Data-WK'!A:A,'V1'!B:B)</f>
        <v>1</v>
      </c>
      <c r="N22" s="29" t="e">
        <f ca="1">VLOOKUP(E22,'IFRS only'!A:A,1,0)</f>
        <v>#N/A</v>
      </c>
      <c r="O22" s="29"/>
      <c r="P22" s="89"/>
    </row>
    <row r="23" spans="1:16" s="31" customFormat="1">
      <c r="A23" s="17" t="s">
        <v>3</v>
      </c>
      <c r="B23" s="17">
        <v>1243000000</v>
      </c>
      <c r="C23" s="73" t="s">
        <v>4431</v>
      </c>
      <c r="D23" s="3" t="s">
        <v>39</v>
      </c>
      <c r="E23" s="52" t="s">
        <v>2196</v>
      </c>
      <c r="F23" s="17" t="s">
        <v>3528</v>
      </c>
      <c r="G23" s="17" t="s">
        <v>3528</v>
      </c>
      <c r="H23" s="17" t="s">
        <v>3529</v>
      </c>
      <c r="I23" s="17" t="s">
        <v>3545</v>
      </c>
      <c r="J23" s="17" t="s">
        <v>9</v>
      </c>
      <c r="K23" s="49" t="s">
        <v>897</v>
      </c>
      <c r="L23" s="4" t="str">
        <f ca="1">IF(ISERROR(VLOOKUP(B23,'ETL Scope'!I:I,1,0)),"NA","ETL")</f>
        <v>NA</v>
      </c>
      <c r="M23" s="29">
        <f ca="1">COUNTIF('Data-WK'!A:A,'V1'!B:B)</f>
        <v>1</v>
      </c>
      <c r="N23" s="29" t="e">
        <f ca="1">VLOOKUP(E23,'IFRS only'!A:A,1,0)</f>
        <v>#N/A</v>
      </c>
      <c r="P23" s="89"/>
    </row>
    <row r="24" spans="1:16" s="31" customFormat="1">
      <c r="A24" s="17" t="s">
        <v>2</v>
      </c>
      <c r="B24" s="17">
        <v>1245002000</v>
      </c>
      <c r="C24" s="73" t="s">
        <v>4432</v>
      </c>
      <c r="D24" s="3" t="s">
        <v>5314</v>
      </c>
      <c r="E24" s="52" t="s">
        <v>1545</v>
      </c>
      <c r="F24" s="17" t="s">
        <v>3528</v>
      </c>
      <c r="G24" s="17" t="s">
        <v>3528</v>
      </c>
      <c r="H24" s="17" t="s">
        <v>3529</v>
      </c>
      <c r="I24" s="17" t="s">
        <v>3544</v>
      </c>
      <c r="J24" s="17" t="s">
        <v>9</v>
      </c>
      <c r="K24" s="49" t="s">
        <v>899</v>
      </c>
      <c r="L24" s="4" t="str">
        <f ca="1">IF(ISERROR(VLOOKUP(B24,'ETL Scope'!I:I,1,0)),"NA","ETL")</f>
        <v>NA</v>
      </c>
      <c r="M24" s="29">
        <f ca="1">COUNTIF('Data-WK'!A:A,'V1'!B:B)</f>
        <v>2</v>
      </c>
      <c r="N24" s="29" t="e">
        <f ca="1">VLOOKUP(E24,'IFRS only'!A:A,1,0)</f>
        <v>#N/A</v>
      </c>
      <c r="P24" s="89"/>
    </row>
    <row r="25" spans="1:16" s="31" customFormat="1">
      <c r="A25" s="17" t="s">
        <v>2</v>
      </c>
      <c r="B25" s="17">
        <v>1300000000</v>
      </c>
      <c r="C25" s="73" t="s">
        <v>3614</v>
      </c>
      <c r="D25" s="3" t="s">
        <v>5764</v>
      </c>
      <c r="E25" s="52" t="s">
        <v>5387</v>
      </c>
      <c r="F25" s="17" t="s">
        <v>1544</v>
      </c>
      <c r="G25" s="17" t="s">
        <v>1544</v>
      </c>
      <c r="H25" s="17" t="s">
        <v>3525</v>
      </c>
      <c r="I25" s="17" t="s">
        <v>3544</v>
      </c>
      <c r="J25" s="17" t="s">
        <v>3391</v>
      </c>
      <c r="K25" s="49" t="s">
        <v>878</v>
      </c>
      <c r="L25" s="4" t="str">
        <f ca="1">IF(ISERROR(VLOOKUP(B25,'ETL Scope'!I:I,1,0)),"NA","ETL")</f>
        <v>NA</v>
      </c>
      <c r="M25" s="29">
        <f ca="1">COUNTIF('Data-WK'!A:A,'V1'!B:B)</f>
        <v>3</v>
      </c>
      <c r="N25" s="29" t="e">
        <f ca="1">VLOOKUP(E25,'IFRS only'!A:A,1,0)</f>
        <v>#N/A</v>
      </c>
      <c r="P25" s="89"/>
    </row>
    <row r="26" spans="1:16" s="29" customFormat="1">
      <c r="A26" s="17" t="s">
        <v>2</v>
      </c>
      <c r="B26" s="17">
        <v>1410000110</v>
      </c>
      <c r="C26" s="73" t="s">
        <v>4433</v>
      </c>
      <c r="D26" s="3" t="s">
        <v>4781</v>
      </c>
      <c r="E26" s="53" t="s">
        <v>5385</v>
      </c>
      <c r="F26" s="17" t="s">
        <v>1544</v>
      </c>
      <c r="G26" s="17" t="s">
        <v>1544</v>
      </c>
      <c r="H26" s="17" t="s">
        <v>3525</v>
      </c>
      <c r="I26" s="17" t="s">
        <v>1544</v>
      </c>
      <c r="J26" s="17" t="s">
        <v>9</v>
      </c>
      <c r="K26" s="49" t="s">
        <v>5399</v>
      </c>
      <c r="L26" s="4" t="str">
        <f ca="1">IF(ISERROR(VLOOKUP(B26,'ETL Scope'!I:I,1,0)),"NA","ETL")</f>
        <v>NA</v>
      </c>
      <c r="M26" s="29">
        <f ca="1">COUNTIF('Data-WK'!A:A,'V1'!B:B)</f>
        <v>0</v>
      </c>
      <c r="N26" s="29" t="e">
        <f ca="1">VLOOKUP(E26,'IFRS only'!A:A,1,0)</f>
        <v>#N/A</v>
      </c>
      <c r="P26" s="89"/>
    </row>
    <row r="27" spans="1:16" s="31" customFormat="1">
      <c r="A27" s="17" t="s">
        <v>2</v>
      </c>
      <c r="B27" s="17">
        <v>1410000120</v>
      </c>
      <c r="C27" s="73" t="s">
        <v>4433</v>
      </c>
      <c r="D27" s="3" t="s">
        <v>5583</v>
      </c>
      <c r="E27" s="94" t="s">
        <v>5386</v>
      </c>
      <c r="F27" s="17" t="s">
        <v>1544</v>
      </c>
      <c r="G27" s="17" t="s">
        <v>1544</v>
      </c>
      <c r="H27" s="17" t="s">
        <v>3525</v>
      </c>
      <c r="I27" s="17" t="s">
        <v>1544</v>
      </c>
      <c r="J27" s="17" t="s">
        <v>9</v>
      </c>
      <c r="K27" s="49" t="s">
        <v>5399</v>
      </c>
      <c r="L27" s="4" t="str">
        <f ca="1">IF(ISERROR(VLOOKUP(B27,'ETL Scope'!I:I,1,0)),"NA","ETL")</f>
        <v>NA</v>
      </c>
      <c r="M27" s="29">
        <f ca="1">COUNTIF('Data-WK'!A:A,'V1'!B:B)</f>
        <v>0</v>
      </c>
      <c r="N27" s="29" t="e">
        <f ca="1">VLOOKUP(E27,'IFRS only'!A:A,1,0)</f>
        <v>#N/A</v>
      </c>
      <c r="O27" s="29"/>
      <c r="P27" s="89"/>
    </row>
    <row r="28" spans="1:16" s="31" customFormat="1">
      <c r="A28" s="17" t="s">
        <v>2</v>
      </c>
      <c r="B28" s="17">
        <v>1410000121</v>
      </c>
      <c r="C28" s="73" t="s">
        <v>4433</v>
      </c>
      <c r="D28" s="86" t="s">
        <v>5672</v>
      </c>
      <c r="E28" s="94" t="s">
        <v>5386</v>
      </c>
      <c r="F28" s="17" t="s">
        <v>1544</v>
      </c>
      <c r="G28" s="17" t="s">
        <v>3525</v>
      </c>
      <c r="H28" s="17" t="s">
        <v>3525</v>
      </c>
      <c r="I28" s="17" t="s">
        <v>3525</v>
      </c>
      <c r="J28" s="17" t="s">
        <v>9</v>
      </c>
      <c r="K28" s="49" t="s">
        <v>5399</v>
      </c>
      <c r="L28" s="4" t="str">
        <f ca="1">IF(ISERROR(VLOOKUP(B28,'ETL Scope'!I:I,1,0)),"NA","ETL")</f>
        <v>NA</v>
      </c>
      <c r="M28" s="29">
        <f ca="1">COUNTIF('Data-WK'!A:A,'V1'!B:B)</f>
        <v>0</v>
      </c>
      <c r="N28" s="29" t="e">
        <f ca="1">VLOOKUP(E28,'IFRS only'!A:A,1,0)</f>
        <v>#N/A</v>
      </c>
      <c r="O28" s="29"/>
      <c r="P28" s="89"/>
    </row>
    <row r="29" spans="1:16" s="31" customFormat="1">
      <c r="A29" s="17" t="s">
        <v>2</v>
      </c>
      <c r="B29" s="17">
        <v>1410000130</v>
      </c>
      <c r="C29" s="73" t="s">
        <v>4433</v>
      </c>
      <c r="D29" s="86" t="s">
        <v>5673</v>
      </c>
      <c r="E29" s="17" t="s">
        <v>2191</v>
      </c>
      <c r="F29" s="17" t="s">
        <v>1544</v>
      </c>
      <c r="G29" s="17" t="s">
        <v>1544</v>
      </c>
      <c r="H29" s="17" t="s">
        <v>3525</v>
      </c>
      <c r="I29" s="17" t="s">
        <v>1544</v>
      </c>
      <c r="J29" s="17" t="s">
        <v>9</v>
      </c>
      <c r="K29" s="49" t="s">
        <v>5399</v>
      </c>
      <c r="L29" s="89"/>
    </row>
    <row r="30" spans="1:16" s="31" customFormat="1">
      <c r="A30" s="17" t="s">
        <v>2</v>
      </c>
      <c r="B30" s="17">
        <v>1413000110</v>
      </c>
      <c r="C30" s="73" t="s">
        <v>4434</v>
      </c>
      <c r="D30" s="3" t="s">
        <v>4782</v>
      </c>
      <c r="E30" s="53" t="s">
        <v>1542</v>
      </c>
      <c r="F30" s="17" t="s">
        <v>3526</v>
      </c>
      <c r="G30" s="17" t="s">
        <v>3526</v>
      </c>
      <c r="H30" s="17" t="s">
        <v>3527</v>
      </c>
      <c r="I30" s="17" t="s">
        <v>1544</v>
      </c>
      <c r="J30" s="17" t="s">
        <v>9</v>
      </c>
      <c r="K30" s="49" t="s">
        <v>5399</v>
      </c>
      <c r="L30" s="4" t="str">
        <f ca="1">IF(ISERROR(VLOOKUP(B30,'ETL Scope'!I:I,1,0)),"NA","ETL")</f>
        <v>NA</v>
      </c>
      <c r="M30" s="29">
        <f ca="1">COUNTIF('Data-WK'!A:A,'V1'!B:B)</f>
        <v>0</v>
      </c>
      <c r="N30" s="29" t="e">
        <f ca="1">VLOOKUP(E30,'IFRS only'!A:A,1,0)</f>
        <v>#N/A</v>
      </c>
      <c r="O30" s="29"/>
      <c r="P30" s="89"/>
    </row>
    <row r="31" spans="1:16" s="31" customFormat="1">
      <c r="A31" s="17" t="s">
        <v>2</v>
      </c>
      <c r="B31" s="17">
        <v>1413000120</v>
      </c>
      <c r="C31" s="73" t="s">
        <v>4434</v>
      </c>
      <c r="D31" s="3" t="s">
        <v>5584</v>
      </c>
      <c r="E31" s="94" t="s">
        <v>5386</v>
      </c>
      <c r="F31" s="17" t="s">
        <v>3528</v>
      </c>
      <c r="G31" s="17" t="s">
        <v>3528</v>
      </c>
      <c r="H31" s="17" t="s">
        <v>3525</v>
      </c>
      <c r="I31" s="17" t="s">
        <v>1544</v>
      </c>
      <c r="J31" s="17" t="s">
        <v>9</v>
      </c>
      <c r="K31" s="49" t="s">
        <v>5399</v>
      </c>
      <c r="L31" s="89"/>
      <c r="M31" s="29"/>
      <c r="N31" s="29"/>
      <c r="O31" s="29"/>
      <c r="P31" s="29"/>
    </row>
    <row r="32" spans="1:16" s="31" customFormat="1">
      <c r="A32" s="17" t="s">
        <v>2</v>
      </c>
      <c r="B32" s="17">
        <v>1413000121</v>
      </c>
      <c r="C32" s="73" t="s">
        <v>4434</v>
      </c>
      <c r="D32" s="86" t="s">
        <v>5674</v>
      </c>
      <c r="E32" s="94" t="s">
        <v>5386</v>
      </c>
      <c r="F32" s="17" t="s">
        <v>1544</v>
      </c>
      <c r="G32" s="17" t="s">
        <v>3525</v>
      </c>
      <c r="H32" s="17" t="s">
        <v>3525</v>
      </c>
      <c r="I32" s="17" t="s">
        <v>3525</v>
      </c>
      <c r="J32" s="17" t="s">
        <v>9</v>
      </c>
      <c r="K32" s="49" t="s">
        <v>5399</v>
      </c>
      <c r="L32" s="89"/>
      <c r="M32" s="29"/>
      <c r="N32" s="29"/>
      <c r="O32" s="29"/>
      <c r="P32" s="29"/>
    </row>
    <row r="33" spans="1:16" s="29" customFormat="1">
      <c r="A33" s="17" t="s">
        <v>2</v>
      </c>
      <c r="B33" s="17">
        <v>1413000130</v>
      </c>
      <c r="C33" s="73" t="s">
        <v>4434</v>
      </c>
      <c r="D33" s="86" t="s">
        <v>5675</v>
      </c>
      <c r="E33" s="17" t="s">
        <v>2191</v>
      </c>
      <c r="F33" s="17" t="s">
        <v>3528</v>
      </c>
      <c r="G33" s="17" t="s">
        <v>3528</v>
      </c>
      <c r="H33" s="17" t="s">
        <v>3529</v>
      </c>
      <c r="I33" s="17" t="s">
        <v>1544</v>
      </c>
      <c r="J33" s="17" t="s">
        <v>9</v>
      </c>
      <c r="K33" s="49" t="s">
        <v>5399</v>
      </c>
      <c r="L33" s="4" t="str">
        <f ca="1">IF(ISERROR(VLOOKUP(B33,'ETL Scope'!I:I,1,0)),"NA","ETL")</f>
        <v>NA</v>
      </c>
      <c r="M33" s="29">
        <f ca="1">COUNTIF('Data-WK'!A:A,'V1'!B:B)</f>
        <v>0</v>
      </c>
      <c r="N33" s="29" t="e">
        <f ca="1">VLOOKUP(E33,'IFRS only'!A:A,1,0)</f>
        <v>#N/A</v>
      </c>
      <c r="P33" s="89"/>
    </row>
    <row r="34" spans="1:16" s="29" customFormat="1">
      <c r="A34" s="17" t="s">
        <v>2</v>
      </c>
      <c r="B34" s="17">
        <v>1430000000</v>
      </c>
      <c r="C34" s="73" t="s">
        <v>4435</v>
      </c>
      <c r="D34" s="3" t="s">
        <v>5765</v>
      </c>
      <c r="E34" s="17" t="s">
        <v>2203</v>
      </c>
      <c r="F34" s="17" t="s">
        <v>9</v>
      </c>
      <c r="G34" s="17" t="s">
        <v>3528</v>
      </c>
      <c r="H34" s="17" t="s">
        <v>3529</v>
      </c>
      <c r="I34" s="17" t="s">
        <v>3544</v>
      </c>
      <c r="J34" s="17" t="s">
        <v>3391</v>
      </c>
      <c r="K34" s="49" t="s">
        <v>900</v>
      </c>
      <c r="L34" s="4" t="str">
        <f ca="1">IF(ISERROR(VLOOKUP(B34,'ETL Scope'!I:I,1,0)),"NA","ETL")</f>
        <v>NA</v>
      </c>
      <c r="M34" s="29">
        <f ca="1">COUNTIF('Data-WK'!A:A,'V1'!B:B)</f>
        <v>4</v>
      </c>
      <c r="N34" s="29" t="str">
        <f ca="1">VLOOKUP(E34,'IFRS only'!A:A,1,0)</f>
        <v>121001</v>
      </c>
      <c r="O34" s="31"/>
      <c r="P34" s="89"/>
    </row>
    <row r="35" spans="1:16" s="29" customFormat="1">
      <c r="A35" s="17" t="s">
        <v>2</v>
      </c>
      <c r="B35" s="17">
        <v>1430002010</v>
      </c>
      <c r="C35" s="73" t="s">
        <v>4435</v>
      </c>
      <c r="D35" s="3" t="s">
        <v>5766</v>
      </c>
      <c r="E35" s="50" t="s">
        <v>1951</v>
      </c>
      <c r="F35" s="17" t="s">
        <v>1544</v>
      </c>
      <c r="G35" s="17" t="s">
        <v>1544</v>
      </c>
      <c r="H35" s="17" t="s">
        <v>3525</v>
      </c>
      <c r="I35" s="17" t="s">
        <v>3545</v>
      </c>
      <c r="J35" s="17" t="s">
        <v>5392</v>
      </c>
      <c r="K35" s="49" t="s">
        <v>5399</v>
      </c>
      <c r="L35" s="4" t="str">
        <f ca="1">IF(ISERROR(VLOOKUP(B35,'ETL Scope'!I:I,1,0)),"NA","ETL")</f>
        <v>NA</v>
      </c>
      <c r="M35" s="29">
        <f ca="1">COUNTIF('Data-WK'!A:A,'V1'!B:B)</f>
        <v>0</v>
      </c>
      <c r="N35" s="29" t="e">
        <f ca="1">VLOOKUP(E35,'IFRS only'!A:A,1,0)</f>
        <v>#N/A</v>
      </c>
      <c r="P35" s="89"/>
    </row>
    <row r="36" spans="1:16" s="31" customFormat="1">
      <c r="A36" s="17" t="s">
        <v>2</v>
      </c>
      <c r="B36" s="17">
        <v>1430002020</v>
      </c>
      <c r="C36" s="73" t="s">
        <v>4435</v>
      </c>
      <c r="D36" s="3" t="s">
        <v>5767</v>
      </c>
      <c r="E36" s="17" t="s">
        <v>1952</v>
      </c>
      <c r="F36" s="17" t="s">
        <v>1544</v>
      </c>
      <c r="G36" s="17" t="s">
        <v>1544</v>
      </c>
      <c r="H36" s="17" t="s">
        <v>3525</v>
      </c>
      <c r="I36" s="17" t="s">
        <v>3545</v>
      </c>
      <c r="J36" s="17" t="s">
        <v>5392</v>
      </c>
      <c r="K36" s="49" t="s">
        <v>5399</v>
      </c>
      <c r="L36" s="4" t="str">
        <f ca="1">IF(ISERROR(VLOOKUP(B36,'ETL Scope'!I:I,1,0)),"NA","ETL")</f>
        <v>NA</v>
      </c>
      <c r="M36" s="29">
        <f ca="1">COUNTIF('Data-WK'!A:A,'V1'!B:B)</f>
        <v>0</v>
      </c>
      <c r="N36" s="29" t="e">
        <f ca="1">VLOOKUP(E36,'IFRS only'!A:A,1,0)</f>
        <v>#N/A</v>
      </c>
      <c r="P36" s="89"/>
    </row>
    <row r="37" spans="1:16" s="29" customFormat="1">
      <c r="A37" s="17" t="s">
        <v>2</v>
      </c>
      <c r="B37" s="17">
        <v>1433000000</v>
      </c>
      <c r="C37" s="73" t="s">
        <v>4436</v>
      </c>
      <c r="D37" s="3" t="s">
        <v>5768</v>
      </c>
      <c r="E37" s="17" t="s">
        <v>2203</v>
      </c>
      <c r="F37" s="17" t="s">
        <v>9</v>
      </c>
      <c r="G37" s="17" t="s">
        <v>3528</v>
      </c>
      <c r="H37" s="17" t="s">
        <v>3529</v>
      </c>
      <c r="I37" s="17" t="s">
        <v>3544</v>
      </c>
      <c r="J37" s="17" t="s">
        <v>3391</v>
      </c>
      <c r="K37" s="49" t="s">
        <v>901</v>
      </c>
      <c r="L37" s="4" t="str">
        <f ca="1">IF(ISERROR(VLOOKUP(B37,'ETL Scope'!I:I,1,0)),"NA","ETL")</f>
        <v>NA</v>
      </c>
      <c r="M37" s="29">
        <f ca="1">COUNTIF('Data-WK'!A:A,'V1'!B:B)</f>
        <v>3</v>
      </c>
      <c r="N37" s="29" t="str">
        <f ca="1">VLOOKUP(E37,'IFRS only'!A:A,1,0)</f>
        <v>121001</v>
      </c>
      <c r="O37" s="31"/>
      <c r="P37" s="89"/>
    </row>
    <row r="38" spans="1:16" s="29" customFormat="1">
      <c r="A38" s="17" t="s">
        <v>2</v>
      </c>
      <c r="B38" s="17">
        <v>1433000010</v>
      </c>
      <c r="C38" s="73" t="s">
        <v>4436</v>
      </c>
      <c r="D38" s="3" t="s">
        <v>5769</v>
      </c>
      <c r="E38" s="51" t="s">
        <v>1484</v>
      </c>
      <c r="F38" s="17" t="s">
        <v>1544</v>
      </c>
      <c r="G38" s="17" t="s">
        <v>1544</v>
      </c>
      <c r="H38" s="17" t="s">
        <v>3525</v>
      </c>
      <c r="I38" s="17" t="s">
        <v>3545</v>
      </c>
      <c r="J38" s="17" t="s">
        <v>3391</v>
      </c>
      <c r="K38" s="49" t="s">
        <v>5399</v>
      </c>
      <c r="L38" s="4" t="str">
        <f ca="1">IF(ISERROR(VLOOKUP(B38,'ETL Scope'!I:I,1,0)),"NA","ETL")</f>
        <v>NA</v>
      </c>
      <c r="M38" s="29">
        <f ca="1">COUNTIF('Data-WK'!A:A,'V1'!B:B)</f>
        <v>0</v>
      </c>
      <c r="N38" s="29" t="e">
        <f ca="1">VLOOKUP(E38,'IFRS only'!A:A,1,0)</f>
        <v>#N/A</v>
      </c>
      <c r="P38" s="89"/>
    </row>
    <row r="39" spans="1:16" s="29" customFormat="1">
      <c r="A39" s="17" t="s">
        <v>2</v>
      </c>
      <c r="B39" s="17">
        <v>1433000020</v>
      </c>
      <c r="C39" s="73" t="s">
        <v>4436</v>
      </c>
      <c r="D39" s="3" t="s">
        <v>5770</v>
      </c>
      <c r="E39" s="17" t="s">
        <v>1952</v>
      </c>
      <c r="F39" s="17" t="s">
        <v>1544</v>
      </c>
      <c r="G39" s="17" t="s">
        <v>1544</v>
      </c>
      <c r="H39" s="17" t="s">
        <v>3525</v>
      </c>
      <c r="I39" s="17" t="s">
        <v>3545</v>
      </c>
      <c r="J39" s="17" t="s">
        <v>5392</v>
      </c>
      <c r="K39" s="49" t="s">
        <v>5399</v>
      </c>
      <c r="L39" s="4" t="str">
        <f ca="1">IF(ISERROR(VLOOKUP(B39,'ETL Scope'!I:I,1,0)),"NA","ETL")</f>
        <v>NA</v>
      </c>
      <c r="M39" s="29">
        <f ca="1">COUNTIF('Data-WK'!A:A,'V1'!B:B)</f>
        <v>0</v>
      </c>
      <c r="N39" s="29" t="e">
        <f ca="1">VLOOKUP(E39,'IFRS only'!A:A,1,0)</f>
        <v>#N/A</v>
      </c>
      <c r="P39" s="89"/>
    </row>
    <row r="40" spans="1:16" s="29" customFormat="1">
      <c r="A40" s="17" t="s">
        <v>2</v>
      </c>
      <c r="B40" s="17">
        <v>1444000000</v>
      </c>
      <c r="C40" s="73" t="s">
        <v>4437</v>
      </c>
      <c r="D40" s="3" t="s">
        <v>4783</v>
      </c>
      <c r="E40" s="17" t="s">
        <v>2188</v>
      </c>
      <c r="F40" s="17" t="s">
        <v>3528</v>
      </c>
      <c r="G40" s="17" t="s">
        <v>3528</v>
      </c>
      <c r="H40" s="17" t="s">
        <v>3529</v>
      </c>
      <c r="I40" s="17" t="s">
        <v>3544</v>
      </c>
      <c r="J40" s="17" t="s">
        <v>9</v>
      </c>
      <c r="K40" s="49" t="s">
        <v>889</v>
      </c>
      <c r="L40" s="4" t="str">
        <f ca="1">IF(ISERROR(VLOOKUP(B40,'ETL Scope'!I:I,1,0)),"NA","ETL")</f>
        <v>NA</v>
      </c>
      <c r="M40" s="29">
        <f ca="1">COUNTIF('Data-WK'!A:A,'V1'!B:B)</f>
        <v>1</v>
      </c>
      <c r="N40" s="29" t="e">
        <f ca="1">VLOOKUP(E40,'IFRS only'!A:A,1,0)</f>
        <v>#N/A</v>
      </c>
      <c r="P40" s="89"/>
    </row>
    <row r="41" spans="1:16" s="31" customFormat="1">
      <c r="A41" s="17" t="s">
        <v>2</v>
      </c>
      <c r="B41" s="17">
        <v>1444100000</v>
      </c>
      <c r="C41" s="73" t="s">
        <v>4438</v>
      </c>
      <c r="D41" s="3" t="s">
        <v>4784</v>
      </c>
      <c r="E41" s="17" t="s">
        <v>2188</v>
      </c>
      <c r="F41" s="17" t="s">
        <v>3528</v>
      </c>
      <c r="G41" s="17" t="s">
        <v>3528</v>
      </c>
      <c r="H41" s="17" t="s">
        <v>3529</v>
      </c>
      <c r="I41" s="17" t="s">
        <v>3544</v>
      </c>
      <c r="J41" s="17" t="s">
        <v>9</v>
      </c>
      <c r="K41" s="49" t="s">
        <v>888</v>
      </c>
      <c r="L41" s="4" t="str">
        <f ca="1">IF(ISERROR(VLOOKUP(B41,'ETL Scope'!I:I,1,0)),"NA","ETL")</f>
        <v>NA</v>
      </c>
      <c r="M41" s="29">
        <f ca="1">COUNTIF('Data-WK'!A:A,'V1'!B:B)</f>
        <v>1</v>
      </c>
      <c r="N41" s="29" t="e">
        <f ca="1">VLOOKUP(E41,'IFRS only'!A:A,1,0)</f>
        <v>#N/A</v>
      </c>
      <c r="P41" s="89"/>
    </row>
    <row r="42" spans="1:16" s="31" customFormat="1">
      <c r="A42" s="17" t="s">
        <v>2</v>
      </c>
      <c r="B42" s="17">
        <v>1444101500</v>
      </c>
      <c r="C42" s="73" t="s">
        <v>4438</v>
      </c>
      <c r="D42" s="3" t="s">
        <v>5771</v>
      </c>
      <c r="E42" s="51" t="s">
        <v>1484</v>
      </c>
      <c r="F42" s="17" t="s">
        <v>1544</v>
      </c>
      <c r="G42" s="17" t="s">
        <v>1544</v>
      </c>
      <c r="H42" s="17" t="s">
        <v>3525</v>
      </c>
      <c r="I42" s="17" t="s">
        <v>3545</v>
      </c>
      <c r="J42" s="17" t="s">
        <v>3391</v>
      </c>
      <c r="K42" s="49" t="s">
        <v>877</v>
      </c>
      <c r="L42" s="4" t="str">
        <f ca="1">IF(ISERROR(VLOOKUP(B42,'ETL Scope'!I:I,1,0)),"NA","ETL")</f>
        <v>NA</v>
      </c>
      <c r="M42" s="29">
        <f ca="1">COUNTIF('Data-WK'!A:A,'V1'!B:B)</f>
        <v>1</v>
      </c>
      <c r="N42" s="29" t="e">
        <f ca="1">VLOOKUP(E42,'IFRS only'!A:A,1,0)</f>
        <v>#N/A</v>
      </c>
      <c r="O42" s="29"/>
      <c r="P42" s="89"/>
    </row>
    <row r="43" spans="1:16" s="31" customFormat="1">
      <c r="A43" s="17" t="s">
        <v>6</v>
      </c>
      <c r="B43" s="17">
        <v>2011100000</v>
      </c>
      <c r="C43" s="73" t="s">
        <v>4439</v>
      </c>
      <c r="D43" s="3" t="s">
        <v>4785</v>
      </c>
      <c r="E43" s="17" t="s">
        <v>2360</v>
      </c>
      <c r="F43" s="17" t="s">
        <v>3528</v>
      </c>
      <c r="G43" s="17" t="s">
        <v>3528</v>
      </c>
      <c r="H43" s="17" t="s">
        <v>3529</v>
      </c>
      <c r="I43" s="17" t="s">
        <v>3545</v>
      </c>
      <c r="J43" s="17" t="s">
        <v>9</v>
      </c>
      <c r="K43" s="49" t="s">
        <v>5401</v>
      </c>
      <c r="L43" s="4" t="str">
        <f ca="1">IF(ISERROR(VLOOKUP(B43,'ETL Scope'!I:I,1,0)),"NA","ETL")</f>
        <v>NA</v>
      </c>
      <c r="M43" s="29">
        <f ca="1">COUNTIF('Data-WK'!A:A,'V1'!B:B)</f>
        <v>1</v>
      </c>
      <c r="N43" s="29" t="e">
        <f ca="1">VLOOKUP(E43,'IFRS only'!A:A,1,0)</f>
        <v>#N/A</v>
      </c>
      <c r="O43" s="29"/>
      <c r="P43" s="89"/>
    </row>
    <row r="44" spans="1:16" s="31" customFormat="1">
      <c r="A44" s="17" t="s">
        <v>6</v>
      </c>
      <c r="B44" s="17">
        <v>2011100030</v>
      </c>
      <c r="C44" s="73" t="s">
        <v>4439</v>
      </c>
      <c r="D44" s="3" t="s">
        <v>4786</v>
      </c>
      <c r="E44" s="17" t="s">
        <v>2369</v>
      </c>
      <c r="F44" s="17" t="s">
        <v>3528</v>
      </c>
      <c r="G44" s="17" t="s">
        <v>3528</v>
      </c>
      <c r="H44" s="17" t="s">
        <v>3529</v>
      </c>
      <c r="I44" s="17" t="s">
        <v>3545</v>
      </c>
      <c r="J44" s="17" t="s">
        <v>9</v>
      </c>
      <c r="K44" s="49" t="s">
        <v>5402</v>
      </c>
      <c r="L44" s="4" t="str">
        <f ca="1">IF(ISERROR(VLOOKUP(B44,'ETL Scope'!I:I,1,0)),"NA","ETL")</f>
        <v>NA</v>
      </c>
      <c r="M44" s="29">
        <f ca="1">COUNTIF('Data-WK'!A:A,'V1'!B:B)</f>
        <v>1</v>
      </c>
      <c r="N44" s="29" t="e">
        <f ca="1">VLOOKUP(E44,'IFRS only'!A:A,1,0)</f>
        <v>#N/A</v>
      </c>
      <c r="O44" s="29"/>
      <c r="P44" s="89"/>
    </row>
    <row r="45" spans="1:16" s="31" customFormat="1">
      <c r="A45" s="17" t="s">
        <v>6</v>
      </c>
      <c r="B45" s="17">
        <v>2011200000</v>
      </c>
      <c r="C45" s="73" t="s">
        <v>4440</v>
      </c>
      <c r="D45" s="3" t="s">
        <v>4787</v>
      </c>
      <c r="E45" s="17" t="s">
        <v>2361</v>
      </c>
      <c r="F45" s="17" t="s">
        <v>3528</v>
      </c>
      <c r="G45" s="17" t="s">
        <v>3528</v>
      </c>
      <c r="H45" s="17" t="s">
        <v>3529</v>
      </c>
      <c r="I45" s="17" t="s">
        <v>3545</v>
      </c>
      <c r="J45" s="17" t="s">
        <v>9</v>
      </c>
      <c r="K45" s="49" t="s">
        <v>5403</v>
      </c>
      <c r="L45" s="4" t="str">
        <f ca="1">IF(ISERROR(VLOOKUP(B45,'ETL Scope'!I:I,1,0)),"NA","ETL")</f>
        <v>NA</v>
      </c>
      <c r="M45" s="29">
        <f ca="1">COUNTIF('Data-WK'!A:A,'V1'!B:B)</f>
        <v>1</v>
      </c>
      <c r="N45" s="29" t="e">
        <f ca="1">VLOOKUP(E45,'IFRS only'!A:A,1,0)</f>
        <v>#N/A</v>
      </c>
      <c r="O45" s="29"/>
      <c r="P45" s="89"/>
    </row>
    <row r="46" spans="1:16" s="31" customFormat="1">
      <c r="A46" s="17" t="s">
        <v>6</v>
      </c>
      <c r="B46" s="17">
        <v>2011200030</v>
      </c>
      <c r="C46" s="73" t="s">
        <v>4440</v>
      </c>
      <c r="D46" s="3" t="s">
        <v>4788</v>
      </c>
      <c r="E46" s="17" t="s">
        <v>2370</v>
      </c>
      <c r="F46" s="17" t="s">
        <v>3528</v>
      </c>
      <c r="G46" s="17" t="s">
        <v>3528</v>
      </c>
      <c r="H46" s="17" t="s">
        <v>3529</v>
      </c>
      <c r="I46" s="17" t="s">
        <v>3545</v>
      </c>
      <c r="J46" s="17" t="s">
        <v>9</v>
      </c>
      <c r="K46" s="49" t="s">
        <v>5404</v>
      </c>
      <c r="L46" s="4" t="str">
        <f ca="1">IF(ISERROR(VLOOKUP(B46,'ETL Scope'!I:I,1,0)),"NA","ETL")</f>
        <v>NA</v>
      </c>
      <c r="M46" s="29">
        <f ca="1">COUNTIF('Data-WK'!A:A,'V1'!B:B)</f>
        <v>1</v>
      </c>
      <c r="N46" s="29" t="e">
        <f ca="1">VLOOKUP(E46,'IFRS only'!A:A,1,0)</f>
        <v>#N/A</v>
      </c>
      <c r="P46" s="89"/>
    </row>
    <row r="47" spans="1:16" s="31" customFormat="1">
      <c r="A47" s="17" t="s">
        <v>6</v>
      </c>
      <c r="B47" s="17">
        <v>2013100000</v>
      </c>
      <c r="C47" s="73" t="s">
        <v>4441</v>
      </c>
      <c r="D47" s="3" t="s">
        <v>4789</v>
      </c>
      <c r="E47" s="17" t="s">
        <v>2357</v>
      </c>
      <c r="F47" s="17" t="s">
        <v>3528</v>
      </c>
      <c r="G47" s="17" t="s">
        <v>3528</v>
      </c>
      <c r="H47" s="17" t="s">
        <v>3529</v>
      </c>
      <c r="I47" s="17" t="s">
        <v>3545</v>
      </c>
      <c r="J47" s="17" t="s">
        <v>9</v>
      </c>
      <c r="K47" s="49" t="s">
        <v>5405</v>
      </c>
      <c r="L47" s="4" t="str">
        <f ca="1">IF(ISERROR(VLOOKUP(B47,'ETL Scope'!I:I,1,0)),"NA","ETL")</f>
        <v>NA</v>
      </c>
      <c r="M47" s="29">
        <f ca="1">COUNTIF('Data-WK'!A:A,'V1'!B:B)</f>
        <v>1</v>
      </c>
      <c r="N47" s="29" t="e">
        <f ca="1">VLOOKUP(E47,'IFRS only'!A:A,1,0)</f>
        <v>#N/A</v>
      </c>
      <c r="P47" s="89"/>
    </row>
    <row r="48" spans="1:16" s="31" customFormat="1">
      <c r="A48" s="17" t="s">
        <v>6</v>
      </c>
      <c r="B48" s="17">
        <v>2013200000</v>
      </c>
      <c r="C48" s="73" t="s">
        <v>4442</v>
      </c>
      <c r="D48" s="3" t="s">
        <v>4790</v>
      </c>
      <c r="E48" s="17" t="s">
        <v>2358</v>
      </c>
      <c r="F48" s="17" t="s">
        <v>3528</v>
      </c>
      <c r="G48" s="17" t="s">
        <v>3528</v>
      </c>
      <c r="H48" s="17" t="s">
        <v>3529</v>
      </c>
      <c r="I48" s="17" t="s">
        <v>3545</v>
      </c>
      <c r="J48" s="17" t="s">
        <v>9</v>
      </c>
      <c r="K48" s="49" t="s">
        <v>5406</v>
      </c>
      <c r="L48" s="4" t="str">
        <f ca="1">IF(ISERROR(VLOOKUP(B48,'ETL Scope'!I:I,1,0)),"NA","ETL")</f>
        <v>NA</v>
      </c>
      <c r="M48" s="29">
        <f ca="1">COUNTIF('Data-WK'!A:A,'V1'!B:B)</f>
        <v>1</v>
      </c>
      <c r="N48" s="29" t="e">
        <f ca="1">VLOOKUP(E48,'IFRS only'!A:A,1,0)</f>
        <v>#N/A</v>
      </c>
      <c r="P48" s="89"/>
    </row>
    <row r="49" spans="1:16" s="31" customFormat="1">
      <c r="A49" s="17" t="s">
        <v>6</v>
      </c>
      <c r="B49" s="17">
        <v>2014100000</v>
      </c>
      <c r="C49" s="73" t="s">
        <v>4443</v>
      </c>
      <c r="D49" s="3" t="s">
        <v>4791</v>
      </c>
      <c r="E49" s="17" t="s">
        <v>2354</v>
      </c>
      <c r="F49" s="17" t="s">
        <v>3528</v>
      </c>
      <c r="G49" s="17" t="s">
        <v>3528</v>
      </c>
      <c r="H49" s="17" t="s">
        <v>3529</v>
      </c>
      <c r="I49" s="17" t="s">
        <v>3545</v>
      </c>
      <c r="J49" s="17" t="s">
        <v>9</v>
      </c>
      <c r="K49" s="49" t="s">
        <v>5402</v>
      </c>
      <c r="L49" s="4" t="str">
        <f ca="1">IF(ISERROR(VLOOKUP(B49,'ETL Scope'!I:I,1,0)),"NA","ETL")</f>
        <v>NA</v>
      </c>
      <c r="M49" s="29">
        <f ca="1">COUNTIF('Data-WK'!A:A,'V1'!B:B)</f>
        <v>1</v>
      </c>
      <c r="N49" s="29" t="e">
        <f ca="1">VLOOKUP(E49,'IFRS only'!A:A,1,0)</f>
        <v>#N/A</v>
      </c>
      <c r="P49" s="89"/>
    </row>
    <row r="50" spans="1:16" s="31" customFormat="1">
      <c r="A50" s="17" t="s">
        <v>6</v>
      </c>
      <c r="B50" s="17">
        <v>2014100010</v>
      </c>
      <c r="C50" s="73" t="s">
        <v>4443</v>
      </c>
      <c r="D50" s="3" t="s">
        <v>5842</v>
      </c>
      <c r="E50" s="17" t="s">
        <v>5844</v>
      </c>
      <c r="F50" s="17" t="s">
        <v>5852</v>
      </c>
      <c r="G50" s="17" t="s">
        <v>5852</v>
      </c>
      <c r="H50" s="17" t="s">
        <v>5853</v>
      </c>
      <c r="I50" s="17" t="s">
        <v>5853</v>
      </c>
      <c r="J50" s="17" t="s">
        <v>9</v>
      </c>
      <c r="K50" s="49"/>
      <c r="L50" s="4" t="s">
        <v>9</v>
      </c>
      <c r="M50" s="29"/>
      <c r="N50" s="29"/>
      <c r="P50" s="89"/>
    </row>
    <row r="51" spans="1:16" s="31" customFormat="1">
      <c r="A51" s="17" t="s">
        <v>6</v>
      </c>
      <c r="B51" s="17">
        <v>2014100030</v>
      </c>
      <c r="C51" s="73" t="s">
        <v>4443</v>
      </c>
      <c r="D51" s="3" t="s">
        <v>4792</v>
      </c>
      <c r="E51" s="17" t="s">
        <v>2362</v>
      </c>
      <c r="F51" s="17" t="s">
        <v>5852</v>
      </c>
      <c r="G51" s="17" t="s">
        <v>5852</v>
      </c>
      <c r="H51" s="17" t="s">
        <v>5853</v>
      </c>
      <c r="I51" s="17" t="s">
        <v>5853</v>
      </c>
      <c r="J51" s="17" t="s">
        <v>9</v>
      </c>
      <c r="K51" s="49" t="s">
        <v>5402</v>
      </c>
      <c r="L51" s="4" t="str">
        <f ca="1">IF(ISERROR(VLOOKUP(B51,'ETL Scope'!I:I,1,0)),"NA","ETL")</f>
        <v>NA</v>
      </c>
      <c r="M51" s="29">
        <f ca="1">COUNTIF('Data-WK'!A:A,'V1'!B:B)</f>
        <v>1</v>
      </c>
      <c r="N51" s="29" t="e">
        <f ca="1">VLOOKUP(E51,'IFRS only'!A:A,1,0)</f>
        <v>#N/A</v>
      </c>
      <c r="P51" s="89"/>
    </row>
    <row r="52" spans="1:16" s="31" customFormat="1">
      <c r="A52" s="17" t="s">
        <v>6</v>
      </c>
      <c r="B52" s="17">
        <v>2014200000</v>
      </c>
      <c r="C52" s="73" t="s">
        <v>4444</v>
      </c>
      <c r="D52" s="3" t="s">
        <v>4793</v>
      </c>
      <c r="E52" s="17" t="s">
        <v>2355</v>
      </c>
      <c r="F52" s="17" t="s">
        <v>5852</v>
      </c>
      <c r="G52" s="17" t="s">
        <v>5852</v>
      </c>
      <c r="H52" s="17" t="s">
        <v>5853</v>
      </c>
      <c r="I52" s="17" t="s">
        <v>5853</v>
      </c>
      <c r="J52" s="17" t="s">
        <v>9</v>
      </c>
      <c r="K52" s="49" t="s">
        <v>5404</v>
      </c>
      <c r="L52" s="4" t="str">
        <f ca="1">IF(ISERROR(VLOOKUP(B52,'ETL Scope'!I:I,1,0)),"NA","ETL")</f>
        <v>NA</v>
      </c>
      <c r="M52" s="29">
        <f ca="1">COUNTIF('Data-WK'!A:A,'V1'!B:B)</f>
        <v>1</v>
      </c>
      <c r="N52" s="29" t="e">
        <f ca="1">VLOOKUP(E52,'IFRS only'!A:A,1,0)</f>
        <v>#N/A</v>
      </c>
      <c r="P52" s="89"/>
    </row>
    <row r="53" spans="1:16" s="31" customFormat="1">
      <c r="A53" s="17" t="s">
        <v>6</v>
      </c>
      <c r="B53" s="17">
        <v>2014200010</v>
      </c>
      <c r="C53" s="73" t="s">
        <v>4444</v>
      </c>
      <c r="D53" s="3" t="s">
        <v>5843</v>
      </c>
      <c r="E53" s="17" t="s">
        <v>5844</v>
      </c>
      <c r="F53" s="17" t="s">
        <v>5852</v>
      </c>
      <c r="G53" s="17" t="s">
        <v>5852</v>
      </c>
      <c r="H53" s="17" t="s">
        <v>5853</v>
      </c>
      <c r="I53" s="17" t="s">
        <v>5853</v>
      </c>
      <c r="J53" s="17" t="s">
        <v>9</v>
      </c>
      <c r="K53" s="49"/>
      <c r="L53" s="4" t="s">
        <v>9</v>
      </c>
      <c r="M53" s="29"/>
      <c r="N53" s="29"/>
      <c r="P53" s="89"/>
    </row>
    <row r="54" spans="1:16" s="31" customFormat="1">
      <c r="A54" s="17" t="s">
        <v>6</v>
      </c>
      <c r="B54" s="17">
        <v>2014200030</v>
      </c>
      <c r="C54" s="73" t="s">
        <v>4444</v>
      </c>
      <c r="D54" s="3" t="s">
        <v>4794</v>
      </c>
      <c r="E54" s="17" t="s">
        <v>2363</v>
      </c>
      <c r="F54" s="17" t="s">
        <v>5852</v>
      </c>
      <c r="G54" s="17" t="s">
        <v>5852</v>
      </c>
      <c r="H54" s="17" t="s">
        <v>5853</v>
      </c>
      <c r="I54" s="17" t="s">
        <v>5853</v>
      </c>
      <c r="J54" s="17" t="s">
        <v>9</v>
      </c>
      <c r="K54" s="49" t="s">
        <v>5404</v>
      </c>
      <c r="L54" s="4" t="str">
        <f ca="1">IF(ISERROR(VLOOKUP(B54,'ETL Scope'!I:I,1,0)),"NA","ETL")</f>
        <v>NA</v>
      </c>
      <c r="M54" s="29">
        <f ca="1">COUNTIF('Data-WK'!A:A,'V1'!B:B)</f>
        <v>1</v>
      </c>
      <c r="N54" s="29" t="e">
        <f ca="1">VLOOKUP(E54,'IFRS only'!A:A,1,0)</f>
        <v>#N/A</v>
      </c>
      <c r="P54" s="89"/>
    </row>
    <row r="55" spans="1:16" s="31" customFormat="1">
      <c r="A55" s="17" t="s">
        <v>6</v>
      </c>
      <c r="B55" s="17">
        <v>2016100000</v>
      </c>
      <c r="C55" s="73" t="s">
        <v>4445</v>
      </c>
      <c r="D55" s="3" t="s">
        <v>4795</v>
      </c>
      <c r="E55" s="17" t="s">
        <v>2387</v>
      </c>
      <c r="F55" s="17" t="s">
        <v>3528</v>
      </c>
      <c r="G55" s="17" t="s">
        <v>3528</v>
      </c>
      <c r="H55" s="17" t="s">
        <v>3529</v>
      </c>
      <c r="I55" s="17" t="s">
        <v>3545</v>
      </c>
      <c r="J55" s="17" t="s">
        <v>9</v>
      </c>
      <c r="K55" s="49" t="s">
        <v>5407</v>
      </c>
      <c r="L55" s="4" t="str">
        <f ca="1">IF(ISERROR(VLOOKUP(B55,'ETL Scope'!I:I,1,0)),"NA","ETL")</f>
        <v>NA</v>
      </c>
      <c r="M55" s="29">
        <f ca="1">COUNTIF('Data-WK'!A:A,'V1'!B:B)</f>
        <v>1</v>
      </c>
      <c r="N55" s="29" t="e">
        <f ca="1">VLOOKUP(E55,'IFRS only'!A:A,1,0)</f>
        <v>#N/A</v>
      </c>
      <c r="P55" s="89"/>
    </row>
    <row r="56" spans="1:16" s="31" customFormat="1">
      <c r="A56" s="17" t="s">
        <v>6</v>
      </c>
      <c r="B56" s="17">
        <v>2016200000</v>
      </c>
      <c r="C56" s="73" t="s">
        <v>4446</v>
      </c>
      <c r="D56" s="3" t="s">
        <v>4796</v>
      </c>
      <c r="E56" s="17" t="s">
        <v>2388</v>
      </c>
      <c r="F56" s="17" t="s">
        <v>3528</v>
      </c>
      <c r="G56" s="17" t="s">
        <v>3528</v>
      </c>
      <c r="H56" s="17" t="s">
        <v>3529</v>
      </c>
      <c r="I56" s="17" t="s">
        <v>3545</v>
      </c>
      <c r="J56" s="17" t="s">
        <v>9</v>
      </c>
      <c r="K56" s="49" t="s">
        <v>5408</v>
      </c>
      <c r="L56" s="4" t="str">
        <f ca="1">IF(ISERROR(VLOOKUP(B56,'ETL Scope'!I:I,1,0)),"NA","ETL")</f>
        <v>NA</v>
      </c>
      <c r="M56" s="29">
        <f ca="1">COUNTIF('Data-WK'!A:A,'V1'!B:B)</f>
        <v>1</v>
      </c>
      <c r="N56" s="29" t="e">
        <f ca="1">VLOOKUP(E56,'IFRS only'!A:A,1,0)</f>
        <v>#N/A</v>
      </c>
      <c r="P56" s="89"/>
    </row>
    <row r="57" spans="1:16" s="31" customFormat="1">
      <c r="A57" s="17" t="s">
        <v>6</v>
      </c>
      <c r="B57" s="17">
        <v>2019100000</v>
      </c>
      <c r="C57" s="73" t="s">
        <v>4447</v>
      </c>
      <c r="D57" s="3" t="s">
        <v>4797</v>
      </c>
      <c r="E57" s="17" t="s">
        <v>2371</v>
      </c>
      <c r="F57" s="17" t="s">
        <v>3528</v>
      </c>
      <c r="G57" s="17" t="s">
        <v>3528</v>
      </c>
      <c r="H57" s="17" t="s">
        <v>3529</v>
      </c>
      <c r="I57" s="17" t="s">
        <v>3545</v>
      </c>
      <c r="J57" s="17" t="s">
        <v>9</v>
      </c>
      <c r="K57" s="49" t="s">
        <v>5409</v>
      </c>
      <c r="L57" s="4" t="str">
        <f ca="1">IF(ISERROR(VLOOKUP(B57,'ETL Scope'!I:I,1,0)),"NA","ETL")</f>
        <v>NA</v>
      </c>
      <c r="M57" s="29">
        <f ca="1">COUNTIF('Data-WK'!A:A,'V1'!B:B)</f>
        <v>1</v>
      </c>
      <c r="N57" s="29" t="e">
        <f ca="1">VLOOKUP(E57,'IFRS only'!A:A,1,0)</f>
        <v>#N/A</v>
      </c>
      <c r="P57" s="89"/>
    </row>
    <row r="58" spans="1:16" s="31" customFormat="1">
      <c r="A58" s="17" t="s">
        <v>4</v>
      </c>
      <c r="B58" s="17">
        <v>2201000000</v>
      </c>
      <c r="C58" s="73" t="s">
        <v>4448</v>
      </c>
      <c r="D58" s="3" t="s">
        <v>1417</v>
      </c>
      <c r="E58" s="17" t="s">
        <v>2412</v>
      </c>
      <c r="F58" s="17" t="s">
        <v>9</v>
      </c>
      <c r="G58" s="17" t="s">
        <v>3440</v>
      </c>
      <c r="H58" s="17" t="s">
        <v>3531</v>
      </c>
      <c r="I58" s="17" t="s">
        <v>3545</v>
      </c>
      <c r="J58" s="17" t="s">
        <v>9</v>
      </c>
      <c r="K58" s="49" t="s">
        <v>955</v>
      </c>
      <c r="L58" s="4" t="str">
        <f ca="1">IF(ISERROR(VLOOKUP(B58,'ETL Scope'!I:I,1,0)),"NA","ETL")</f>
        <v>ETL</v>
      </c>
      <c r="M58" s="29">
        <f ca="1">COUNTIF('Data-WK'!A:A,'V1'!B:B)</f>
        <v>1</v>
      </c>
      <c r="N58" s="29" t="str">
        <f ca="1">VLOOKUP(E58,'IFRS only'!A:A,1,0)</f>
        <v>160001</v>
      </c>
      <c r="P58" s="89"/>
    </row>
    <row r="59" spans="1:16" s="31" customFormat="1">
      <c r="A59" s="17" t="s">
        <v>4</v>
      </c>
      <c r="B59" s="17">
        <v>2201000010</v>
      </c>
      <c r="C59" s="73" t="s">
        <v>4448</v>
      </c>
      <c r="D59" s="3" t="s">
        <v>1420</v>
      </c>
      <c r="E59" s="17" t="s">
        <v>2416</v>
      </c>
      <c r="F59" s="17" t="s">
        <v>9</v>
      </c>
      <c r="G59" s="17" t="s">
        <v>3440</v>
      </c>
      <c r="H59" s="17" t="s">
        <v>3531</v>
      </c>
      <c r="I59" s="17" t="s">
        <v>3545</v>
      </c>
      <c r="J59" s="17" t="s">
        <v>9</v>
      </c>
      <c r="K59" s="49" t="s">
        <v>959</v>
      </c>
      <c r="L59" s="4" t="str">
        <f ca="1">IF(ISERROR(VLOOKUP(B59,'ETL Scope'!I:I,1,0)),"NA","ETL")</f>
        <v>ETL</v>
      </c>
      <c r="M59" s="29">
        <f ca="1">COUNTIF('Data-WK'!A:A,'V1'!B:B)</f>
        <v>1</v>
      </c>
      <c r="N59" s="29" t="str">
        <f ca="1">VLOOKUP(E59,'IFRS only'!A:A,1,0)</f>
        <v>160005</v>
      </c>
      <c r="P59" s="89"/>
    </row>
    <row r="60" spans="1:16" s="31" customFormat="1">
      <c r="A60" s="17" t="s">
        <v>4</v>
      </c>
      <c r="B60" s="17">
        <v>2201000030</v>
      </c>
      <c r="C60" s="73" t="s">
        <v>4448</v>
      </c>
      <c r="D60" s="3" t="s">
        <v>1418</v>
      </c>
      <c r="E60" s="17" t="s">
        <v>2414</v>
      </c>
      <c r="F60" s="17" t="s">
        <v>9</v>
      </c>
      <c r="G60" s="17" t="s">
        <v>3440</v>
      </c>
      <c r="H60" s="17" t="s">
        <v>3531</v>
      </c>
      <c r="I60" s="17" t="s">
        <v>3545</v>
      </c>
      <c r="J60" s="17" t="s">
        <v>9</v>
      </c>
      <c r="K60" s="49" t="s">
        <v>957</v>
      </c>
      <c r="L60" s="4" t="str">
        <f ca="1">IF(ISERROR(VLOOKUP(B60,'ETL Scope'!I:I,1,0)),"NA","ETL")</f>
        <v>ETL</v>
      </c>
      <c r="M60" s="29">
        <f ca="1">COUNTIF('Data-WK'!A:A,'V1'!B:B)</f>
        <v>1</v>
      </c>
      <c r="N60" s="29" t="str">
        <f ca="1">VLOOKUP(E60,'IFRS only'!A:A,1,0)</f>
        <v>160003</v>
      </c>
      <c r="P60" s="89"/>
    </row>
    <row r="61" spans="1:16" s="31" customFormat="1">
      <c r="A61" s="17" t="s">
        <v>4</v>
      </c>
      <c r="B61" s="17">
        <v>2201200030</v>
      </c>
      <c r="C61" s="73" t="s">
        <v>4449</v>
      </c>
      <c r="D61" s="3" t="s">
        <v>1419</v>
      </c>
      <c r="E61" s="17" t="s">
        <v>2415</v>
      </c>
      <c r="F61" s="17" t="s">
        <v>9</v>
      </c>
      <c r="G61" s="17" t="s">
        <v>3440</v>
      </c>
      <c r="H61" s="17" t="s">
        <v>3531</v>
      </c>
      <c r="I61" s="17" t="s">
        <v>3545</v>
      </c>
      <c r="J61" s="17" t="s">
        <v>9</v>
      </c>
      <c r="K61" s="49" t="s">
        <v>958</v>
      </c>
      <c r="L61" s="4" t="str">
        <f ca="1">IF(ISERROR(VLOOKUP(B61,'ETL Scope'!I:I,1,0)),"NA","ETL")</f>
        <v>ETL</v>
      </c>
      <c r="M61" s="29">
        <f ca="1">COUNTIF('Data-WK'!A:A,'V1'!B:B)</f>
        <v>1</v>
      </c>
      <c r="N61" s="29" t="str">
        <f ca="1">VLOOKUP(E61,'IFRS only'!A:A,1,0)</f>
        <v>160004</v>
      </c>
      <c r="P61" s="89"/>
    </row>
    <row r="62" spans="1:16" s="31" customFormat="1">
      <c r="A62" s="17" t="s">
        <v>4</v>
      </c>
      <c r="B62" s="17">
        <v>2201300000</v>
      </c>
      <c r="C62" s="73" t="s">
        <v>4450</v>
      </c>
      <c r="D62" s="3" t="s">
        <v>1421</v>
      </c>
      <c r="E62" s="17" t="s">
        <v>2418</v>
      </c>
      <c r="F62" s="17" t="s">
        <v>9</v>
      </c>
      <c r="G62" s="17" t="s">
        <v>3440</v>
      </c>
      <c r="H62" s="17" t="s">
        <v>3531</v>
      </c>
      <c r="I62" s="17" t="s">
        <v>3545</v>
      </c>
      <c r="J62" s="17" t="s">
        <v>9</v>
      </c>
      <c r="K62" s="49" t="s">
        <v>961</v>
      </c>
      <c r="L62" s="4" t="str">
        <f ca="1">IF(ISERROR(VLOOKUP(B62,'ETL Scope'!I:I,1,0)),"NA","ETL")</f>
        <v>ETL</v>
      </c>
      <c r="M62" s="29">
        <f ca="1">COUNTIF('Data-WK'!A:A,'V1'!B:B)</f>
        <v>1</v>
      </c>
      <c r="N62" s="29" t="str">
        <f ca="1">VLOOKUP(E62,'IFRS only'!A:A,1,0)</f>
        <v>160007</v>
      </c>
      <c r="P62" s="89"/>
    </row>
    <row r="63" spans="1:16" s="29" customFormat="1">
      <c r="A63" s="17" t="s">
        <v>4</v>
      </c>
      <c r="B63" s="17">
        <v>2201400000</v>
      </c>
      <c r="C63" s="73" t="s">
        <v>4451</v>
      </c>
      <c r="D63" s="3" t="s">
        <v>1422</v>
      </c>
      <c r="E63" s="17" t="s">
        <v>2419</v>
      </c>
      <c r="F63" s="17" t="s">
        <v>9</v>
      </c>
      <c r="G63" s="17" t="s">
        <v>3440</v>
      </c>
      <c r="H63" s="17" t="s">
        <v>3531</v>
      </c>
      <c r="I63" s="17" t="s">
        <v>3545</v>
      </c>
      <c r="J63" s="17" t="s">
        <v>9</v>
      </c>
      <c r="K63" s="49" t="s">
        <v>962</v>
      </c>
      <c r="L63" s="4" t="str">
        <f ca="1">IF(ISERROR(VLOOKUP(B63,'ETL Scope'!I:I,1,0)),"NA","ETL")</f>
        <v>ETL</v>
      </c>
      <c r="M63" s="29">
        <f ca="1">COUNTIF('Data-WK'!A:A,'V1'!B:B)</f>
        <v>1</v>
      </c>
      <c r="N63" s="29" t="str">
        <f ca="1">VLOOKUP(E63,'IFRS only'!A:A,1,0)</f>
        <v>160008</v>
      </c>
      <c r="O63" s="31"/>
      <c r="P63" s="89"/>
    </row>
    <row r="64" spans="1:16" s="29" customFormat="1">
      <c r="A64" s="17" t="s">
        <v>4</v>
      </c>
      <c r="B64" s="17">
        <v>2203000000</v>
      </c>
      <c r="C64" s="73" t="s">
        <v>4452</v>
      </c>
      <c r="D64" s="86" t="s">
        <v>5676</v>
      </c>
      <c r="E64" s="17" t="s">
        <v>2413</v>
      </c>
      <c r="F64" s="17" t="s">
        <v>9</v>
      </c>
      <c r="G64" s="17" t="s">
        <v>3440</v>
      </c>
      <c r="H64" s="17" t="s">
        <v>3531</v>
      </c>
      <c r="I64" s="17" t="s">
        <v>3545</v>
      </c>
      <c r="J64" s="17" t="s">
        <v>9</v>
      </c>
      <c r="K64" s="49" t="s">
        <v>956</v>
      </c>
      <c r="L64" s="4" t="str">
        <f ca="1">IF(ISERROR(VLOOKUP(B64,'ETL Scope'!I:I,1,0)),"NA","ETL")</f>
        <v>ETL</v>
      </c>
      <c r="M64" s="29">
        <f ca="1">COUNTIF('Data-WK'!A:A,'V1'!B:B)</f>
        <v>1</v>
      </c>
      <c r="N64" s="29" t="str">
        <f ca="1">VLOOKUP(E64,'IFRS only'!A:A,1,0)</f>
        <v>160002</v>
      </c>
      <c r="O64" s="31"/>
      <c r="P64" s="89"/>
    </row>
    <row r="65" spans="1:16" s="29" customFormat="1">
      <c r="A65" s="17" t="s">
        <v>4</v>
      </c>
      <c r="B65" s="17">
        <v>2203000010</v>
      </c>
      <c r="C65" s="73" t="s">
        <v>4452</v>
      </c>
      <c r="D65" s="86" t="s">
        <v>5677</v>
      </c>
      <c r="E65" s="17" t="s">
        <v>2417</v>
      </c>
      <c r="F65" s="17" t="s">
        <v>9</v>
      </c>
      <c r="G65" s="17" t="s">
        <v>3440</v>
      </c>
      <c r="H65" s="17" t="s">
        <v>3531</v>
      </c>
      <c r="I65" s="17" t="s">
        <v>3545</v>
      </c>
      <c r="J65" s="17" t="s">
        <v>9</v>
      </c>
      <c r="K65" s="49" t="s">
        <v>960</v>
      </c>
      <c r="L65" s="4" t="str">
        <f ca="1">IF(ISERROR(VLOOKUP(B65,'ETL Scope'!I:I,1,0)),"NA","ETL")</f>
        <v>ETL</v>
      </c>
      <c r="M65" s="29">
        <f ca="1">COUNTIF('Data-WK'!A:A,'V1'!B:B)</f>
        <v>1</v>
      </c>
      <c r="N65" s="29" t="str">
        <f ca="1">VLOOKUP(E65,'IFRS only'!A:A,1,0)</f>
        <v>160006</v>
      </c>
      <c r="O65" s="31"/>
      <c r="P65" s="89"/>
    </row>
    <row r="66" spans="1:16" s="29" customFormat="1">
      <c r="A66" s="17" t="s">
        <v>6</v>
      </c>
      <c r="B66" s="17">
        <v>2212100000</v>
      </c>
      <c r="C66" s="73" t="s">
        <v>4453</v>
      </c>
      <c r="D66" s="3" t="s">
        <v>4798</v>
      </c>
      <c r="E66" s="17" t="s">
        <v>5846</v>
      </c>
      <c r="F66" s="17" t="s">
        <v>3528</v>
      </c>
      <c r="G66" s="17" t="s">
        <v>3528</v>
      </c>
      <c r="H66" s="17" t="s">
        <v>3529</v>
      </c>
      <c r="I66" s="17" t="s">
        <v>3545</v>
      </c>
      <c r="J66" s="17" t="s">
        <v>9</v>
      </c>
      <c r="K66" s="49" t="s">
        <v>5410</v>
      </c>
      <c r="L66" s="4" t="str">
        <f ca="1">IF(ISERROR(VLOOKUP(B66,'ETL Scope'!I:I,1,0)),"NA","ETL")</f>
        <v>NA</v>
      </c>
      <c r="M66" s="29">
        <f ca="1">COUNTIF('Data-WK'!A:A,'V1'!B:B)</f>
        <v>3</v>
      </c>
      <c r="N66" s="29" t="e">
        <f ca="1">VLOOKUP(E66,'IFRS only'!A:A,1,0)</f>
        <v>#N/A</v>
      </c>
      <c r="O66" s="31"/>
      <c r="P66" s="89"/>
    </row>
    <row r="67" spans="1:16" s="29" customFormat="1">
      <c r="A67" s="17" t="s">
        <v>6</v>
      </c>
      <c r="B67" s="17">
        <v>2212200000</v>
      </c>
      <c r="C67" s="73" t="s">
        <v>4454</v>
      </c>
      <c r="D67" s="3" t="s">
        <v>4799</v>
      </c>
      <c r="E67" s="17" t="s">
        <v>5848</v>
      </c>
      <c r="F67" s="17" t="s">
        <v>3528</v>
      </c>
      <c r="G67" s="17" t="s">
        <v>3528</v>
      </c>
      <c r="H67" s="17" t="s">
        <v>3529</v>
      </c>
      <c r="I67" s="17" t="s">
        <v>3545</v>
      </c>
      <c r="J67" s="17" t="s">
        <v>9</v>
      </c>
      <c r="K67" s="49" t="s">
        <v>5411</v>
      </c>
      <c r="L67" s="4" t="str">
        <f ca="1">IF(ISERROR(VLOOKUP(B67,'ETL Scope'!I:I,1,0)),"NA","ETL")</f>
        <v>NA</v>
      </c>
      <c r="M67" s="29">
        <f ca="1">COUNTIF('Data-WK'!A:A,'V1'!B:B)</f>
        <v>3</v>
      </c>
      <c r="N67" s="29" t="e">
        <f ca="1">VLOOKUP(E67,'IFRS only'!A:A,1,0)</f>
        <v>#N/A</v>
      </c>
      <c r="O67" s="31"/>
      <c r="P67" s="89"/>
    </row>
    <row r="68" spans="1:16" s="29" customFormat="1">
      <c r="A68" s="17" t="s">
        <v>6</v>
      </c>
      <c r="B68" s="17">
        <v>2212310000</v>
      </c>
      <c r="C68" s="73" t="s">
        <v>4455</v>
      </c>
      <c r="D68" s="3" t="s">
        <v>4800</v>
      </c>
      <c r="E68" s="17" t="s">
        <v>2381</v>
      </c>
      <c r="F68" s="17" t="s">
        <v>3528</v>
      </c>
      <c r="G68" s="17" t="s">
        <v>3528</v>
      </c>
      <c r="H68" s="17" t="s">
        <v>3529</v>
      </c>
      <c r="I68" s="17" t="s">
        <v>3545</v>
      </c>
      <c r="J68" s="17" t="s">
        <v>9</v>
      </c>
      <c r="K68" s="49" t="s">
        <v>5412</v>
      </c>
      <c r="L68" s="4" t="str">
        <f ca="1">IF(ISERROR(VLOOKUP(B68,'ETL Scope'!I:I,1,0)),"NA","ETL")</f>
        <v>NA</v>
      </c>
      <c r="M68" s="29">
        <f ca="1">COUNTIF('Data-WK'!A:A,'V1'!B:B)</f>
        <v>1</v>
      </c>
      <c r="N68" s="29" t="e">
        <f ca="1">VLOOKUP(E68,'IFRS only'!A:A,1,0)</f>
        <v>#N/A</v>
      </c>
      <c r="P68" s="89"/>
    </row>
    <row r="69" spans="1:16" s="29" customFormat="1">
      <c r="A69" s="17" t="s">
        <v>6</v>
      </c>
      <c r="B69" s="17">
        <v>2212100040</v>
      </c>
      <c r="C69" s="73" t="s">
        <v>4456</v>
      </c>
      <c r="D69" s="3" t="s">
        <v>4801</v>
      </c>
      <c r="E69" s="17" t="s">
        <v>5847</v>
      </c>
      <c r="F69" s="17" t="s">
        <v>3528</v>
      </c>
      <c r="G69" s="17" t="s">
        <v>3528</v>
      </c>
      <c r="H69" s="17" t="s">
        <v>3529</v>
      </c>
      <c r="I69" s="17" t="s">
        <v>3545</v>
      </c>
      <c r="J69" s="17" t="s">
        <v>9</v>
      </c>
      <c r="K69" s="49" t="s">
        <v>5410</v>
      </c>
      <c r="L69" s="4" t="str">
        <f ca="1">IF(ISERROR(VLOOKUP(B69,'ETL Scope'!I:I,1,0)),"NA","ETL")</f>
        <v>NA</v>
      </c>
      <c r="M69" s="29">
        <f ca="1">COUNTIF('Data-WK'!A:A,'V1'!B:B)</f>
        <v>0</v>
      </c>
      <c r="N69" s="29" t="e">
        <f ca="1">VLOOKUP(E69,'IFRS only'!A:A,1,0)</f>
        <v>#N/A</v>
      </c>
      <c r="P69" s="89"/>
    </row>
    <row r="70" spans="1:16" s="30" customFormat="1">
      <c r="A70" s="3" t="s">
        <v>6</v>
      </c>
      <c r="B70" s="3">
        <v>2230010000</v>
      </c>
      <c r="C70" s="73" t="s">
        <v>4456</v>
      </c>
      <c r="D70" s="3" t="s">
        <v>4802</v>
      </c>
      <c r="E70" s="3" t="s">
        <v>2389</v>
      </c>
      <c r="F70" s="3" t="s">
        <v>3528</v>
      </c>
      <c r="G70" s="3" t="s">
        <v>3528</v>
      </c>
      <c r="H70" s="3" t="s">
        <v>3529</v>
      </c>
      <c r="I70" s="3" t="s">
        <v>3545</v>
      </c>
      <c r="J70" s="3" t="s">
        <v>9</v>
      </c>
      <c r="K70" s="4" t="s">
        <v>5413</v>
      </c>
      <c r="L70" s="4" t="str">
        <f ca="1">IF(ISERROR(VLOOKUP(B70,'ETL Scope'!I:I,1,0)),"NA","ETL")</f>
        <v>NA</v>
      </c>
      <c r="M70" s="29">
        <f ca="1">COUNTIF('Data-WK'!A:A,'V1'!B:B)</f>
        <v>1</v>
      </c>
      <c r="N70" s="29" t="e">
        <f ca="1">VLOOKUP(E70,'IFRS only'!A:A,1,0)</f>
        <v>#N/A</v>
      </c>
      <c r="O70" s="29"/>
      <c r="P70" s="100"/>
    </row>
    <row r="71" spans="1:16" s="29" customFormat="1">
      <c r="A71" s="17" t="s">
        <v>6</v>
      </c>
      <c r="B71" s="17">
        <v>2230110010</v>
      </c>
      <c r="C71" s="73" t="s">
        <v>4457</v>
      </c>
      <c r="D71" s="3" t="s">
        <v>4803</v>
      </c>
      <c r="E71" s="17" t="s">
        <v>2393</v>
      </c>
      <c r="F71" s="17" t="s">
        <v>9</v>
      </c>
      <c r="G71" s="17" t="s">
        <v>3528</v>
      </c>
      <c r="H71" s="17" t="s">
        <v>3529</v>
      </c>
      <c r="I71" s="17" t="s">
        <v>3545</v>
      </c>
      <c r="J71" s="17" t="s">
        <v>9</v>
      </c>
      <c r="K71" s="49" t="s">
        <v>950</v>
      </c>
      <c r="L71" s="4" t="str">
        <f ca="1">IF(ISERROR(VLOOKUP(B71,'ETL Scope'!I:I,1,0)),"NA","ETL")</f>
        <v>NA</v>
      </c>
      <c r="M71" s="29">
        <f ca="1">COUNTIF('Data-WK'!A:A,'V1'!B:B)</f>
        <v>1</v>
      </c>
      <c r="N71" s="29" t="str">
        <f ca="1">VLOOKUP(E71,'IFRS only'!A:A,1,0)</f>
        <v>16050501</v>
      </c>
      <c r="P71" s="89"/>
    </row>
    <row r="72" spans="1:16" s="29" customFormat="1">
      <c r="A72" s="17" t="s">
        <v>6</v>
      </c>
      <c r="B72" s="17">
        <v>2212200040</v>
      </c>
      <c r="C72" s="73" t="s">
        <v>4458</v>
      </c>
      <c r="D72" s="3" t="s">
        <v>4804</v>
      </c>
      <c r="E72" s="17" t="s">
        <v>5849</v>
      </c>
      <c r="F72" s="17" t="s">
        <v>3528</v>
      </c>
      <c r="G72" s="17" t="s">
        <v>3528</v>
      </c>
      <c r="H72" s="17" t="s">
        <v>3529</v>
      </c>
      <c r="I72" s="17" t="s">
        <v>3545</v>
      </c>
      <c r="J72" s="17" t="s">
        <v>9</v>
      </c>
      <c r="K72" s="49" t="s">
        <v>5411</v>
      </c>
      <c r="L72" s="4" t="str">
        <f ca="1">IF(ISERROR(VLOOKUP(B72,'ETL Scope'!I:I,1,0)),"NA","ETL")</f>
        <v>NA</v>
      </c>
      <c r="M72" s="29">
        <f ca="1">COUNTIF('Data-WK'!A:A,'V1'!B:B)</f>
        <v>0</v>
      </c>
      <c r="N72" s="29" t="e">
        <f ca="1">VLOOKUP(E72,'IFRS only'!A:A,1,0)</f>
        <v>#N/A</v>
      </c>
      <c r="P72" s="89"/>
    </row>
    <row r="73" spans="1:16" s="30" customFormat="1">
      <c r="A73" s="3" t="s">
        <v>6</v>
      </c>
      <c r="B73" s="3" t="s">
        <v>5865</v>
      </c>
      <c r="C73" s="73" t="s">
        <v>4458</v>
      </c>
      <c r="D73" s="3" t="s">
        <v>4805</v>
      </c>
      <c r="E73" s="3" t="s">
        <v>2390</v>
      </c>
      <c r="F73" s="3" t="s">
        <v>3528</v>
      </c>
      <c r="G73" s="3" t="s">
        <v>3528</v>
      </c>
      <c r="H73" s="3" t="s">
        <v>3529</v>
      </c>
      <c r="I73" s="3" t="s">
        <v>3545</v>
      </c>
      <c r="J73" s="3" t="s">
        <v>9</v>
      </c>
      <c r="K73" s="4" t="s">
        <v>5414</v>
      </c>
      <c r="L73" s="4" t="str">
        <f ca="1">IF(ISERROR(VLOOKUP(B73,'ETL Scope'!I:I,1,0)),"NA","ETL")</f>
        <v>NA</v>
      </c>
      <c r="M73" s="29">
        <f ca="1">COUNTIF('Data-WK'!A:A,'V1'!B:B)</f>
        <v>1</v>
      </c>
      <c r="N73" s="29" t="e">
        <f ca="1">VLOOKUP(E73,'IFRS only'!A:A,1,0)</f>
        <v>#N/A</v>
      </c>
      <c r="O73" s="29"/>
      <c r="P73" s="100"/>
    </row>
    <row r="74" spans="1:16" s="29" customFormat="1">
      <c r="A74" s="17" t="s">
        <v>6</v>
      </c>
      <c r="B74" s="17">
        <v>2231110010</v>
      </c>
      <c r="C74" s="73" t="s">
        <v>4459</v>
      </c>
      <c r="D74" s="3" t="s">
        <v>4806</v>
      </c>
      <c r="E74" s="17" t="s">
        <v>2394</v>
      </c>
      <c r="F74" s="17" t="s">
        <v>9</v>
      </c>
      <c r="G74" s="17" t="s">
        <v>3528</v>
      </c>
      <c r="H74" s="17" t="s">
        <v>3529</v>
      </c>
      <c r="I74" s="17" t="s">
        <v>3545</v>
      </c>
      <c r="J74" s="17" t="s">
        <v>9</v>
      </c>
      <c r="K74" s="49" t="s">
        <v>951</v>
      </c>
      <c r="L74" s="4" t="str">
        <f ca="1">IF(ISERROR(VLOOKUP(B74,'ETL Scope'!I:I,1,0)),"NA","ETL")</f>
        <v>NA</v>
      </c>
      <c r="M74" s="29">
        <f ca="1">COUNTIF('Data-WK'!A:A,'V1'!B:B)</f>
        <v>1</v>
      </c>
      <c r="N74" s="29" t="str">
        <f ca="1">VLOOKUP(E74,'IFRS only'!A:A,1,0)</f>
        <v>16050502</v>
      </c>
      <c r="P74" s="89"/>
    </row>
    <row r="75" spans="1:16" s="29" customFormat="1">
      <c r="A75" s="17" t="s">
        <v>3</v>
      </c>
      <c r="B75" s="17">
        <v>2500000006</v>
      </c>
      <c r="C75" s="73" t="s">
        <v>3700</v>
      </c>
      <c r="D75" s="3" t="s">
        <v>1423</v>
      </c>
      <c r="E75" s="17" t="s">
        <v>2227</v>
      </c>
      <c r="F75" s="17" t="s">
        <v>3528</v>
      </c>
      <c r="G75" s="17" t="s">
        <v>3528</v>
      </c>
      <c r="H75" s="17" t="s">
        <v>3529</v>
      </c>
      <c r="I75" s="17" t="s">
        <v>3545</v>
      </c>
      <c r="J75" s="17" t="s">
        <v>9</v>
      </c>
      <c r="K75" s="49" t="s">
        <v>915</v>
      </c>
      <c r="L75" s="4" t="str">
        <f ca="1">IF(ISERROR(VLOOKUP(B75,'ETL Scope'!I:I,1,0)),"NA","ETL")</f>
        <v>NA</v>
      </c>
      <c r="M75" s="29">
        <f ca="1">COUNTIF('Data-WK'!A:A,'V1'!B:B)</f>
        <v>1</v>
      </c>
      <c r="N75" s="29" t="e">
        <f ca="1">VLOOKUP(E75,'IFRS only'!A:A,1,0)</f>
        <v>#N/A</v>
      </c>
      <c r="P75" s="89"/>
    </row>
    <row r="76" spans="1:16" s="29" customFormat="1">
      <c r="A76" s="17" t="s">
        <v>3</v>
      </c>
      <c r="B76" s="17">
        <v>2500000010</v>
      </c>
      <c r="C76" s="73" t="s">
        <v>3700</v>
      </c>
      <c r="D76" s="3" t="s">
        <v>5395</v>
      </c>
      <c r="E76" s="17" t="s">
        <v>2223</v>
      </c>
      <c r="F76" s="17" t="s">
        <v>3391</v>
      </c>
      <c r="G76" s="17" t="s">
        <v>9</v>
      </c>
      <c r="H76" s="17" t="s">
        <v>9</v>
      </c>
      <c r="I76" s="17" t="s">
        <v>9</v>
      </c>
      <c r="J76" s="17" t="s">
        <v>9</v>
      </c>
      <c r="K76" s="49" t="s">
        <v>914</v>
      </c>
      <c r="L76" s="4" t="str">
        <f ca="1">IF(ISERROR(VLOOKUP(B76,'ETL Scope'!I:I,1,0)),"NA","ETL")</f>
        <v>NA</v>
      </c>
      <c r="M76" s="29">
        <f ca="1">COUNTIF('Data-WK'!A:A,'V1'!B:B)</f>
        <v>1</v>
      </c>
      <c r="N76" s="29" t="e">
        <f ca="1">VLOOKUP(E76,'IFRS only'!A:A,1,0)</f>
        <v>#N/A</v>
      </c>
      <c r="P76" s="89"/>
    </row>
    <row r="77" spans="1:16" s="29" customFormat="1">
      <c r="A77" s="17" t="s">
        <v>3</v>
      </c>
      <c r="B77" s="17">
        <v>2500000020</v>
      </c>
      <c r="C77" s="73" t="s">
        <v>3700</v>
      </c>
      <c r="D77" s="3" t="s">
        <v>5396</v>
      </c>
      <c r="E77" s="17" t="s">
        <v>2224</v>
      </c>
      <c r="F77" s="17" t="s">
        <v>3391</v>
      </c>
      <c r="G77" s="17" t="s">
        <v>9</v>
      </c>
      <c r="H77" s="17" t="s">
        <v>9</v>
      </c>
      <c r="I77" s="17" t="s">
        <v>9</v>
      </c>
      <c r="J77" s="17" t="s">
        <v>9</v>
      </c>
      <c r="K77" s="49" t="s">
        <v>914</v>
      </c>
      <c r="L77" s="4"/>
      <c r="P77" s="89"/>
    </row>
    <row r="78" spans="1:16" s="29" customFormat="1">
      <c r="A78" s="17" t="s">
        <v>3</v>
      </c>
      <c r="B78" s="17">
        <v>2500000030</v>
      </c>
      <c r="C78" s="73" t="s">
        <v>3700</v>
      </c>
      <c r="D78" s="3" t="s">
        <v>5397</v>
      </c>
      <c r="E78" s="17" t="s">
        <v>2226</v>
      </c>
      <c r="F78" s="17" t="s">
        <v>3391</v>
      </c>
      <c r="G78" s="17" t="s">
        <v>9</v>
      </c>
      <c r="H78" s="17" t="s">
        <v>9</v>
      </c>
      <c r="I78" s="17" t="s">
        <v>9</v>
      </c>
      <c r="J78" s="17" t="s">
        <v>9</v>
      </c>
      <c r="K78" s="49" t="s">
        <v>914</v>
      </c>
      <c r="L78" s="4"/>
      <c r="P78" s="89"/>
    </row>
    <row r="79" spans="1:16" s="29" customFormat="1">
      <c r="A79" s="17" t="s">
        <v>3</v>
      </c>
      <c r="B79" s="17">
        <v>2500000040</v>
      </c>
      <c r="C79" s="73" t="s">
        <v>3700</v>
      </c>
      <c r="D79" s="3" t="s">
        <v>5398</v>
      </c>
      <c r="E79" s="17" t="s">
        <v>2225</v>
      </c>
      <c r="F79" s="17" t="s">
        <v>3391</v>
      </c>
      <c r="G79" s="17" t="s">
        <v>9</v>
      </c>
      <c r="H79" s="17" t="s">
        <v>9</v>
      </c>
      <c r="I79" s="17" t="s">
        <v>9</v>
      </c>
      <c r="J79" s="17" t="s">
        <v>9</v>
      </c>
      <c r="K79" s="49" t="s">
        <v>914</v>
      </c>
      <c r="L79" s="4"/>
      <c r="P79" s="89"/>
    </row>
    <row r="80" spans="1:16" s="29" customFormat="1">
      <c r="A80" s="17" t="s">
        <v>4</v>
      </c>
      <c r="B80" s="17">
        <v>2501000000</v>
      </c>
      <c r="C80" s="73" t="s">
        <v>4460</v>
      </c>
      <c r="D80" s="3" t="s">
        <v>63</v>
      </c>
      <c r="E80" s="17" t="s">
        <v>2235</v>
      </c>
      <c r="F80" s="17" t="s">
        <v>3528</v>
      </c>
      <c r="G80" s="17" t="s">
        <v>3528</v>
      </c>
      <c r="H80" s="17" t="s">
        <v>3529</v>
      </c>
      <c r="I80" s="17" t="s">
        <v>3545</v>
      </c>
      <c r="J80" s="17" t="s">
        <v>9</v>
      </c>
      <c r="K80" s="49" t="s">
        <v>917</v>
      </c>
      <c r="L80" s="4" t="str">
        <f ca="1">IF(ISERROR(VLOOKUP(B80,'ETL Scope'!I:I,1,0)),"NA","ETL")</f>
        <v>NA</v>
      </c>
      <c r="M80" s="29">
        <f ca="1">COUNTIF('Data-WK'!A:A,'V1'!B:B)</f>
        <v>1</v>
      </c>
      <c r="N80" s="29" t="e">
        <f ca="1">VLOOKUP(E80,'IFRS only'!A:A,1,0)</f>
        <v>#N/A</v>
      </c>
      <c r="P80" s="89"/>
    </row>
    <row r="81" spans="1:16" s="29" customFormat="1">
      <c r="A81" s="17" t="s">
        <v>4</v>
      </c>
      <c r="B81" s="17">
        <v>2501000001</v>
      </c>
      <c r="C81" s="73" t="s">
        <v>4460</v>
      </c>
      <c r="D81" s="3" t="s">
        <v>3441</v>
      </c>
      <c r="E81" s="17" t="s">
        <v>2236</v>
      </c>
      <c r="F81" s="17" t="s">
        <v>3528</v>
      </c>
      <c r="G81" s="17" t="s">
        <v>3528</v>
      </c>
      <c r="H81" s="17" t="s">
        <v>3529</v>
      </c>
      <c r="I81" s="17" t="s">
        <v>3545</v>
      </c>
      <c r="J81" s="17" t="s">
        <v>9</v>
      </c>
      <c r="K81" s="49" t="s">
        <v>917</v>
      </c>
      <c r="L81" s="4" t="str">
        <f ca="1">IF(ISERROR(VLOOKUP(B81,'ETL Scope'!I:I,1,0)),"NA","ETL")</f>
        <v>NA</v>
      </c>
      <c r="M81" s="29">
        <f ca="1">COUNTIF('Data-WK'!A:A,'V1'!B:B)</f>
        <v>1</v>
      </c>
      <c r="N81" s="29" t="e">
        <f ca="1">VLOOKUP(E81,'IFRS only'!A:A,1,0)</f>
        <v>#N/A</v>
      </c>
      <c r="P81" s="89"/>
    </row>
    <row r="82" spans="1:16" s="29" customFormat="1">
      <c r="A82" s="17" t="s">
        <v>4</v>
      </c>
      <c r="B82" s="17">
        <v>2501000002</v>
      </c>
      <c r="C82" s="73" t="s">
        <v>4460</v>
      </c>
      <c r="D82" s="3" t="s">
        <v>5585</v>
      </c>
      <c r="E82" s="17" t="s">
        <v>2237</v>
      </c>
      <c r="F82" s="17" t="s">
        <v>3528</v>
      </c>
      <c r="G82" s="17" t="s">
        <v>3528</v>
      </c>
      <c r="H82" s="17" t="s">
        <v>3529</v>
      </c>
      <c r="I82" s="17" t="s">
        <v>3545</v>
      </c>
      <c r="J82" s="17" t="s">
        <v>9</v>
      </c>
      <c r="K82" s="49" t="s">
        <v>917</v>
      </c>
      <c r="L82" s="4" t="str">
        <f ca="1">IF(ISERROR(VLOOKUP(B82,'ETL Scope'!I:I,1,0)),"NA","ETL")</f>
        <v>NA</v>
      </c>
      <c r="M82" s="29">
        <f ca="1">COUNTIF('Data-WK'!A:A,'V1'!B:B)</f>
        <v>1</v>
      </c>
      <c r="N82" s="29" t="e">
        <f ca="1">VLOOKUP(E82,'IFRS only'!A:A,1,0)</f>
        <v>#N/A</v>
      </c>
      <c r="P82" s="89"/>
    </row>
    <row r="83" spans="1:16" s="29" customFormat="1">
      <c r="A83" s="17" t="s">
        <v>3</v>
      </c>
      <c r="B83" s="17">
        <v>2511001500</v>
      </c>
      <c r="C83" s="73" t="s">
        <v>4461</v>
      </c>
      <c r="D83" s="3" t="s">
        <v>60</v>
      </c>
      <c r="E83" s="17" t="s">
        <v>2231</v>
      </c>
      <c r="F83" s="17" t="s">
        <v>3528</v>
      </c>
      <c r="G83" s="17" t="s">
        <v>3528</v>
      </c>
      <c r="H83" s="17" t="s">
        <v>3529</v>
      </c>
      <c r="I83" s="17" t="s">
        <v>3545</v>
      </c>
      <c r="J83" s="17" t="s">
        <v>9</v>
      </c>
      <c r="K83" s="49" t="s">
        <v>916</v>
      </c>
      <c r="L83" s="4" t="str">
        <f ca="1">IF(ISERROR(VLOOKUP(B83,'ETL Scope'!I:I,1,0)),"NA","ETL")</f>
        <v>NA</v>
      </c>
      <c r="M83" s="29">
        <f ca="1">COUNTIF('Data-WK'!A:A,'V1'!B:B)</f>
        <v>1</v>
      </c>
      <c r="N83" s="29" t="e">
        <f ca="1">VLOOKUP(E83,'IFRS only'!A:A,1,0)</f>
        <v>#N/A</v>
      </c>
      <c r="P83" s="89"/>
    </row>
    <row r="84" spans="1:16" s="29" customFormat="1">
      <c r="A84" s="17" t="s">
        <v>3</v>
      </c>
      <c r="B84" s="17">
        <v>2511001501</v>
      </c>
      <c r="C84" s="73" t="s">
        <v>4461</v>
      </c>
      <c r="D84" s="3" t="s">
        <v>61</v>
      </c>
      <c r="E84" s="17" t="s">
        <v>2232</v>
      </c>
      <c r="F84" s="17" t="s">
        <v>3528</v>
      </c>
      <c r="G84" s="17" t="s">
        <v>3528</v>
      </c>
      <c r="H84" s="17" t="s">
        <v>3529</v>
      </c>
      <c r="I84" s="17" t="s">
        <v>3545</v>
      </c>
      <c r="J84" s="17" t="s">
        <v>9</v>
      </c>
      <c r="K84" s="49" t="s">
        <v>916</v>
      </c>
      <c r="L84" s="4" t="str">
        <f ca="1">IF(ISERROR(VLOOKUP(B84,'ETL Scope'!I:I,1,0)),"NA","ETL")</f>
        <v>NA</v>
      </c>
      <c r="M84" s="29">
        <f ca="1">COUNTIF('Data-WK'!A:A,'V1'!B:B)</f>
        <v>1</v>
      </c>
      <c r="N84" s="29" t="e">
        <f ca="1">VLOOKUP(E84,'IFRS only'!A:A,1,0)</f>
        <v>#N/A</v>
      </c>
      <c r="P84" s="89"/>
    </row>
    <row r="85" spans="1:16" s="29" customFormat="1">
      <c r="A85" s="17" t="s">
        <v>3</v>
      </c>
      <c r="B85" s="17">
        <v>2511001502</v>
      </c>
      <c r="C85" s="73" t="s">
        <v>4461</v>
      </c>
      <c r="D85" s="3" t="s">
        <v>62</v>
      </c>
      <c r="E85" s="17" t="s">
        <v>2233</v>
      </c>
      <c r="F85" s="17" t="s">
        <v>3528</v>
      </c>
      <c r="G85" s="17" t="s">
        <v>3528</v>
      </c>
      <c r="H85" s="17" t="s">
        <v>3529</v>
      </c>
      <c r="I85" s="17" t="s">
        <v>3545</v>
      </c>
      <c r="J85" s="17" t="s">
        <v>9</v>
      </c>
      <c r="K85" s="49" t="s">
        <v>916</v>
      </c>
      <c r="L85" s="4" t="str">
        <f ca="1">IF(ISERROR(VLOOKUP(B85,'ETL Scope'!I:I,1,0)),"NA","ETL")</f>
        <v>NA</v>
      </c>
      <c r="M85" s="29">
        <f ca="1">COUNTIF('Data-WK'!A:A,'V1'!B:B)</f>
        <v>1</v>
      </c>
      <c r="N85" s="29" t="e">
        <f ca="1">VLOOKUP(E85,'IFRS only'!A:A,1,0)</f>
        <v>#N/A</v>
      </c>
      <c r="P85" s="89"/>
    </row>
    <row r="86" spans="1:16" s="29" customFormat="1">
      <c r="A86" s="17" t="s">
        <v>4</v>
      </c>
      <c r="B86" s="3">
        <v>2520000000</v>
      </c>
      <c r="C86" s="73">
        <v>252000</v>
      </c>
      <c r="D86" s="3" t="s">
        <v>5833</v>
      </c>
      <c r="E86" s="17" t="s">
        <v>2247</v>
      </c>
      <c r="F86" s="17" t="s">
        <v>3528</v>
      </c>
      <c r="G86" s="17" t="s">
        <v>3528</v>
      </c>
      <c r="H86" s="17" t="s">
        <v>3529</v>
      </c>
      <c r="I86" s="17" t="s">
        <v>3545</v>
      </c>
      <c r="J86" s="17" t="s">
        <v>5832</v>
      </c>
      <c r="K86" s="49" t="s">
        <v>935</v>
      </c>
      <c r="L86" s="4" t="str">
        <f ca="1">IF(ISERROR(VLOOKUP(B86,'ETL Scope'!I:I,1,0)),"NA","ETL")</f>
        <v>NA</v>
      </c>
      <c r="M86" s="29">
        <f ca="1">COUNTIF('Data-WK'!A:A,'V1'!B:B)</f>
        <v>0</v>
      </c>
      <c r="N86" s="29" t="e">
        <f ca="1">VLOOKUP(E86,'IFRS only'!A:A,1,0)</f>
        <v>#N/A</v>
      </c>
      <c r="P86" s="89"/>
    </row>
    <row r="87" spans="1:16" s="31" customFormat="1">
      <c r="A87" s="17" t="s">
        <v>4</v>
      </c>
      <c r="B87" s="17">
        <v>2520001600</v>
      </c>
      <c r="C87" s="73" t="s">
        <v>4462</v>
      </c>
      <c r="D87" s="3" t="s">
        <v>5661</v>
      </c>
      <c r="E87" s="17" t="s">
        <v>5759</v>
      </c>
      <c r="F87" s="17" t="s">
        <v>1544</v>
      </c>
      <c r="G87" s="17" t="s">
        <v>1544</v>
      </c>
      <c r="H87" s="17" t="s">
        <v>3525</v>
      </c>
      <c r="I87" s="17" t="s">
        <v>3525</v>
      </c>
      <c r="J87" s="17" t="s">
        <v>9</v>
      </c>
      <c r="K87" s="49" t="s">
        <v>935</v>
      </c>
      <c r="L87" s="4"/>
      <c r="M87" s="29"/>
      <c r="N87" s="29"/>
      <c r="O87" s="29"/>
      <c r="P87" s="95"/>
    </row>
    <row r="88" spans="1:16" s="29" customFormat="1">
      <c r="A88" s="17" t="s">
        <v>4</v>
      </c>
      <c r="B88" s="17">
        <v>2520001700</v>
      </c>
      <c r="C88" s="73" t="s">
        <v>4462</v>
      </c>
      <c r="D88" s="3" t="s">
        <v>5662</v>
      </c>
      <c r="E88" s="17" t="s">
        <v>5664</v>
      </c>
      <c r="F88" s="17" t="s">
        <v>3528</v>
      </c>
      <c r="G88" s="17" t="s">
        <v>3528</v>
      </c>
      <c r="H88" s="17" t="s">
        <v>3529</v>
      </c>
      <c r="I88" s="17" t="s">
        <v>3545</v>
      </c>
      <c r="J88" s="17" t="s">
        <v>9</v>
      </c>
      <c r="K88" s="49" t="s">
        <v>935</v>
      </c>
      <c r="L88" s="4" t="str">
        <f ca="1">IF(ISERROR(VLOOKUP(B88,'ETL Scope'!I:I,1,0)),"NA","ETL")</f>
        <v>NA</v>
      </c>
      <c r="M88" s="29">
        <f ca="1">COUNTIF('Data-WK'!A:A,'V1'!B:B)</f>
        <v>0</v>
      </c>
      <c r="N88" s="29" t="e">
        <f ca="1">VLOOKUP(E88,'IFRS only'!A:A,1,0)</f>
        <v>#N/A</v>
      </c>
      <c r="P88" s="89"/>
    </row>
    <row r="89" spans="1:16" s="29" customFormat="1">
      <c r="A89" s="17" t="s">
        <v>4</v>
      </c>
      <c r="B89" s="17">
        <v>2520001710</v>
      </c>
      <c r="C89" s="73" t="s">
        <v>4462</v>
      </c>
      <c r="D89" s="3" t="s">
        <v>5663</v>
      </c>
      <c r="E89" s="17" t="s">
        <v>5665</v>
      </c>
      <c r="F89" s="17" t="s">
        <v>1544</v>
      </c>
      <c r="G89" s="17" t="s">
        <v>1544</v>
      </c>
      <c r="H89" s="17" t="s">
        <v>3525</v>
      </c>
      <c r="I89" s="17" t="s">
        <v>3525</v>
      </c>
      <c r="J89" s="17" t="s">
        <v>9</v>
      </c>
      <c r="K89" s="49" t="s">
        <v>935</v>
      </c>
      <c r="L89" s="4"/>
      <c r="P89" s="89"/>
    </row>
    <row r="90" spans="1:16" s="31" customFormat="1">
      <c r="A90" s="17" t="s">
        <v>4</v>
      </c>
      <c r="B90" s="17">
        <v>2520001800</v>
      </c>
      <c r="C90" s="73" t="s">
        <v>4462</v>
      </c>
      <c r="D90" s="3" t="s">
        <v>1416</v>
      </c>
      <c r="E90" s="17" t="s">
        <v>3362</v>
      </c>
      <c r="F90" s="17" t="s">
        <v>3528</v>
      </c>
      <c r="G90" s="17" t="s">
        <v>3528</v>
      </c>
      <c r="H90" s="17" t="s">
        <v>3529</v>
      </c>
      <c r="I90" s="17" t="s">
        <v>3545</v>
      </c>
      <c r="J90" s="17" t="s">
        <v>9</v>
      </c>
      <c r="K90" s="49" t="s">
        <v>935</v>
      </c>
      <c r="L90" s="4" t="str">
        <f ca="1">IF(ISERROR(VLOOKUP(B90,'ETL Scope'!I:I,1,0)),"NA","ETL")</f>
        <v>NA</v>
      </c>
      <c r="M90" s="29">
        <f ca="1">COUNTIF('Data-WK'!A:A,'V1'!B:B)</f>
        <v>0</v>
      </c>
      <c r="N90" s="29" t="e">
        <f ca="1">VLOOKUP(E90,'IFRS only'!A:A,1,0)</f>
        <v>#VALUE!</v>
      </c>
      <c r="O90" s="29"/>
      <c r="P90" s="89"/>
    </row>
    <row r="91" spans="1:16" s="31" customFormat="1">
      <c r="A91" s="17" t="s">
        <v>4</v>
      </c>
      <c r="B91" s="17">
        <v>2520001900</v>
      </c>
      <c r="C91" s="73" t="s">
        <v>4462</v>
      </c>
      <c r="D91" s="3" t="s">
        <v>5666</v>
      </c>
      <c r="E91" s="17" t="s">
        <v>3361</v>
      </c>
      <c r="F91" s="17" t="s">
        <v>3528</v>
      </c>
      <c r="G91" s="17" t="s">
        <v>3528</v>
      </c>
      <c r="H91" s="17" t="s">
        <v>3529</v>
      </c>
      <c r="I91" s="17" t="s">
        <v>3545</v>
      </c>
      <c r="J91" s="17" t="s">
        <v>9</v>
      </c>
      <c r="K91" s="49" t="s">
        <v>935</v>
      </c>
      <c r="L91" s="4" t="str">
        <f ca="1">IF(ISERROR(VLOOKUP(B91,'ETL Scope'!I:I,1,0)),"NA","ETL")</f>
        <v>NA</v>
      </c>
      <c r="M91" s="29">
        <f ca="1">COUNTIF('Data-WK'!A:A,'V1'!B:B)</f>
        <v>0</v>
      </c>
      <c r="N91" s="29" t="e">
        <f ca="1">VLOOKUP(E91,'IFRS only'!A:A,1,0)</f>
        <v>#N/A</v>
      </c>
      <c r="O91" s="29"/>
      <c r="P91" s="89"/>
    </row>
    <row r="92" spans="1:16" s="31" customFormat="1">
      <c r="A92" s="17" t="s">
        <v>4</v>
      </c>
      <c r="B92" s="17">
        <v>2530301500</v>
      </c>
      <c r="C92" s="73" t="s">
        <v>4463</v>
      </c>
      <c r="D92" s="3" t="s">
        <v>5773</v>
      </c>
      <c r="E92" s="17" t="s">
        <v>2252</v>
      </c>
      <c r="F92" s="17" t="s">
        <v>3391</v>
      </c>
      <c r="G92" s="17" t="s">
        <v>3391</v>
      </c>
      <c r="H92" s="17" t="s">
        <v>9</v>
      </c>
      <c r="I92" s="17" t="s">
        <v>5775</v>
      </c>
      <c r="J92" s="17" t="s">
        <v>3391</v>
      </c>
      <c r="K92" s="49" t="s">
        <v>924</v>
      </c>
      <c r="L92" s="4"/>
      <c r="M92" s="29"/>
      <c r="N92" s="29"/>
      <c r="O92" s="29"/>
      <c r="P92" s="95"/>
    </row>
    <row r="93" spans="1:16" s="31" customFormat="1">
      <c r="A93" s="17" t="s">
        <v>4</v>
      </c>
      <c r="B93" s="17">
        <v>2530301501</v>
      </c>
      <c r="C93" s="73" t="s">
        <v>4463</v>
      </c>
      <c r="D93" s="3" t="s">
        <v>5586</v>
      </c>
      <c r="E93" s="17" t="s">
        <v>2252</v>
      </c>
      <c r="F93" s="17" t="s">
        <v>1544</v>
      </c>
      <c r="G93" s="17" t="s">
        <v>1544</v>
      </c>
      <c r="H93" s="17" t="s">
        <v>3525</v>
      </c>
      <c r="I93" s="17" t="s">
        <v>3525</v>
      </c>
      <c r="J93" s="17" t="s">
        <v>3391</v>
      </c>
      <c r="K93" s="49" t="s">
        <v>924</v>
      </c>
      <c r="L93" s="89"/>
      <c r="M93" s="29"/>
      <c r="N93" s="29"/>
      <c r="O93" s="29"/>
      <c r="P93" s="29"/>
    </row>
    <row r="94" spans="1:16" s="29" customFormat="1">
      <c r="A94" s="17" t="s">
        <v>3</v>
      </c>
      <c r="B94" s="17">
        <v>2530400050</v>
      </c>
      <c r="C94" s="73" t="s">
        <v>4464</v>
      </c>
      <c r="D94" s="3" t="s">
        <v>66</v>
      </c>
      <c r="E94" s="17" t="s">
        <v>2238</v>
      </c>
      <c r="F94" s="17" t="s">
        <v>3528</v>
      </c>
      <c r="G94" s="17" t="s">
        <v>3528</v>
      </c>
      <c r="H94" s="17" t="s">
        <v>3529</v>
      </c>
      <c r="I94" s="17" t="s">
        <v>3545</v>
      </c>
      <c r="J94" s="17" t="s">
        <v>9</v>
      </c>
      <c r="K94" s="49" t="s">
        <v>918</v>
      </c>
      <c r="L94" s="4" t="str">
        <f ca="1">IF(ISERROR(VLOOKUP(B94,'ETL Scope'!I:I,1,0)),"NA","ETL")</f>
        <v>NA</v>
      </c>
      <c r="M94" s="29">
        <f ca="1">COUNTIF('Data-WK'!A:A,'V1'!B:B)</f>
        <v>1</v>
      </c>
      <c r="N94" s="29" t="e">
        <f ca="1">VLOOKUP(E94,'IFRS only'!A:A,1,0)</f>
        <v>#N/A</v>
      </c>
      <c r="P94" s="89"/>
    </row>
    <row r="95" spans="1:16" s="112" customFormat="1">
      <c r="A95" s="115" t="s">
        <v>5885</v>
      </c>
      <c r="B95" s="108">
        <v>2530400550</v>
      </c>
      <c r="C95" s="108">
        <v>253040</v>
      </c>
      <c r="D95" s="109" t="s">
        <v>5886</v>
      </c>
      <c r="E95" s="108" t="s">
        <v>2205</v>
      </c>
      <c r="F95" s="108" t="s">
        <v>3391</v>
      </c>
      <c r="G95" s="108" t="s">
        <v>3391</v>
      </c>
      <c r="H95" s="108" t="s">
        <v>9</v>
      </c>
      <c r="I95" s="108" t="s">
        <v>3391</v>
      </c>
      <c r="J95" s="108" t="s">
        <v>9</v>
      </c>
      <c r="K95" s="110" t="s">
        <v>5887</v>
      </c>
      <c r="L95" s="114"/>
      <c r="P95" s="111"/>
    </row>
    <row r="96" spans="1:16" s="29" customFormat="1">
      <c r="A96" s="17" t="s">
        <v>3</v>
      </c>
      <c r="B96" s="17">
        <v>2530401500</v>
      </c>
      <c r="C96" s="73" t="s">
        <v>4464</v>
      </c>
      <c r="D96" s="3" t="s">
        <v>69</v>
      </c>
      <c r="E96" s="17" t="s">
        <v>2243</v>
      </c>
      <c r="F96" s="17" t="s">
        <v>3528</v>
      </c>
      <c r="G96" s="17" t="s">
        <v>3528</v>
      </c>
      <c r="H96" s="17" t="s">
        <v>3529</v>
      </c>
      <c r="I96" s="17" t="s">
        <v>3545</v>
      </c>
      <c r="J96" s="17" t="s">
        <v>9</v>
      </c>
      <c r="K96" s="49" t="s">
        <v>919</v>
      </c>
      <c r="L96" s="4" t="str">
        <f ca="1">IF(ISERROR(VLOOKUP(B96,'ETL Scope'!I:I,1,0)),"NA","ETL")</f>
        <v>NA</v>
      </c>
      <c r="M96" s="29">
        <f ca="1">COUNTIF('Data-WK'!A:A,'V1'!B:B)</f>
        <v>1</v>
      </c>
      <c r="N96" s="29" t="e">
        <f ca="1">VLOOKUP(E96,'IFRS only'!A:A,1,0)</f>
        <v>#N/A</v>
      </c>
      <c r="O96" s="31"/>
      <c r="P96" s="89"/>
    </row>
    <row r="97" spans="1:16" s="29" customFormat="1">
      <c r="A97" s="17" t="s">
        <v>4</v>
      </c>
      <c r="B97" s="17">
        <v>2530401501</v>
      </c>
      <c r="C97" s="73" t="s">
        <v>4464</v>
      </c>
      <c r="D97" s="3" t="s">
        <v>67</v>
      </c>
      <c r="E97" s="17" t="s">
        <v>2239</v>
      </c>
      <c r="F97" s="17" t="s">
        <v>3528</v>
      </c>
      <c r="G97" s="17" t="s">
        <v>3528</v>
      </c>
      <c r="H97" s="17" t="s">
        <v>3529</v>
      </c>
      <c r="I97" s="17" t="s">
        <v>3545</v>
      </c>
      <c r="J97" s="17" t="s">
        <v>9</v>
      </c>
      <c r="K97" s="49" t="s">
        <v>919</v>
      </c>
      <c r="L97" s="4" t="str">
        <f ca="1">IF(ISERROR(VLOOKUP(B97,'ETL Scope'!I:I,1,0)),"NA","ETL")</f>
        <v>NA</v>
      </c>
      <c r="M97" s="29">
        <f ca="1">COUNTIF('Data-WK'!A:A,'V1'!B:B)</f>
        <v>1</v>
      </c>
      <c r="N97" s="29" t="e">
        <f ca="1">VLOOKUP(E97,'IFRS only'!A:A,1,0)</f>
        <v>#N/A</v>
      </c>
      <c r="O97" s="31"/>
      <c r="P97" s="89"/>
    </row>
    <row r="98" spans="1:16" s="29" customFormat="1">
      <c r="A98" s="17" t="s">
        <v>4</v>
      </c>
      <c r="B98" s="17">
        <v>2530401502</v>
      </c>
      <c r="C98" s="73" t="s">
        <v>4464</v>
      </c>
      <c r="D98" s="3" t="s">
        <v>5772</v>
      </c>
      <c r="E98" s="17" t="s">
        <v>2241</v>
      </c>
      <c r="F98" s="17" t="s">
        <v>3528</v>
      </c>
      <c r="G98" s="17" t="s">
        <v>3528</v>
      </c>
      <c r="H98" s="17" t="s">
        <v>3529</v>
      </c>
      <c r="I98" s="17" t="s">
        <v>3545</v>
      </c>
      <c r="J98" s="17" t="s">
        <v>3391</v>
      </c>
      <c r="K98" s="49" t="s">
        <v>919</v>
      </c>
      <c r="L98" s="4" t="str">
        <f ca="1">IF(ISERROR(VLOOKUP(B98,'ETL Scope'!I:I,1,0)),"NA","ETL")</f>
        <v>NA</v>
      </c>
      <c r="M98" s="29">
        <f ca="1">COUNTIF('Data-WK'!A:A,'V1'!B:B)</f>
        <v>1</v>
      </c>
      <c r="N98" s="29" t="e">
        <f ca="1">VLOOKUP(E98,'IFRS only'!A:A,1,0)</f>
        <v>#N/A</v>
      </c>
      <c r="P98" s="89"/>
    </row>
    <row r="99" spans="1:16" s="29" customFormat="1">
      <c r="A99" s="17" t="s">
        <v>4</v>
      </c>
      <c r="B99" s="17">
        <v>2530401503</v>
      </c>
      <c r="C99" s="73" t="s">
        <v>4464</v>
      </c>
      <c r="D99" s="3" t="s">
        <v>72</v>
      </c>
      <c r="E99" s="17" t="s">
        <v>2246</v>
      </c>
      <c r="F99" s="17" t="s">
        <v>3528</v>
      </c>
      <c r="G99" s="17" t="s">
        <v>3528</v>
      </c>
      <c r="H99" s="17" t="s">
        <v>3529</v>
      </c>
      <c r="I99" s="17" t="s">
        <v>3545</v>
      </c>
      <c r="J99" s="17" t="s">
        <v>9</v>
      </c>
      <c r="K99" s="49" t="s">
        <v>919</v>
      </c>
      <c r="L99" s="4" t="str">
        <f ca="1">IF(ISERROR(VLOOKUP(B99,'ETL Scope'!I:I,1,0)),"NA","ETL")</f>
        <v>NA</v>
      </c>
      <c r="M99" s="29">
        <f ca="1">COUNTIF('Data-WK'!A:A,'V1'!B:B)</f>
        <v>1</v>
      </c>
      <c r="N99" s="29" t="e">
        <f ca="1">VLOOKUP(E99,'IFRS only'!A:A,1,0)</f>
        <v>#N/A</v>
      </c>
      <c r="P99" s="89"/>
    </row>
    <row r="100" spans="1:16" s="29" customFormat="1">
      <c r="A100" s="17" t="s">
        <v>4</v>
      </c>
      <c r="B100" s="17">
        <v>2530401504</v>
      </c>
      <c r="C100" s="73" t="s">
        <v>4464</v>
      </c>
      <c r="D100" s="3" t="s">
        <v>1415</v>
      </c>
      <c r="E100" s="17" t="s">
        <v>2251</v>
      </c>
      <c r="F100" s="17" t="s">
        <v>3528</v>
      </c>
      <c r="G100" s="17" t="s">
        <v>3528</v>
      </c>
      <c r="H100" s="17" t="s">
        <v>3529</v>
      </c>
      <c r="I100" s="17" t="s">
        <v>3545</v>
      </c>
      <c r="J100" s="17" t="s">
        <v>9</v>
      </c>
      <c r="K100" s="49" t="s">
        <v>919</v>
      </c>
      <c r="L100" s="4" t="str">
        <f ca="1">IF(ISERROR(VLOOKUP(B100,'ETL Scope'!I:I,1,0)),"NA","ETL")</f>
        <v>NA</v>
      </c>
      <c r="M100" s="29">
        <f ca="1">COUNTIF('Data-WK'!A:A,'V1'!B:B)</f>
        <v>1</v>
      </c>
      <c r="N100" s="29" t="e">
        <f ca="1">VLOOKUP(E100,'IFRS only'!A:A,1,0)</f>
        <v>#N/A</v>
      </c>
      <c r="P100" s="89"/>
    </row>
    <row r="101" spans="1:16" s="29" customFormat="1">
      <c r="A101" s="17" t="s">
        <v>4</v>
      </c>
      <c r="B101" s="17">
        <v>2530401505</v>
      </c>
      <c r="C101" s="73" t="s">
        <v>4464</v>
      </c>
      <c r="D101" s="3" t="s">
        <v>77</v>
      </c>
      <c r="E101" s="17" t="s">
        <v>2253</v>
      </c>
      <c r="F101" s="17" t="s">
        <v>3528</v>
      </c>
      <c r="G101" s="17" t="s">
        <v>3528</v>
      </c>
      <c r="H101" s="17" t="s">
        <v>3529</v>
      </c>
      <c r="I101" s="17" t="s">
        <v>3545</v>
      </c>
      <c r="J101" s="17" t="s">
        <v>9</v>
      </c>
      <c r="K101" s="49" t="s">
        <v>919</v>
      </c>
      <c r="L101" s="4" t="str">
        <f ca="1">IF(ISERROR(VLOOKUP(B101,'ETL Scope'!I:I,1,0)),"NA","ETL")</f>
        <v>NA</v>
      </c>
      <c r="M101" s="29">
        <f ca="1">COUNTIF('Data-WK'!A:A,'V1'!B:B)</f>
        <v>1</v>
      </c>
      <c r="N101" s="29" t="e">
        <f ca="1">VLOOKUP(E101,'IFRS only'!A:A,1,0)</f>
        <v>#N/A</v>
      </c>
      <c r="P101" s="89"/>
    </row>
    <row r="102" spans="1:16" s="29" customFormat="1">
      <c r="A102" s="17" t="s">
        <v>4</v>
      </c>
      <c r="B102" s="17">
        <v>2530401508</v>
      </c>
      <c r="C102" s="73" t="s">
        <v>4464</v>
      </c>
      <c r="D102" s="86" t="s">
        <v>5678</v>
      </c>
      <c r="E102" s="17" t="s">
        <v>2256</v>
      </c>
      <c r="F102" s="17" t="s">
        <v>3528</v>
      </c>
      <c r="G102" s="17" t="s">
        <v>3528</v>
      </c>
      <c r="H102" s="17" t="s">
        <v>3529</v>
      </c>
      <c r="I102" s="17" t="s">
        <v>3545</v>
      </c>
      <c r="J102" s="17" t="s">
        <v>9</v>
      </c>
      <c r="K102" s="49" t="s">
        <v>919</v>
      </c>
      <c r="L102" s="4" t="str">
        <f ca="1">IF(ISERROR(VLOOKUP(B102,'ETL Scope'!I:I,1,0)),"NA","ETL")</f>
        <v>NA</v>
      </c>
      <c r="M102" s="29">
        <f ca="1">COUNTIF('Data-WK'!A:A,'V1'!B:B)</f>
        <v>1</v>
      </c>
      <c r="N102" s="29" t="e">
        <f ca="1">VLOOKUP(E102,'IFRS only'!A:A,1,0)</f>
        <v>#N/A</v>
      </c>
      <c r="P102" s="89"/>
    </row>
    <row r="103" spans="1:16" s="29" customFormat="1">
      <c r="A103" s="17" t="s">
        <v>3</v>
      </c>
      <c r="B103" s="17">
        <v>2530600010</v>
      </c>
      <c r="C103" s="73" t="s">
        <v>4465</v>
      </c>
      <c r="D103" s="86" t="s">
        <v>5679</v>
      </c>
      <c r="E103" s="17" t="s">
        <v>2244</v>
      </c>
      <c r="F103" s="17" t="s">
        <v>3528</v>
      </c>
      <c r="G103" s="17" t="s">
        <v>3528</v>
      </c>
      <c r="H103" s="17" t="s">
        <v>3529</v>
      </c>
      <c r="I103" s="17" t="s">
        <v>3545</v>
      </c>
      <c r="J103" s="17" t="s">
        <v>9</v>
      </c>
      <c r="K103" s="49" t="s">
        <v>920</v>
      </c>
      <c r="L103" s="4" t="str">
        <f ca="1">IF(ISERROR(VLOOKUP(B103,'ETL Scope'!I:I,1,0)),"NA","ETL")</f>
        <v>NA</v>
      </c>
      <c r="M103" s="29">
        <f ca="1">COUNTIF('Data-WK'!A:A,'V1'!B:B)</f>
        <v>1</v>
      </c>
      <c r="N103" s="29" t="e">
        <f ca="1">VLOOKUP(E103,'IFRS only'!A:A,1,0)</f>
        <v>#N/A</v>
      </c>
      <c r="P103" s="89"/>
    </row>
    <row r="104" spans="1:16" s="29" customFormat="1">
      <c r="A104" s="17" t="s">
        <v>2</v>
      </c>
      <c r="B104" s="17">
        <v>2600000000</v>
      </c>
      <c r="C104" s="73" t="s">
        <v>3709</v>
      </c>
      <c r="D104" s="3" t="s">
        <v>4807</v>
      </c>
      <c r="E104" s="17" t="s">
        <v>2222</v>
      </c>
      <c r="F104" s="17" t="s">
        <v>9</v>
      </c>
      <c r="G104" s="17" t="s">
        <v>3528</v>
      </c>
      <c r="H104" s="17" t="s">
        <v>3529</v>
      </c>
      <c r="I104" s="17" t="s">
        <v>3544</v>
      </c>
      <c r="J104" s="17" t="s">
        <v>9</v>
      </c>
      <c r="K104" s="49" t="s">
        <v>913</v>
      </c>
      <c r="L104" s="4" t="str">
        <f ca="1">IF(ISERROR(VLOOKUP(B104,'ETL Scope'!I:I,1,0)),"NA","ETL")</f>
        <v>NA</v>
      </c>
      <c r="M104" s="29">
        <f ca="1">COUNTIF('Data-WK'!A:A,'V1'!B:B)</f>
        <v>1</v>
      </c>
      <c r="N104" s="29" t="str">
        <f ca="1">VLOOKUP(E104,'IFRS only'!A:A,1,0)</f>
        <v>130315</v>
      </c>
      <c r="P104" s="89"/>
    </row>
    <row r="105" spans="1:16" s="29" customFormat="1">
      <c r="A105" s="17" t="s">
        <v>2</v>
      </c>
      <c r="B105" s="17">
        <v>2600000020</v>
      </c>
      <c r="C105" s="73" t="s">
        <v>3709</v>
      </c>
      <c r="D105" s="3" t="s">
        <v>5776</v>
      </c>
      <c r="E105" s="17" t="s">
        <v>2208</v>
      </c>
      <c r="F105" s="17" t="s">
        <v>3528</v>
      </c>
      <c r="G105" s="17" t="s">
        <v>3528</v>
      </c>
      <c r="H105" s="17" t="s">
        <v>3529</v>
      </c>
      <c r="I105" s="17" t="s">
        <v>3545</v>
      </c>
      <c r="J105" s="17" t="s">
        <v>3391</v>
      </c>
      <c r="K105" s="49" t="s">
        <v>906</v>
      </c>
      <c r="L105" s="4" t="str">
        <f ca="1">IF(ISERROR(VLOOKUP(B105,'ETL Scope'!I:I,1,0)),"NA","ETL")</f>
        <v>NA</v>
      </c>
      <c r="M105" s="29">
        <f ca="1">COUNTIF('Data-WK'!A:A,'V1'!B:B)</f>
        <v>1</v>
      </c>
      <c r="N105" s="29" t="e">
        <f ca="1">VLOOKUP(E105,'IFRS only'!A:A,1,0)</f>
        <v>#N/A</v>
      </c>
      <c r="P105" s="89"/>
    </row>
    <row r="106" spans="1:16" s="29" customFormat="1">
      <c r="A106" s="17" t="s">
        <v>2</v>
      </c>
      <c r="B106" s="17">
        <v>2600000030</v>
      </c>
      <c r="C106" s="73" t="s">
        <v>3709</v>
      </c>
      <c r="D106" s="3" t="s">
        <v>49</v>
      </c>
      <c r="E106" s="17" t="s">
        <v>2217</v>
      </c>
      <c r="F106" s="17" t="s">
        <v>3528</v>
      </c>
      <c r="G106" s="17" t="s">
        <v>3528</v>
      </c>
      <c r="H106" s="17" t="s">
        <v>3529</v>
      </c>
      <c r="I106" s="17" t="s">
        <v>3545</v>
      </c>
      <c r="J106" s="17" t="s">
        <v>9</v>
      </c>
      <c r="K106" s="49" t="s">
        <v>906</v>
      </c>
      <c r="L106" s="4" t="str">
        <f ca="1">IF(ISERROR(VLOOKUP(B106,'ETL Scope'!I:I,1,0)),"NA","ETL")</f>
        <v>NA</v>
      </c>
      <c r="M106" s="29">
        <f ca="1">COUNTIF('Data-WK'!A:A,'V1'!B:B)</f>
        <v>1</v>
      </c>
      <c r="N106" s="29" t="e">
        <f ca="1">VLOOKUP(E106,'IFRS only'!A:A,1,0)</f>
        <v>#N/A</v>
      </c>
      <c r="P106" s="89"/>
    </row>
    <row r="107" spans="1:16" s="29" customFormat="1">
      <c r="A107" s="17" t="s">
        <v>2</v>
      </c>
      <c r="B107" s="17">
        <v>2600000100</v>
      </c>
      <c r="C107" s="73" t="s">
        <v>3709</v>
      </c>
      <c r="D107" s="3" t="s">
        <v>5777</v>
      </c>
      <c r="E107" s="17" t="s">
        <v>2220</v>
      </c>
      <c r="F107" s="17" t="s">
        <v>3528</v>
      </c>
      <c r="G107" s="17" t="s">
        <v>3528</v>
      </c>
      <c r="H107" s="17" t="s">
        <v>3529</v>
      </c>
      <c r="I107" s="17" t="s">
        <v>3545</v>
      </c>
      <c r="J107" s="17" t="s">
        <v>3391</v>
      </c>
      <c r="K107" s="49" t="s">
        <v>906</v>
      </c>
      <c r="L107" s="4" t="str">
        <f ca="1">IF(ISERROR(VLOOKUP(B107,'ETL Scope'!I:I,1,0)),"NA","ETL")</f>
        <v>NA</v>
      </c>
      <c r="M107" s="29">
        <f ca="1">COUNTIF('Data-WK'!A:A,'V1'!B:B)</f>
        <v>1</v>
      </c>
      <c r="N107" s="29" t="e">
        <f ca="1">VLOOKUP(E107,'IFRS only'!A:A,1,0)</f>
        <v>#N/A</v>
      </c>
      <c r="P107" s="89"/>
    </row>
    <row r="108" spans="1:16" s="29" customFormat="1">
      <c r="A108" s="17" t="s">
        <v>2</v>
      </c>
      <c r="B108" s="17">
        <v>2600002020</v>
      </c>
      <c r="C108" s="73" t="s">
        <v>3709</v>
      </c>
      <c r="D108" s="3" t="s">
        <v>5857</v>
      </c>
      <c r="E108" s="17" t="s">
        <v>2209</v>
      </c>
      <c r="F108" s="17" t="s">
        <v>5858</v>
      </c>
      <c r="G108" s="17" t="s">
        <v>5858</v>
      </c>
      <c r="H108" s="17" t="s">
        <v>5859</v>
      </c>
      <c r="I108" s="17" t="s">
        <v>5859</v>
      </c>
      <c r="J108" s="17" t="s">
        <v>3391</v>
      </c>
      <c r="K108" s="49" t="s">
        <v>906</v>
      </c>
      <c r="L108" s="98" t="str">
        <f ca="1">IF(ISERROR(VLOOKUP(B108,'ETL Scope'!I:I,1,0)),"NA","ETL")</f>
        <v>NA</v>
      </c>
      <c r="M108" s="99">
        <f ca="1">COUNTIF('Data-WK'!A:A,'V1'!B:B)</f>
        <v>0</v>
      </c>
      <c r="N108" s="99" t="e">
        <f ca="1">VLOOKUP(E108,'IFRS only'!A:A,1,0)</f>
        <v>#N/A</v>
      </c>
      <c r="O108" s="99"/>
      <c r="P108" s="89"/>
    </row>
    <row r="109" spans="1:16" s="29" customFormat="1">
      <c r="A109" s="17" t="s">
        <v>2</v>
      </c>
      <c r="B109" s="17">
        <v>2600002040</v>
      </c>
      <c r="C109" s="73" t="s">
        <v>3709</v>
      </c>
      <c r="D109" s="3" t="s">
        <v>45</v>
      </c>
      <c r="E109" s="17" t="s">
        <v>2211</v>
      </c>
      <c r="F109" s="17" t="s">
        <v>3528</v>
      </c>
      <c r="G109" s="17" t="s">
        <v>3528</v>
      </c>
      <c r="H109" s="17" t="s">
        <v>3529</v>
      </c>
      <c r="I109" s="17" t="s">
        <v>3544</v>
      </c>
      <c r="J109" s="17" t="s">
        <v>9</v>
      </c>
      <c r="K109" s="49" t="s">
        <v>907</v>
      </c>
      <c r="L109" s="4" t="str">
        <f ca="1">IF(ISERROR(VLOOKUP(B109,'ETL Scope'!I:I,1,0)),"NA","ETL")</f>
        <v>NA</v>
      </c>
      <c r="M109" s="29">
        <f ca="1">COUNTIF('Data-WK'!A:A,'V1'!B:B)</f>
        <v>1</v>
      </c>
      <c r="N109" s="29" t="e">
        <f ca="1">VLOOKUP(E109,'IFRS only'!A:A,1,0)</f>
        <v>#N/A</v>
      </c>
      <c r="P109" s="89"/>
    </row>
    <row r="110" spans="1:16" s="29" customFormat="1">
      <c r="A110" s="17" t="s">
        <v>2</v>
      </c>
      <c r="B110" s="17">
        <v>2600002041</v>
      </c>
      <c r="C110" s="73" t="s">
        <v>3709</v>
      </c>
      <c r="D110" s="3" t="s">
        <v>5778</v>
      </c>
      <c r="E110" s="17" t="s">
        <v>2211</v>
      </c>
      <c r="F110" s="17" t="s">
        <v>3528</v>
      </c>
      <c r="G110" s="17" t="s">
        <v>3528</v>
      </c>
      <c r="H110" s="17" t="s">
        <v>3529</v>
      </c>
      <c r="I110" s="17" t="s">
        <v>3545</v>
      </c>
      <c r="J110" s="17" t="s">
        <v>5761</v>
      </c>
      <c r="K110" s="49" t="s">
        <v>906</v>
      </c>
      <c r="L110" s="4" t="str">
        <f ca="1">IF(ISERROR(VLOOKUP(B110,'ETL Scope'!I:I,1,0)),"NA","ETL")</f>
        <v>NA</v>
      </c>
      <c r="M110" s="29">
        <f ca="1">COUNTIF('Data-WK'!A:A,'V1'!B:B)</f>
        <v>1</v>
      </c>
      <c r="N110" s="29" t="e">
        <f ca="1">VLOOKUP(E110,'IFRS only'!A:A,1,0)</f>
        <v>#N/A</v>
      </c>
      <c r="P110" s="89"/>
    </row>
    <row r="111" spans="1:16" s="29" customFormat="1">
      <c r="A111" s="17" t="s">
        <v>2</v>
      </c>
      <c r="B111" s="17">
        <v>2600002050</v>
      </c>
      <c r="C111" s="73" t="s">
        <v>3709</v>
      </c>
      <c r="D111" s="3" t="s">
        <v>4808</v>
      </c>
      <c r="E111" s="17" t="s">
        <v>2212</v>
      </c>
      <c r="F111" s="17" t="s">
        <v>3528</v>
      </c>
      <c r="G111" s="17" t="s">
        <v>3528</v>
      </c>
      <c r="H111" s="17" t="s">
        <v>3529</v>
      </c>
      <c r="I111" s="17" t="s">
        <v>3544</v>
      </c>
      <c r="J111" s="17" t="s">
        <v>9</v>
      </c>
      <c r="K111" s="49" t="s">
        <v>908</v>
      </c>
      <c r="L111" s="4" t="str">
        <f ca="1">IF(ISERROR(VLOOKUP(B111,'ETL Scope'!I:I,1,0)),"NA","ETL")</f>
        <v>NA</v>
      </c>
      <c r="M111" s="29">
        <f ca="1">COUNTIF('Data-WK'!A:A,'V1'!B:B)</f>
        <v>1</v>
      </c>
      <c r="N111" s="29" t="e">
        <f ca="1">VLOOKUP(E111,'IFRS only'!A:A,1,0)</f>
        <v>#N/A</v>
      </c>
      <c r="P111" s="89"/>
    </row>
    <row r="112" spans="1:16" s="29" customFormat="1">
      <c r="A112" s="17" t="s">
        <v>2</v>
      </c>
      <c r="B112" s="17">
        <v>2600002051</v>
      </c>
      <c r="C112" s="73" t="s">
        <v>3709</v>
      </c>
      <c r="D112" s="3" t="s">
        <v>5779</v>
      </c>
      <c r="E112" s="17" t="s">
        <v>2212</v>
      </c>
      <c r="F112" s="17" t="s">
        <v>3528</v>
      </c>
      <c r="G112" s="17" t="s">
        <v>3528</v>
      </c>
      <c r="H112" s="17" t="s">
        <v>3529</v>
      </c>
      <c r="I112" s="17" t="s">
        <v>3545</v>
      </c>
      <c r="J112" s="17" t="s">
        <v>5761</v>
      </c>
      <c r="K112" s="49" t="s">
        <v>906</v>
      </c>
      <c r="L112" s="4" t="str">
        <f ca="1">IF(ISERROR(VLOOKUP(B112,'ETL Scope'!I:I,1,0)),"NA","ETL")</f>
        <v>NA</v>
      </c>
      <c r="M112" s="29">
        <f ca="1">COUNTIF('Data-WK'!A:A,'V1'!B:B)</f>
        <v>1</v>
      </c>
      <c r="N112" s="29" t="e">
        <f ca="1">VLOOKUP(E112,'IFRS only'!A:A,1,0)</f>
        <v>#N/A</v>
      </c>
      <c r="P112" s="89"/>
    </row>
    <row r="113" spans="1:16" s="29" customFormat="1">
      <c r="A113" s="17" t="s">
        <v>2</v>
      </c>
      <c r="B113" s="17">
        <v>2600002060</v>
      </c>
      <c r="C113" s="73" t="s">
        <v>3709</v>
      </c>
      <c r="D113" s="3" t="s">
        <v>47</v>
      </c>
      <c r="E113" s="17" t="s">
        <v>2215</v>
      </c>
      <c r="F113" s="17" t="s">
        <v>3528</v>
      </c>
      <c r="G113" s="17" t="s">
        <v>3528</v>
      </c>
      <c r="H113" s="17" t="s">
        <v>3529</v>
      </c>
      <c r="I113" s="17" t="s">
        <v>3544</v>
      </c>
      <c r="J113" s="17" t="s">
        <v>9</v>
      </c>
      <c r="K113" s="49" t="s">
        <v>909</v>
      </c>
      <c r="L113" s="4" t="str">
        <f ca="1">IF(ISERROR(VLOOKUP(B113,'ETL Scope'!I:I,1,0)),"NA","ETL")</f>
        <v>NA</v>
      </c>
      <c r="M113" s="29">
        <f ca="1">COUNTIF('Data-WK'!A:A,'V1'!B:B)</f>
        <v>1</v>
      </c>
      <c r="N113" s="29" t="e">
        <f ca="1">VLOOKUP(E113,'IFRS only'!A:A,1,0)</f>
        <v>#N/A</v>
      </c>
      <c r="P113" s="89"/>
    </row>
    <row r="114" spans="1:16" s="29" customFormat="1">
      <c r="A114" s="17" t="s">
        <v>2</v>
      </c>
      <c r="B114" s="17">
        <v>2600002070</v>
      </c>
      <c r="C114" s="73" t="s">
        <v>3709</v>
      </c>
      <c r="D114" s="3" t="s">
        <v>48</v>
      </c>
      <c r="E114" s="17" t="s">
        <v>2216</v>
      </c>
      <c r="F114" s="17" t="s">
        <v>3528</v>
      </c>
      <c r="G114" s="17" t="s">
        <v>3528</v>
      </c>
      <c r="H114" s="17" t="s">
        <v>3529</v>
      </c>
      <c r="I114" s="17" t="s">
        <v>3544</v>
      </c>
      <c r="J114" s="17" t="s">
        <v>9</v>
      </c>
      <c r="K114" s="49" t="s">
        <v>910</v>
      </c>
      <c r="L114" s="4" t="str">
        <f ca="1">IF(ISERROR(VLOOKUP(B114,'ETL Scope'!I:I,1,0)),"NA","ETL")</f>
        <v>NA</v>
      </c>
      <c r="M114" s="29">
        <f ca="1">COUNTIF('Data-WK'!A:A,'V1'!B:B)</f>
        <v>1</v>
      </c>
      <c r="N114" s="29" t="e">
        <f ca="1">VLOOKUP(E114,'IFRS only'!A:A,1,0)</f>
        <v>#N/A</v>
      </c>
      <c r="P114" s="89"/>
    </row>
    <row r="115" spans="1:16" s="29" customFormat="1">
      <c r="A115" s="17" t="s">
        <v>2</v>
      </c>
      <c r="B115" s="17">
        <v>2600002100</v>
      </c>
      <c r="C115" s="73" t="s">
        <v>3709</v>
      </c>
      <c r="D115" s="3" t="s">
        <v>50</v>
      </c>
      <c r="E115" s="17" t="s">
        <v>2218</v>
      </c>
      <c r="F115" s="17" t="s">
        <v>3528</v>
      </c>
      <c r="G115" s="17" t="s">
        <v>3528</v>
      </c>
      <c r="H115" s="17" t="s">
        <v>3529</v>
      </c>
      <c r="I115" s="17" t="s">
        <v>3544</v>
      </c>
      <c r="J115" s="17" t="s">
        <v>9</v>
      </c>
      <c r="K115" s="49" t="s">
        <v>912</v>
      </c>
      <c r="L115" s="4" t="str">
        <f ca="1">IF(ISERROR(VLOOKUP(B115,'ETL Scope'!I:I,1,0)),"NA","ETL")</f>
        <v>NA</v>
      </c>
      <c r="M115" s="29">
        <f ca="1">COUNTIF('Data-WK'!A:A,'V1'!B:B)</f>
        <v>1</v>
      </c>
      <c r="N115" s="29" t="e">
        <f ca="1">VLOOKUP(E115,'IFRS only'!A:A,1,0)</f>
        <v>#N/A</v>
      </c>
      <c r="P115" s="89"/>
    </row>
    <row r="116" spans="1:16" s="29" customFormat="1">
      <c r="A116" s="17" t="s">
        <v>2</v>
      </c>
      <c r="B116" s="17">
        <v>2600002110</v>
      </c>
      <c r="C116" s="73" t="s">
        <v>3709</v>
      </c>
      <c r="D116" s="3" t="s">
        <v>5587</v>
      </c>
      <c r="E116" s="49" t="s">
        <v>5299</v>
      </c>
      <c r="F116" s="17" t="s">
        <v>3528</v>
      </c>
      <c r="G116" s="17" t="s">
        <v>3528</v>
      </c>
      <c r="H116" s="17" t="s">
        <v>3529</v>
      </c>
      <c r="I116" s="17" t="s">
        <v>3545</v>
      </c>
      <c r="J116" s="17" t="s">
        <v>9</v>
      </c>
      <c r="K116" s="49" t="s">
        <v>5399</v>
      </c>
      <c r="L116" s="4" t="str">
        <f ca="1">IF(ISERROR(VLOOKUP(B116,'ETL Scope'!I:I,1,0)),"NA","ETL")</f>
        <v>NA</v>
      </c>
      <c r="M116" s="29">
        <f ca="1">COUNTIF('Data-WK'!A:A,'V1'!B:B)</f>
        <v>0</v>
      </c>
      <c r="N116" s="29" t="e">
        <f ca="1">VLOOKUP(E116,'IFRS only'!A:A,1,0)</f>
        <v>#N/A</v>
      </c>
      <c r="P116" s="89"/>
    </row>
    <row r="117" spans="1:16" s="29" customFormat="1">
      <c r="A117" s="17" t="s">
        <v>2</v>
      </c>
      <c r="B117" s="17">
        <v>2600002120</v>
      </c>
      <c r="C117" s="73" t="s">
        <v>3709</v>
      </c>
      <c r="D117" s="86" t="s">
        <v>5680</v>
      </c>
      <c r="E117" s="49" t="s">
        <v>5300</v>
      </c>
      <c r="F117" s="17" t="s">
        <v>3528</v>
      </c>
      <c r="G117" s="17" t="s">
        <v>3528</v>
      </c>
      <c r="H117" s="17" t="s">
        <v>3525</v>
      </c>
      <c r="I117" s="17" t="s">
        <v>3525</v>
      </c>
      <c r="J117" s="17" t="s">
        <v>9</v>
      </c>
      <c r="K117" s="49" t="s">
        <v>5399</v>
      </c>
      <c r="L117" s="4"/>
      <c r="P117" s="89"/>
    </row>
    <row r="118" spans="1:16" s="29" customFormat="1">
      <c r="A118" s="17" t="s">
        <v>2</v>
      </c>
      <c r="B118" s="17">
        <v>2600002130</v>
      </c>
      <c r="C118" s="73" t="s">
        <v>3709</v>
      </c>
      <c r="D118" s="3" t="s">
        <v>5298</v>
      </c>
      <c r="E118" s="49" t="s">
        <v>5301</v>
      </c>
      <c r="F118" s="17" t="s">
        <v>3528</v>
      </c>
      <c r="G118" s="17" t="s">
        <v>3528</v>
      </c>
      <c r="H118" s="17" t="s">
        <v>3525</v>
      </c>
      <c r="I118" s="17" t="s">
        <v>3525</v>
      </c>
      <c r="J118" s="17" t="s">
        <v>9</v>
      </c>
      <c r="K118" s="49" t="s">
        <v>5399</v>
      </c>
      <c r="L118" s="4"/>
      <c r="P118" s="89"/>
    </row>
    <row r="119" spans="1:16" s="29" customFormat="1">
      <c r="A119" s="17" t="s">
        <v>2</v>
      </c>
      <c r="B119" s="17">
        <v>2610000000</v>
      </c>
      <c r="C119" s="73" t="s">
        <v>4466</v>
      </c>
      <c r="D119" s="3" t="s">
        <v>42</v>
      </c>
      <c r="E119" s="17" t="s">
        <v>1546</v>
      </c>
      <c r="F119" s="17" t="s">
        <v>3528</v>
      </c>
      <c r="G119" s="17" t="s">
        <v>3528</v>
      </c>
      <c r="H119" s="17" t="s">
        <v>3529</v>
      </c>
      <c r="I119" s="17" t="s">
        <v>3544</v>
      </c>
      <c r="J119" s="17" t="s">
        <v>5762</v>
      </c>
      <c r="K119" s="49" t="s">
        <v>903</v>
      </c>
      <c r="L119" s="4" t="str">
        <f ca="1">IF(ISERROR(VLOOKUP(B119,'ETL Scope'!I:I,1,0)),"NA","ETL")</f>
        <v>NA</v>
      </c>
      <c r="M119" s="29">
        <f ca="1">COUNTIF('Data-WK'!A:A,'V1'!B:B)</f>
        <v>3</v>
      </c>
      <c r="N119" s="29" t="e">
        <f ca="1">VLOOKUP(E119,'IFRS only'!A:A,1,0)</f>
        <v>#N/A</v>
      </c>
      <c r="P119" s="89"/>
    </row>
    <row r="120" spans="1:16" s="29" customFormat="1">
      <c r="A120" s="17" t="s">
        <v>2</v>
      </c>
      <c r="B120" s="17">
        <v>2610000010</v>
      </c>
      <c r="C120" s="73" t="s">
        <v>4466</v>
      </c>
      <c r="D120" s="3" t="s">
        <v>5780</v>
      </c>
      <c r="E120" s="17" t="s">
        <v>1547</v>
      </c>
      <c r="F120" s="17" t="s">
        <v>3528</v>
      </c>
      <c r="G120" s="17" t="s">
        <v>3528</v>
      </c>
      <c r="H120" s="17" t="s">
        <v>3529</v>
      </c>
      <c r="I120" s="17" t="s">
        <v>3545</v>
      </c>
      <c r="J120" s="17" t="s">
        <v>5761</v>
      </c>
      <c r="K120" s="49" t="s">
        <v>904</v>
      </c>
      <c r="L120" s="4" t="str">
        <f ca="1">IF(ISERROR(VLOOKUP(B120,'ETL Scope'!I:I,1,0)),"NA","ETL")</f>
        <v>NA</v>
      </c>
      <c r="M120" s="29">
        <f ca="1">COUNTIF('Data-WK'!A:A,'V1'!B:B)</f>
        <v>2</v>
      </c>
      <c r="N120" s="29" t="e">
        <f ca="1">VLOOKUP(E120,'IFRS only'!A:A,1,0)</f>
        <v>#N/A</v>
      </c>
      <c r="P120" s="89"/>
    </row>
    <row r="121" spans="1:16" s="29" customFormat="1">
      <c r="A121" s="17" t="s">
        <v>4</v>
      </c>
      <c r="B121" s="17">
        <v>2019100010</v>
      </c>
      <c r="C121" s="73">
        <v>201910</v>
      </c>
      <c r="D121" s="3" t="s">
        <v>84</v>
      </c>
      <c r="E121" s="17" t="s">
        <v>5565</v>
      </c>
      <c r="F121" s="17" t="s">
        <v>3528</v>
      </c>
      <c r="G121" s="17" t="s">
        <v>3528</v>
      </c>
      <c r="H121" s="17" t="s">
        <v>3529</v>
      </c>
      <c r="I121" s="17" t="s">
        <v>3545</v>
      </c>
      <c r="J121" s="17" t="s">
        <v>9</v>
      </c>
      <c r="K121" s="49" t="s">
        <v>930</v>
      </c>
      <c r="L121" s="25" t="str">
        <f ca="1">IF(ISERROR(VLOOKUP(B121,'ETL Scope'!I:I,1,0)),"NA","ETL")</f>
        <v>NA</v>
      </c>
      <c r="M121" s="44">
        <f ca="1">COUNTIF('Data-WK'!A:A,'V1'!B:B)</f>
        <v>0</v>
      </c>
      <c r="N121" s="44" t="e">
        <f ca="1">VLOOKUP(E121,'IFRS only'!A:A,1,0)</f>
        <v>#N/A</v>
      </c>
      <c r="O121" s="44"/>
      <c r="P121" s="89"/>
    </row>
    <row r="122" spans="1:16" s="29" customFormat="1">
      <c r="A122" s="17" t="s">
        <v>4</v>
      </c>
      <c r="B122" s="17">
        <v>2700000002</v>
      </c>
      <c r="C122" s="73" t="s">
        <v>3719</v>
      </c>
      <c r="D122" s="3" t="s">
        <v>85</v>
      </c>
      <c r="E122" s="17" t="s">
        <v>2262</v>
      </c>
      <c r="F122" s="17" t="s">
        <v>3528</v>
      </c>
      <c r="G122" s="17" t="s">
        <v>3528</v>
      </c>
      <c r="H122" s="17" t="s">
        <v>3529</v>
      </c>
      <c r="I122" s="17" t="s">
        <v>3545</v>
      </c>
      <c r="J122" s="17" t="s">
        <v>9</v>
      </c>
      <c r="K122" s="49" t="s">
        <v>930</v>
      </c>
      <c r="L122" s="4" t="str">
        <f ca="1">IF(ISERROR(VLOOKUP(B122,'ETL Scope'!I:I,1,0)),"NA","ETL")</f>
        <v>NA</v>
      </c>
      <c r="M122" s="29">
        <f ca="1">COUNTIF('Data-WK'!A:A,'V1'!B:B)</f>
        <v>1</v>
      </c>
      <c r="N122" s="29" t="e">
        <f ca="1">VLOOKUP(E122,'IFRS only'!A:A,1,0)</f>
        <v>#N/A</v>
      </c>
      <c r="P122" s="89"/>
    </row>
    <row r="123" spans="1:16" s="29" customFormat="1">
      <c r="A123" s="17" t="s">
        <v>4</v>
      </c>
      <c r="B123" s="17">
        <v>2700000005</v>
      </c>
      <c r="C123" s="73" t="s">
        <v>3719</v>
      </c>
      <c r="D123" s="3" t="s">
        <v>118</v>
      </c>
      <c r="E123" s="17" t="s">
        <v>2395</v>
      </c>
      <c r="F123" s="17" t="s">
        <v>3528</v>
      </c>
      <c r="G123" s="17" t="s">
        <v>3528</v>
      </c>
      <c r="H123" s="17" t="s">
        <v>3529</v>
      </c>
      <c r="I123" s="17" t="s">
        <v>3545</v>
      </c>
      <c r="J123" s="17" t="s">
        <v>9</v>
      </c>
      <c r="K123" s="49" t="s">
        <v>930</v>
      </c>
      <c r="L123" s="4" t="str">
        <f ca="1">IF(ISERROR(VLOOKUP(B123,'ETL Scope'!I:I,1,0)),"NA","ETL")</f>
        <v>NA</v>
      </c>
      <c r="M123" s="29">
        <f ca="1">COUNTIF('Data-WK'!A:A,'V1'!B:B)</f>
        <v>1</v>
      </c>
      <c r="N123" s="29" t="e">
        <f ca="1">VLOOKUP(E123,'IFRS only'!A:A,1,0)</f>
        <v>#N/A</v>
      </c>
      <c r="P123" s="89"/>
    </row>
    <row r="124" spans="1:16" s="29" customFormat="1">
      <c r="A124" s="17" t="s">
        <v>4</v>
      </c>
      <c r="B124" s="17">
        <v>2700000310</v>
      </c>
      <c r="C124" s="73" t="s">
        <v>3719</v>
      </c>
      <c r="D124" s="3" t="s">
        <v>131</v>
      </c>
      <c r="E124" s="17" t="s">
        <v>5292</v>
      </c>
      <c r="F124" s="17" t="s">
        <v>3532</v>
      </c>
      <c r="G124" s="17" t="s">
        <v>3532</v>
      </c>
      <c r="H124" s="17" t="s">
        <v>3531</v>
      </c>
      <c r="I124" s="17" t="s">
        <v>3545</v>
      </c>
      <c r="J124" s="17" t="s">
        <v>9</v>
      </c>
      <c r="K124" s="49" t="s">
        <v>963</v>
      </c>
      <c r="L124" s="4" t="str">
        <f ca="1">IF(ISERROR(VLOOKUP(B124,'ETL Scope'!I:I,1,0)),"NA","ETL")</f>
        <v>NA</v>
      </c>
      <c r="M124" s="29">
        <f ca="1">COUNTIF('Data-WK'!A:A,'V1'!B:B)</f>
        <v>1</v>
      </c>
      <c r="N124" s="29" t="e">
        <f ca="1">VLOOKUP(E124,'IFRS only'!A:A,1,0)</f>
        <v>#N/A</v>
      </c>
      <c r="P124" s="89"/>
    </row>
    <row r="125" spans="1:16" s="29" customFormat="1">
      <c r="A125" s="17" t="s">
        <v>4</v>
      </c>
      <c r="B125" s="17">
        <v>2700000410</v>
      </c>
      <c r="C125" s="73" t="s">
        <v>3719</v>
      </c>
      <c r="D125" s="3" t="s">
        <v>5588</v>
      </c>
      <c r="E125" s="17">
        <v>160012</v>
      </c>
      <c r="F125" s="17" t="s">
        <v>5562</v>
      </c>
      <c r="G125" s="17" t="s">
        <v>5562</v>
      </c>
      <c r="H125" s="17" t="s">
        <v>5562</v>
      </c>
      <c r="I125" s="17" t="s">
        <v>5562</v>
      </c>
      <c r="J125" s="17" t="s">
        <v>5562</v>
      </c>
      <c r="K125" s="49" t="s">
        <v>5563</v>
      </c>
      <c r="L125" s="4"/>
      <c r="P125" s="89"/>
    </row>
    <row r="126" spans="1:16" s="29" customFormat="1">
      <c r="A126" s="17" t="s">
        <v>4</v>
      </c>
      <c r="B126" s="17">
        <v>2700001500</v>
      </c>
      <c r="C126" s="73" t="s">
        <v>3719</v>
      </c>
      <c r="D126" s="3" t="s">
        <v>5589</v>
      </c>
      <c r="E126" s="17" t="s">
        <v>2259</v>
      </c>
      <c r="F126" s="17" t="s">
        <v>3528</v>
      </c>
      <c r="G126" s="17" t="s">
        <v>3528</v>
      </c>
      <c r="H126" s="17" t="s">
        <v>3529</v>
      </c>
      <c r="I126" s="17" t="s">
        <v>3545</v>
      </c>
      <c r="J126" s="17" t="s">
        <v>9</v>
      </c>
      <c r="K126" s="49" t="s">
        <v>930</v>
      </c>
      <c r="L126" s="4" t="str">
        <f ca="1">IF(ISERROR(VLOOKUP(B126,'ETL Scope'!I:I,1,0)),"NA","ETL")</f>
        <v>NA</v>
      </c>
      <c r="M126" s="29">
        <f ca="1">COUNTIF('Data-WK'!A:A,'V1'!B:B)</f>
        <v>1</v>
      </c>
      <c r="N126" s="29" t="e">
        <f ca="1">VLOOKUP(E126,'IFRS only'!A:A,1,0)</f>
        <v>#N/A</v>
      </c>
      <c r="P126" s="89"/>
    </row>
    <row r="127" spans="1:16" s="29" customFormat="1">
      <c r="A127" s="17" t="s">
        <v>6</v>
      </c>
      <c r="B127" s="17">
        <v>2700004000</v>
      </c>
      <c r="C127" s="73" t="s">
        <v>3719</v>
      </c>
      <c r="D127" s="3" t="s">
        <v>4809</v>
      </c>
      <c r="E127" s="17" t="s">
        <v>2391</v>
      </c>
      <c r="F127" s="17" t="s">
        <v>3528</v>
      </c>
      <c r="G127" s="17" t="s">
        <v>3528</v>
      </c>
      <c r="H127" s="17" t="s">
        <v>3529</v>
      </c>
      <c r="I127" s="17" t="s">
        <v>3545</v>
      </c>
      <c r="J127" s="17" t="s">
        <v>9</v>
      </c>
      <c r="K127" s="49" t="s">
        <v>930</v>
      </c>
      <c r="L127" s="4" t="str">
        <f ca="1">IF(ISERROR(VLOOKUP(B127,'ETL Scope'!I:I,1,0)),"NA","ETL")</f>
        <v>NA</v>
      </c>
      <c r="M127" s="29">
        <f ca="1">COUNTIF('Data-WK'!A:A,'V1'!B:B)</f>
        <v>1</v>
      </c>
      <c r="N127" s="29" t="e">
        <f ca="1">VLOOKUP(E127,'IFRS only'!A:A,1,0)</f>
        <v>#N/A</v>
      </c>
      <c r="P127" s="89"/>
    </row>
    <row r="128" spans="1:16" s="29" customFormat="1">
      <c r="A128" s="17" t="s">
        <v>6</v>
      </c>
      <c r="B128" s="17">
        <v>2700005000</v>
      </c>
      <c r="C128" s="73" t="s">
        <v>3719</v>
      </c>
      <c r="D128" s="3" t="s">
        <v>4810</v>
      </c>
      <c r="E128" s="17" t="s">
        <v>2392</v>
      </c>
      <c r="F128" s="17" t="s">
        <v>3528</v>
      </c>
      <c r="G128" s="17" t="s">
        <v>3528</v>
      </c>
      <c r="H128" s="17" t="s">
        <v>3529</v>
      </c>
      <c r="I128" s="17" t="s">
        <v>3545</v>
      </c>
      <c r="J128" s="17" t="s">
        <v>9</v>
      </c>
      <c r="K128" s="49" t="s">
        <v>930</v>
      </c>
      <c r="L128" s="4" t="str">
        <f ca="1">IF(ISERROR(VLOOKUP(B128,'ETL Scope'!I:I,1,0)),"NA","ETL")</f>
        <v>NA</v>
      </c>
      <c r="M128" s="29">
        <f ca="1">COUNTIF('Data-WK'!A:A,'V1'!B:B)</f>
        <v>1</v>
      </c>
      <c r="N128" s="29" t="e">
        <f ca="1">VLOOKUP(E128,'IFRS only'!A:A,1,0)</f>
        <v>#N/A</v>
      </c>
      <c r="P128" s="89"/>
    </row>
    <row r="129" spans="1:16" s="29" customFormat="1">
      <c r="A129" s="17" t="s">
        <v>4</v>
      </c>
      <c r="B129" s="17">
        <v>2700010010</v>
      </c>
      <c r="C129" s="73" t="s">
        <v>4467</v>
      </c>
      <c r="D129" s="86" t="s">
        <v>5681</v>
      </c>
      <c r="E129" s="17" t="s">
        <v>2258</v>
      </c>
      <c r="F129" s="17" t="s">
        <v>3529</v>
      </c>
      <c r="G129" s="17" t="s">
        <v>3528</v>
      </c>
      <c r="H129" s="17" t="s">
        <v>3529</v>
      </c>
      <c r="I129" s="17" t="s">
        <v>3545</v>
      </c>
      <c r="J129" s="17" t="s">
        <v>9</v>
      </c>
      <c r="K129" s="49" t="s">
        <v>929</v>
      </c>
      <c r="L129" s="4" t="str">
        <f ca="1">IF(ISERROR(VLOOKUP(B129,'ETL Scope'!I:I,1,0)),"NA","ETL")</f>
        <v>NA</v>
      </c>
      <c r="M129" s="29">
        <f ca="1">COUNTIF('Data-WK'!A:A,'V1'!B:B)</f>
        <v>1</v>
      </c>
      <c r="N129" s="29" t="str">
        <f ca="1">VLOOKUP(E129,'IFRS only'!A:A,1,0)</f>
        <v>13070106</v>
      </c>
      <c r="P129" s="89"/>
    </row>
    <row r="130" spans="1:16" s="29" customFormat="1">
      <c r="A130" s="17" t="s">
        <v>4</v>
      </c>
      <c r="B130" s="17">
        <v>2711001500</v>
      </c>
      <c r="C130" s="73" t="s">
        <v>4468</v>
      </c>
      <c r="D130" s="86" t="s">
        <v>5682</v>
      </c>
      <c r="E130" s="17" t="s">
        <v>3360</v>
      </c>
      <c r="F130" s="17" t="s">
        <v>3528</v>
      </c>
      <c r="G130" s="17" t="s">
        <v>3528</v>
      </c>
      <c r="H130" s="17" t="s">
        <v>3529</v>
      </c>
      <c r="I130" s="17" t="s">
        <v>3545</v>
      </c>
      <c r="J130" s="17" t="s">
        <v>9</v>
      </c>
      <c r="K130" s="49" t="s">
        <v>921</v>
      </c>
      <c r="L130" s="4" t="str">
        <f ca="1">IF(ISERROR(VLOOKUP(B130,'ETL Scope'!I:I,1,0)),"NA","ETL")</f>
        <v>NA</v>
      </c>
      <c r="M130" s="29">
        <f ca="1">COUNTIF('Data-WK'!A:A,'V1'!B:B)</f>
        <v>2</v>
      </c>
      <c r="N130" s="29" t="e">
        <f ca="1">VLOOKUP(E130,'IFRS only'!A:A,1,0)</f>
        <v>#N/A</v>
      </c>
      <c r="P130" s="89"/>
    </row>
    <row r="131" spans="1:16" s="29" customFormat="1">
      <c r="A131" s="17" t="s">
        <v>4</v>
      </c>
      <c r="B131" s="17">
        <v>2712001500</v>
      </c>
      <c r="C131" s="73" t="s">
        <v>4469</v>
      </c>
      <c r="D131" s="3" t="s">
        <v>74</v>
      </c>
      <c r="E131" s="17" t="s">
        <v>2249</v>
      </c>
      <c r="F131" s="17" t="s">
        <v>3528</v>
      </c>
      <c r="G131" s="17" t="s">
        <v>3528</v>
      </c>
      <c r="H131" s="17" t="s">
        <v>3529</v>
      </c>
      <c r="I131" s="17" t="s">
        <v>3545</v>
      </c>
      <c r="J131" s="17" t="s">
        <v>9</v>
      </c>
      <c r="K131" s="49" t="s">
        <v>923</v>
      </c>
      <c r="L131" s="4" t="str">
        <f ca="1">IF(ISERROR(VLOOKUP(B131,'ETL Scope'!I:I,1,0)),"NA","ETL")</f>
        <v>NA</v>
      </c>
      <c r="M131" s="29">
        <f ca="1">COUNTIF('Data-WK'!A:A,'V1'!B:B)</f>
        <v>1</v>
      </c>
      <c r="N131" s="29" t="e">
        <f ca="1">VLOOKUP(E131,'IFRS only'!A:A,1,0)</f>
        <v>#N/A</v>
      </c>
      <c r="P131" s="89"/>
    </row>
    <row r="132" spans="1:16" s="29" customFormat="1">
      <c r="A132" s="17" t="s">
        <v>4</v>
      </c>
      <c r="B132" s="17">
        <v>2750010000</v>
      </c>
      <c r="C132" s="73" t="s">
        <v>4470</v>
      </c>
      <c r="D132" s="3" t="s">
        <v>5590</v>
      </c>
      <c r="E132" s="17" t="s">
        <v>2257</v>
      </c>
      <c r="F132" s="17" t="s">
        <v>3528</v>
      </c>
      <c r="G132" s="17" t="s">
        <v>3440</v>
      </c>
      <c r="H132" s="17" t="s">
        <v>3529</v>
      </c>
      <c r="I132" s="17" t="s">
        <v>3545</v>
      </c>
      <c r="J132" s="17" t="s">
        <v>9</v>
      </c>
      <c r="K132" s="49" t="s">
        <v>928</v>
      </c>
      <c r="L132" s="4" t="str">
        <f ca="1">IF(ISERROR(VLOOKUP(B132,'ETL Scope'!I:I,1,0)),"NA","ETL")</f>
        <v>ETL</v>
      </c>
      <c r="M132" s="29">
        <f ca="1">COUNTIF('Data-WK'!A:A,'V1'!B:B)</f>
        <v>1</v>
      </c>
      <c r="N132" s="29" t="e">
        <f ca="1">VLOOKUP(E132,'IFRS only'!A:A,1,0)</f>
        <v>#N/A</v>
      </c>
      <c r="P132" s="89"/>
    </row>
    <row r="133" spans="1:16" s="29" customFormat="1">
      <c r="A133" s="17" t="s">
        <v>7</v>
      </c>
      <c r="B133" s="17">
        <v>2760000000</v>
      </c>
      <c r="C133" s="73" t="s">
        <v>4471</v>
      </c>
      <c r="D133" s="3" t="s">
        <v>120</v>
      </c>
      <c r="E133" s="17" t="s">
        <v>2404</v>
      </c>
      <c r="F133" s="17" t="s">
        <v>3532</v>
      </c>
      <c r="G133" s="17" t="s">
        <v>3532</v>
      </c>
      <c r="H133" s="17" t="s">
        <v>3531</v>
      </c>
      <c r="I133" s="17" t="s">
        <v>3545</v>
      </c>
      <c r="J133" s="17" t="s">
        <v>9</v>
      </c>
      <c r="K133" s="49" t="s">
        <v>952</v>
      </c>
      <c r="L133" s="4" t="str">
        <f ca="1">IF(ISERROR(VLOOKUP(B133,'ETL Scope'!I:I,1,0)),"NA","ETL")</f>
        <v>NA</v>
      </c>
      <c r="M133" s="29">
        <f ca="1">COUNTIF('Data-WK'!A:A,'V1'!B:B)</f>
        <v>1</v>
      </c>
      <c r="N133" s="29" t="e">
        <f ca="1">VLOOKUP(E133,'IFRS only'!A:A,1,0)</f>
        <v>#N/A</v>
      </c>
      <c r="P133" s="89"/>
    </row>
    <row r="134" spans="1:16" s="29" customFormat="1">
      <c r="A134" s="17" t="s">
        <v>7</v>
      </c>
      <c r="B134" s="17">
        <v>2760000001</v>
      </c>
      <c r="C134" s="73" t="s">
        <v>4471</v>
      </c>
      <c r="D134" s="3" t="s">
        <v>3443</v>
      </c>
      <c r="E134" s="17" t="s">
        <v>3393</v>
      </c>
      <c r="F134" s="17" t="s">
        <v>3531</v>
      </c>
      <c r="G134" s="17" t="s">
        <v>3532</v>
      </c>
      <c r="H134" s="17" t="s">
        <v>3531</v>
      </c>
      <c r="I134" s="17" t="s">
        <v>3545</v>
      </c>
      <c r="J134" s="17" t="s">
        <v>9</v>
      </c>
      <c r="K134" s="49" t="s">
        <v>952</v>
      </c>
      <c r="L134" s="4" t="str">
        <f ca="1">IF(ISERROR(VLOOKUP(B134,'ETL Scope'!I:I,1,0)),"NA","ETL")</f>
        <v>NA</v>
      </c>
      <c r="M134" s="29">
        <f ca="1">COUNTIF('Data-WK'!A:A,'V1'!B:B)</f>
        <v>13</v>
      </c>
      <c r="N134" s="29" t="e">
        <f ca="1">VLOOKUP(E134,'IFRS only'!A:A,1,0)</f>
        <v>#N/A</v>
      </c>
      <c r="P134" s="89"/>
    </row>
    <row r="135" spans="1:16" s="29" customFormat="1">
      <c r="A135" s="17" t="s">
        <v>7</v>
      </c>
      <c r="B135" s="17">
        <v>2761001500</v>
      </c>
      <c r="C135" s="73" t="s">
        <v>4472</v>
      </c>
      <c r="D135" s="3" t="s">
        <v>4811</v>
      </c>
      <c r="E135" s="17" t="s">
        <v>2406</v>
      </c>
      <c r="F135" s="17" t="s">
        <v>3532</v>
      </c>
      <c r="G135" s="17" t="s">
        <v>3532</v>
      </c>
      <c r="H135" s="17" t="s">
        <v>3531</v>
      </c>
      <c r="I135" s="17" t="s">
        <v>3545</v>
      </c>
      <c r="J135" s="17" t="s">
        <v>9</v>
      </c>
      <c r="K135" s="49" t="s">
        <v>953</v>
      </c>
      <c r="L135" s="4" t="str">
        <f ca="1">IF(ISERROR(VLOOKUP(B135,'ETL Scope'!I:I,1,0)),"NA","ETL")</f>
        <v>NA</v>
      </c>
      <c r="M135" s="29">
        <f ca="1">COUNTIF('Data-WK'!A:A,'V1'!B:B)</f>
        <v>1</v>
      </c>
      <c r="N135" s="29" t="e">
        <f ca="1">VLOOKUP(E135,'IFRS only'!A:A,1,0)</f>
        <v>#N/A</v>
      </c>
      <c r="P135" s="89"/>
    </row>
    <row r="136" spans="1:16">
      <c r="A136" s="90" t="s">
        <v>5095</v>
      </c>
      <c r="B136" s="90">
        <v>2800000000</v>
      </c>
      <c r="C136" s="73" t="s">
        <v>3727</v>
      </c>
      <c r="D136" s="92" t="s">
        <v>5110</v>
      </c>
      <c r="E136" s="91">
        <v>110102</v>
      </c>
      <c r="F136" s="58" t="s">
        <v>5295</v>
      </c>
      <c r="G136" s="58" t="s">
        <v>5295</v>
      </c>
      <c r="H136" s="58" t="s">
        <v>5294</v>
      </c>
      <c r="I136" s="58" t="s">
        <v>5294</v>
      </c>
      <c r="J136" s="58" t="s">
        <v>9</v>
      </c>
      <c r="K136" s="49" t="s">
        <v>5415</v>
      </c>
      <c r="P136" s="58"/>
    </row>
    <row r="137" spans="1:16">
      <c r="A137" s="90" t="s">
        <v>5095</v>
      </c>
      <c r="B137" s="90">
        <v>2800011500</v>
      </c>
      <c r="C137" s="73" t="s">
        <v>5097</v>
      </c>
      <c r="D137" s="92" t="s">
        <v>5111</v>
      </c>
      <c r="E137" s="91">
        <v>110103</v>
      </c>
      <c r="F137" s="58" t="s">
        <v>5295</v>
      </c>
      <c r="G137" s="58" t="s">
        <v>5295</v>
      </c>
      <c r="H137" s="58" t="s">
        <v>5294</v>
      </c>
      <c r="I137" s="58" t="s">
        <v>5294</v>
      </c>
      <c r="J137" s="58" t="s">
        <v>9</v>
      </c>
      <c r="K137" s="49" t="s">
        <v>5416</v>
      </c>
      <c r="P137" s="58"/>
    </row>
    <row r="138" spans="1:16">
      <c r="A138" s="90" t="s">
        <v>5095</v>
      </c>
      <c r="B138" s="90">
        <v>2800020000</v>
      </c>
      <c r="C138" s="73" t="s">
        <v>5096</v>
      </c>
      <c r="D138" s="92" t="s">
        <v>5109</v>
      </c>
      <c r="E138" s="91">
        <v>110101</v>
      </c>
      <c r="F138" s="58" t="s">
        <v>5295</v>
      </c>
      <c r="G138" s="58" t="s">
        <v>5295</v>
      </c>
      <c r="H138" s="58" t="s">
        <v>5294</v>
      </c>
      <c r="I138" s="58" t="s">
        <v>5294</v>
      </c>
      <c r="J138" s="58" t="s">
        <v>9</v>
      </c>
      <c r="K138" s="49" t="s">
        <v>5417</v>
      </c>
      <c r="P138" s="58"/>
    </row>
    <row r="139" spans="1:16">
      <c r="A139" s="90" t="s">
        <v>5095</v>
      </c>
      <c r="B139" s="90">
        <v>2802000010</v>
      </c>
      <c r="C139" s="73" t="s">
        <v>5108</v>
      </c>
      <c r="D139" s="92" t="s">
        <v>5203</v>
      </c>
      <c r="E139" s="91">
        <v>110401</v>
      </c>
      <c r="F139" s="58" t="s">
        <v>5295</v>
      </c>
      <c r="G139" s="58" t="s">
        <v>5295</v>
      </c>
      <c r="H139" s="58" t="s">
        <v>5294</v>
      </c>
      <c r="I139" s="58" t="s">
        <v>5294</v>
      </c>
      <c r="J139" s="58" t="s">
        <v>9</v>
      </c>
      <c r="K139" s="49" t="s">
        <v>5418</v>
      </c>
      <c r="P139" s="58"/>
    </row>
    <row r="140" spans="1:16">
      <c r="A140" s="90" t="s">
        <v>5095</v>
      </c>
      <c r="B140" s="90">
        <v>2810063280</v>
      </c>
      <c r="C140" s="73" t="s">
        <v>5107</v>
      </c>
      <c r="D140" s="92" t="s">
        <v>5189</v>
      </c>
      <c r="E140" s="91">
        <v>1102050101</v>
      </c>
      <c r="F140" s="58" t="s">
        <v>5295</v>
      </c>
      <c r="G140" s="58" t="s">
        <v>5295</v>
      </c>
      <c r="H140" s="58" t="s">
        <v>5294</v>
      </c>
      <c r="I140" s="58" t="s">
        <v>5294</v>
      </c>
      <c r="J140" s="58" t="s">
        <v>9</v>
      </c>
      <c r="K140" s="49" t="s">
        <v>5419</v>
      </c>
      <c r="P140" s="58"/>
    </row>
    <row r="141" spans="1:16">
      <c r="A141" s="90" t="s">
        <v>5095</v>
      </c>
      <c r="B141" s="90">
        <v>2820000410</v>
      </c>
      <c r="C141" s="73" t="s">
        <v>5103</v>
      </c>
      <c r="D141" s="92" t="s">
        <v>5184</v>
      </c>
      <c r="E141" s="91">
        <v>1102034110</v>
      </c>
      <c r="F141" s="58" t="s">
        <v>5295</v>
      </c>
      <c r="G141" s="58" t="s">
        <v>5295</v>
      </c>
      <c r="H141" s="58" t="s">
        <v>5294</v>
      </c>
      <c r="I141" s="58" t="s">
        <v>5294</v>
      </c>
      <c r="J141" s="58" t="s">
        <v>9</v>
      </c>
      <c r="K141" s="49" t="s">
        <v>5420</v>
      </c>
      <c r="P141" s="58"/>
    </row>
    <row r="142" spans="1:16">
      <c r="A142" s="90" t="s">
        <v>5095</v>
      </c>
      <c r="B142" s="90">
        <v>2820001560</v>
      </c>
      <c r="C142" s="73" t="s">
        <v>5103</v>
      </c>
      <c r="D142" s="92" t="s">
        <v>5183</v>
      </c>
      <c r="E142" s="91">
        <v>1102034111</v>
      </c>
      <c r="F142" s="58" t="s">
        <v>5295</v>
      </c>
      <c r="G142" s="58" t="s">
        <v>5295</v>
      </c>
      <c r="H142" s="58" t="s">
        <v>5294</v>
      </c>
      <c r="I142" s="58" t="s">
        <v>5294</v>
      </c>
      <c r="J142" s="58" t="s">
        <v>9</v>
      </c>
      <c r="K142" s="49" t="s">
        <v>5421</v>
      </c>
      <c r="P142" s="58"/>
    </row>
    <row r="143" spans="1:16">
      <c r="A143" s="90" t="s">
        <v>5095</v>
      </c>
      <c r="B143" s="90">
        <v>2820001840</v>
      </c>
      <c r="C143" s="73" t="s">
        <v>5103</v>
      </c>
      <c r="D143" s="92" t="s">
        <v>5187</v>
      </c>
      <c r="E143" s="91">
        <v>1102040101</v>
      </c>
      <c r="F143" s="58" t="s">
        <v>5295</v>
      </c>
      <c r="G143" s="58" t="s">
        <v>5295</v>
      </c>
      <c r="H143" s="58" t="s">
        <v>5294</v>
      </c>
      <c r="I143" s="58" t="s">
        <v>5294</v>
      </c>
      <c r="J143" s="58" t="s">
        <v>9</v>
      </c>
      <c r="K143" s="49" t="s">
        <v>5422</v>
      </c>
      <c r="P143" s="58"/>
    </row>
    <row r="144" spans="1:16">
      <c r="A144" s="90" t="s">
        <v>5095</v>
      </c>
      <c r="B144" s="90">
        <v>2820001850</v>
      </c>
      <c r="C144" s="73" t="s">
        <v>5103</v>
      </c>
      <c r="D144" s="92" t="s">
        <v>5188</v>
      </c>
      <c r="E144" s="91">
        <v>1102040102</v>
      </c>
      <c r="F144" s="58" t="s">
        <v>5295</v>
      </c>
      <c r="G144" s="58" t="s">
        <v>5295</v>
      </c>
      <c r="H144" s="58" t="s">
        <v>5294</v>
      </c>
      <c r="I144" s="58" t="s">
        <v>5294</v>
      </c>
      <c r="J144" s="58" t="s">
        <v>9</v>
      </c>
      <c r="K144" s="49" t="s">
        <v>5423</v>
      </c>
      <c r="P144" s="58"/>
    </row>
    <row r="145" spans="1:16">
      <c r="A145" s="90" t="s">
        <v>5095</v>
      </c>
      <c r="B145" s="90">
        <v>2820001860</v>
      </c>
      <c r="C145" s="73" t="s">
        <v>5103</v>
      </c>
      <c r="D145" s="92" t="s">
        <v>5169</v>
      </c>
      <c r="E145" s="91">
        <v>1102014112</v>
      </c>
      <c r="F145" s="58" t="s">
        <v>5295</v>
      </c>
      <c r="G145" s="58" t="s">
        <v>5295</v>
      </c>
      <c r="H145" s="58" t="s">
        <v>5294</v>
      </c>
      <c r="I145" s="58" t="s">
        <v>5294</v>
      </c>
      <c r="J145" s="58" t="s">
        <v>9</v>
      </c>
      <c r="K145" s="49" t="s">
        <v>5424</v>
      </c>
      <c r="P145" s="58"/>
    </row>
    <row r="146" spans="1:16">
      <c r="A146" s="90" t="s">
        <v>5095</v>
      </c>
      <c r="B146" s="90">
        <v>2820002040</v>
      </c>
      <c r="C146" s="73" t="s">
        <v>5103</v>
      </c>
      <c r="D146" s="92" t="s">
        <v>5167</v>
      </c>
      <c r="E146" s="91">
        <v>1102014113</v>
      </c>
      <c r="F146" s="58" t="s">
        <v>5295</v>
      </c>
      <c r="G146" s="58" t="s">
        <v>5295</v>
      </c>
      <c r="H146" s="58" t="s">
        <v>5294</v>
      </c>
      <c r="I146" s="58" t="s">
        <v>5294</v>
      </c>
      <c r="J146" s="58" t="s">
        <v>9</v>
      </c>
      <c r="K146" s="49" t="s">
        <v>5425</v>
      </c>
      <c r="P146" s="58"/>
    </row>
    <row r="147" spans="1:16">
      <c r="A147" s="90" t="s">
        <v>5095</v>
      </c>
      <c r="B147" s="90">
        <v>2820004200</v>
      </c>
      <c r="C147" s="73" t="s">
        <v>5103</v>
      </c>
      <c r="D147" s="92" t="s">
        <v>5178</v>
      </c>
      <c r="E147" s="91">
        <v>1102024101</v>
      </c>
      <c r="F147" s="58" t="s">
        <v>5295</v>
      </c>
      <c r="G147" s="58" t="s">
        <v>5295</v>
      </c>
      <c r="H147" s="58" t="s">
        <v>5294</v>
      </c>
      <c r="I147" s="58" t="s">
        <v>5294</v>
      </c>
      <c r="J147" s="58" t="s">
        <v>9</v>
      </c>
      <c r="K147" s="49" t="s">
        <v>5426</v>
      </c>
      <c r="P147" s="58"/>
    </row>
    <row r="148" spans="1:16">
      <c r="A148" s="90" t="s">
        <v>5095</v>
      </c>
      <c r="B148" s="90">
        <v>2820004210</v>
      </c>
      <c r="C148" s="73" t="s">
        <v>5103</v>
      </c>
      <c r="D148" s="92" t="s">
        <v>5183</v>
      </c>
      <c r="E148" s="91">
        <v>1102034101</v>
      </c>
      <c r="F148" s="58" t="s">
        <v>5295</v>
      </c>
      <c r="G148" s="58" t="s">
        <v>5295</v>
      </c>
      <c r="H148" s="58" t="s">
        <v>5294</v>
      </c>
      <c r="I148" s="58" t="s">
        <v>5294</v>
      </c>
      <c r="J148" s="58" t="s">
        <v>9</v>
      </c>
      <c r="K148" s="49" t="s">
        <v>5427</v>
      </c>
      <c r="P148" s="58"/>
    </row>
    <row r="149" spans="1:16">
      <c r="A149" s="90" t="s">
        <v>5095</v>
      </c>
      <c r="B149" s="90">
        <v>2820004220</v>
      </c>
      <c r="C149" s="73" t="s">
        <v>5103</v>
      </c>
      <c r="D149" s="92" t="s">
        <v>5178</v>
      </c>
      <c r="E149" s="91">
        <v>1102024106</v>
      </c>
      <c r="F149" s="58" t="s">
        <v>5295</v>
      </c>
      <c r="G149" s="58" t="s">
        <v>5295</v>
      </c>
      <c r="H149" s="58" t="s">
        <v>5294</v>
      </c>
      <c r="I149" s="58" t="s">
        <v>5294</v>
      </c>
      <c r="J149" s="58" t="s">
        <v>9</v>
      </c>
      <c r="K149" s="49" t="s">
        <v>5428</v>
      </c>
      <c r="P149" s="58"/>
    </row>
    <row r="150" spans="1:16">
      <c r="A150" s="90" t="s">
        <v>5095</v>
      </c>
      <c r="B150" s="90">
        <v>2820004230</v>
      </c>
      <c r="C150" s="73" t="s">
        <v>5103</v>
      </c>
      <c r="D150" s="92" t="s">
        <v>5183</v>
      </c>
      <c r="E150" s="91">
        <v>1102034104</v>
      </c>
      <c r="F150" s="58" t="s">
        <v>5295</v>
      </c>
      <c r="G150" s="58" t="s">
        <v>5295</v>
      </c>
      <c r="H150" s="58" t="s">
        <v>5294</v>
      </c>
      <c r="I150" s="58" t="s">
        <v>5294</v>
      </c>
      <c r="J150" s="58" t="s">
        <v>9</v>
      </c>
      <c r="K150" s="49" t="s">
        <v>5429</v>
      </c>
      <c r="P150" s="58"/>
    </row>
    <row r="151" spans="1:16">
      <c r="A151" s="90" t="s">
        <v>5095</v>
      </c>
      <c r="B151" s="90">
        <v>2820004240</v>
      </c>
      <c r="C151" s="73" t="s">
        <v>5103</v>
      </c>
      <c r="D151" s="92" t="s">
        <v>5178</v>
      </c>
      <c r="E151" s="91">
        <v>1102024104</v>
      </c>
      <c r="F151" s="58" t="s">
        <v>5295</v>
      </c>
      <c r="G151" s="58" t="s">
        <v>5295</v>
      </c>
      <c r="H151" s="58" t="s">
        <v>5294</v>
      </c>
      <c r="I151" s="58" t="s">
        <v>5294</v>
      </c>
      <c r="J151" s="58" t="s">
        <v>9</v>
      </c>
      <c r="K151" s="49" t="s">
        <v>5430</v>
      </c>
      <c r="P151" s="58"/>
    </row>
    <row r="152" spans="1:16">
      <c r="A152" s="90" t="s">
        <v>5095</v>
      </c>
      <c r="B152" s="90">
        <v>2820004250</v>
      </c>
      <c r="C152" s="73" t="s">
        <v>5103</v>
      </c>
      <c r="D152" s="92" t="s">
        <v>5183</v>
      </c>
      <c r="E152" s="91">
        <v>1102034102</v>
      </c>
      <c r="F152" s="58" t="s">
        <v>5295</v>
      </c>
      <c r="G152" s="58" t="s">
        <v>5295</v>
      </c>
      <c r="H152" s="58" t="s">
        <v>5294</v>
      </c>
      <c r="I152" s="58" t="s">
        <v>5294</v>
      </c>
      <c r="J152" s="58" t="s">
        <v>9</v>
      </c>
      <c r="K152" s="49" t="s">
        <v>5431</v>
      </c>
      <c r="P152" s="58"/>
    </row>
    <row r="153" spans="1:16">
      <c r="A153" s="90" t="s">
        <v>5095</v>
      </c>
      <c r="B153" s="90">
        <v>2820004260</v>
      </c>
      <c r="C153" s="73" t="s">
        <v>5103</v>
      </c>
      <c r="D153" s="92" t="s">
        <v>5178</v>
      </c>
      <c r="E153" s="91">
        <v>1102024107</v>
      </c>
      <c r="F153" s="58" t="s">
        <v>5295</v>
      </c>
      <c r="G153" s="58" t="s">
        <v>5295</v>
      </c>
      <c r="H153" s="58" t="s">
        <v>5294</v>
      </c>
      <c r="I153" s="58" t="s">
        <v>5294</v>
      </c>
      <c r="J153" s="58" t="s">
        <v>9</v>
      </c>
      <c r="K153" s="49" t="s">
        <v>5432</v>
      </c>
      <c r="P153" s="58"/>
    </row>
    <row r="154" spans="1:16">
      <c r="A154" s="90" t="s">
        <v>5095</v>
      </c>
      <c r="B154" s="90">
        <v>2820004270</v>
      </c>
      <c r="C154" s="73" t="s">
        <v>5103</v>
      </c>
      <c r="D154" s="92" t="s">
        <v>5183</v>
      </c>
      <c r="E154" s="91">
        <v>1102034105</v>
      </c>
      <c r="F154" s="58" t="s">
        <v>5295</v>
      </c>
      <c r="G154" s="58" t="s">
        <v>5295</v>
      </c>
      <c r="H154" s="58" t="s">
        <v>5294</v>
      </c>
      <c r="I154" s="58" t="s">
        <v>5294</v>
      </c>
      <c r="J154" s="58" t="s">
        <v>9</v>
      </c>
      <c r="K154" s="49" t="s">
        <v>5433</v>
      </c>
      <c r="P154" s="58"/>
    </row>
    <row r="155" spans="1:16">
      <c r="A155" s="90" t="s">
        <v>5095</v>
      </c>
      <c r="B155" s="90">
        <v>2820004280</v>
      </c>
      <c r="C155" s="73" t="s">
        <v>5103</v>
      </c>
      <c r="D155" s="92" t="s">
        <v>5178</v>
      </c>
      <c r="E155" s="91">
        <v>1102024105</v>
      </c>
      <c r="F155" s="58" t="s">
        <v>5295</v>
      </c>
      <c r="G155" s="58" t="s">
        <v>5295</v>
      </c>
      <c r="H155" s="58" t="s">
        <v>5294</v>
      </c>
      <c r="I155" s="58" t="s">
        <v>5294</v>
      </c>
      <c r="J155" s="58" t="s">
        <v>9</v>
      </c>
      <c r="K155" s="49" t="s">
        <v>5434</v>
      </c>
      <c r="P155" s="58"/>
    </row>
    <row r="156" spans="1:16">
      <c r="A156" s="90" t="s">
        <v>5095</v>
      </c>
      <c r="B156" s="90">
        <v>2820004290</v>
      </c>
      <c r="C156" s="73" t="s">
        <v>5103</v>
      </c>
      <c r="D156" s="92" t="s">
        <v>5183</v>
      </c>
      <c r="E156" s="91">
        <v>1102034103</v>
      </c>
      <c r="F156" s="58" t="s">
        <v>5295</v>
      </c>
      <c r="G156" s="58" t="s">
        <v>5295</v>
      </c>
      <c r="H156" s="58" t="s">
        <v>5294</v>
      </c>
      <c r="I156" s="58" t="s">
        <v>5294</v>
      </c>
      <c r="J156" s="58" t="s">
        <v>9</v>
      </c>
      <c r="K156" s="49" t="s">
        <v>5435</v>
      </c>
      <c r="P156" s="58"/>
    </row>
    <row r="157" spans="1:16">
      <c r="A157" s="90" t="s">
        <v>5095</v>
      </c>
      <c r="B157" s="90">
        <v>2820004300</v>
      </c>
      <c r="C157" s="73" t="s">
        <v>5103</v>
      </c>
      <c r="D157" s="92" t="s">
        <v>5178</v>
      </c>
      <c r="E157" s="91">
        <v>1102024108</v>
      </c>
      <c r="F157" s="58" t="s">
        <v>5295</v>
      </c>
      <c r="G157" s="58" t="s">
        <v>5295</v>
      </c>
      <c r="H157" s="58" t="s">
        <v>5294</v>
      </c>
      <c r="I157" s="58" t="s">
        <v>5294</v>
      </c>
      <c r="J157" s="58" t="s">
        <v>9</v>
      </c>
      <c r="K157" s="49" t="s">
        <v>5436</v>
      </c>
      <c r="P157" s="58"/>
    </row>
    <row r="158" spans="1:16">
      <c r="A158" s="90" t="s">
        <v>5095</v>
      </c>
      <c r="B158" s="90">
        <v>2820004310</v>
      </c>
      <c r="C158" s="73" t="s">
        <v>5103</v>
      </c>
      <c r="D158" s="92" t="s">
        <v>5183</v>
      </c>
      <c r="E158" s="91">
        <v>1102034106</v>
      </c>
      <c r="F158" s="58" t="s">
        <v>5295</v>
      </c>
      <c r="G158" s="58" t="s">
        <v>5295</v>
      </c>
      <c r="H158" s="58" t="s">
        <v>5294</v>
      </c>
      <c r="I158" s="58" t="s">
        <v>5294</v>
      </c>
      <c r="J158" s="58" t="s">
        <v>9</v>
      </c>
      <c r="K158" s="49" t="s">
        <v>5437</v>
      </c>
      <c r="P158" s="58"/>
    </row>
    <row r="159" spans="1:16">
      <c r="A159" s="90" t="s">
        <v>5095</v>
      </c>
      <c r="B159" s="90">
        <v>2820009101</v>
      </c>
      <c r="C159" s="73" t="s">
        <v>5103</v>
      </c>
      <c r="D159" s="92" t="s">
        <v>5166</v>
      </c>
      <c r="E159" s="91">
        <v>1102014103</v>
      </c>
      <c r="F159" s="58" t="s">
        <v>5295</v>
      </c>
      <c r="G159" s="58" t="s">
        <v>5295</v>
      </c>
      <c r="H159" s="58" t="s">
        <v>5294</v>
      </c>
      <c r="I159" s="58" t="s">
        <v>5294</v>
      </c>
      <c r="J159" s="58" t="s">
        <v>9</v>
      </c>
      <c r="K159" s="49" t="s">
        <v>5438</v>
      </c>
      <c r="P159" s="58"/>
    </row>
    <row r="160" spans="1:16">
      <c r="A160" s="90" t="s">
        <v>5095</v>
      </c>
      <c r="B160" s="90">
        <v>2820030301</v>
      </c>
      <c r="C160" s="73" t="s">
        <v>5105</v>
      </c>
      <c r="D160" s="92" t="s">
        <v>5591</v>
      </c>
      <c r="E160" s="91">
        <v>1102014201</v>
      </c>
      <c r="F160" s="58" t="s">
        <v>5295</v>
      </c>
      <c r="G160" s="58" t="s">
        <v>5295</v>
      </c>
      <c r="H160" s="58" t="s">
        <v>5294</v>
      </c>
      <c r="I160" s="58" t="s">
        <v>5294</v>
      </c>
      <c r="J160" s="58" t="s">
        <v>9</v>
      </c>
      <c r="K160" s="49" t="s">
        <v>5439</v>
      </c>
      <c r="P160" s="58"/>
    </row>
    <row r="161" spans="1:16">
      <c r="A161" s="90" t="s">
        <v>5095</v>
      </c>
      <c r="B161" s="90">
        <v>2820030302</v>
      </c>
      <c r="C161" s="73" t="s">
        <v>5105</v>
      </c>
      <c r="D161" s="92" t="s">
        <v>5317</v>
      </c>
      <c r="E161" s="91">
        <v>1102014204</v>
      </c>
      <c r="F161" s="58" t="s">
        <v>5295</v>
      </c>
      <c r="G161" s="58" t="s">
        <v>5295</v>
      </c>
      <c r="H161" s="58" t="s">
        <v>5294</v>
      </c>
      <c r="I161" s="58" t="s">
        <v>5294</v>
      </c>
      <c r="J161" s="58" t="s">
        <v>9</v>
      </c>
      <c r="K161" s="49" t="s">
        <v>5439</v>
      </c>
      <c r="P161" s="58"/>
    </row>
    <row r="162" spans="1:16">
      <c r="A162" s="90" t="s">
        <v>5095</v>
      </c>
      <c r="B162" s="90">
        <v>2820040201</v>
      </c>
      <c r="C162" s="73" t="s">
        <v>5100</v>
      </c>
      <c r="D162" s="92" t="s">
        <v>5318</v>
      </c>
      <c r="E162" s="91">
        <v>1102010301</v>
      </c>
      <c r="F162" s="58" t="s">
        <v>5295</v>
      </c>
      <c r="G162" s="58" t="s">
        <v>5295</v>
      </c>
      <c r="H162" s="58" t="s">
        <v>5294</v>
      </c>
      <c r="I162" s="58" t="s">
        <v>5294</v>
      </c>
      <c r="J162" s="58" t="s">
        <v>9</v>
      </c>
      <c r="K162" s="49" t="s">
        <v>5440</v>
      </c>
      <c r="P162" s="58"/>
    </row>
    <row r="163" spans="1:16">
      <c r="A163" s="90" t="s">
        <v>5095</v>
      </c>
      <c r="B163" s="90">
        <v>2820040202</v>
      </c>
      <c r="C163" s="73" t="s">
        <v>5100</v>
      </c>
      <c r="D163" s="92" t="s">
        <v>5319</v>
      </c>
      <c r="E163" s="91">
        <v>1102010302</v>
      </c>
      <c r="F163" s="58" t="s">
        <v>5295</v>
      </c>
      <c r="G163" s="58" t="s">
        <v>5295</v>
      </c>
      <c r="H163" s="58" t="s">
        <v>5294</v>
      </c>
      <c r="I163" s="58" t="s">
        <v>5294</v>
      </c>
      <c r="J163" s="58" t="s">
        <v>9</v>
      </c>
      <c r="K163" s="49" t="s">
        <v>5440</v>
      </c>
      <c r="P163" s="58"/>
    </row>
    <row r="164" spans="1:16">
      <c r="A164" s="90" t="s">
        <v>5095</v>
      </c>
      <c r="B164" s="90">
        <v>2820040203</v>
      </c>
      <c r="C164" s="73" t="s">
        <v>5100</v>
      </c>
      <c r="D164" s="92" t="s">
        <v>5320</v>
      </c>
      <c r="E164" s="91">
        <v>1102010304</v>
      </c>
      <c r="F164" s="58" t="s">
        <v>5295</v>
      </c>
      <c r="G164" s="58" t="s">
        <v>5295</v>
      </c>
      <c r="H164" s="58" t="s">
        <v>5294</v>
      </c>
      <c r="I164" s="58" t="s">
        <v>5294</v>
      </c>
      <c r="J164" s="58" t="s">
        <v>9</v>
      </c>
      <c r="K164" s="49" t="s">
        <v>5440</v>
      </c>
      <c r="P164" s="58"/>
    </row>
    <row r="165" spans="1:16">
      <c r="A165" s="90" t="s">
        <v>5095</v>
      </c>
      <c r="B165" s="90">
        <v>2820040204</v>
      </c>
      <c r="C165" s="73" t="s">
        <v>5100</v>
      </c>
      <c r="D165" s="92" t="s">
        <v>5321</v>
      </c>
      <c r="E165" s="91">
        <v>1102010362</v>
      </c>
      <c r="F165" s="58" t="s">
        <v>5295</v>
      </c>
      <c r="G165" s="58" t="s">
        <v>5295</v>
      </c>
      <c r="H165" s="58" t="s">
        <v>5294</v>
      </c>
      <c r="I165" s="58" t="s">
        <v>5294</v>
      </c>
      <c r="J165" s="58" t="s">
        <v>9</v>
      </c>
      <c r="K165" s="49" t="s">
        <v>5440</v>
      </c>
      <c r="P165" s="58"/>
    </row>
    <row r="166" spans="1:16">
      <c r="A166" s="90" t="s">
        <v>5095</v>
      </c>
      <c r="B166" s="90">
        <v>2820040205</v>
      </c>
      <c r="C166" s="73" t="s">
        <v>5100</v>
      </c>
      <c r="D166" s="92" t="s">
        <v>5322</v>
      </c>
      <c r="E166" s="91">
        <v>1102010365</v>
      </c>
      <c r="F166" s="58" t="s">
        <v>5295</v>
      </c>
      <c r="G166" s="58" t="s">
        <v>5295</v>
      </c>
      <c r="H166" s="58" t="s">
        <v>5294</v>
      </c>
      <c r="I166" s="58" t="s">
        <v>5294</v>
      </c>
      <c r="J166" s="58" t="s">
        <v>9</v>
      </c>
      <c r="K166" s="49" t="s">
        <v>5440</v>
      </c>
      <c r="P166" s="58"/>
    </row>
    <row r="167" spans="1:16">
      <c r="A167" s="90" t="s">
        <v>5095</v>
      </c>
      <c r="B167" s="90">
        <v>2820040206</v>
      </c>
      <c r="C167" s="73" t="s">
        <v>5100</v>
      </c>
      <c r="D167" s="92" t="s">
        <v>5323</v>
      </c>
      <c r="E167" s="91">
        <v>1102010367</v>
      </c>
      <c r="F167" s="58" t="s">
        <v>5295</v>
      </c>
      <c r="G167" s="58" t="s">
        <v>5295</v>
      </c>
      <c r="H167" s="58" t="s">
        <v>5294</v>
      </c>
      <c r="I167" s="58" t="s">
        <v>5294</v>
      </c>
      <c r="J167" s="58" t="s">
        <v>9</v>
      </c>
      <c r="K167" s="49" t="s">
        <v>5440</v>
      </c>
      <c r="P167" s="58"/>
    </row>
    <row r="168" spans="1:16">
      <c r="A168" s="90" t="s">
        <v>5095</v>
      </c>
      <c r="B168" s="90">
        <v>2820040207</v>
      </c>
      <c r="C168" s="73" t="s">
        <v>5100</v>
      </c>
      <c r="D168" s="92" t="s">
        <v>5324</v>
      </c>
      <c r="E168" s="91">
        <v>1102010369</v>
      </c>
      <c r="F168" s="58" t="s">
        <v>5295</v>
      </c>
      <c r="G168" s="58" t="s">
        <v>5295</v>
      </c>
      <c r="H168" s="58" t="s">
        <v>5294</v>
      </c>
      <c r="I168" s="58" t="s">
        <v>5294</v>
      </c>
      <c r="J168" s="58" t="s">
        <v>9</v>
      </c>
      <c r="K168" s="49" t="s">
        <v>5440</v>
      </c>
      <c r="P168" s="58"/>
    </row>
    <row r="169" spans="1:16">
      <c r="A169" s="90" t="s">
        <v>5095</v>
      </c>
      <c r="B169" s="90">
        <v>2820040208</v>
      </c>
      <c r="C169" s="73" t="s">
        <v>5100</v>
      </c>
      <c r="D169" s="92" t="s">
        <v>5325</v>
      </c>
      <c r="E169" s="91">
        <v>1102010370</v>
      </c>
      <c r="F169" s="58" t="s">
        <v>5295</v>
      </c>
      <c r="G169" s="58" t="s">
        <v>5295</v>
      </c>
      <c r="H169" s="58" t="s">
        <v>5294</v>
      </c>
      <c r="I169" s="58" t="s">
        <v>5294</v>
      </c>
      <c r="J169" s="58" t="s">
        <v>9</v>
      </c>
      <c r="K169" s="49" t="s">
        <v>5440</v>
      </c>
      <c r="P169" s="58"/>
    </row>
    <row r="170" spans="1:16">
      <c r="A170" s="90" t="s">
        <v>5095</v>
      </c>
      <c r="B170" s="90">
        <v>2820040209</v>
      </c>
      <c r="C170" s="73" t="s">
        <v>5100</v>
      </c>
      <c r="D170" s="92" t="s">
        <v>5132</v>
      </c>
      <c r="E170" s="91" t="s">
        <v>1471</v>
      </c>
      <c r="F170" s="58" t="s">
        <v>5295</v>
      </c>
      <c r="G170" s="58" t="s">
        <v>5295</v>
      </c>
      <c r="H170" s="58" t="s">
        <v>5294</v>
      </c>
      <c r="I170" s="58" t="s">
        <v>5294</v>
      </c>
      <c r="J170" s="58" t="s">
        <v>9</v>
      </c>
      <c r="K170" s="49" t="s">
        <v>5440</v>
      </c>
      <c r="P170" s="58"/>
    </row>
    <row r="171" spans="1:16">
      <c r="A171" s="90" t="s">
        <v>5095</v>
      </c>
      <c r="B171" s="90">
        <v>2820040210</v>
      </c>
      <c r="C171" s="73" t="s">
        <v>5100</v>
      </c>
      <c r="D171" s="92" t="s">
        <v>5134</v>
      </c>
      <c r="E171" s="91" t="s">
        <v>1478</v>
      </c>
      <c r="F171" s="58" t="s">
        <v>5295</v>
      </c>
      <c r="G171" s="58" t="s">
        <v>5295</v>
      </c>
      <c r="H171" s="58" t="s">
        <v>5294</v>
      </c>
      <c r="I171" s="58" t="s">
        <v>5294</v>
      </c>
      <c r="J171" s="58" t="s">
        <v>9</v>
      </c>
      <c r="K171" s="49" t="s">
        <v>5440</v>
      </c>
      <c r="P171" s="58"/>
    </row>
    <row r="172" spans="1:16">
      <c r="A172" s="90" t="s">
        <v>5095</v>
      </c>
      <c r="B172" s="90">
        <v>2820040211</v>
      </c>
      <c r="C172" s="73" t="s">
        <v>5100</v>
      </c>
      <c r="D172" s="92" t="s">
        <v>5135</v>
      </c>
      <c r="E172" s="91" t="s">
        <v>1479</v>
      </c>
      <c r="F172" s="58" t="s">
        <v>5295</v>
      </c>
      <c r="G172" s="58" t="s">
        <v>5295</v>
      </c>
      <c r="H172" s="58" t="s">
        <v>5294</v>
      </c>
      <c r="I172" s="58" t="s">
        <v>5294</v>
      </c>
      <c r="J172" s="58" t="s">
        <v>9</v>
      </c>
      <c r="K172" s="49" t="s">
        <v>5440</v>
      </c>
      <c r="P172" s="58"/>
    </row>
    <row r="173" spans="1:16">
      <c r="A173" s="90" t="s">
        <v>5095</v>
      </c>
      <c r="B173" s="90">
        <v>2820040212</v>
      </c>
      <c r="C173" s="73" t="s">
        <v>5100</v>
      </c>
      <c r="D173" s="92" t="s">
        <v>5136</v>
      </c>
      <c r="E173" s="91" t="s">
        <v>1480</v>
      </c>
      <c r="F173" s="58" t="s">
        <v>5295</v>
      </c>
      <c r="G173" s="58" t="s">
        <v>5295</v>
      </c>
      <c r="H173" s="58" t="s">
        <v>5294</v>
      </c>
      <c r="I173" s="58" t="s">
        <v>5294</v>
      </c>
      <c r="J173" s="58" t="s">
        <v>9</v>
      </c>
      <c r="K173" s="49" t="s">
        <v>5440</v>
      </c>
      <c r="P173" s="58"/>
    </row>
    <row r="174" spans="1:16">
      <c r="A174" s="90" t="s">
        <v>5095</v>
      </c>
      <c r="B174" s="90">
        <v>2820040213</v>
      </c>
      <c r="C174" s="73" t="s">
        <v>5100</v>
      </c>
      <c r="D174" s="92" t="s">
        <v>5137</v>
      </c>
      <c r="E174" s="91" t="s">
        <v>1481</v>
      </c>
      <c r="F174" s="58" t="s">
        <v>5295</v>
      </c>
      <c r="G174" s="58" t="s">
        <v>5295</v>
      </c>
      <c r="H174" s="58" t="s">
        <v>5294</v>
      </c>
      <c r="I174" s="58" t="s">
        <v>5294</v>
      </c>
      <c r="J174" s="58" t="s">
        <v>9</v>
      </c>
      <c r="K174" s="49" t="s">
        <v>5440</v>
      </c>
      <c r="P174" s="58"/>
    </row>
    <row r="175" spans="1:16">
      <c r="A175" s="90" t="s">
        <v>5095</v>
      </c>
      <c r="B175" s="90">
        <v>2820040214</v>
      </c>
      <c r="C175" s="73" t="s">
        <v>5100</v>
      </c>
      <c r="D175" s="92" t="s">
        <v>5138</v>
      </c>
      <c r="E175" s="91" t="s">
        <v>1482</v>
      </c>
      <c r="F175" s="58" t="s">
        <v>5295</v>
      </c>
      <c r="G175" s="58" t="s">
        <v>5295</v>
      </c>
      <c r="H175" s="58" t="s">
        <v>5294</v>
      </c>
      <c r="I175" s="58" t="s">
        <v>5294</v>
      </c>
      <c r="J175" s="58" t="s">
        <v>9</v>
      </c>
      <c r="K175" s="49" t="s">
        <v>5440</v>
      </c>
      <c r="P175" s="58"/>
    </row>
    <row r="176" spans="1:16">
      <c r="A176" s="90" t="s">
        <v>5095</v>
      </c>
      <c r="B176" s="90">
        <v>2820040215</v>
      </c>
      <c r="C176" s="73" t="s">
        <v>5100</v>
      </c>
      <c r="D176" s="92" t="s">
        <v>5139</v>
      </c>
      <c r="E176" s="91" t="s">
        <v>1483</v>
      </c>
      <c r="F176" s="58" t="s">
        <v>5295</v>
      </c>
      <c r="G176" s="58" t="s">
        <v>5295</v>
      </c>
      <c r="H176" s="58" t="s">
        <v>5294</v>
      </c>
      <c r="I176" s="58" t="s">
        <v>5294</v>
      </c>
      <c r="J176" s="58" t="s">
        <v>9</v>
      </c>
      <c r="K176" s="49" t="s">
        <v>5440</v>
      </c>
      <c r="P176" s="58"/>
    </row>
    <row r="177" spans="1:16">
      <c r="A177" s="90" t="s">
        <v>5095</v>
      </c>
      <c r="B177" s="90">
        <v>2820040301</v>
      </c>
      <c r="C177" s="73" t="s">
        <v>5100</v>
      </c>
      <c r="D177" s="92" t="s">
        <v>5729</v>
      </c>
      <c r="E177" s="91">
        <v>1102010310</v>
      </c>
      <c r="F177" s="58" t="s">
        <v>5295</v>
      </c>
      <c r="G177" s="58" t="s">
        <v>5295</v>
      </c>
      <c r="H177" s="58" t="s">
        <v>5294</v>
      </c>
      <c r="I177" s="58" t="s">
        <v>5294</v>
      </c>
      <c r="J177" s="58" t="s">
        <v>3391</v>
      </c>
      <c r="K177" s="49" t="s">
        <v>5440</v>
      </c>
      <c r="P177" s="58"/>
    </row>
    <row r="178" spans="1:16">
      <c r="A178" s="90" t="s">
        <v>5095</v>
      </c>
      <c r="B178" s="90">
        <v>2820040302</v>
      </c>
      <c r="C178" s="73" t="s">
        <v>5100</v>
      </c>
      <c r="D178" s="92" t="s">
        <v>5730</v>
      </c>
      <c r="E178" s="91">
        <v>1102010311</v>
      </c>
      <c r="F178" s="58" t="s">
        <v>5295</v>
      </c>
      <c r="G178" s="58" t="s">
        <v>5295</v>
      </c>
      <c r="H178" s="58" t="s">
        <v>5294</v>
      </c>
      <c r="I178" s="58" t="s">
        <v>5294</v>
      </c>
      <c r="J178" s="58" t="s">
        <v>3391</v>
      </c>
      <c r="K178" s="49" t="s">
        <v>5440</v>
      </c>
      <c r="P178" s="58"/>
    </row>
    <row r="179" spans="1:16">
      <c r="A179" s="90" t="s">
        <v>5095</v>
      </c>
      <c r="B179" s="90">
        <v>2820040303</v>
      </c>
      <c r="C179" s="73" t="s">
        <v>5100</v>
      </c>
      <c r="D179" s="92" t="s">
        <v>5731</v>
      </c>
      <c r="E179" s="91">
        <v>1102010312</v>
      </c>
      <c r="F179" s="58" t="s">
        <v>5295</v>
      </c>
      <c r="G179" s="58" t="s">
        <v>5295</v>
      </c>
      <c r="H179" s="58" t="s">
        <v>5294</v>
      </c>
      <c r="I179" s="58" t="s">
        <v>5294</v>
      </c>
      <c r="J179" s="58" t="s">
        <v>3391</v>
      </c>
      <c r="K179" s="49" t="s">
        <v>5440</v>
      </c>
      <c r="P179" s="58"/>
    </row>
    <row r="180" spans="1:16">
      <c r="A180" s="90" t="s">
        <v>5095</v>
      </c>
      <c r="B180" s="90">
        <v>2820040304</v>
      </c>
      <c r="C180" s="73" t="s">
        <v>5100</v>
      </c>
      <c r="D180" s="92" t="s">
        <v>5732</v>
      </c>
      <c r="E180" s="91">
        <v>1102010313</v>
      </c>
      <c r="F180" s="58" t="s">
        <v>5295</v>
      </c>
      <c r="G180" s="58" t="s">
        <v>5295</v>
      </c>
      <c r="H180" s="58" t="s">
        <v>5294</v>
      </c>
      <c r="I180" s="58" t="s">
        <v>5294</v>
      </c>
      <c r="J180" s="58" t="s">
        <v>3391</v>
      </c>
      <c r="K180" s="49" t="s">
        <v>5440</v>
      </c>
      <c r="P180" s="58"/>
    </row>
    <row r="181" spans="1:16">
      <c r="A181" s="90" t="s">
        <v>5095</v>
      </c>
      <c r="B181" s="90">
        <v>2820040305</v>
      </c>
      <c r="C181" s="73" t="s">
        <v>5100</v>
      </c>
      <c r="D181" s="92" t="s">
        <v>5733</v>
      </c>
      <c r="E181" s="91">
        <v>1102010328</v>
      </c>
      <c r="F181" s="58" t="s">
        <v>5295</v>
      </c>
      <c r="G181" s="58" t="s">
        <v>5295</v>
      </c>
      <c r="H181" s="58" t="s">
        <v>5294</v>
      </c>
      <c r="I181" s="58" t="s">
        <v>5294</v>
      </c>
      <c r="J181" s="58" t="s">
        <v>3391</v>
      </c>
      <c r="K181" s="49" t="s">
        <v>5440</v>
      </c>
      <c r="P181" s="58"/>
    </row>
    <row r="182" spans="1:16">
      <c r="A182" s="90" t="s">
        <v>5095</v>
      </c>
      <c r="B182" s="90">
        <v>2820040306</v>
      </c>
      <c r="C182" s="73" t="s">
        <v>5100</v>
      </c>
      <c r="D182" s="92" t="s">
        <v>5734</v>
      </c>
      <c r="E182" s="91">
        <v>1102010329</v>
      </c>
      <c r="F182" s="58" t="s">
        <v>5295</v>
      </c>
      <c r="G182" s="58" t="s">
        <v>5295</v>
      </c>
      <c r="H182" s="58" t="s">
        <v>5294</v>
      </c>
      <c r="I182" s="58" t="s">
        <v>5294</v>
      </c>
      <c r="J182" s="58" t="s">
        <v>3391</v>
      </c>
      <c r="K182" s="49" t="s">
        <v>5440</v>
      </c>
      <c r="P182" s="58"/>
    </row>
    <row r="183" spans="1:16">
      <c r="A183" s="90" t="s">
        <v>5095</v>
      </c>
      <c r="B183" s="90">
        <v>2820040307</v>
      </c>
      <c r="C183" s="73" t="s">
        <v>5100</v>
      </c>
      <c r="D183" s="92" t="s">
        <v>5735</v>
      </c>
      <c r="E183" s="91">
        <v>1102010330</v>
      </c>
      <c r="F183" s="58" t="s">
        <v>5295</v>
      </c>
      <c r="G183" s="58" t="s">
        <v>5295</v>
      </c>
      <c r="H183" s="58" t="s">
        <v>5294</v>
      </c>
      <c r="I183" s="58" t="s">
        <v>5294</v>
      </c>
      <c r="J183" s="58" t="s">
        <v>3391</v>
      </c>
      <c r="K183" s="49" t="s">
        <v>5440</v>
      </c>
      <c r="P183" s="58"/>
    </row>
    <row r="184" spans="1:16">
      <c r="A184" s="90" t="s">
        <v>5095</v>
      </c>
      <c r="B184" s="90">
        <v>2820040308</v>
      </c>
      <c r="C184" s="73" t="s">
        <v>5100</v>
      </c>
      <c r="D184" s="92" t="s">
        <v>5736</v>
      </c>
      <c r="E184" s="91">
        <v>1102010331</v>
      </c>
      <c r="F184" s="58" t="s">
        <v>5295</v>
      </c>
      <c r="G184" s="58" t="s">
        <v>5295</v>
      </c>
      <c r="H184" s="58" t="s">
        <v>5294</v>
      </c>
      <c r="I184" s="58" t="s">
        <v>5294</v>
      </c>
      <c r="J184" s="58" t="s">
        <v>3391</v>
      </c>
      <c r="K184" s="49" t="s">
        <v>5440</v>
      </c>
      <c r="P184" s="58"/>
    </row>
    <row r="185" spans="1:16">
      <c r="A185" s="90" t="s">
        <v>5095</v>
      </c>
      <c r="B185" s="90">
        <v>2820040309</v>
      </c>
      <c r="C185" s="73" t="s">
        <v>5100</v>
      </c>
      <c r="D185" s="92" t="s">
        <v>5737</v>
      </c>
      <c r="E185" s="91">
        <v>1102010350</v>
      </c>
      <c r="F185" s="58" t="s">
        <v>5295</v>
      </c>
      <c r="G185" s="58" t="s">
        <v>5295</v>
      </c>
      <c r="H185" s="58" t="s">
        <v>5294</v>
      </c>
      <c r="I185" s="58" t="s">
        <v>5294</v>
      </c>
      <c r="J185" s="58" t="s">
        <v>3391</v>
      </c>
      <c r="K185" s="49" t="s">
        <v>5440</v>
      </c>
      <c r="P185" s="58"/>
    </row>
    <row r="186" spans="1:16">
      <c r="A186" s="90" t="s">
        <v>5095</v>
      </c>
      <c r="B186" s="90">
        <v>2820040310</v>
      </c>
      <c r="C186" s="73" t="s">
        <v>5100</v>
      </c>
      <c r="D186" s="92" t="s">
        <v>5738</v>
      </c>
      <c r="E186" s="91">
        <v>1102010351</v>
      </c>
      <c r="F186" s="58" t="s">
        <v>5295</v>
      </c>
      <c r="G186" s="58" t="s">
        <v>5295</v>
      </c>
      <c r="H186" s="58" t="s">
        <v>5294</v>
      </c>
      <c r="I186" s="58" t="s">
        <v>5294</v>
      </c>
      <c r="J186" s="58" t="s">
        <v>3391</v>
      </c>
      <c r="K186" s="49" t="s">
        <v>5440</v>
      </c>
      <c r="P186" s="58"/>
    </row>
    <row r="187" spans="1:16">
      <c r="A187" s="90" t="s">
        <v>5095</v>
      </c>
      <c r="B187" s="90">
        <v>2820040311</v>
      </c>
      <c r="C187" s="73" t="s">
        <v>5100</v>
      </c>
      <c r="D187" s="92" t="s">
        <v>5739</v>
      </c>
      <c r="E187" s="91">
        <v>1102010353</v>
      </c>
      <c r="F187" s="58" t="s">
        <v>5295</v>
      </c>
      <c r="G187" s="58" t="s">
        <v>5295</v>
      </c>
      <c r="H187" s="58" t="s">
        <v>5294</v>
      </c>
      <c r="I187" s="58" t="s">
        <v>5294</v>
      </c>
      <c r="J187" s="58" t="s">
        <v>3391</v>
      </c>
      <c r="K187" s="49" t="s">
        <v>5440</v>
      </c>
      <c r="P187" s="58"/>
    </row>
    <row r="188" spans="1:16">
      <c r="A188" s="90" t="s">
        <v>5095</v>
      </c>
      <c r="B188" s="90">
        <v>2820040312</v>
      </c>
      <c r="C188" s="73" t="s">
        <v>5100</v>
      </c>
      <c r="D188" s="92" t="s">
        <v>5740</v>
      </c>
      <c r="E188" s="91">
        <v>1102010374</v>
      </c>
      <c r="F188" s="58" t="s">
        <v>5295</v>
      </c>
      <c r="G188" s="58" t="s">
        <v>5295</v>
      </c>
      <c r="H188" s="58" t="s">
        <v>5294</v>
      </c>
      <c r="I188" s="58" t="s">
        <v>5294</v>
      </c>
      <c r="J188" s="58" t="s">
        <v>3391</v>
      </c>
      <c r="K188" s="49" t="s">
        <v>5440</v>
      </c>
      <c r="P188" s="58"/>
    </row>
    <row r="189" spans="1:16">
      <c r="A189" s="90" t="s">
        <v>5095</v>
      </c>
      <c r="B189" s="90">
        <v>2820040313</v>
      </c>
      <c r="C189" s="73" t="s">
        <v>5100</v>
      </c>
      <c r="D189" s="92" t="s">
        <v>5741</v>
      </c>
      <c r="E189" s="91">
        <v>1102010375</v>
      </c>
      <c r="F189" s="58" t="s">
        <v>5295</v>
      </c>
      <c r="G189" s="58" t="s">
        <v>5295</v>
      </c>
      <c r="H189" s="58" t="s">
        <v>5294</v>
      </c>
      <c r="I189" s="58" t="s">
        <v>5294</v>
      </c>
      <c r="J189" s="58" t="s">
        <v>3391</v>
      </c>
      <c r="K189" s="49" t="s">
        <v>5440</v>
      </c>
      <c r="P189" s="58"/>
    </row>
    <row r="190" spans="1:16">
      <c r="A190" s="90" t="s">
        <v>5095</v>
      </c>
      <c r="B190" s="90">
        <v>2820040314</v>
      </c>
      <c r="C190" s="73" t="s">
        <v>5100</v>
      </c>
      <c r="D190" s="92" t="s">
        <v>5742</v>
      </c>
      <c r="E190" s="91">
        <v>1102010376</v>
      </c>
      <c r="F190" s="58" t="s">
        <v>5295</v>
      </c>
      <c r="G190" s="58" t="s">
        <v>5295</v>
      </c>
      <c r="H190" s="58" t="s">
        <v>5294</v>
      </c>
      <c r="I190" s="58" t="s">
        <v>5294</v>
      </c>
      <c r="J190" s="58" t="s">
        <v>3391</v>
      </c>
      <c r="K190" s="49" t="s">
        <v>5440</v>
      </c>
      <c r="P190" s="58"/>
    </row>
    <row r="191" spans="1:16">
      <c r="A191" s="90" t="s">
        <v>5095</v>
      </c>
      <c r="B191" s="90">
        <v>2820040315</v>
      </c>
      <c r="C191" s="73" t="s">
        <v>5100</v>
      </c>
      <c r="D191" s="92" t="s">
        <v>5743</v>
      </c>
      <c r="E191" s="91">
        <v>1102010377</v>
      </c>
      <c r="F191" s="58" t="s">
        <v>5295</v>
      </c>
      <c r="G191" s="58" t="s">
        <v>5295</v>
      </c>
      <c r="H191" s="58" t="s">
        <v>5294</v>
      </c>
      <c r="I191" s="58" t="s">
        <v>5294</v>
      </c>
      <c r="J191" s="58" t="s">
        <v>3391</v>
      </c>
      <c r="K191" s="49" t="s">
        <v>5440</v>
      </c>
      <c r="P191" s="58"/>
    </row>
    <row r="192" spans="1:16">
      <c r="A192" s="90" t="s">
        <v>5095</v>
      </c>
      <c r="B192" s="90">
        <v>2820040316</v>
      </c>
      <c r="C192" s="73" t="s">
        <v>5100</v>
      </c>
      <c r="D192" s="92" t="s">
        <v>5744</v>
      </c>
      <c r="E192" s="91">
        <v>1102010381</v>
      </c>
      <c r="F192" s="58" t="s">
        <v>5295</v>
      </c>
      <c r="G192" s="58" t="s">
        <v>5295</v>
      </c>
      <c r="H192" s="58" t="s">
        <v>5294</v>
      </c>
      <c r="I192" s="58" t="s">
        <v>5294</v>
      </c>
      <c r="J192" s="58" t="s">
        <v>3391</v>
      </c>
      <c r="K192" s="49" t="s">
        <v>5440</v>
      </c>
      <c r="P192" s="58"/>
    </row>
    <row r="193" spans="1:16">
      <c r="A193" s="90" t="s">
        <v>5095</v>
      </c>
      <c r="B193" s="90">
        <v>2820040317</v>
      </c>
      <c r="C193" s="73" t="s">
        <v>5100</v>
      </c>
      <c r="D193" s="92" t="s">
        <v>5745</v>
      </c>
      <c r="E193" s="91">
        <v>1102010382</v>
      </c>
      <c r="F193" s="58" t="s">
        <v>5295</v>
      </c>
      <c r="G193" s="58" t="s">
        <v>5295</v>
      </c>
      <c r="H193" s="58" t="s">
        <v>5294</v>
      </c>
      <c r="I193" s="58" t="s">
        <v>5294</v>
      </c>
      <c r="J193" s="58" t="s">
        <v>3391</v>
      </c>
      <c r="K193" s="49" t="s">
        <v>5440</v>
      </c>
      <c r="P193" s="58"/>
    </row>
    <row r="194" spans="1:16">
      <c r="A194" s="90" t="s">
        <v>5095</v>
      </c>
      <c r="B194" s="90">
        <v>2820040318</v>
      </c>
      <c r="C194" s="73" t="s">
        <v>5100</v>
      </c>
      <c r="D194" s="92" t="s">
        <v>5746</v>
      </c>
      <c r="E194" s="91">
        <v>1102010383</v>
      </c>
      <c r="F194" s="58" t="s">
        <v>5295</v>
      </c>
      <c r="G194" s="58" t="s">
        <v>5295</v>
      </c>
      <c r="H194" s="58" t="s">
        <v>5294</v>
      </c>
      <c r="I194" s="58" t="s">
        <v>5294</v>
      </c>
      <c r="J194" s="58" t="s">
        <v>3391</v>
      </c>
      <c r="K194" s="49" t="s">
        <v>5440</v>
      </c>
      <c r="P194" s="58"/>
    </row>
    <row r="195" spans="1:16">
      <c r="A195" s="90" t="s">
        <v>5095</v>
      </c>
      <c r="B195" s="90">
        <v>2820040319</v>
      </c>
      <c r="C195" s="73" t="s">
        <v>5100</v>
      </c>
      <c r="D195" s="92" t="s">
        <v>5747</v>
      </c>
      <c r="E195" s="91">
        <v>1102010384</v>
      </c>
      <c r="F195" s="58" t="s">
        <v>5295</v>
      </c>
      <c r="G195" s="58" t="s">
        <v>5295</v>
      </c>
      <c r="H195" s="58" t="s">
        <v>5294</v>
      </c>
      <c r="I195" s="58" t="s">
        <v>5294</v>
      </c>
      <c r="J195" s="58" t="s">
        <v>3391</v>
      </c>
      <c r="K195" s="49" t="s">
        <v>5440</v>
      </c>
      <c r="P195" s="58"/>
    </row>
    <row r="196" spans="1:16">
      <c r="A196" s="90" t="s">
        <v>5095</v>
      </c>
      <c r="B196" s="90">
        <v>2820040320</v>
      </c>
      <c r="C196" s="73" t="s">
        <v>5100</v>
      </c>
      <c r="D196" s="92" t="s">
        <v>5748</v>
      </c>
      <c r="E196" s="91">
        <v>1102010395</v>
      </c>
      <c r="F196" s="58" t="s">
        <v>5295</v>
      </c>
      <c r="G196" s="58" t="s">
        <v>5295</v>
      </c>
      <c r="H196" s="58" t="s">
        <v>5294</v>
      </c>
      <c r="I196" s="58" t="s">
        <v>5294</v>
      </c>
      <c r="J196" s="58" t="s">
        <v>3391</v>
      </c>
      <c r="K196" s="49" t="s">
        <v>5440</v>
      </c>
      <c r="P196" s="58"/>
    </row>
    <row r="197" spans="1:16">
      <c r="A197" s="90" t="s">
        <v>5095</v>
      </c>
      <c r="B197" s="90">
        <v>2820040321</v>
      </c>
      <c r="C197" s="73" t="s">
        <v>5100</v>
      </c>
      <c r="D197" s="92" t="s">
        <v>5749</v>
      </c>
      <c r="E197" s="91">
        <v>1102010396</v>
      </c>
      <c r="F197" s="58" t="s">
        <v>5295</v>
      </c>
      <c r="G197" s="58" t="s">
        <v>5295</v>
      </c>
      <c r="H197" s="58" t="s">
        <v>5294</v>
      </c>
      <c r="I197" s="58" t="s">
        <v>5294</v>
      </c>
      <c r="J197" s="58" t="s">
        <v>3391</v>
      </c>
      <c r="K197" s="49" t="s">
        <v>5440</v>
      </c>
      <c r="P197" s="58"/>
    </row>
    <row r="198" spans="1:16">
      <c r="A198" s="90" t="s">
        <v>5095</v>
      </c>
      <c r="B198" s="90">
        <v>2820040322</v>
      </c>
      <c r="C198" s="73" t="s">
        <v>5100</v>
      </c>
      <c r="D198" s="92" t="s">
        <v>5750</v>
      </c>
      <c r="E198" s="91" t="s">
        <v>1454</v>
      </c>
      <c r="F198" s="58" t="s">
        <v>5295</v>
      </c>
      <c r="G198" s="58" t="s">
        <v>5295</v>
      </c>
      <c r="H198" s="58" t="s">
        <v>5294</v>
      </c>
      <c r="I198" s="58" t="s">
        <v>5294</v>
      </c>
      <c r="J198" s="58" t="s">
        <v>3391</v>
      </c>
      <c r="K198" s="49" t="s">
        <v>5440</v>
      </c>
      <c r="P198" s="58"/>
    </row>
    <row r="199" spans="1:16">
      <c r="A199" s="90" t="s">
        <v>5095</v>
      </c>
      <c r="B199" s="90">
        <v>2820040323</v>
      </c>
      <c r="C199" s="73" t="s">
        <v>5100</v>
      </c>
      <c r="D199" s="92" t="s">
        <v>5751</v>
      </c>
      <c r="E199" s="91" t="s">
        <v>1455</v>
      </c>
      <c r="F199" s="58" t="s">
        <v>5295</v>
      </c>
      <c r="G199" s="58" t="s">
        <v>5295</v>
      </c>
      <c r="H199" s="58" t="s">
        <v>5294</v>
      </c>
      <c r="I199" s="58" t="s">
        <v>5294</v>
      </c>
      <c r="J199" s="58" t="s">
        <v>3391</v>
      </c>
      <c r="K199" s="49" t="s">
        <v>5440</v>
      </c>
      <c r="P199" s="58"/>
    </row>
    <row r="200" spans="1:16">
      <c r="A200" s="90" t="s">
        <v>5095</v>
      </c>
      <c r="B200" s="90">
        <v>2820040324</v>
      </c>
      <c r="C200" s="73" t="s">
        <v>5100</v>
      </c>
      <c r="D200" s="92" t="s">
        <v>5749</v>
      </c>
      <c r="E200" s="91" t="s">
        <v>1459</v>
      </c>
      <c r="F200" s="58" t="s">
        <v>5295</v>
      </c>
      <c r="G200" s="58" t="s">
        <v>5295</v>
      </c>
      <c r="H200" s="58" t="s">
        <v>5294</v>
      </c>
      <c r="I200" s="58" t="s">
        <v>5294</v>
      </c>
      <c r="J200" s="58" t="s">
        <v>3391</v>
      </c>
      <c r="K200" s="49" t="s">
        <v>5440</v>
      </c>
      <c r="P200" s="58"/>
    </row>
    <row r="201" spans="1:16">
      <c r="A201" s="90" t="s">
        <v>5095</v>
      </c>
      <c r="B201" s="90">
        <v>2820040325</v>
      </c>
      <c r="C201" s="73" t="s">
        <v>5100</v>
      </c>
      <c r="D201" s="92" t="s">
        <v>5752</v>
      </c>
      <c r="E201" s="91" t="s">
        <v>1460</v>
      </c>
      <c r="F201" s="58" t="s">
        <v>5295</v>
      </c>
      <c r="G201" s="58" t="s">
        <v>5295</v>
      </c>
      <c r="H201" s="58" t="s">
        <v>5294</v>
      </c>
      <c r="I201" s="58" t="s">
        <v>5294</v>
      </c>
      <c r="J201" s="58" t="s">
        <v>3391</v>
      </c>
      <c r="K201" s="49" t="s">
        <v>5440</v>
      </c>
      <c r="P201" s="58"/>
    </row>
    <row r="202" spans="1:16">
      <c r="A202" s="90" t="s">
        <v>5095</v>
      </c>
      <c r="B202" s="90">
        <v>2820040326</v>
      </c>
      <c r="C202" s="73" t="s">
        <v>5100</v>
      </c>
      <c r="D202" s="92" t="s">
        <v>5753</v>
      </c>
      <c r="E202" s="91" t="s">
        <v>1461</v>
      </c>
      <c r="F202" s="58" t="s">
        <v>5295</v>
      </c>
      <c r="G202" s="58" t="s">
        <v>5295</v>
      </c>
      <c r="H202" s="58" t="s">
        <v>5294</v>
      </c>
      <c r="I202" s="58" t="s">
        <v>5294</v>
      </c>
      <c r="J202" s="58" t="s">
        <v>3391</v>
      </c>
      <c r="K202" s="49" t="s">
        <v>5440</v>
      </c>
      <c r="P202" s="58"/>
    </row>
    <row r="203" spans="1:16">
      <c r="A203" s="90" t="s">
        <v>5095</v>
      </c>
      <c r="B203" s="90">
        <v>2820040327</v>
      </c>
      <c r="C203" s="73" t="s">
        <v>5100</v>
      </c>
      <c r="D203" s="92" t="s">
        <v>5754</v>
      </c>
      <c r="E203" s="91" t="s">
        <v>1462</v>
      </c>
      <c r="F203" s="58" t="s">
        <v>5295</v>
      </c>
      <c r="G203" s="58" t="s">
        <v>5295</v>
      </c>
      <c r="H203" s="58" t="s">
        <v>5294</v>
      </c>
      <c r="I203" s="58" t="s">
        <v>5294</v>
      </c>
      <c r="J203" s="58" t="s">
        <v>3391</v>
      </c>
      <c r="K203" s="49" t="s">
        <v>5440</v>
      </c>
      <c r="P203" s="58"/>
    </row>
    <row r="204" spans="1:16">
      <c r="A204" s="90" t="s">
        <v>5095</v>
      </c>
      <c r="B204" s="90">
        <v>2820040328</v>
      </c>
      <c r="C204" s="73" t="s">
        <v>5100</v>
      </c>
      <c r="D204" s="92" t="s">
        <v>5754</v>
      </c>
      <c r="E204" s="91" t="s">
        <v>1464</v>
      </c>
      <c r="F204" s="58" t="s">
        <v>5295</v>
      </c>
      <c r="G204" s="58" t="s">
        <v>5295</v>
      </c>
      <c r="H204" s="58" t="s">
        <v>5294</v>
      </c>
      <c r="I204" s="58" t="s">
        <v>5294</v>
      </c>
      <c r="J204" s="58" t="s">
        <v>3391</v>
      </c>
      <c r="K204" s="49" t="s">
        <v>5440</v>
      </c>
      <c r="P204" s="58"/>
    </row>
    <row r="205" spans="1:16">
      <c r="A205" s="90" t="s">
        <v>5095</v>
      </c>
      <c r="B205" s="90">
        <v>2820040329</v>
      </c>
      <c r="C205" s="73" t="s">
        <v>5100</v>
      </c>
      <c r="D205" s="92" t="s">
        <v>5755</v>
      </c>
      <c r="E205" s="91" t="s">
        <v>1472</v>
      </c>
      <c r="F205" s="58" t="s">
        <v>5295</v>
      </c>
      <c r="G205" s="58" t="s">
        <v>5295</v>
      </c>
      <c r="H205" s="58" t="s">
        <v>5294</v>
      </c>
      <c r="I205" s="58" t="s">
        <v>5294</v>
      </c>
      <c r="J205" s="58" t="s">
        <v>3391</v>
      </c>
      <c r="K205" s="49" t="s">
        <v>5440</v>
      </c>
      <c r="P205" s="58"/>
    </row>
    <row r="206" spans="1:16">
      <c r="A206" s="90" t="s">
        <v>5095</v>
      </c>
      <c r="B206" s="90">
        <v>2820040330</v>
      </c>
      <c r="C206" s="73" t="s">
        <v>5100</v>
      </c>
      <c r="D206" s="92" t="s">
        <v>5756</v>
      </c>
      <c r="E206" s="91" t="s">
        <v>1473</v>
      </c>
      <c r="F206" s="58" t="s">
        <v>5295</v>
      </c>
      <c r="G206" s="58" t="s">
        <v>5295</v>
      </c>
      <c r="H206" s="58" t="s">
        <v>5294</v>
      </c>
      <c r="I206" s="58" t="s">
        <v>5294</v>
      </c>
      <c r="J206" s="58" t="s">
        <v>3391</v>
      </c>
      <c r="K206" s="49" t="s">
        <v>5440</v>
      </c>
      <c r="P206" s="58"/>
    </row>
    <row r="207" spans="1:16">
      <c r="A207" s="90" t="s">
        <v>5095</v>
      </c>
      <c r="B207" s="90">
        <v>2820040331</v>
      </c>
      <c r="C207" s="73" t="s">
        <v>5100</v>
      </c>
      <c r="D207" s="92" t="s">
        <v>5757</v>
      </c>
      <c r="E207" s="91" t="s">
        <v>1474</v>
      </c>
      <c r="F207" s="58" t="s">
        <v>5295</v>
      </c>
      <c r="G207" s="58" t="s">
        <v>5295</v>
      </c>
      <c r="H207" s="58" t="s">
        <v>5294</v>
      </c>
      <c r="I207" s="58" t="s">
        <v>5294</v>
      </c>
      <c r="J207" s="58" t="s">
        <v>3391</v>
      </c>
      <c r="K207" s="49" t="s">
        <v>5440</v>
      </c>
      <c r="P207" s="58"/>
    </row>
    <row r="208" spans="1:16">
      <c r="A208" s="90" t="s">
        <v>5095</v>
      </c>
      <c r="B208" s="90">
        <v>2820040332</v>
      </c>
      <c r="C208" s="73" t="s">
        <v>5100</v>
      </c>
      <c r="D208" s="92" t="s">
        <v>5758</v>
      </c>
      <c r="E208" s="91" t="s">
        <v>1475</v>
      </c>
      <c r="F208" s="58" t="s">
        <v>5295</v>
      </c>
      <c r="G208" s="58" t="s">
        <v>5295</v>
      </c>
      <c r="H208" s="58" t="s">
        <v>5294</v>
      </c>
      <c r="I208" s="58" t="s">
        <v>5294</v>
      </c>
      <c r="J208" s="58" t="s">
        <v>3391</v>
      </c>
      <c r="K208" s="49" t="s">
        <v>5440</v>
      </c>
      <c r="P208" s="58"/>
    </row>
    <row r="209" spans="1:16">
      <c r="A209" s="90" t="s">
        <v>5095</v>
      </c>
      <c r="B209" s="90">
        <v>2820042010</v>
      </c>
      <c r="C209" s="73" t="s">
        <v>5100</v>
      </c>
      <c r="D209" s="92" t="s">
        <v>5127</v>
      </c>
      <c r="E209" s="91">
        <v>1102010306</v>
      </c>
      <c r="F209" s="58" t="s">
        <v>5295</v>
      </c>
      <c r="G209" s="58" t="s">
        <v>5295</v>
      </c>
      <c r="H209" s="58" t="s">
        <v>5294</v>
      </c>
      <c r="I209" s="58" t="s">
        <v>5294</v>
      </c>
      <c r="J209" s="58" t="s">
        <v>9</v>
      </c>
      <c r="K209" s="49" t="s">
        <v>5441</v>
      </c>
      <c r="P209" s="58"/>
    </row>
    <row r="210" spans="1:16">
      <c r="A210" s="90" t="s">
        <v>5095</v>
      </c>
      <c r="B210" s="90">
        <v>2820042050</v>
      </c>
      <c r="C210" s="73" t="s">
        <v>5100</v>
      </c>
      <c r="D210" s="92" t="s">
        <v>5126</v>
      </c>
      <c r="E210" s="91">
        <v>1102010305</v>
      </c>
      <c r="F210" s="58" t="s">
        <v>5295</v>
      </c>
      <c r="G210" s="58" t="s">
        <v>5295</v>
      </c>
      <c r="H210" s="58" t="s">
        <v>5294</v>
      </c>
      <c r="I210" s="58" t="s">
        <v>5294</v>
      </c>
      <c r="J210" s="58" t="s">
        <v>9</v>
      </c>
      <c r="K210" s="49" t="s">
        <v>5442</v>
      </c>
      <c r="P210" s="58"/>
    </row>
    <row r="211" spans="1:16">
      <c r="A211" s="90" t="s">
        <v>5095</v>
      </c>
      <c r="B211" s="90">
        <v>2820042060</v>
      </c>
      <c r="C211" s="73" t="s">
        <v>5100</v>
      </c>
      <c r="D211" s="92" t="s">
        <v>5130</v>
      </c>
      <c r="E211" s="91">
        <v>1102010309</v>
      </c>
      <c r="F211" s="58" t="s">
        <v>5295</v>
      </c>
      <c r="G211" s="58" t="s">
        <v>5295</v>
      </c>
      <c r="H211" s="58" t="s">
        <v>5294</v>
      </c>
      <c r="I211" s="58" t="s">
        <v>5294</v>
      </c>
      <c r="J211" s="58" t="s">
        <v>9</v>
      </c>
      <c r="K211" s="49" t="s">
        <v>5443</v>
      </c>
      <c r="P211" s="58"/>
    </row>
    <row r="212" spans="1:16">
      <c r="A212" s="90" t="s">
        <v>5095</v>
      </c>
      <c r="B212" s="90">
        <v>2820042070</v>
      </c>
      <c r="C212" s="73" t="s">
        <v>5100</v>
      </c>
      <c r="D212" s="92" t="s">
        <v>5128</v>
      </c>
      <c r="E212" s="91">
        <v>1102010307</v>
      </c>
      <c r="F212" s="58" t="s">
        <v>5295</v>
      </c>
      <c r="G212" s="58" t="s">
        <v>5295</v>
      </c>
      <c r="H212" s="58" t="s">
        <v>5294</v>
      </c>
      <c r="I212" s="58" t="s">
        <v>5294</v>
      </c>
      <c r="J212" s="58" t="s">
        <v>9</v>
      </c>
      <c r="K212" s="49" t="s">
        <v>5444</v>
      </c>
      <c r="P212" s="58"/>
    </row>
    <row r="213" spans="1:16">
      <c r="A213" s="90" t="s">
        <v>5095</v>
      </c>
      <c r="B213" s="90">
        <v>2820042080</v>
      </c>
      <c r="C213" s="73" t="s">
        <v>5100</v>
      </c>
      <c r="D213" s="92" t="s">
        <v>5131</v>
      </c>
      <c r="E213" s="91" t="s">
        <v>1463</v>
      </c>
      <c r="F213" s="58" t="s">
        <v>5295</v>
      </c>
      <c r="G213" s="58" t="s">
        <v>5295</v>
      </c>
      <c r="H213" s="58" t="s">
        <v>5294</v>
      </c>
      <c r="I213" s="58" t="s">
        <v>5294</v>
      </c>
      <c r="J213" s="58" t="s">
        <v>9</v>
      </c>
      <c r="K213" s="49" t="s">
        <v>5445</v>
      </c>
      <c r="P213" s="58"/>
    </row>
    <row r="214" spans="1:16">
      <c r="A214" s="90" t="s">
        <v>5095</v>
      </c>
      <c r="B214" s="90">
        <v>2820042090</v>
      </c>
      <c r="C214" s="73" t="s">
        <v>5100</v>
      </c>
      <c r="D214" s="92" t="s">
        <v>5177</v>
      </c>
      <c r="E214" s="91">
        <v>1102020301</v>
      </c>
      <c r="F214" s="58" t="s">
        <v>5295</v>
      </c>
      <c r="G214" s="58" t="s">
        <v>5295</v>
      </c>
      <c r="H214" s="58" t="s">
        <v>5294</v>
      </c>
      <c r="I214" s="58" t="s">
        <v>5294</v>
      </c>
      <c r="J214" s="58" t="s">
        <v>9</v>
      </c>
      <c r="K214" s="49" t="s">
        <v>5446</v>
      </c>
      <c r="P214" s="58"/>
    </row>
    <row r="215" spans="1:16">
      <c r="A215" s="90" t="s">
        <v>5095</v>
      </c>
      <c r="B215" s="90">
        <v>2820042110</v>
      </c>
      <c r="C215" s="73" t="s">
        <v>5100</v>
      </c>
      <c r="D215" s="92" t="s">
        <v>5129</v>
      </c>
      <c r="E215" s="91">
        <v>1102010308</v>
      </c>
      <c r="F215" s="58" t="s">
        <v>5295</v>
      </c>
      <c r="G215" s="58" t="s">
        <v>5295</v>
      </c>
      <c r="H215" s="58" t="s">
        <v>5294</v>
      </c>
      <c r="I215" s="58" t="s">
        <v>5294</v>
      </c>
      <c r="J215" s="58" t="s">
        <v>9</v>
      </c>
      <c r="K215" s="49" t="s">
        <v>5447</v>
      </c>
      <c r="P215" s="58"/>
    </row>
    <row r="216" spans="1:16">
      <c r="A216" s="90" t="s">
        <v>5095</v>
      </c>
      <c r="B216" s="90">
        <v>2820042120</v>
      </c>
      <c r="C216" s="73" t="s">
        <v>5100</v>
      </c>
      <c r="D216" s="92" t="s">
        <v>5131</v>
      </c>
      <c r="E216" s="91">
        <v>1102010342</v>
      </c>
      <c r="F216" s="58" t="s">
        <v>5295</v>
      </c>
      <c r="G216" s="58" t="s">
        <v>5295</v>
      </c>
      <c r="H216" s="58" t="s">
        <v>5294</v>
      </c>
      <c r="I216" s="58" t="s">
        <v>5294</v>
      </c>
      <c r="J216" s="58" t="s">
        <v>9</v>
      </c>
      <c r="K216" s="49" t="s">
        <v>5448</v>
      </c>
      <c r="P216" s="58"/>
    </row>
    <row r="217" spans="1:16">
      <c r="A217" s="90" t="s">
        <v>5095</v>
      </c>
      <c r="B217" s="90">
        <v>2820042140</v>
      </c>
      <c r="C217" s="73" t="s">
        <v>5100</v>
      </c>
      <c r="D217" s="92" t="s">
        <v>5177</v>
      </c>
      <c r="E217" s="91">
        <v>1102020309</v>
      </c>
      <c r="F217" s="58" t="s">
        <v>5295</v>
      </c>
      <c r="G217" s="58" t="s">
        <v>5295</v>
      </c>
      <c r="H217" s="58" t="s">
        <v>5294</v>
      </c>
      <c r="I217" s="58" t="s">
        <v>5294</v>
      </c>
      <c r="J217" s="58" t="s">
        <v>9</v>
      </c>
      <c r="K217" s="49" t="s">
        <v>5449</v>
      </c>
      <c r="P217" s="58"/>
    </row>
    <row r="218" spans="1:16">
      <c r="A218" s="90" t="s">
        <v>5095</v>
      </c>
      <c r="B218" s="90">
        <v>2820042160</v>
      </c>
      <c r="C218" s="73" t="s">
        <v>5100</v>
      </c>
      <c r="D218" s="92" t="s">
        <v>5128</v>
      </c>
      <c r="E218" s="91">
        <v>1102010337</v>
      </c>
      <c r="F218" s="58" t="s">
        <v>5295</v>
      </c>
      <c r="G218" s="58" t="s">
        <v>5295</v>
      </c>
      <c r="H218" s="58" t="s">
        <v>5294</v>
      </c>
      <c r="I218" s="58" t="s">
        <v>5294</v>
      </c>
      <c r="J218" s="58" t="s">
        <v>9</v>
      </c>
      <c r="K218" s="49" t="s">
        <v>5450</v>
      </c>
      <c r="P218" s="58"/>
    </row>
    <row r="219" spans="1:16">
      <c r="A219" s="90" t="s">
        <v>5095</v>
      </c>
      <c r="B219" s="90">
        <v>2820042170</v>
      </c>
      <c r="C219" s="73" t="s">
        <v>5100</v>
      </c>
      <c r="D219" s="92" t="s">
        <v>5129</v>
      </c>
      <c r="E219" s="91">
        <v>1102010340</v>
      </c>
      <c r="F219" s="58" t="s">
        <v>5295</v>
      </c>
      <c r="G219" s="58" t="s">
        <v>5295</v>
      </c>
      <c r="H219" s="58" t="s">
        <v>5294</v>
      </c>
      <c r="I219" s="58" t="s">
        <v>5294</v>
      </c>
      <c r="J219" s="58" t="s">
        <v>9</v>
      </c>
      <c r="K219" s="49" t="s">
        <v>5451</v>
      </c>
      <c r="P219" s="58"/>
    </row>
    <row r="220" spans="1:16">
      <c r="A220" s="90" t="s">
        <v>5095</v>
      </c>
      <c r="B220" s="90">
        <v>2820042190</v>
      </c>
      <c r="C220" s="73" t="s">
        <v>5100</v>
      </c>
      <c r="D220" s="92" t="s">
        <v>5130</v>
      </c>
      <c r="E220" s="91">
        <v>1102010336</v>
      </c>
      <c r="F220" s="58" t="s">
        <v>5295</v>
      </c>
      <c r="G220" s="58" t="s">
        <v>5295</v>
      </c>
      <c r="H220" s="58" t="s">
        <v>5294</v>
      </c>
      <c r="I220" s="58" t="s">
        <v>5294</v>
      </c>
      <c r="J220" s="58" t="s">
        <v>9</v>
      </c>
      <c r="K220" s="49" t="s">
        <v>5452</v>
      </c>
      <c r="P220" s="58"/>
    </row>
    <row r="221" spans="1:16">
      <c r="A221" s="90" t="s">
        <v>5095</v>
      </c>
      <c r="B221" s="90">
        <v>2820042220</v>
      </c>
      <c r="C221" s="73" t="s">
        <v>5100</v>
      </c>
      <c r="D221" s="92" t="s">
        <v>5127</v>
      </c>
      <c r="E221" s="91">
        <v>1102010338</v>
      </c>
      <c r="F221" s="58" t="s">
        <v>5295</v>
      </c>
      <c r="G221" s="58" t="s">
        <v>5295</v>
      </c>
      <c r="H221" s="58" t="s">
        <v>5294</v>
      </c>
      <c r="I221" s="58" t="s">
        <v>5294</v>
      </c>
      <c r="J221" s="58" t="s">
        <v>9</v>
      </c>
      <c r="K221" s="49" t="s">
        <v>5453</v>
      </c>
      <c r="P221" s="58"/>
    </row>
    <row r="222" spans="1:16">
      <c r="A222" s="90" t="s">
        <v>5095</v>
      </c>
      <c r="B222" s="90">
        <v>2820042230</v>
      </c>
      <c r="C222" s="73" t="s">
        <v>5100</v>
      </c>
      <c r="D222" s="92" t="s">
        <v>5126</v>
      </c>
      <c r="E222" s="91">
        <v>1102010339</v>
      </c>
      <c r="F222" s="58" t="s">
        <v>5295</v>
      </c>
      <c r="G222" s="58" t="s">
        <v>5295</v>
      </c>
      <c r="H222" s="58" t="s">
        <v>5294</v>
      </c>
      <c r="I222" s="58" t="s">
        <v>5294</v>
      </c>
      <c r="J222" s="58" t="s">
        <v>9</v>
      </c>
      <c r="K222" s="49" t="s">
        <v>5454</v>
      </c>
      <c r="P222" s="58"/>
    </row>
    <row r="223" spans="1:16">
      <c r="A223" s="90" t="s">
        <v>5095</v>
      </c>
      <c r="B223" s="90">
        <v>2820042240</v>
      </c>
      <c r="C223" s="73" t="s">
        <v>5100</v>
      </c>
      <c r="D223" s="92" t="s">
        <v>5131</v>
      </c>
      <c r="E223" s="91" t="s">
        <v>1467</v>
      </c>
      <c r="F223" s="58" t="s">
        <v>5295</v>
      </c>
      <c r="G223" s="58" t="s">
        <v>5295</v>
      </c>
      <c r="H223" s="58" t="s">
        <v>5294</v>
      </c>
      <c r="I223" s="58" t="s">
        <v>5294</v>
      </c>
      <c r="J223" s="58" t="s">
        <v>9</v>
      </c>
      <c r="K223" s="49" t="s">
        <v>5455</v>
      </c>
      <c r="P223" s="58"/>
    </row>
    <row r="224" spans="1:16">
      <c r="A224" s="90" t="s">
        <v>5095</v>
      </c>
      <c r="B224" s="90">
        <v>2820042260</v>
      </c>
      <c r="C224" s="73" t="s">
        <v>5100</v>
      </c>
      <c r="D224" s="92" t="s">
        <v>5177</v>
      </c>
      <c r="E224" s="91">
        <v>1102020315</v>
      </c>
      <c r="F224" s="58" t="s">
        <v>5295</v>
      </c>
      <c r="G224" s="58" t="s">
        <v>5295</v>
      </c>
      <c r="H224" s="58" t="s">
        <v>5294</v>
      </c>
      <c r="I224" s="58" t="s">
        <v>5294</v>
      </c>
      <c r="J224" s="58" t="s">
        <v>9</v>
      </c>
      <c r="K224" s="49" t="s">
        <v>5456</v>
      </c>
      <c r="P224" s="58"/>
    </row>
    <row r="225" spans="1:16">
      <c r="A225" s="90" t="s">
        <v>5095</v>
      </c>
      <c r="B225" s="90">
        <v>2820042280</v>
      </c>
      <c r="C225" s="73" t="s">
        <v>5100</v>
      </c>
      <c r="D225" s="92" t="s">
        <v>5128</v>
      </c>
      <c r="E225" s="91">
        <v>1102010371</v>
      </c>
      <c r="F225" s="58" t="s">
        <v>5295</v>
      </c>
      <c r="G225" s="58" t="s">
        <v>5295</v>
      </c>
      <c r="H225" s="58" t="s">
        <v>5294</v>
      </c>
      <c r="I225" s="58" t="s">
        <v>5294</v>
      </c>
      <c r="J225" s="58" t="s">
        <v>9</v>
      </c>
      <c r="K225" s="49" t="s">
        <v>5457</v>
      </c>
      <c r="P225" s="58"/>
    </row>
    <row r="226" spans="1:16">
      <c r="A226" s="90" t="s">
        <v>5095</v>
      </c>
      <c r="B226" s="90">
        <v>2820042290</v>
      </c>
      <c r="C226" s="73" t="s">
        <v>5100</v>
      </c>
      <c r="D226" s="92" t="s">
        <v>5129</v>
      </c>
      <c r="E226" s="91" t="s">
        <v>1466</v>
      </c>
      <c r="F226" s="58" t="s">
        <v>5295</v>
      </c>
      <c r="G226" s="58" t="s">
        <v>5295</v>
      </c>
      <c r="H226" s="58" t="s">
        <v>5294</v>
      </c>
      <c r="I226" s="58" t="s">
        <v>5294</v>
      </c>
      <c r="J226" s="58" t="s">
        <v>9</v>
      </c>
      <c r="K226" s="49" t="s">
        <v>5458</v>
      </c>
      <c r="P226" s="58"/>
    </row>
    <row r="227" spans="1:16">
      <c r="A227" s="90" t="s">
        <v>5095</v>
      </c>
      <c r="B227" s="90">
        <v>2820042310</v>
      </c>
      <c r="C227" s="73" t="s">
        <v>5100</v>
      </c>
      <c r="D227" s="92" t="s">
        <v>5130</v>
      </c>
      <c r="E227" s="91" t="s">
        <v>1465</v>
      </c>
      <c r="F227" s="58" t="s">
        <v>5295</v>
      </c>
      <c r="G227" s="58" t="s">
        <v>5295</v>
      </c>
      <c r="H227" s="58" t="s">
        <v>5294</v>
      </c>
      <c r="I227" s="58" t="s">
        <v>5294</v>
      </c>
      <c r="J227" s="58" t="s">
        <v>9</v>
      </c>
      <c r="K227" s="49" t="s">
        <v>5459</v>
      </c>
      <c r="P227" s="58"/>
    </row>
    <row r="228" spans="1:16">
      <c r="A228" s="90" t="s">
        <v>5095</v>
      </c>
      <c r="B228" s="90">
        <v>2820042340</v>
      </c>
      <c r="C228" s="73" t="s">
        <v>5100</v>
      </c>
      <c r="D228" s="92" t="s">
        <v>5127</v>
      </c>
      <c r="E228" s="91">
        <v>1102010373</v>
      </c>
      <c r="F228" s="58" t="s">
        <v>5295</v>
      </c>
      <c r="G228" s="58" t="s">
        <v>5295</v>
      </c>
      <c r="H228" s="58" t="s">
        <v>5294</v>
      </c>
      <c r="I228" s="58" t="s">
        <v>5294</v>
      </c>
      <c r="J228" s="58" t="s">
        <v>9</v>
      </c>
      <c r="K228" s="49" t="s">
        <v>5460</v>
      </c>
      <c r="P228" s="58"/>
    </row>
    <row r="229" spans="1:16">
      <c r="A229" s="90" t="s">
        <v>5095</v>
      </c>
      <c r="B229" s="90">
        <v>2820042350</v>
      </c>
      <c r="C229" s="73" t="s">
        <v>5100</v>
      </c>
      <c r="D229" s="92" t="s">
        <v>5126</v>
      </c>
      <c r="E229" s="91">
        <v>1102010372</v>
      </c>
      <c r="F229" s="58" t="s">
        <v>5295</v>
      </c>
      <c r="G229" s="58" t="s">
        <v>5295</v>
      </c>
      <c r="H229" s="58" t="s">
        <v>5294</v>
      </c>
      <c r="I229" s="58" t="s">
        <v>5294</v>
      </c>
      <c r="J229" s="58" t="s">
        <v>9</v>
      </c>
      <c r="K229" s="49" t="s">
        <v>5461</v>
      </c>
      <c r="P229" s="58"/>
    </row>
    <row r="230" spans="1:16">
      <c r="A230" s="90" t="s">
        <v>5095</v>
      </c>
      <c r="B230" s="90">
        <v>2820042360</v>
      </c>
      <c r="C230" s="73" t="s">
        <v>5100</v>
      </c>
      <c r="D230" s="92" t="s">
        <v>5131</v>
      </c>
      <c r="E230" s="91">
        <v>1102010348</v>
      </c>
      <c r="F230" s="58" t="s">
        <v>5295</v>
      </c>
      <c r="G230" s="58" t="s">
        <v>5295</v>
      </c>
      <c r="H230" s="58" t="s">
        <v>5294</v>
      </c>
      <c r="I230" s="58" t="s">
        <v>5294</v>
      </c>
      <c r="J230" s="58" t="s">
        <v>9</v>
      </c>
      <c r="K230" s="49" t="s">
        <v>5462</v>
      </c>
      <c r="P230" s="58"/>
    </row>
    <row r="231" spans="1:16">
      <c r="A231" s="90" t="s">
        <v>5095</v>
      </c>
      <c r="B231" s="90">
        <v>2820042380</v>
      </c>
      <c r="C231" s="73" t="s">
        <v>5100</v>
      </c>
      <c r="D231" s="92" t="s">
        <v>5177</v>
      </c>
      <c r="E231" s="91">
        <v>1102020306</v>
      </c>
      <c r="F231" s="58" t="s">
        <v>5295</v>
      </c>
      <c r="G231" s="58" t="s">
        <v>5295</v>
      </c>
      <c r="H231" s="58" t="s">
        <v>5294</v>
      </c>
      <c r="I231" s="58" t="s">
        <v>5294</v>
      </c>
      <c r="J231" s="58" t="s">
        <v>9</v>
      </c>
      <c r="K231" s="49" t="s">
        <v>5463</v>
      </c>
      <c r="P231" s="58"/>
    </row>
    <row r="232" spans="1:16">
      <c r="A232" s="90" t="s">
        <v>5095</v>
      </c>
      <c r="B232" s="90">
        <v>2820042400</v>
      </c>
      <c r="C232" s="73" t="s">
        <v>5100</v>
      </c>
      <c r="D232" s="92" t="s">
        <v>5128</v>
      </c>
      <c r="E232" s="91">
        <v>1102010321</v>
      </c>
      <c r="F232" s="58" t="s">
        <v>5295</v>
      </c>
      <c r="G232" s="58" t="s">
        <v>5295</v>
      </c>
      <c r="H232" s="58" t="s">
        <v>5294</v>
      </c>
      <c r="I232" s="58" t="s">
        <v>5294</v>
      </c>
      <c r="J232" s="58" t="s">
        <v>9</v>
      </c>
      <c r="K232" s="49" t="s">
        <v>5464</v>
      </c>
      <c r="P232" s="58"/>
    </row>
    <row r="233" spans="1:16">
      <c r="A233" s="90" t="s">
        <v>5095</v>
      </c>
      <c r="B233" s="90">
        <v>2820042410</v>
      </c>
      <c r="C233" s="73" t="s">
        <v>5100</v>
      </c>
      <c r="D233" s="92" t="s">
        <v>5129</v>
      </c>
      <c r="E233" s="91">
        <v>1102010322</v>
      </c>
      <c r="F233" s="58" t="s">
        <v>5295</v>
      </c>
      <c r="G233" s="58" t="s">
        <v>5295</v>
      </c>
      <c r="H233" s="58" t="s">
        <v>5294</v>
      </c>
      <c r="I233" s="58" t="s">
        <v>5294</v>
      </c>
      <c r="J233" s="58" t="s">
        <v>9</v>
      </c>
      <c r="K233" s="49" t="s">
        <v>5465</v>
      </c>
      <c r="P233" s="58"/>
    </row>
    <row r="234" spans="1:16">
      <c r="A234" s="90" t="s">
        <v>5095</v>
      </c>
      <c r="B234" s="90">
        <v>2820042430</v>
      </c>
      <c r="C234" s="73" t="s">
        <v>5100</v>
      </c>
      <c r="D234" s="92" t="s">
        <v>5130</v>
      </c>
      <c r="E234" s="91">
        <v>1102010323</v>
      </c>
      <c r="F234" s="58" t="s">
        <v>5295</v>
      </c>
      <c r="G234" s="58" t="s">
        <v>5295</v>
      </c>
      <c r="H234" s="58" t="s">
        <v>5294</v>
      </c>
      <c r="I234" s="58" t="s">
        <v>5294</v>
      </c>
      <c r="J234" s="58" t="s">
        <v>9</v>
      </c>
      <c r="K234" s="49" t="s">
        <v>5466</v>
      </c>
      <c r="P234" s="58"/>
    </row>
    <row r="235" spans="1:16">
      <c r="A235" s="90" t="s">
        <v>5095</v>
      </c>
      <c r="B235" s="90">
        <v>2820042460</v>
      </c>
      <c r="C235" s="73" t="s">
        <v>5100</v>
      </c>
      <c r="D235" s="92" t="s">
        <v>5127</v>
      </c>
      <c r="E235" s="91">
        <v>1102010326</v>
      </c>
      <c r="F235" s="58" t="s">
        <v>5295</v>
      </c>
      <c r="G235" s="58" t="s">
        <v>5295</v>
      </c>
      <c r="H235" s="58" t="s">
        <v>5294</v>
      </c>
      <c r="I235" s="58" t="s">
        <v>5294</v>
      </c>
      <c r="J235" s="58" t="s">
        <v>9</v>
      </c>
      <c r="K235" s="49" t="s">
        <v>5467</v>
      </c>
      <c r="P235" s="58"/>
    </row>
    <row r="236" spans="1:16">
      <c r="A236" s="90" t="s">
        <v>5095</v>
      </c>
      <c r="B236" s="90">
        <v>2820042470</v>
      </c>
      <c r="C236" s="73" t="s">
        <v>5100</v>
      </c>
      <c r="D236" s="92" t="s">
        <v>5126</v>
      </c>
      <c r="E236" s="91">
        <v>1102010324</v>
      </c>
      <c r="F236" s="58" t="s">
        <v>5295</v>
      </c>
      <c r="G236" s="58" t="s">
        <v>5295</v>
      </c>
      <c r="H236" s="58" t="s">
        <v>5294</v>
      </c>
      <c r="I236" s="58" t="s">
        <v>5294</v>
      </c>
      <c r="J236" s="58" t="s">
        <v>9</v>
      </c>
      <c r="K236" s="49" t="s">
        <v>5468</v>
      </c>
      <c r="P236" s="58"/>
    </row>
    <row r="237" spans="1:16">
      <c r="A237" s="90" t="s">
        <v>5095</v>
      </c>
      <c r="B237" s="90">
        <v>2820042490</v>
      </c>
      <c r="C237" s="73" t="s">
        <v>5100</v>
      </c>
      <c r="D237" s="92" t="s">
        <v>5131</v>
      </c>
      <c r="E237" s="91" t="s">
        <v>1469</v>
      </c>
      <c r="F237" s="58" t="s">
        <v>5295</v>
      </c>
      <c r="G237" s="58" t="s">
        <v>5295</v>
      </c>
      <c r="H237" s="58" t="s">
        <v>5294</v>
      </c>
      <c r="I237" s="58" t="s">
        <v>5294</v>
      </c>
      <c r="J237" s="58" t="s">
        <v>9</v>
      </c>
      <c r="K237" s="49" t="s">
        <v>5469</v>
      </c>
      <c r="P237" s="58"/>
    </row>
    <row r="238" spans="1:16">
      <c r="A238" s="90" t="s">
        <v>5095</v>
      </c>
      <c r="B238" s="90">
        <v>2820042500</v>
      </c>
      <c r="C238" s="73" t="s">
        <v>5100</v>
      </c>
      <c r="D238" s="92" t="s">
        <v>5128</v>
      </c>
      <c r="E238" s="91">
        <v>1102010385</v>
      </c>
      <c r="F238" s="58" t="s">
        <v>5295</v>
      </c>
      <c r="G238" s="58" t="s">
        <v>5295</v>
      </c>
      <c r="H238" s="58" t="s">
        <v>5294</v>
      </c>
      <c r="I238" s="58" t="s">
        <v>5294</v>
      </c>
      <c r="J238" s="58" t="s">
        <v>9</v>
      </c>
      <c r="K238" s="49" t="s">
        <v>5470</v>
      </c>
      <c r="P238" s="58"/>
    </row>
    <row r="239" spans="1:16">
      <c r="A239" s="90" t="s">
        <v>5095</v>
      </c>
      <c r="B239" s="90">
        <v>2820042510</v>
      </c>
      <c r="C239" s="73" t="s">
        <v>5100</v>
      </c>
      <c r="D239" s="92" t="s">
        <v>5129</v>
      </c>
      <c r="E239" s="91">
        <v>1102010387</v>
      </c>
      <c r="F239" s="58" t="s">
        <v>5295</v>
      </c>
      <c r="G239" s="58" t="s">
        <v>5295</v>
      </c>
      <c r="H239" s="58" t="s">
        <v>5294</v>
      </c>
      <c r="I239" s="58" t="s">
        <v>5294</v>
      </c>
      <c r="J239" s="58" t="s">
        <v>9</v>
      </c>
      <c r="K239" s="49" t="s">
        <v>5471</v>
      </c>
      <c r="P239" s="58"/>
    </row>
    <row r="240" spans="1:16">
      <c r="A240" s="90" t="s">
        <v>5095</v>
      </c>
      <c r="B240" s="90">
        <v>2820042520</v>
      </c>
      <c r="C240" s="73" t="s">
        <v>5100</v>
      </c>
      <c r="D240" s="92" t="s">
        <v>5130</v>
      </c>
      <c r="E240" s="91">
        <v>1102010386</v>
      </c>
      <c r="F240" s="58" t="s">
        <v>5295</v>
      </c>
      <c r="G240" s="58" t="s">
        <v>5295</v>
      </c>
      <c r="H240" s="58" t="s">
        <v>5294</v>
      </c>
      <c r="I240" s="58" t="s">
        <v>5294</v>
      </c>
      <c r="J240" s="58" t="s">
        <v>9</v>
      </c>
      <c r="K240" s="49" t="s">
        <v>5472</v>
      </c>
      <c r="P240" s="58"/>
    </row>
    <row r="241" spans="1:16">
      <c r="A241" s="90" t="s">
        <v>5095</v>
      </c>
      <c r="B241" s="90">
        <v>2820042550</v>
      </c>
      <c r="C241" s="73" t="s">
        <v>5100</v>
      </c>
      <c r="D241" s="92" t="s">
        <v>5127</v>
      </c>
      <c r="E241" s="91">
        <v>1102010379</v>
      </c>
      <c r="F241" s="58" t="s">
        <v>5295</v>
      </c>
      <c r="G241" s="58" t="s">
        <v>5295</v>
      </c>
      <c r="H241" s="58" t="s">
        <v>5294</v>
      </c>
      <c r="I241" s="58" t="s">
        <v>5294</v>
      </c>
      <c r="J241" s="58" t="s">
        <v>9</v>
      </c>
      <c r="K241" s="49" t="s">
        <v>5473</v>
      </c>
      <c r="P241" s="58"/>
    </row>
    <row r="242" spans="1:16">
      <c r="A242" s="90" t="s">
        <v>5095</v>
      </c>
      <c r="B242" s="90">
        <v>2820042560</v>
      </c>
      <c r="C242" s="73" t="s">
        <v>5100</v>
      </c>
      <c r="D242" s="92" t="s">
        <v>5126</v>
      </c>
      <c r="E242" s="91">
        <v>1102010380</v>
      </c>
      <c r="F242" s="58" t="s">
        <v>5295</v>
      </c>
      <c r="G242" s="58" t="s">
        <v>5295</v>
      </c>
      <c r="H242" s="58" t="s">
        <v>5294</v>
      </c>
      <c r="I242" s="58" t="s">
        <v>5294</v>
      </c>
      <c r="J242" s="58" t="s">
        <v>9</v>
      </c>
      <c r="K242" s="49" t="s">
        <v>5474</v>
      </c>
      <c r="P242" s="58"/>
    </row>
    <row r="243" spans="1:16">
      <c r="A243" s="90" t="s">
        <v>5095</v>
      </c>
      <c r="B243" s="90">
        <v>2820042570</v>
      </c>
      <c r="C243" s="73" t="s">
        <v>5100</v>
      </c>
      <c r="D243" s="92" t="s">
        <v>5177</v>
      </c>
      <c r="E243" s="91">
        <v>1102020317</v>
      </c>
      <c r="F243" s="58" t="s">
        <v>5295</v>
      </c>
      <c r="G243" s="58" t="s">
        <v>5295</v>
      </c>
      <c r="H243" s="58" t="s">
        <v>5294</v>
      </c>
      <c r="I243" s="58" t="s">
        <v>5294</v>
      </c>
      <c r="J243" s="58" t="s">
        <v>9</v>
      </c>
      <c r="K243" s="49" t="s">
        <v>5475</v>
      </c>
      <c r="P243" s="58"/>
    </row>
    <row r="244" spans="1:16">
      <c r="A244" s="90" t="s">
        <v>5095</v>
      </c>
      <c r="B244" s="90">
        <v>2820042610</v>
      </c>
      <c r="C244" s="73" t="s">
        <v>5100</v>
      </c>
      <c r="D244" s="92" t="s">
        <v>5177</v>
      </c>
      <c r="E244" s="91">
        <v>1102020310</v>
      </c>
      <c r="F244" s="58" t="s">
        <v>5295</v>
      </c>
      <c r="G244" s="58" t="s">
        <v>5295</v>
      </c>
      <c r="H244" s="58" t="s">
        <v>5294</v>
      </c>
      <c r="I244" s="58" t="s">
        <v>5294</v>
      </c>
      <c r="J244" s="58" t="s">
        <v>9</v>
      </c>
      <c r="K244" s="49" t="s">
        <v>5476</v>
      </c>
      <c r="P244" s="58"/>
    </row>
    <row r="245" spans="1:16">
      <c r="A245" s="90" t="s">
        <v>5095</v>
      </c>
      <c r="B245" s="90">
        <v>2820042620</v>
      </c>
      <c r="C245" s="73" t="s">
        <v>5100</v>
      </c>
      <c r="D245" s="92" t="s">
        <v>5128</v>
      </c>
      <c r="E245" s="91">
        <v>1102010354</v>
      </c>
      <c r="F245" s="58" t="s">
        <v>5295</v>
      </c>
      <c r="G245" s="58" t="s">
        <v>5295</v>
      </c>
      <c r="H245" s="58" t="s">
        <v>5294</v>
      </c>
      <c r="I245" s="58" t="s">
        <v>5294</v>
      </c>
      <c r="J245" s="58" t="s">
        <v>9</v>
      </c>
      <c r="K245" s="49" t="s">
        <v>5477</v>
      </c>
      <c r="P245" s="58"/>
    </row>
    <row r="246" spans="1:16">
      <c r="A246" s="90" t="s">
        <v>5095</v>
      </c>
      <c r="B246" s="90">
        <v>2820042630</v>
      </c>
      <c r="C246" s="73" t="s">
        <v>5100</v>
      </c>
      <c r="D246" s="92" t="s">
        <v>5131</v>
      </c>
      <c r="E246" s="91">
        <v>1102010357</v>
      </c>
      <c r="F246" s="58" t="s">
        <v>5295</v>
      </c>
      <c r="G246" s="58" t="s">
        <v>5295</v>
      </c>
      <c r="H246" s="58" t="s">
        <v>5294</v>
      </c>
      <c r="I246" s="58" t="s">
        <v>5294</v>
      </c>
      <c r="J246" s="58" t="s">
        <v>9</v>
      </c>
      <c r="K246" s="49" t="s">
        <v>5478</v>
      </c>
      <c r="P246" s="58"/>
    </row>
    <row r="247" spans="1:16">
      <c r="A247" s="90" t="s">
        <v>5095</v>
      </c>
      <c r="B247" s="90">
        <v>2820042640</v>
      </c>
      <c r="C247" s="73" t="s">
        <v>5100</v>
      </c>
      <c r="D247" s="92" t="s">
        <v>5253</v>
      </c>
      <c r="E247" s="91" t="s">
        <v>1476</v>
      </c>
      <c r="F247" s="58" t="s">
        <v>5295</v>
      </c>
      <c r="G247" s="58" t="s">
        <v>5295</v>
      </c>
      <c r="H247" s="58" t="s">
        <v>5294</v>
      </c>
      <c r="I247" s="58" t="s">
        <v>5294</v>
      </c>
      <c r="J247" s="58" t="s">
        <v>9</v>
      </c>
      <c r="K247" s="49" t="s">
        <v>5479</v>
      </c>
      <c r="P247" s="58"/>
    </row>
    <row r="248" spans="1:16">
      <c r="A248" s="90" t="s">
        <v>5095</v>
      </c>
      <c r="B248" s="90">
        <v>2820042660</v>
      </c>
      <c r="C248" s="73" t="s">
        <v>5100</v>
      </c>
      <c r="D248" s="92" t="s">
        <v>5130</v>
      </c>
      <c r="E248" s="91">
        <v>1102010352</v>
      </c>
      <c r="F248" s="58" t="s">
        <v>5295</v>
      </c>
      <c r="G248" s="58" t="s">
        <v>5295</v>
      </c>
      <c r="H248" s="58" t="s">
        <v>5294</v>
      </c>
      <c r="I248" s="58" t="s">
        <v>5294</v>
      </c>
      <c r="J248" s="58" t="s">
        <v>9</v>
      </c>
      <c r="K248" s="49" t="s">
        <v>5480</v>
      </c>
      <c r="P248" s="58"/>
    </row>
    <row r="249" spans="1:16">
      <c r="A249" s="90" t="s">
        <v>5095</v>
      </c>
      <c r="B249" s="90">
        <v>2820042700</v>
      </c>
      <c r="C249" s="73" t="s">
        <v>5100</v>
      </c>
      <c r="D249" s="92" t="s">
        <v>5127</v>
      </c>
      <c r="E249" s="91">
        <v>1102010356</v>
      </c>
      <c r="F249" s="58" t="s">
        <v>5295</v>
      </c>
      <c r="G249" s="58" t="s">
        <v>5295</v>
      </c>
      <c r="H249" s="58" t="s">
        <v>5294</v>
      </c>
      <c r="I249" s="58" t="s">
        <v>5294</v>
      </c>
      <c r="J249" s="58" t="s">
        <v>9</v>
      </c>
      <c r="K249" s="49" t="s">
        <v>5481</v>
      </c>
      <c r="P249" s="58"/>
    </row>
    <row r="250" spans="1:16">
      <c r="A250" s="90" t="s">
        <v>5095</v>
      </c>
      <c r="B250" s="90">
        <v>2820042710</v>
      </c>
      <c r="C250" s="73" t="s">
        <v>5100</v>
      </c>
      <c r="D250" s="92" t="s">
        <v>5126</v>
      </c>
      <c r="E250" s="91">
        <v>1102010355</v>
      </c>
      <c r="F250" s="58" t="s">
        <v>5295</v>
      </c>
      <c r="G250" s="58" t="s">
        <v>5295</v>
      </c>
      <c r="H250" s="58" t="s">
        <v>5294</v>
      </c>
      <c r="I250" s="58" t="s">
        <v>5294</v>
      </c>
      <c r="J250" s="58" t="s">
        <v>9</v>
      </c>
      <c r="K250" s="49" t="s">
        <v>5482</v>
      </c>
      <c r="P250" s="58"/>
    </row>
    <row r="251" spans="1:16">
      <c r="A251" s="90" t="s">
        <v>5095</v>
      </c>
      <c r="B251" s="90">
        <v>2820042720</v>
      </c>
      <c r="C251" s="73" t="s">
        <v>5100</v>
      </c>
      <c r="D251" s="92" t="s">
        <v>5131</v>
      </c>
      <c r="E251" s="91" t="s">
        <v>1458</v>
      </c>
      <c r="F251" s="58" t="s">
        <v>5295</v>
      </c>
      <c r="G251" s="58" t="s">
        <v>5295</v>
      </c>
      <c r="H251" s="58" t="s">
        <v>5294</v>
      </c>
      <c r="I251" s="58" t="s">
        <v>5294</v>
      </c>
      <c r="J251" s="58" t="s">
        <v>9</v>
      </c>
      <c r="K251" s="49" t="s">
        <v>5483</v>
      </c>
      <c r="P251" s="58"/>
    </row>
    <row r="252" spans="1:16">
      <c r="A252" s="90" t="s">
        <v>5095</v>
      </c>
      <c r="B252" s="90">
        <v>2820042740</v>
      </c>
      <c r="C252" s="73" t="s">
        <v>5100</v>
      </c>
      <c r="D252" s="92" t="s">
        <v>5177</v>
      </c>
      <c r="E252" s="91">
        <v>1102020319</v>
      </c>
      <c r="F252" s="58" t="s">
        <v>5295</v>
      </c>
      <c r="G252" s="58" t="s">
        <v>5295</v>
      </c>
      <c r="H252" s="58" t="s">
        <v>5294</v>
      </c>
      <c r="I252" s="58" t="s">
        <v>5294</v>
      </c>
      <c r="J252" s="58" t="s">
        <v>9</v>
      </c>
      <c r="K252" s="49" t="s">
        <v>5484</v>
      </c>
      <c r="P252" s="58"/>
    </row>
    <row r="253" spans="1:16">
      <c r="A253" s="90" t="s">
        <v>5095</v>
      </c>
      <c r="B253" s="90">
        <v>2820042760</v>
      </c>
      <c r="C253" s="73" t="s">
        <v>5100</v>
      </c>
      <c r="D253" s="92" t="s">
        <v>5128</v>
      </c>
      <c r="E253" s="91">
        <v>1102010397</v>
      </c>
      <c r="F253" s="58" t="s">
        <v>5295</v>
      </c>
      <c r="G253" s="58" t="s">
        <v>5295</v>
      </c>
      <c r="H253" s="58" t="s">
        <v>5294</v>
      </c>
      <c r="I253" s="58" t="s">
        <v>5294</v>
      </c>
      <c r="J253" s="58" t="s">
        <v>9</v>
      </c>
      <c r="K253" s="49" t="s">
        <v>5485</v>
      </c>
      <c r="P253" s="58"/>
    </row>
    <row r="254" spans="1:16">
      <c r="A254" s="90" t="s">
        <v>5095</v>
      </c>
      <c r="B254" s="90">
        <v>2820042770</v>
      </c>
      <c r="C254" s="73" t="s">
        <v>5100</v>
      </c>
      <c r="D254" s="92" t="s">
        <v>5129</v>
      </c>
      <c r="E254" s="91">
        <v>1102010398</v>
      </c>
      <c r="F254" s="58" t="s">
        <v>5295</v>
      </c>
      <c r="G254" s="58" t="s">
        <v>5295</v>
      </c>
      <c r="H254" s="58" t="s">
        <v>5294</v>
      </c>
      <c r="I254" s="58" t="s">
        <v>5294</v>
      </c>
      <c r="J254" s="58" t="s">
        <v>9</v>
      </c>
      <c r="K254" s="49" t="s">
        <v>5486</v>
      </c>
      <c r="P254" s="58"/>
    </row>
    <row r="255" spans="1:16">
      <c r="A255" s="90" t="s">
        <v>5095</v>
      </c>
      <c r="B255" s="90">
        <v>2820042790</v>
      </c>
      <c r="C255" s="73" t="s">
        <v>5100</v>
      </c>
      <c r="D255" s="92" t="s">
        <v>5130</v>
      </c>
      <c r="E255" s="91" t="s">
        <v>1453</v>
      </c>
      <c r="F255" s="58" t="s">
        <v>5295</v>
      </c>
      <c r="G255" s="58" t="s">
        <v>5295</v>
      </c>
      <c r="H255" s="58" t="s">
        <v>5294</v>
      </c>
      <c r="I255" s="58" t="s">
        <v>5294</v>
      </c>
      <c r="J255" s="58" t="s">
        <v>9</v>
      </c>
      <c r="K255" s="49" t="s">
        <v>5487</v>
      </c>
      <c r="P255" s="58"/>
    </row>
    <row r="256" spans="1:16">
      <c r="A256" s="90" t="s">
        <v>5095</v>
      </c>
      <c r="B256" s="90">
        <v>2820042820</v>
      </c>
      <c r="C256" s="73" t="s">
        <v>5100</v>
      </c>
      <c r="D256" s="92" t="s">
        <v>5127</v>
      </c>
      <c r="E256" s="91" t="s">
        <v>1456</v>
      </c>
      <c r="F256" s="58" t="s">
        <v>5295</v>
      </c>
      <c r="G256" s="58" t="s">
        <v>5295</v>
      </c>
      <c r="H256" s="58" t="s">
        <v>5294</v>
      </c>
      <c r="I256" s="58" t="s">
        <v>5294</v>
      </c>
      <c r="J256" s="58" t="s">
        <v>9</v>
      </c>
      <c r="K256" s="49" t="s">
        <v>5488</v>
      </c>
      <c r="P256" s="58"/>
    </row>
    <row r="257" spans="1:16">
      <c r="A257" s="90" t="s">
        <v>5095</v>
      </c>
      <c r="B257" s="90">
        <v>2820042830</v>
      </c>
      <c r="C257" s="73" t="s">
        <v>5100</v>
      </c>
      <c r="D257" s="92" t="s">
        <v>5126</v>
      </c>
      <c r="E257" s="91" t="s">
        <v>1457</v>
      </c>
      <c r="F257" s="58" t="s">
        <v>5295</v>
      </c>
      <c r="G257" s="58" t="s">
        <v>5295</v>
      </c>
      <c r="H257" s="58" t="s">
        <v>5294</v>
      </c>
      <c r="I257" s="58" t="s">
        <v>5294</v>
      </c>
      <c r="J257" s="58" t="s">
        <v>9</v>
      </c>
      <c r="K257" s="49" t="s">
        <v>5489</v>
      </c>
      <c r="P257" s="58"/>
    </row>
    <row r="258" spans="1:16">
      <c r="A258" s="90" t="s">
        <v>5095</v>
      </c>
      <c r="B258" s="90">
        <v>2820045040</v>
      </c>
      <c r="C258" s="73" t="s">
        <v>5100</v>
      </c>
      <c r="D258" s="92" t="s">
        <v>5133</v>
      </c>
      <c r="E258" s="91" t="s">
        <v>1477</v>
      </c>
      <c r="F258" s="58" t="s">
        <v>5295</v>
      </c>
      <c r="G258" s="58" t="s">
        <v>5295</v>
      </c>
      <c r="H258" s="58" t="s">
        <v>5294</v>
      </c>
      <c r="I258" s="58" t="s">
        <v>5294</v>
      </c>
      <c r="J258" s="58" t="s">
        <v>9</v>
      </c>
      <c r="K258" s="49" t="s">
        <v>5490</v>
      </c>
      <c r="P258" s="58"/>
    </row>
    <row r="259" spans="1:16">
      <c r="A259" s="90" t="s">
        <v>5095</v>
      </c>
      <c r="B259" s="90">
        <v>2820050301</v>
      </c>
      <c r="C259" s="73" t="s">
        <v>5098</v>
      </c>
      <c r="D259" s="92" t="s">
        <v>5112</v>
      </c>
      <c r="E259" s="91">
        <v>1102010101</v>
      </c>
      <c r="F259" s="58" t="s">
        <v>5295</v>
      </c>
      <c r="G259" s="58" t="s">
        <v>5295</v>
      </c>
      <c r="H259" s="58" t="s">
        <v>5294</v>
      </c>
      <c r="I259" s="58" t="s">
        <v>5294</v>
      </c>
      <c r="J259" s="58" t="s">
        <v>9</v>
      </c>
      <c r="K259" s="49" t="s">
        <v>5491</v>
      </c>
      <c r="P259" s="58"/>
    </row>
    <row r="260" spans="1:16">
      <c r="A260" s="90" t="s">
        <v>5095</v>
      </c>
      <c r="B260" s="90">
        <v>2820050302</v>
      </c>
      <c r="C260" s="73" t="s">
        <v>5098</v>
      </c>
      <c r="D260" s="92" t="s">
        <v>5326</v>
      </c>
      <c r="E260" s="91">
        <v>1102010103</v>
      </c>
      <c r="F260" s="58" t="s">
        <v>5295</v>
      </c>
      <c r="G260" s="58" t="s">
        <v>5295</v>
      </c>
      <c r="H260" s="58" t="s">
        <v>5294</v>
      </c>
      <c r="I260" s="58" t="s">
        <v>5294</v>
      </c>
      <c r="J260" s="58" t="s">
        <v>9</v>
      </c>
      <c r="K260" s="49" t="s">
        <v>5491</v>
      </c>
      <c r="P260" s="58"/>
    </row>
    <row r="261" spans="1:16">
      <c r="A261" s="90" t="s">
        <v>5095</v>
      </c>
      <c r="B261" s="90">
        <v>2820050303</v>
      </c>
      <c r="C261" s="73" t="s">
        <v>5098</v>
      </c>
      <c r="D261" s="92" t="s">
        <v>5327</v>
      </c>
      <c r="E261" s="91">
        <v>1102010104</v>
      </c>
      <c r="F261" s="58" t="s">
        <v>5295</v>
      </c>
      <c r="G261" s="58" t="s">
        <v>5295</v>
      </c>
      <c r="H261" s="58" t="s">
        <v>5294</v>
      </c>
      <c r="I261" s="58" t="s">
        <v>5294</v>
      </c>
      <c r="J261" s="58" t="s">
        <v>9</v>
      </c>
      <c r="K261" s="49" t="s">
        <v>5491</v>
      </c>
      <c r="P261" s="58"/>
    </row>
    <row r="262" spans="1:16">
      <c r="A262" s="90" t="s">
        <v>5095</v>
      </c>
      <c r="B262" s="90">
        <v>2820050304</v>
      </c>
      <c r="C262" s="73" t="s">
        <v>5098</v>
      </c>
      <c r="D262" s="92" t="s">
        <v>5328</v>
      </c>
      <c r="E262" s="91">
        <v>1102010106</v>
      </c>
      <c r="F262" s="58" t="s">
        <v>5295</v>
      </c>
      <c r="G262" s="58" t="s">
        <v>5295</v>
      </c>
      <c r="H262" s="58" t="s">
        <v>5294</v>
      </c>
      <c r="I262" s="58" t="s">
        <v>5294</v>
      </c>
      <c r="J262" s="58" t="s">
        <v>9</v>
      </c>
      <c r="K262" s="49" t="s">
        <v>5491</v>
      </c>
      <c r="P262" s="58"/>
    </row>
    <row r="263" spans="1:16">
      <c r="A263" s="90" t="s">
        <v>5095</v>
      </c>
      <c r="B263" s="90">
        <v>2820050305</v>
      </c>
      <c r="C263" s="73" t="s">
        <v>5098</v>
      </c>
      <c r="D263" s="92" t="s">
        <v>5204</v>
      </c>
      <c r="E263" s="91">
        <v>1102010107</v>
      </c>
      <c r="F263" s="58" t="s">
        <v>5295</v>
      </c>
      <c r="G263" s="58" t="s">
        <v>5295</v>
      </c>
      <c r="H263" s="58" t="s">
        <v>5294</v>
      </c>
      <c r="I263" s="58" t="s">
        <v>5294</v>
      </c>
      <c r="J263" s="58" t="s">
        <v>9</v>
      </c>
      <c r="K263" s="49" t="s">
        <v>5491</v>
      </c>
      <c r="P263" s="58"/>
    </row>
    <row r="264" spans="1:16">
      <c r="A264" s="90" t="s">
        <v>5095</v>
      </c>
      <c r="B264" s="90">
        <v>2820050306</v>
      </c>
      <c r="C264" s="73" t="s">
        <v>5098</v>
      </c>
      <c r="D264" s="92" t="s">
        <v>5205</v>
      </c>
      <c r="E264" s="91">
        <v>1102010108</v>
      </c>
      <c r="F264" s="58" t="s">
        <v>5295</v>
      </c>
      <c r="G264" s="58" t="s">
        <v>5295</v>
      </c>
      <c r="H264" s="58" t="s">
        <v>5294</v>
      </c>
      <c r="I264" s="58" t="s">
        <v>5294</v>
      </c>
      <c r="J264" s="58" t="s">
        <v>9</v>
      </c>
      <c r="K264" s="49" t="s">
        <v>5491</v>
      </c>
      <c r="P264" s="58"/>
    </row>
    <row r="265" spans="1:16">
      <c r="A265" s="90" t="s">
        <v>5095</v>
      </c>
      <c r="B265" s="90">
        <v>2820050307</v>
      </c>
      <c r="C265" s="73" t="s">
        <v>5098</v>
      </c>
      <c r="D265" s="92" t="s">
        <v>5206</v>
      </c>
      <c r="E265" s="91">
        <v>1102010110</v>
      </c>
      <c r="F265" s="58" t="s">
        <v>5295</v>
      </c>
      <c r="G265" s="58" t="s">
        <v>5295</v>
      </c>
      <c r="H265" s="58" t="s">
        <v>5294</v>
      </c>
      <c r="I265" s="58" t="s">
        <v>5294</v>
      </c>
      <c r="J265" s="58" t="s">
        <v>9</v>
      </c>
      <c r="K265" s="49" t="s">
        <v>5491</v>
      </c>
      <c r="P265" s="58"/>
    </row>
    <row r="266" spans="1:16">
      <c r="A266" s="90" t="s">
        <v>5095</v>
      </c>
      <c r="B266" s="90">
        <v>2820050308</v>
      </c>
      <c r="C266" s="73" t="s">
        <v>5098</v>
      </c>
      <c r="D266" s="92" t="s">
        <v>5207</v>
      </c>
      <c r="E266" s="91">
        <v>1102010111</v>
      </c>
      <c r="F266" s="58" t="s">
        <v>5295</v>
      </c>
      <c r="G266" s="58" t="s">
        <v>5295</v>
      </c>
      <c r="H266" s="58" t="s">
        <v>5294</v>
      </c>
      <c r="I266" s="58" t="s">
        <v>5294</v>
      </c>
      <c r="J266" s="58" t="s">
        <v>9</v>
      </c>
      <c r="K266" s="49" t="s">
        <v>5491</v>
      </c>
      <c r="P266" s="58"/>
    </row>
    <row r="267" spans="1:16">
      <c r="A267" s="90" t="s">
        <v>5095</v>
      </c>
      <c r="B267" s="90">
        <v>2820050309</v>
      </c>
      <c r="C267" s="73" t="s">
        <v>5098</v>
      </c>
      <c r="D267" s="92" t="s">
        <v>5208</v>
      </c>
      <c r="E267" s="91">
        <v>1102010112</v>
      </c>
      <c r="F267" s="58" t="s">
        <v>5295</v>
      </c>
      <c r="G267" s="58" t="s">
        <v>5295</v>
      </c>
      <c r="H267" s="58" t="s">
        <v>5294</v>
      </c>
      <c r="I267" s="58" t="s">
        <v>5294</v>
      </c>
      <c r="J267" s="58" t="s">
        <v>9</v>
      </c>
      <c r="K267" s="49" t="s">
        <v>5491</v>
      </c>
      <c r="P267" s="58"/>
    </row>
    <row r="268" spans="1:16">
      <c r="A268" s="90" t="s">
        <v>5095</v>
      </c>
      <c r="B268" s="90">
        <v>2820050310</v>
      </c>
      <c r="C268" s="73" t="s">
        <v>5098</v>
      </c>
      <c r="D268" s="92" t="s">
        <v>5209</v>
      </c>
      <c r="E268" s="91">
        <v>1102010113</v>
      </c>
      <c r="F268" s="58" t="s">
        <v>5295</v>
      </c>
      <c r="G268" s="58" t="s">
        <v>5295</v>
      </c>
      <c r="H268" s="58" t="s">
        <v>5294</v>
      </c>
      <c r="I268" s="58" t="s">
        <v>5294</v>
      </c>
      <c r="J268" s="58" t="s">
        <v>9</v>
      </c>
      <c r="K268" s="49" t="s">
        <v>5491</v>
      </c>
      <c r="P268" s="58"/>
    </row>
    <row r="269" spans="1:16">
      <c r="A269" s="90" t="s">
        <v>5095</v>
      </c>
      <c r="B269" s="90">
        <v>2820050311</v>
      </c>
      <c r="C269" s="73" t="s">
        <v>5098</v>
      </c>
      <c r="D269" s="92" t="s">
        <v>5210</v>
      </c>
      <c r="E269" s="91">
        <v>1102010114</v>
      </c>
      <c r="F269" s="58" t="s">
        <v>5295</v>
      </c>
      <c r="G269" s="58" t="s">
        <v>5295</v>
      </c>
      <c r="H269" s="58" t="s">
        <v>5294</v>
      </c>
      <c r="I269" s="58" t="s">
        <v>5294</v>
      </c>
      <c r="J269" s="58" t="s">
        <v>9</v>
      </c>
      <c r="K269" s="49" t="s">
        <v>5491</v>
      </c>
      <c r="P269" s="58"/>
    </row>
    <row r="270" spans="1:16">
      <c r="A270" s="90" t="s">
        <v>5095</v>
      </c>
      <c r="B270" s="90">
        <v>2820050312</v>
      </c>
      <c r="C270" s="73" t="s">
        <v>5098</v>
      </c>
      <c r="D270" s="92" t="s">
        <v>5211</v>
      </c>
      <c r="E270" s="91">
        <v>1102010115</v>
      </c>
      <c r="F270" s="58" t="s">
        <v>5295</v>
      </c>
      <c r="G270" s="58" t="s">
        <v>5295</v>
      </c>
      <c r="H270" s="58" t="s">
        <v>5294</v>
      </c>
      <c r="I270" s="58" t="s">
        <v>5294</v>
      </c>
      <c r="J270" s="58" t="s">
        <v>9</v>
      </c>
      <c r="K270" s="49" t="s">
        <v>5491</v>
      </c>
      <c r="P270" s="58"/>
    </row>
    <row r="271" spans="1:16">
      <c r="A271" s="90" t="s">
        <v>5095</v>
      </c>
      <c r="B271" s="90">
        <v>2820050313</v>
      </c>
      <c r="C271" s="73" t="s">
        <v>5098</v>
      </c>
      <c r="D271" s="92" t="s">
        <v>5212</v>
      </c>
      <c r="E271" s="91">
        <v>1102010116</v>
      </c>
      <c r="F271" s="58" t="s">
        <v>5295</v>
      </c>
      <c r="G271" s="58" t="s">
        <v>5295</v>
      </c>
      <c r="H271" s="58" t="s">
        <v>5294</v>
      </c>
      <c r="I271" s="58" t="s">
        <v>5294</v>
      </c>
      <c r="J271" s="58" t="s">
        <v>9</v>
      </c>
      <c r="K271" s="49" t="s">
        <v>5491</v>
      </c>
      <c r="P271" s="58"/>
    </row>
    <row r="272" spans="1:16">
      <c r="A272" s="90" t="s">
        <v>5095</v>
      </c>
      <c r="B272" s="90">
        <v>2820050314</v>
      </c>
      <c r="C272" s="73" t="s">
        <v>5098</v>
      </c>
      <c r="D272" s="92" t="s">
        <v>5113</v>
      </c>
      <c r="E272" s="91">
        <v>1102010117</v>
      </c>
      <c r="F272" s="58" t="s">
        <v>5295</v>
      </c>
      <c r="G272" s="58" t="s">
        <v>5295</v>
      </c>
      <c r="H272" s="58" t="s">
        <v>5294</v>
      </c>
      <c r="I272" s="58" t="s">
        <v>5294</v>
      </c>
      <c r="J272" s="58" t="s">
        <v>9</v>
      </c>
      <c r="K272" s="49" t="s">
        <v>5491</v>
      </c>
      <c r="P272" s="58"/>
    </row>
    <row r="273" spans="1:16">
      <c r="A273" s="90" t="s">
        <v>5095</v>
      </c>
      <c r="B273" s="90">
        <v>2820050315</v>
      </c>
      <c r="C273" s="73" t="s">
        <v>5098</v>
      </c>
      <c r="D273" s="92" t="s">
        <v>5329</v>
      </c>
      <c r="E273" s="91">
        <v>1102010122</v>
      </c>
      <c r="F273" s="58" t="s">
        <v>5295</v>
      </c>
      <c r="G273" s="58" t="s">
        <v>5295</v>
      </c>
      <c r="H273" s="58" t="s">
        <v>5294</v>
      </c>
      <c r="I273" s="58" t="s">
        <v>5294</v>
      </c>
      <c r="J273" s="58" t="s">
        <v>9</v>
      </c>
      <c r="K273" s="49" t="s">
        <v>5491</v>
      </c>
      <c r="P273" s="58"/>
    </row>
    <row r="274" spans="1:16">
      <c r="A274" s="90" t="s">
        <v>5095</v>
      </c>
      <c r="B274" s="90">
        <v>2820050316</v>
      </c>
      <c r="C274" s="73" t="s">
        <v>5098</v>
      </c>
      <c r="D274" s="92" t="s">
        <v>5330</v>
      </c>
      <c r="E274" s="91">
        <v>1102010124</v>
      </c>
      <c r="F274" s="58" t="s">
        <v>5295</v>
      </c>
      <c r="G274" s="58" t="s">
        <v>5295</v>
      </c>
      <c r="H274" s="58" t="s">
        <v>5294</v>
      </c>
      <c r="I274" s="58" t="s">
        <v>5294</v>
      </c>
      <c r="J274" s="58" t="s">
        <v>9</v>
      </c>
      <c r="K274" s="49" t="s">
        <v>5491</v>
      </c>
      <c r="P274" s="58"/>
    </row>
    <row r="275" spans="1:16">
      <c r="A275" s="90" t="s">
        <v>5095</v>
      </c>
      <c r="B275" s="90">
        <v>2820050317</v>
      </c>
      <c r="C275" s="73" t="s">
        <v>5098</v>
      </c>
      <c r="D275" s="92" t="s">
        <v>5331</v>
      </c>
      <c r="E275" s="91">
        <v>1102010127</v>
      </c>
      <c r="F275" s="58" t="s">
        <v>5295</v>
      </c>
      <c r="G275" s="58" t="s">
        <v>5295</v>
      </c>
      <c r="H275" s="58" t="s">
        <v>5294</v>
      </c>
      <c r="I275" s="58" t="s">
        <v>5294</v>
      </c>
      <c r="J275" s="58" t="s">
        <v>9</v>
      </c>
      <c r="K275" s="49" t="s">
        <v>5491</v>
      </c>
      <c r="P275" s="58"/>
    </row>
    <row r="276" spans="1:16">
      <c r="A276" s="90" t="s">
        <v>5095</v>
      </c>
      <c r="B276" s="90">
        <v>2820050318</v>
      </c>
      <c r="C276" s="73" t="s">
        <v>5098</v>
      </c>
      <c r="D276" s="92" t="s">
        <v>5332</v>
      </c>
      <c r="E276" s="91">
        <v>1102010128</v>
      </c>
      <c r="F276" s="58" t="s">
        <v>5295</v>
      </c>
      <c r="G276" s="58" t="s">
        <v>5295</v>
      </c>
      <c r="H276" s="58" t="s">
        <v>5294</v>
      </c>
      <c r="I276" s="58" t="s">
        <v>5294</v>
      </c>
      <c r="J276" s="58" t="s">
        <v>9</v>
      </c>
      <c r="K276" s="49" t="s">
        <v>5491</v>
      </c>
      <c r="P276" s="58"/>
    </row>
    <row r="277" spans="1:16">
      <c r="A277" s="90" t="s">
        <v>5095</v>
      </c>
      <c r="B277" s="90">
        <v>2820050319</v>
      </c>
      <c r="C277" s="73" t="s">
        <v>5098</v>
      </c>
      <c r="D277" s="92" t="s">
        <v>5333</v>
      </c>
      <c r="E277" s="91">
        <v>1102010130</v>
      </c>
      <c r="F277" s="58" t="s">
        <v>5295</v>
      </c>
      <c r="G277" s="58" t="s">
        <v>5295</v>
      </c>
      <c r="H277" s="58" t="s">
        <v>5294</v>
      </c>
      <c r="I277" s="58" t="s">
        <v>5294</v>
      </c>
      <c r="J277" s="58" t="s">
        <v>9</v>
      </c>
      <c r="K277" s="49" t="s">
        <v>5491</v>
      </c>
      <c r="P277" s="58"/>
    </row>
    <row r="278" spans="1:16">
      <c r="A278" s="90" t="s">
        <v>5095</v>
      </c>
      <c r="B278" s="90">
        <v>2820050320</v>
      </c>
      <c r="C278" s="73" t="s">
        <v>5098</v>
      </c>
      <c r="D278" s="92" t="s">
        <v>5334</v>
      </c>
      <c r="E278" s="91">
        <v>1102010131</v>
      </c>
      <c r="F278" s="58" t="s">
        <v>5295</v>
      </c>
      <c r="G278" s="58" t="s">
        <v>5295</v>
      </c>
      <c r="H278" s="58" t="s">
        <v>5294</v>
      </c>
      <c r="I278" s="58" t="s">
        <v>5294</v>
      </c>
      <c r="J278" s="58" t="s">
        <v>9</v>
      </c>
      <c r="K278" s="49" t="s">
        <v>5491</v>
      </c>
      <c r="P278" s="58"/>
    </row>
    <row r="279" spans="1:16">
      <c r="A279" s="90" t="s">
        <v>5095</v>
      </c>
      <c r="B279" s="90">
        <v>2820050321</v>
      </c>
      <c r="C279" s="73" t="s">
        <v>5098</v>
      </c>
      <c r="D279" s="92" t="s">
        <v>5335</v>
      </c>
      <c r="E279" s="91">
        <v>1102010132</v>
      </c>
      <c r="F279" s="58" t="s">
        <v>5295</v>
      </c>
      <c r="G279" s="58" t="s">
        <v>5295</v>
      </c>
      <c r="H279" s="58" t="s">
        <v>5294</v>
      </c>
      <c r="I279" s="58" t="s">
        <v>5294</v>
      </c>
      <c r="J279" s="58" t="s">
        <v>9</v>
      </c>
      <c r="K279" s="49" t="s">
        <v>5491</v>
      </c>
      <c r="P279" s="58"/>
    </row>
    <row r="280" spans="1:16">
      <c r="A280" s="90" t="s">
        <v>5095</v>
      </c>
      <c r="B280" s="90">
        <v>2820050322</v>
      </c>
      <c r="C280" s="73" t="s">
        <v>5098</v>
      </c>
      <c r="D280" s="92" t="s">
        <v>5114</v>
      </c>
      <c r="E280" s="91">
        <v>1102010133</v>
      </c>
      <c r="F280" s="58" t="s">
        <v>5295</v>
      </c>
      <c r="G280" s="58" t="s">
        <v>5295</v>
      </c>
      <c r="H280" s="58" t="s">
        <v>5294</v>
      </c>
      <c r="I280" s="58" t="s">
        <v>5294</v>
      </c>
      <c r="J280" s="58" t="s">
        <v>9</v>
      </c>
      <c r="K280" s="49" t="s">
        <v>5491</v>
      </c>
      <c r="P280" s="58"/>
    </row>
    <row r="281" spans="1:16">
      <c r="A281" s="90" t="s">
        <v>5095</v>
      </c>
      <c r="B281" s="90">
        <v>2820050323</v>
      </c>
      <c r="C281" s="73" t="s">
        <v>5098</v>
      </c>
      <c r="D281" s="92" t="s">
        <v>5336</v>
      </c>
      <c r="E281" s="91">
        <v>1102010135</v>
      </c>
      <c r="F281" s="58" t="s">
        <v>5295</v>
      </c>
      <c r="G281" s="58" t="s">
        <v>5295</v>
      </c>
      <c r="H281" s="58" t="s">
        <v>5294</v>
      </c>
      <c r="I281" s="58" t="s">
        <v>5294</v>
      </c>
      <c r="J281" s="58" t="s">
        <v>9</v>
      </c>
      <c r="K281" s="49" t="s">
        <v>5491</v>
      </c>
      <c r="P281" s="58"/>
    </row>
    <row r="282" spans="1:16">
      <c r="A282" s="90" t="s">
        <v>5095</v>
      </c>
      <c r="B282" s="90">
        <v>2820050324</v>
      </c>
      <c r="C282" s="73" t="s">
        <v>5098</v>
      </c>
      <c r="D282" s="92" t="s">
        <v>5337</v>
      </c>
      <c r="E282" s="91">
        <v>1102010136</v>
      </c>
      <c r="F282" s="58" t="s">
        <v>5295</v>
      </c>
      <c r="G282" s="58" t="s">
        <v>5295</v>
      </c>
      <c r="H282" s="58" t="s">
        <v>5294</v>
      </c>
      <c r="I282" s="58" t="s">
        <v>5294</v>
      </c>
      <c r="J282" s="58" t="s">
        <v>9</v>
      </c>
      <c r="K282" s="49" t="s">
        <v>5491</v>
      </c>
      <c r="P282" s="58"/>
    </row>
    <row r="283" spans="1:16">
      <c r="A283" s="90" t="s">
        <v>5095</v>
      </c>
      <c r="B283" s="90">
        <v>2820050325</v>
      </c>
      <c r="C283" s="73" t="s">
        <v>5098</v>
      </c>
      <c r="D283" s="92" t="s">
        <v>5338</v>
      </c>
      <c r="E283" s="91">
        <v>1102010137</v>
      </c>
      <c r="F283" s="58" t="s">
        <v>5295</v>
      </c>
      <c r="G283" s="58" t="s">
        <v>5295</v>
      </c>
      <c r="H283" s="58" t="s">
        <v>5294</v>
      </c>
      <c r="I283" s="58" t="s">
        <v>5294</v>
      </c>
      <c r="J283" s="58" t="s">
        <v>9</v>
      </c>
      <c r="K283" s="49" t="s">
        <v>5491</v>
      </c>
      <c r="P283" s="58"/>
    </row>
    <row r="284" spans="1:16">
      <c r="A284" s="90" t="s">
        <v>5095</v>
      </c>
      <c r="B284" s="90">
        <v>2820050326</v>
      </c>
      <c r="C284" s="73" t="s">
        <v>5098</v>
      </c>
      <c r="D284" s="92" t="s">
        <v>5213</v>
      </c>
      <c r="E284" s="91">
        <v>1102010139</v>
      </c>
      <c r="F284" s="58" t="s">
        <v>5295</v>
      </c>
      <c r="G284" s="58" t="s">
        <v>5295</v>
      </c>
      <c r="H284" s="58" t="s">
        <v>5294</v>
      </c>
      <c r="I284" s="58" t="s">
        <v>5294</v>
      </c>
      <c r="J284" s="58" t="s">
        <v>9</v>
      </c>
      <c r="K284" s="49" t="s">
        <v>5491</v>
      </c>
      <c r="P284" s="58"/>
    </row>
    <row r="285" spans="1:16">
      <c r="A285" s="90" t="s">
        <v>5095</v>
      </c>
      <c r="B285" s="90">
        <v>2820050327</v>
      </c>
      <c r="C285" s="73" t="s">
        <v>5098</v>
      </c>
      <c r="D285" s="92" t="s">
        <v>5339</v>
      </c>
      <c r="E285" s="91">
        <v>1102010142</v>
      </c>
      <c r="F285" s="58" t="s">
        <v>5295</v>
      </c>
      <c r="G285" s="58" t="s">
        <v>5295</v>
      </c>
      <c r="H285" s="58" t="s">
        <v>5294</v>
      </c>
      <c r="I285" s="58" t="s">
        <v>5294</v>
      </c>
      <c r="J285" s="58" t="s">
        <v>9</v>
      </c>
      <c r="K285" s="49" t="s">
        <v>5491</v>
      </c>
      <c r="P285" s="58"/>
    </row>
    <row r="286" spans="1:16">
      <c r="A286" s="90" t="s">
        <v>5095</v>
      </c>
      <c r="B286" s="90">
        <v>2820050328</v>
      </c>
      <c r="C286" s="73" t="s">
        <v>5098</v>
      </c>
      <c r="D286" s="92" t="s">
        <v>5340</v>
      </c>
      <c r="E286" s="91">
        <v>1102010144</v>
      </c>
      <c r="F286" s="58" t="s">
        <v>5295</v>
      </c>
      <c r="G286" s="58" t="s">
        <v>5295</v>
      </c>
      <c r="H286" s="58" t="s">
        <v>5294</v>
      </c>
      <c r="I286" s="58" t="s">
        <v>5294</v>
      </c>
      <c r="J286" s="58" t="s">
        <v>9</v>
      </c>
      <c r="K286" s="49" t="s">
        <v>5491</v>
      </c>
      <c r="P286" s="58"/>
    </row>
    <row r="287" spans="1:16">
      <c r="A287" s="90" t="s">
        <v>5095</v>
      </c>
      <c r="B287" s="90">
        <v>2820050329</v>
      </c>
      <c r="C287" s="73" t="s">
        <v>5098</v>
      </c>
      <c r="D287" s="92" t="s">
        <v>5214</v>
      </c>
      <c r="E287" s="91">
        <v>1102010147</v>
      </c>
      <c r="F287" s="58" t="s">
        <v>5295</v>
      </c>
      <c r="G287" s="58" t="s">
        <v>5295</v>
      </c>
      <c r="H287" s="58" t="s">
        <v>5294</v>
      </c>
      <c r="I287" s="58" t="s">
        <v>5294</v>
      </c>
      <c r="J287" s="58" t="s">
        <v>9</v>
      </c>
      <c r="K287" s="49" t="s">
        <v>5491</v>
      </c>
      <c r="P287" s="58"/>
    </row>
    <row r="288" spans="1:16">
      <c r="A288" s="90" t="s">
        <v>5095</v>
      </c>
      <c r="B288" s="90">
        <v>2820050330</v>
      </c>
      <c r="C288" s="73" t="s">
        <v>5098</v>
      </c>
      <c r="D288" s="92" t="s">
        <v>5760</v>
      </c>
      <c r="E288" s="91">
        <v>1102010148</v>
      </c>
      <c r="F288" s="58" t="s">
        <v>5295</v>
      </c>
      <c r="G288" s="58" t="s">
        <v>5295</v>
      </c>
      <c r="H288" s="58" t="s">
        <v>5294</v>
      </c>
      <c r="I288" s="58" t="s">
        <v>5294</v>
      </c>
      <c r="J288" s="58" t="s">
        <v>9</v>
      </c>
      <c r="K288" s="49" t="s">
        <v>5491</v>
      </c>
      <c r="P288" s="58"/>
    </row>
    <row r="289" spans="1:16">
      <c r="A289" s="90" t="s">
        <v>5095</v>
      </c>
      <c r="B289" s="90">
        <v>2820050331</v>
      </c>
      <c r="C289" s="73" t="s">
        <v>5098</v>
      </c>
      <c r="D289" s="92" t="s">
        <v>5341</v>
      </c>
      <c r="E289" s="91">
        <v>1102010151</v>
      </c>
      <c r="F289" s="58" t="s">
        <v>5295</v>
      </c>
      <c r="G289" s="58" t="s">
        <v>5295</v>
      </c>
      <c r="H289" s="58" t="s">
        <v>5294</v>
      </c>
      <c r="I289" s="58" t="s">
        <v>5294</v>
      </c>
      <c r="J289" s="58" t="s">
        <v>9</v>
      </c>
      <c r="K289" s="49" t="s">
        <v>5491</v>
      </c>
      <c r="P289" s="58"/>
    </row>
    <row r="290" spans="1:16">
      <c r="A290" s="90" t="s">
        <v>5095</v>
      </c>
      <c r="B290" s="90">
        <v>2820050332</v>
      </c>
      <c r="C290" s="73" t="s">
        <v>5098</v>
      </c>
      <c r="D290" s="92" t="s">
        <v>5115</v>
      </c>
      <c r="E290" s="91">
        <v>1102010156</v>
      </c>
      <c r="F290" s="58" t="s">
        <v>5295</v>
      </c>
      <c r="G290" s="58" t="s">
        <v>5295</v>
      </c>
      <c r="H290" s="58" t="s">
        <v>5294</v>
      </c>
      <c r="I290" s="58" t="s">
        <v>5294</v>
      </c>
      <c r="J290" s="58" t="s">
        <v>9</v>
      </c>
      <c r="K290" s="49" t="s">
        <v>5491</v>
      </c>
      <c r="P290" s="58"/>
    </row>
    <row r="291" spans="1:16">
      <c r="A291" s="90" t="s">
        <v>5095</v>
      </c>
      <c r="B291" s="90">
        <v>2820050333</v>
      </c>
      <c r="C291" s="73" t="s">
        <v>5098</v>
      </c>
      <c r="D291" s="92" t="s">
        <v>5116</v>
      </c>
      <c r="E291" s="91">
        <v>1102010157</v>
      </c>
      <c r="F291" s="58" t="s">
        <v>5295</v>
      </c>
      <c r="G291" s="58" t="s">
        <v>5295</v>
      </c>
      <c r="H291" s="58" t="s">
        <v>5294</v>
      </c>
      <c r="I291" s="58" t="s">
        <v>5294</v>
      </c>
      <c r="J291" s="58" t="s">
        <v>9</v>
      </c>
      <c r="K291" s="49" t="s">
        <v>5491</v>
      </c>
      <c r="P291" s="58"/>
    </row>
    <row r="292" spans="1:16">
      <c r="A292" s="90" t="s">
        <v>5095</v>
      </c>
      <c r="B292" s="90">
        <v>2820050334</v>
      </c>
      <c r="C292" s="73" t="s">
        <v>5098</v>
      </c>
      <c r="D292" s="92" t="s">
        <v>5117</v>
      </c>
      <c r="E292" s="91">
        <v>1102010158</v>
      </c>
      <c r="F292" s="58" t="s">
        <v>5295</v>
      </c>
      <c r="G292" s="58" t="s">
        <v>5295</v>
      </c>
      <c r="H292" s="58" t="s">
        <v>5294</v>
      </c>
      <c r="I292" s="58" t="s">
        <v>5294</v>
      </c>
      <c r="J292" s="58" t="s">
        <v>9</v>
      </c>
      <c r="K292" s="49" t="s">
        <v>5491</v>
      </c>
      <c r="P292" s="58"/>
    </row>
    <row r="293" spans="1:16">
      <c r="A293" s="90" t="s">
        <v>5095</v>
      </c>
      <c r="B293" s="90">
        <v>2820050335</v>
      </c>
      <c r="C293" s="73" t="s">
        <v>5098</v>
      </c>
      <c r="D293" s="92" t="s">
        <v>5118</v>
      </c>
      <c r="E293" s="91">
        <v>1102010159</v>
      </c>
      <c r="F293" s="58" t="s">
        <v>5295</v>
      </c>
      <c r="G293" s="58" t="s">
        <v>5295</v>
      </c>
      <c r="H293" s="58" t="s">
        <v>5294</v>
      </c>
      <c r="I293" s="58" t="s">
        <v>5294</v>
      </c>
      <c r="J293" s="58" t="s">
        <v>9</v>
      </c>
      <c r="K293" s="49" t="s">
        <v>5491</v>
      </c>
      <c r="P293" s="58"/>
    </row>
    <row r="294" spans="1:16">
      <c r="A294" s="90" t="s">
        <v>5095</v>
      </c>
      <c r="B294" s="90">
        <v>2820050336</v>
      </c>
      <c r="C294" s="73" t="s">
        <v>5098</v>
      </c>
      <c r="D294" s="92" t="s">
        <v>5215</v>
      </c>
      <c r="E294" s="91">
        <v>1102010160</v>
      </c>
      <c r="F294" s="58" t="s">
        <v>5295</v>
      </c>
      <c r="G294" s="58" t="s">
        <v>5295</v>
      </c>
      <c r="H294" s="58" t="s">
        <v>5294</v>
      </c>
      <c r="I294" s="58" t="s">
        <v>5294</v>
      </c>
      <c r="J294" s="58" t="s">
        <v>9</v>
      </c>
      <c r="K294" s="49" t="s">
        <v>5491</v>
      </c>
      <c r="P294" s="58"/>
    </row>
    <row r="295" spans="1:16">
      <c r="A295" s="90" t="s">
        <v>5095</v>
      </c>
      <c r="B295" s="90">
        <v>2820050337</v>
      </c>
      <c r="C295" s="73" t="s">
        <v>5098</v>
      </c>
      <c r="D295" s="92" t="s">
        <v>5216</v>
      </c>
      <c r="E295" s="91">
        <v>1102010161</v>
      </c>
      <c r="F295" s="58" t="s">
        <v>5295</v>
      </c>
      <c r="G295" s="58" t="s">
        <v>5295</v>
      </c>
      <c r="H295" s="58" t="s">
        <v>5294</v>
      </c>
      <c r="I295" s="58" t="s">
        <v>5294</v>
      </c>
      <c r="J295" s="58" t="s">
        <v>9</v>
      </c>
      <c r="K295" s="49" t="s">
        <v>5491</v>
      </c>
      <c r="P295" s="58"/>
    </row>
    <row r="296" spans="1:16">
      <c r="A296" s="90" t="s">
        <v>5095</v>
      </c>
      <c r="B296" s="90">
        <v>2820050338</v>
      </c>
      <c r="C296" s="73" t="s">
        <v>5098</v>
      </c>
      <c r="D296" s="92" t="s">
        <v>5217</v>
      </c>
      <c r="E296" s="91">
        <v>1102010163</v>
      </c>
      <c r="F296" s="58" t="s">
        <v>5295</v>
      </c>
      <c r="G296" s="58" t="s">
        <v>5295</v>
      </c>
      <c r="H296" s="58" t="s">
        <v>5294</v>
      </c>
      <c r="I296" s="58" t="s">
        <v>5294</v>
      </c>
      <c r="J296" s="58" t="s">
        <v>9</v>
      </c>
      <c r="K296" s="49" t="s">
        <v>5491</v>
      </c>
      <c r="P296" s="58"/>
    </row>
    <row r="297" spans="1:16">
      <c r="A297" s="90" t="s">
        <v>5095</v>
      </c>
      <c r="B297" s="90">
        <v>2820050339</v>
      </c>
      <c r="C297" s="73" t="s">
        <v>5098</v>
      </c>
      <c r="D297" s="92" t="s">
        <v>5218</v>
      </c>
      <c r="E297" s="91">
        <v>1102010164</v>
      </c>
      <c r="F297" s="58" t="s">
        <v>5295</v>
      </c>
      <c r="G297" s="58" t="s">
        <v>5295</v>
      </c>
      <c r="H297" s="58" t="s">
        <v>5294</v>
      </c>
      <c r="I297" s="58" t="s">
        <v>5294</v>
      </c>
      <c r="J297" s="58" t="s">
        <v>9</v>
      </c>
      <c r="K297" s="49" t="s">
        <v>5491</v>
      </c>
      <c r="P297" s="58"/>
    </row>
    <row r="298" spans="1:16">
      <c r="A298" s="90" t="s">
        <v>5095</v>
      </c>
      <c r="B298" s="90">
        <v>2820050340</v>
      </c>
      <c r="C298" s="73" t="s">
        <v>5098</v>
      </c>
      <c r="D298" s="92" t="s">
        <v>5219</v>
      </c>
      <c r="E298" s="91">
        <v>1102010165</v>
      </c>
      <c r="F298" s="58" t="s">
        <v>5295</v>
      </c>
      <c r="G298" s="58" t="s">
        <v>5295</v>
      </c>
      <c r="H298" s="58" t="s">
        <v>5294</v>
      </c>
      <c r="I298" s="58" t="s">
        <v>5294</v>
      </c>
      <c r="J298" s="58" t="s">
        <v>9</v>
      </c>
      <c r="K298" s="49" t="s">
        <v>5491</v>
      </c>
      <c r="P298" s="58"/>
    </row>
    <row r="299" spans="1:16">
      <c r="A299" s="90" t="s">
        <v>5095</v>
      </c>
      <c r="B299" s="90">
        <v>2820050341</v>
      </c>
      <c r="C299" s="73" t="s">
        <v>5098</v>
      </c>
      <c r="D299" s="92" t="s">
        <v>5220</v>
      </c>
      <c r="E299" s="91">
        <v>1102010166</v>
      </c>
      <c r="F299" s="58" t="s">
        <v>5295</v>
      </c>
      <c r="G299" s="58" t="s">
        <v>5295</v>
      </c>
      <c r="H299" s="58" t="s">
        <v>5294</v>
      </c>
      <c r="I299" s="58" t="s">
        <v>5294</v>
      </c>
      <c r="J299" s="58" t="s">
        <v>9</v>
      </c>
      <c r="K299" s="49" t="s">
        <v>5491</v>
      </c>
      <c r="P299" s="58"/>
    </row>
    <row r="300" spans="1:16">
      <c r="A300" s="90" t="s">
        <v>5095</v>
      </c>
      <c r="B300" s="90">
        <v>2820050342</v>
      </c>
      <c r="C300" s="73" t="s">
        <v>5098</v>
      </c>
      <c r="D300" s="92" t="s">
        <v>5342</v>
      </c>
      <c r="E300" s="91">
        <v>1102010167</v>
      </c>
      <c r="F300" s="58" t="s">
        <v>5295</v>
      </c>
      <c r="G300" s="58" t="s">
        <v>5295</v>
      </c>
      <c r="H300" s="58" t="s">
        <v>5294</v>
      </c>
      <c r="I300" s="58" t="s">
        <v>5294</v>
      </c>
      <c r="J300" s="58" t="s">
        <v>9</v>
      </c>
      <c r="K300" s="49" t="s">
        <v>5491</v>
      </c>
      <c r="P300" s="58"/>
    </row>
    <row r="301" spans="1:16">
      <c r="A301" s="90" t="s">
        <v>5095</v>
      </c>
      <c r="B301" s="90">
        <v>2820050343</v>
      </c>
      <c r="C301" s="73" t="s">
        <v>5098</v>
      </c>
      <c r="D301" s="92" t="s">
        <v>5343</v>
      </c>
      <c r="E301" s="91">
        <v>1102010168</v>
      </c>
      <c r="F301" s="58" t="s">
        <v>5295</v>
      </c>
      <c r="G301" s="58" t="s">
        <v>5295</v>
      </c>
      <c r="H301" s="58" t="s">
        <v>5294</v>
      </c>
      <c r="I301" s="58" t="s">
        <v>5294</v>
      </c>
      <c r="J301" s="58" t="s">
        <v>9</v>
      </c>
      <c r="K301" s="49" t="s">
        <v>5491</v>
      </c>
      <c r="P301" s="58"/>
    </row>
    <row r="302" spans="1:16">
      <c r="A302" s="90" t="s">
        <v>5095</v>
      </c>
      <c r="B302" s="90">
        <v>2820050344</v>
      </c>
      <c r="C302" s="73" t="s">
        <v>5098</v>
      </c>
      <c r="D302" s="92" t="s">
        <v>5344</v>
      </c>
      <c r="E302" s="91">
        <v>1102010169</v>
      </c>
      <c r="F302" s="58" t="s">
        <v>5295</v>
      </c>
      <c r="G302" s="58" t="s">
        <v>5295</v>
      </c>
      <c r="H302" s="58" t="s">
        <v>5294</v>
      </c>
      <c r="I302" s="58" t="s">
        <v>5294</v>
      </c>
      <c r="J302" s="58" t="s">
        <v>9</v>
      </c>
      <c r="K302" s="49" t="s">
        <v>5491</v>
      </c>
      <c r="P302" s="58"/>
    </row>
    <row r="303" spans="1:16">
      <c r="A303" s="90" t="s">
        <v>5095</v>
      </c>
      <c r="B303" s="90">
        <v>2820050345</v>
      </c>
      <c r="C303" s="73" t="s">
        <v>5098</v>
      </c>
      <c r="D303" s="92" t="s">
        <v>5345</v>
      </c>
      <c r="E303" s="91">
        <v>1102010170</v>
      </c>
      <c r="F303" s="58" t="s">
        <v>5295</v>
      </c>
      <c r="G303" s="58" t="s">
        <v>5295</v>
      </c>
      <c r="H303" s="58" t="s">
        <v>5294</v>
      </c>
      <c r="I303" s="58" t="s">
        <v>5294</v>
      </c>
      <c r="J303" s="58" t="s">
        <v>9</v>
      </c>
      <c r="K303" s="49" t="s">
        <v>5491</v>
      </c>
      <c r="P303" s="58"/>
    </row>
    <row r="304" spans="1:16">
      <c r="A304" s="90" t="s">
        <v>5095</v>
      </c>
      <c r="B304" s="90">
        <v>2820050346</v>
      </c>
      <c r="C304" s="73" t="s">
        <v>5098</v>
      </c>
      <c r="D304" s="92" t="s">
        <v>5221</v>
      </c>
      <c r="E304" s="91">
        <v>1102010172</v>
      </c>
      <c r="F304" s="58" t="s">
        <v>5295</v>
      </c>
      <c r="G304" s="58" t="s">
        <v>5295</v>
      </c>
      <c r="H304" s="58" t="s">
        <v>5294</v>
      </c>
      <c r="I304" s="58" t="s">
        <v>5294</v>
      </c>
      <c r="J304" s="58" t="s">
        <v>9</v>
      </c>
      <c r="K304" s="49" t="s">
        <v>5491</v>
      </c>
      <c r="P304" s="58"/>
    </row>
    <row r="305" spans="1:16">
      <c r="A305" s="90" t="s">
        <v>5095</v>
      </c>
      <c r="B305" s="90">
        <v>2820050347</v>
      </c>
      <c r="C305" s="73" t="s">
        <v>5098</v>
      </c>
      <c r="D305" s="92" t="s">
        <v>5222</v>
      </c>
      <c r="E305" s="91">
        <v>1102010173</v>
      </c>
      <c r="F305" s="58" t="s">
        <v>5295</v>
      </c>
      <c r="G305" s="58" t="s">
        <v>5295</v>
      </c>
      <c r="H305" s="58" t="s">
        <v>5294</v>
      </c>
      <c r="I305" s="58" t="s">
        <v>5294</v>
      </c>
      <c r="J305" s="58" t="s">
        <v>9</v>
      </c>
      <c r="K305" s="49" t="s">
        <v>5491</v>
      </c>
      <c r="P305" s="58"/>
    </row>
    <row r="306" spans="1:16">
      <c r="A306" s="90" t="s">
        <v>5095</v>
      </c>
      <c r="B306" s="90">
        <v>2820050348</v>
      </c>
      <c r="C306" s="73" t="s">
        <v>5098</v>
      </c>
      <c r="D306" s="92" t="s">
        <v>5223</v>
      </c>
      <c r="E306" s="91">
        <v>1102010174</v>
      </c>
      <c r="F306" s="58" t="s">
        <v>5295</v>
      </c>
      <c r="G306" s="58" t="s">
        <v>5295</v>
      </c>
      <c r="H306" s="58" t="s">
        <v>5294</v>
      </c>
      <c r="I306" s="58" t="s">
        <v>5294</v>
      </c>
      <c r="J306" s="58" t="s">
        <v>9</v>
      </c>
      <c r="K306" s="49" t="s">
        <v>5491</v>
      </c>
      <c r="P306" s="58"/>
    </row>
    <row r="307" spans="1:16">
      <c r="A307" s="90" t="s">
        <v>5095</v>
      </c>
      <c r="B307" s="90">
        <v>2820050349</v>
      </c>
      <c r="C307" s="73" t="s">
        <v>5098</v>
      </c>
      <c r="D307" s="92" t="s">
        <v>5224</v>
      </c>
      <c r="E307" s="91">
        <v>1102010175</v>
      </c>
      <c r="F307" s="58" t="s">
        <v>5295</v>
      </c>
      <c r="G307" s="58" t="s">
        <v>5295</v>
      </c>
      <c r="H307" s="58" t="s">
        <v>5294</v>
      </c>
      <c r="I307" s="58" t="s">
        <v>5294</v>
      </c>
      <c r="J307" s="58" t="s">
        <v>9</v>
      </c>
      <c r="K307" s="49" t="s">
        <v>5491</v>
      </c>
      <c r="P307" s="58"/>
    </row>
    <row r="308" spans="1:16">
      <c r="A308" s="90" t="s">
        <v>5095</v>
      </c>
      <c r="B308" s="90">
        <v>2820050350</v>
      </c>
      <c r="C308" s="73" t="s">
        <v>5098</v>
      </c>
      <c r="D308" s="92" t="s">
        <v>5225</v>
      </c>
      <c r="E308" s="91">
        <v>1102010176</v>
      </c>
      <c r="F308" s="58" t="s">
        <v>5295</v>
      </c>
      <c r="G308" s="58" t="s">
        <v>5295</v>
      </c>
      <c r="H308" s="58" t="s">
        <v>5294</v>
      </c>
      <c r="I308" s="58" t="s">
        <v>5294</v>
      </c>
      <c r="J308" s="58" t="s">
        <v>9</v>
      </c>
      <c r="K308" s="49" t="s">
        <v>5491</v>
      </c>
      <c r="P308" s="58"/>
    </row>
    <row r="309" spans="1:16">
      <c r="A309" s="90" t="s">
        <v>5095</v>
      </c>
      <c r="B309" s="90">
        <v>2820050351</v>
      </c>
      <c r="C309" s="73" t="s">
        <v>5098</v>
      </c>
      <c r="D309" s="92" t="s">
        <v>5226</v>
      </c>
      <c r="E309" s="91">
        <v>1102010178</v>
      </c>
      <c r="F309" s="58" t="s">
        <v>5295</v>
      </c>
      <c r="G309" s="58" t="s">
        <v>5295</v>
      </c>
      <c r="H309" s="58" t="s">
        <v>5294</v>
      </c>
      <c r="I309" s="58" t="s">
        <v>5294</v>
      </c>
      <c r="J309" s="58" t="s">
        <v>9</v>
      </c>
      <c r="K309" s="49" t="s">
        <v>5491</v>
      </c>
      <c r="P309" s="58"/>
    </row>
    <row r="310" spans="1:16">
      <c r="A310" s="90" t="s">
        <v>5095</v>
      </c>
      <c r="B310" s="90">
        <v>2820050352</v>
      </c>
      <c r="C310" s="73" t="s">
        <v>5098</v>
      </c>
      <c r="D310" s="92" t="s">
        <v>5227</v>
      </c>
      <c r="E310" s="91">
        <v>1102010182</v>
      </c>
      <c r="F310" s="58" t="s">
        <v>5295</v>
      </c>
      <c r="G310" s="58" t="s">
        <v>5295</v>
      </c>
      <c r="H310" s="58" t="s">
        <v>5294</v>
      </c>
      <c r="I310" s="58" t="s">
        <v>5294</v>
      </c>
      <c r="J310" s="58" t="s">
        <v>9</v>
      </c>
      <c r="K310" s="49" t="s">
        <v>5491</v>
      </c>
      <c r="P310" s="58"/>
    </row>
    <row r="311" spans="1:16">
      <c r="A311" s="90" t="s">
        <v>5095</v>
      </c>
      <c r="B311" s="90">
        <v>2820050353</v>
      </c>
      <c r="C311" s="73" t="s">
        <v>5098</v>
      </c>
      <c r="D311" s="92" t="s">
        <v>5228</v>
      </c>
      <c r="E311" s="91">
        <v>1102010183</v>
      </c>
      <c r="F311" s="58" t="s">
        <v>5295</v>
      </c>
      <c r="G311" s="58" t="s">
        <v>5295</v>
      </c>
      <c r="H311" s="58" t="s">
        <v>5294</v>
      </c>
      <c r="I311" s="58" t="s">
        <v>5294</v>
      </c>
      <c r="J311" s="58" t="s">
        <v>9</v>
      </c>
      <c r="K311" s="49" t="s">
        <v>5491</v>
      </c>
      <c r="P311" s="58"/>
    </row>
    <row r="312" spans="1:16">
      <c r="A312" s="90" t="s">
        <v>5095</v>
      </c>
      <c r="B312" s="90">
        <v>2820050354</v>
      </c>
      <c r="C312" s="73" t="s">
        <v>5098</v>
      </c>
      <c r="D312" s="92" t="s">
        <v>5229</v>
      </c>
      <c r="E312" s="91">
        <v>1102010184</v>
      </c>
      <c r="F312" s="58" t="s">
        <v>5295</v>
      </c>
      <c r="G312" s="58" t="s">
        <v>5295</v>
      </c>
      <c r="H312" s="58" t="s">
        <v>5294</v>
      </c>
      <c r="I312" s="58" t="s">
        <v>5294</v>
      </c>
      <c r="J312" s="58" t="s">
        <v>9</v>
      </c>
      <c r="K312" s="49" t="s">
        <v>5491</v>
      </c>
      <c r="P312" s="58"/>
    </row>
    <row r="313" spans="1:16">
      <c r="A313" s="90" t="s">
        <v>5095</v>
      </c>
      <c r="B313" s="90">
        <v>2820050355</v>
      </c>
      <c r="C313" s="73" t="s">
        <v>5098</v>
      </c>
      <c r="D313" s="92" t="s">
        <v>5230</v>
      </c>
      <c r="E313" s="91">
        <v>1102010186</v>
      </c>
      <c r="F313" s="58" t="s">
        <v>5295</v>
      </c>
      <c r="G313" s="58" t="s">
        <v>5295</v>
      </c>
      <c r="H313" s="58" t="s">
        <v>5294</v>
      </c>
      <c r="I313" s="58" t="s">
        <v>5294</v>
      </c>
      <c r="J313" s="58" t="s">
        <v>9</v>
      </c>
      <c r="K313" s="49" t="s">
        <v>5491</v>
      </c>
      <c r="P313" s="58"/>
    </row>
    <row r="314" spans="1:16">
      <c r="A314" s="90" t="s">
        <v>5095</v>
      </c>
      <c r="B314" s="90">
        <v>2820050356</v>
      </c>
      <c r="C314" s="73" t="s">
        <v>5098</v>
      </c>
      <c r="D314" s="92" t="s">
        <v>5231</v>
      </c>
      <c r="E314" s="91">
        <v>1102010187</v>
      </c>
      <c r="F314" s="58" t="s">
        <v>5295</v>
      </c>
      <c r="G314" s="58" t="s">
        <v>5295</v>
      </c>
      <c r="H314" s="58" t="s">
        <v>5294</v>
      </c>
      <c r="I314" s="58" t="s">
        <v>5294</v>
      </c>
      <c r="J314" s="58" t="s">
        <v>9</v>
      </c>
      <c r="K314" s="49" t="s">
        <v>5491</v>
      </c>
      <c r="P314" s="58"/>
    </row>
    <row r="315" spans="1:16">
      <c r="A315" s="90" t="s">
        <v>5095</v>
      </c>
      <c r="B315" s="90">
        <v>2820050357</v>
      </c>
      <c r="C315" s="73" t="s">
        <v>5098</v>
      </c>
      <c r="D315" s="92" t="s">
        <v>5232</v>
      </c>
      <c r="E315" s="91">
        <v>1102010188</v>
      </c>
      <c r="F315" s="58" t="s">
        <v>5295</v>
      </c>
      <c r="G315" s="58" t="s">
        <v>5295</v>
      </c>
      <c r="H315" s="58" t="s">
        <v>5294</v>
      </c>
      <c r="I315" s="58" t="s">
        <v>5294</v>
      </c>
      <c r="J315" s="58" t="s">
        <v>9</v>
      </c>
      <c r="K315" s="49" t="s">
        <v>5491</v>
      </c>
      <c r="P315" s="58"/>
    </row>
    <row r="316" spans="1:16">
      <c r="A316" s="90" t="s">
        <v>5095</v>
      </c>
      <c r="B316" s="90">
        <v>2820050358</v>
      </c>
      <c r="C316" s="73" t="s">
        <v>5098</v>
      </c>
      <c r="D316" s="92" t="s">
        <v>5233</v>
      </c>
      <c r="E316" s="91">
        <v>1102010189</v>
      </c>
      <c r="F316" s="58" t="s">
        <v>5295</v>
      </c>
      <c r="G316" s="58" t="s">
        <v>5295</v>
      </c>
      <c r="H316" s="58" t="s">
        <v>5294</v>
      </c>
      <c r="I316" s="58" t="s">
        <v>5294</v>
      </c>
      <c r="J316" s="58" t="s">
        <v>9</v>
      </c>
      <c r="K316" s="49" t="s">
        <v>5491</v>
      </c>
      <c r="P316" s="58"/>
    </row>
    <row r="317" spans="1:16">
      <c r="A317" s="90" t="s">
        <v>5095</v>
      </c>
      <c r="B317" s="90">
        <v>2820050359</v>
      </c>
      <c r="C317" s="73" t="s">
        <v>5098</v>
      </c>
      <c r="D317" s="92" t="s">
        <v>5234</v>
      </c>
      <c r="E317" s="91">
        <v>1102010192</v>
      </c>
      <c r="F317" s="58" t="s">
        <v>5295</v>
      </c>
      <c r="G317" s="58" t="s">
        <v>5295</v>
      </c>
      <c r="H317" s="58" t="s">
        <v>5294</v>
      </c>
      <c r="I317" s="58" t="s">
        <v>5294</v>
      </c>
      <c r="J317" s="58" t="s">
        <v>9</v>
      </c>
      <c r="K317" s="49" t="s">
        <v>5491</v>
      </c>
      <c r="P317" s="58"/>
    </row>
    <row r="318" spans="1:16">
      <c r="A318" s="90" t="s">
        <v>5095</v>
      </c>
      <c r="B318" s="90">
        <v>2820050360</v>
      </c>
      <c r="C318" s="73" t="s">
        <v>5098</v>
      </c>
      <c r="D318" s="92" t="s">
        <v>5235</v>
      </c>
      <c r="E318" s="91">
        <v>1102010197</v>
      </c>
      <c r="F318" s="58" t="s">
        <v>5295</v>
      </c>
      <c r="G318" s="58" t="s">
        <v>5295</v>
      </c>
      <c r="H318" s="58" t="s">
        <v>5294</v>
      </c>
      <c r="I318" s="58" t="s">
        <v>5294</v>
      </c>
      <c r="J318" s="58" t="s">
        <v>9</v>
      </c>
      <c r="K318" s="49" t="s">
        <v>5491</v>
      </c>
      <c r="P318" s="58"/>
    </row>
    <row r="319" spans="1:16">
      <c r="A319" s="90" t="s">
        <v>5095</v>
      </c>
      <c r="B319" s="90">
        <v>2820050361</v>
      </c>
      <c r="C319" s="73" t="s">
        <v>5098</v>
      </c>
      <c r="D319" s="92" t="s">
        <v>5236</v>
      </c>
      <c r="E319" s="91">
        <v>1102010198</v>
      </c>
      <c r="F319" s="58" t="s">
        <v>5295</v>
      </c>
      <c r="G319" s="58" t="s">
        <v>5295</v>
      </c>
      <c r="H319" s="58" t="s">
        <v>5294</v>
      </c>
      <c r="I319" s="58" t="s">
        <v>5294</v>
      </c>
      <c r="J319" s="58" t="s">
        <v>9</v>
      </c>
      <c r="K319" s="49" t="s">
        <v>5491</v>
      </c>
      <c r="P319" s="58"/>
    </row>
    <row r="320" spans="1:16">
      <c r="A320" s="90" t="s">
        <v>5095</v>
      </c>
      <c r="B320" s="90">
        <v>2820050362</v>
      </c>
      <c r="C320" s="73" t="s">
        <v>5098</v>
      </c>
      <c r="D320" s="92" t="s">
        <v>5237</v>
      </c>
      <c r="E320" s="91">
        <v>1102010199</v>
      </c>
      <c r="F320" s="58" t="s">
        <v>5295</v>
      </c>
      <c r="G320" s="58" t="s">
        <v>5295</v>
      </c>
      <c r="H320" s="58" t="s">
        <v>5294</v>
      </c>
      <c r="I320" s="58" t="s">
        <v>5294</v>
      </c>
      <c r="J320" s="58" t="s">
        <v>9</v>
      </c>
      <c r="K320" s="49" t="s">
        <v>5491</v>
      </c>
      <c r="P320" s="58"/>
    </row>
    <row r="321" spans="1:16">
      <c r="A321" s="90" t="s">
        <v>5095</v>
      </c>
      <c r="B321" s="90">
        <v>2820050363</v>
      </c>
      <c r="C321" s="73" t="s">
        <v>5098</v>
      </c>
      <c r="D321" s="92" t="s">
        <v>5238</v>
      </c>
      <c r="E321" s="91" t="s">
        <v>1440</v>
      </c>
      <c r="F321" s="58" t="s">
        <v>5295</v>
      </c>
      <c r="G321" s="58" t="s">
        <v>5295</v>
      </c>
      <c r="H321" s="58" t="s">
        <v>5294</v>
      </c>
      <c r="I321" s="58" t="s">
        <v>5294</v>
      </c>
      <c r="J321" s="58" t="s">
        <v>9</v>
      </c>
      <c r="K321" s="49" t="s">
        <v>5491</v>
      </c>
      <c r="P321" s="58"/>
    </row>
    <row r="322" spans="1:16">
      <c r="A322" s="90" t="s">
        <v>5095</v>
      </c>
      <c r="B322" s="90">
        <v>2820050364</v>
      </c>
      <c r="C322" s="73" t="s">
        <v>5098</v>
      </c>
      <c r="D322" s="92" t="s">
        <v>5239</v>
      </c>
      <c r="E322" s="91" t="s">
        <v>1441</v>
      </c>
      <c r="F322" s="58" t="s">
        <v>5295</v>
      </c>
      <c r="G322" s="58" t="s">
        <v>5295</v>
      </c>
      <c r="H322" s="58" t="s">
        <v>5294</v>
      </c>
      <c r="I322" s="58" t="s">
        <v>5294</v>
      </c>
      <c r="J322" s="58" t="s">
        <v>9</v>
      </c>
      <c r="K322" s="49" t="s">
        <v>5491</v>
      </c>
      <c r="P322" s="58"/>
    </row>
    <row r="323" spans="1:16">
      <c r="A323" s="90" t="s">
        <v>5095</v>
      </c>
      <c r="B323" s="90">
        <v>2820050365</v>
      </c>
      <c r="C323" s="73" t="s">
        <v>5098</v>
      </c>
      <c r="D323" s="92" t="s">
        <v>5240</v>
      </c>
      <c r="E323" s="91" t="s">
        <v>1442</v>
      </c>
      <c r="F323" s="58" t="s">
        <v>5295</v>
      </c>
      <c r="G323" s="58" t="s">
        <v>5295</v>
      </c>
      <c r="H323" s="58" t="s">
        <v>5294</v>
      </c>
      <c r="I323" s="58" t="s">
        <v>5294</v>
      </c>
      <c r="J323" s="58" t="s">
        <v>9</v>
      </c>
      <c r="K323" s="49" t="s">
        <v>5491</v>
      </c>
      <c r="P323" s="58"/>
    </row>
    <row r="324" spans="1:16">
      <c r="A324" s="90" t="s">
        <v>5095</v>
      </c>
      <c r="B324" s="90">
        <v>2820050366</v>
      </c>
      <c r="C324" s="73" t="s">
        <v>5098</v>
      </c>
      <c r="D324" s="92" t="s">
        <v>5241</v>
      </c>
      <c r="E324" s="91" t="s">
        <v>1443</v>
      </c>
      <c r="F324" s="58" t="s">
        <v>5295</v>
      </c>
      <c r="G324" s="58" t="s">
        <v>5295</v>
      </c>
      <c r="H324" s="58" t="s">
        <v>5294</v>
      </c>
      <c r="I324" s="58" t="s">
        <v>5294</v>
      </c>
      <c r="J324" s="58" t="s">
        <v>9</v>
      </c>
      <c r="K324" s="49" t="s">
        <v>5491</v>
      </c>
      <c r="P324" s="58"/>
    </row>
    <row r="325" spans="1:16">
      <c r="A325" s="90" t="s">
        <v>5095</v>
      </c>
      <c r="B325" s="90">
        <v>2820050367</v>
      </c>
      <c r="C325" s="73" t="s">
        <v>5098</v>
      </c>
      <c r="D325" s="92" t="s">
        <v>5242</v>
      </c>
      <c r="E325" s="91" t="s">
        <v>1444</v>
      </c>
      <c r="F325" s="58" t="s">
        <v>5295</v>
      </c>
      <c r="G325" s="58" t="s">
        <v>5295</v>
      </c>
      <c r="H325" s="58" t="s">
        <v>5294</v>
      </c>
      <c r="I325" s="58" t="s">
        <v>5294</v>
      </c>
      <c r="J325" s="58" t="s">
        <v>9</v>
      </c>
      <c r="K325" s="49" t="s">
        <v>5491</v>
      </c>
      <c r="P325" s="58"/>
    </row>
    <row r="326" spans="1:16">
      <c r="A326" s="90" t="s">
        <v>5095</v>
      </c>
      <c r="B326" s="90">
        <v>2820050368</v>
      </c>
      <c r="C326" s="73" t="s">
        <v>5098</v>
      </c>
      <c r="D326" s="92" t="s">
        <v>5243</v>
      </c>
      <c r="E326" s="91" t="s">
        <v>1445</v>
      </c>
      <c r="F326" s="58" t="s">
        <v>5295</v>
      </c>
      <c r="G326" s="58" t="s">
        <v>5295</v>
      </c>
      <c r="H326" s="58" t="s">
        <v>5294</v>
      </c>
      <c r="I326" s="58" t="s">
        <v>5294</v>
      </c>
      <c r="J326" s="58" t="s">
        <v>9</v>
      </c>
      <c r="K326" s="49" t="s">
        <v>5491</v>
      </c>
      <c r="P326" s="58"/>
    </row>
    <row r="327" spans="1:16">
      <c r="A327" s="90" t="s">
        <v>5095</v>
      </c>
      <c r="B327" s="90">
        <v>2820050369</v>
      </c>
      <c r="C327" s="73" t="s">
        <v>5098</v>
      </c>
      <c r="D327" s="92" t="s">
        <v>5119</v>
      </c>
      <c r="E327" s="91" t="s">
        <v>1446</v>
      </c>
      <c r="F327" s="58" t="s">
        <v>5295</v>
      </c>
      <c r="G327" s="58" t="s">
        <v>5295</v>
      </c>
      <c r="H327" s="58" t="s">
        <v>5294</v>
      </c>
      <c r="I327" s="58" t="s">
        <v>5294</v>
      </c>
      <c r="J327" s="58" t="s">
        <v>9</v>
      </c>
      <c r="K327" s="49" t="s">
        <v>5491</v>
      </c>
      <c r="P327" s="58"/>
    </row>
    <row r="328" spans="1:16">
      <c r="A328" s="90" t="s">
        <v>5095</v>
      </c>
      <c r="B328" s="90">
        <v>2820050370</v>
      </c>
      <c r="C328" s="73" t="s">
        <v>5098</v>
      </c>
      <c r="D328" s="92" t="s">
        <v>5120</v>
      </c>
      <c r="E328" s="91" t="s">
        <v>1447</v>
      </c>
      <c r="F328" s="58" t="s">
        <v>5295</v>
      </c>
      <c r="G328" s="58" t="s">
        <v>5295</v>
      </c>
      <c r="H328" s="58" t="s">
        <v>5294</v>
      </c>
      <c r="I328" s="58" t="s">
        <v>5294</v>
      </c>
      <c r="J328" s="58" t="s">
        <v>9</v>
      </c>
      <c r="K328" s="49" t="s">
        <v>5491</v>
      </c>
      <c r="P328" s="58"/>
    </row>
    <row r="329" spans="1:16">
      <c r="A329" s="90" t="s">
        <v>5095</v>
      </c>
      <c r="B329" s="90">
        <v>2820050371</v>
      </c>
      <c r="C329" s="73" t="s">
        <v>5098</v>
      </c>
      <c r="D329" s="92" t="s">
        <v>5121</v>
      </c>
      <c r="E329" s="91" t="s">
        <v>1448</v>
      </c>
      <c r="F329" s="58" t="s">
        <v>5295</v>
      </c>
      <c r="G329" s="58" t="s">
        <v>5295</v>
      </c>
      <c r="H329" s="58" t="s">
        <v>5294</v>
      </c>
      <c r="I329" s="58" t="s">
        <v>5294</v>
      </c>
      <c r="J329" s="58" t="s">
        <v>9</v>
      </c>
      <c r="K329" s="49" t="s">
        <v>5491</v>
      </c>
      <c r="P329" s="58"/>
    </row>
    <row r="330" spans="1:16">
      <c r="A330" s="90" t="s">
        <v>5095</v>
      </c>
      <c r="B330" s="90">
        <v>2820050372</v>
      </c>
      <c r="C330" s="73" t="s">
        <v>5098</v>
      </c>
      <c r="D330" s="92" t="s">
        <v>5122</v>
      </c>
      <c r="E330" s="91" t="s">
        <v>1449</v>
      </c>
      <c r="F330" s="58" t="s">
        <v>5295</v>
      </c>
      <c r="G330" s="58" t="s">
        <v>5295</v>
      </c>
      <c r="H330" s="58" t="s">
        <v>5294</v>
      </c>
      <c r="I330" s="58" t="s">
        <v>5294</v>
      </c>
      <c r="J330" s="58" t="s">
        <v>9</v>
      </c>
      <c r="K330" s="49" t="s">
        <v>5491</v>
      </c>
      <c r="P330" s="58"/>
    </row>
    <row r="331" spans="1:16">
      <c r="A331" s="90" t="s">
        <v>5095</v>
      </c>
      <c r="B331" s="90">
        <v>2820050373</v>
      </c>
      <c r="C331" s="73" t="s">
        <v>5098</v>
      </c>
      <c r="D331" s="92" t="s">
        <v>5123</v>
      </c>
      <c r="E331" s="91" t="s">
        <v>1450</v>
      </c>
      <c r="F331" s="58" t="s">
        <v>5295</v>
      </c>
      <c r="G331" s="58" t="s">
        <v>5295</v>
      </c>
      <c r="H331" s="58" t="s">
        <v>5294</v>
      </c>
      <c r="I331" s="58" t="s">
        <v>5294</v>
      </c>
      <c r="J331" s="58" t="s">
        <v>9</v>
      </c>
      <c r="K331" s="49" t="s">
        <v>5491</v>
      </c>
      <c r="P331" s="58"/>
    </row>
    <row r="332" spans="1:16">
      <c r="A332" s="90" t="s">
        <v>5095</v>
      </c>
      <c r="B332" s="90">
        <v>2820050374</v>
      </c>
      <c r="C332" s="73" t="s">
        <v>5098</v>
      </c>
      <c r="D332" s="92" t="s">
        <v>5124</v>
      </c>
      <c r="E332" s="91" t="s">
        <v>1451</v>
      </c>
      <c r="F332" s="58" t="s">
        <v>5295</v>
      </c>
      <c r="G332" s="58" t="s">
        <v>5295</v>
      </c>
      <c r="H332" s="58" t="s">
        <v>5294</v>
      </c>
      <c r="I332" s="58" t="s">
        <v>5294</v>
      </c>
      <c r="J332" s="58" t="s">
        <v>9</v>
      </c>
      <c r="K332" s="49" t="s">
        <v>5491</v>
      </c>
      <c r="P332" s="58"/>
    </row>
    <row r="333" spans="1:16">
      <c r="A333" s="90" t="s">
        <v>5095</v>
      </c>
      <c r="B333" s="90">
        <v>2820050375</v>
      </c>
      <c r="C333" s="73" t="s">
        <v>5098</v>
      </c>
      <c r="D333" s="92" t="s">
        <v>5125</v>
      </c>
      <c r="E333" s="91" t="s">
        <v>1452</v>
      </c>
      <c r="F333" s="58" t="s">
        <v>5295</v>
      </c>
      <c r="G333" s="58" t="s">
        <v>5295</v>
      </c>
      <c r="H333" s="58" t="s">
        <v>5294</v>
      </c>
      <c r="I333" s="58" t="s">
        <v>5294</v>
      </c>
      <c r="J333" s="58" t="s">
        <v>9</v>
      </c>
      <c r="K333" s="49" t="s">
        <v>5491</v>
      </c>
      <c r="P333" s="58"/>
    </row>
    <row r="334" spans="1:16">
      <c r="A334" s="90" t="s">
        <v>5095</v>
      </c>
      <c r="B334" s="90">
        <v>2820050401</v>
      </c>
      <c r="C334" s="73" t="s">
        <v>5098</v>
      </c>
      <c r="D334" s="92" t="s">
        <v>5284</v>
      </c>
      <c r="E334" s="91">
        <v>1102020101</v>
      </c>
      <c r="F334" s="58" t="s">
        <v>5295</v>
      </c>
      <c r="G334" s="58" t="s">
        <v>5295</v>
      </c>
      <c r="H334" s="58" t="s">
        <v>5294</v>
      </c>
      <c r="I334" s="58" t="s">
        <v>5294</v>
      </c>
      <c r="J334" s="58" t="s">
        <v>9</v>
      </c>
      <c r="K334" s="49" t="s">
        <v>5491</v>
      </c>
      <c r="P334" s="58"/>
    </row>
    <row r="335" spans="1:16">
      <c r="A335" s="90" t="s">
        <v>5095</v>
      </c>
      <c r="B335" s="90">
        <v>2820050402</v>
      </c>
      <c r="C335" s="73" t="s">
        <v>5098</v>
      </c>
      <c r="D335" s="92" t="s">
        <v>5174</v>
      </c>
      <c r="E335" s="91">
        <v>1102020116</v>
      </c>
      <c r="F335" s="58" t="s">
        <v>5295</v>
      </c>
      <c r="G335" s="58" t="s">
        <v>5295</v>
      </c>
      <c r="H335" s="58" t="s">
        <v>5294</v>
      </c>
      <c r="I335" s="58" t="s">
        <v>5294</v>
      </c>
      <c r="J335" s="58" t="s">
        <v>9</v>
      </c>
      <c r="K335" s="49" t="s">
        <v>5491</v>
      </c>
      <c r="P335" s="58"/>
    </row>
    <row r="336" spans="1:16">
      <c r="A336" s="90" t="s">
        <v>5095</v>
      </c>
      <c r="B336" s="90">
        <v>2820050403</v>
      </c>
      <c r="C336" s="73" t="s">
        <v>5098</v>
      </c>
      <c r="D336" s="92" t="s">
        <v>5175</v>
      </c>
      <c r="E336" s="91">
        <v>1102020117</v>
      </c>
      <c r="F336" s="58" t="s">
        <v>5295</v>
      </c>
      <c r="G336" s="58" t="s">
        <v>5295</v>
      </c>
      <c r="H336" s="58" t="s">
        <v>5294</v>
      </c>
      <c r="I336" s="58" t="s">
        <v>5294</v>
      </c>
      <c r="J336" s="58" t="s">
        <v>9</v>
      </c>
      <c r="K336" s="49" t="s">
        <v>5491</v>
      </c>
      <c r="P336" s="58"/>
    </row>
    <row r="337" spans="1:16">
      <c r="A337" s="90" t="s">
        <v>5095</v>
      </c>
      <c r="B337" s="90">
        <v>2820063020</v>
      </c>
      <c r="C337" s="73" t="s">
        <v>5104</v>
      </c>
      <c r="D337" s="92" t="s">
        <v>5179</v>
      </c>
      <c r="E337" s="91">
        <v>1102024109</v>
      </c>
      <c r="F337" s="58" t="s">
        <v>5295</v>
      </c>
      <c r="G337" s="58" t="s">
        <v>5295</v>
      </c>
      <c r="H337" s="58" t="s">
        <v>5294</v>
      </c>
      <c r="I337" s="58" t="s">
        <v>5294</v>
      </c>
      <c r="J337" s="58" t="s">
        <v>9</v>
      </c>
      <c r="K337" s="49" t="s">
        <v>5492</v>
      </c>
      <c r="P337" s="58"/>
    </row>
    <row r="338" spans="1:16">
      <c r="A338" s="90" t="s">
        <v>5095</v>
      </c>
      <c r="B338" s="90">
        <v>2820063030</v>
      </c>
      <c r="C338" s="73" t="s">
        <v>5104</v>
      </c>
      <c r="D338" s="92" t="s">
        <v>5191</v>
      </c>
      <c r="E338" s="91">
        <v>1102060101</v>
      </c>
      <c r="F338" s="58" t="s">
        <v>5295</v>
      </c>
      <c r="G338" s="58" t="s">
        <v>5295</v>
      </c>
      <c r="H338" s="58" t="s">
        <v>5294</v>
      </c>
      <c r="I338" s="58" t="s">
        <v>5294</v>
      </c>
      <c r="J338" s="58" t="s">
        <v>9</v>
      </c>
      <c r="K338" s="49" t="s">
        <v>5493</v>
      </c>
      <c r="P338" s="58"/>
    </row>
    <row r="339" spans="1:16">
      <c r="A339" s="90" t="s">
        <v>5095</v>
      </c>
      <c r="B339" s="90">
        <v>2820063040</v>
      </c>
      <c r="C339" s="73" t="s">
        <v>5104</v>
      </c>
      <c r="D339" s="92" t="s">
        <v>5167</v>
      </c>
      <c r="E339" s="91">
        <v>1102014105</v>
      </c>
      <c r="F339" s="58" t="s">
        <v>5295</v>
      </c>
      <c r="G339" s="58" t="s">
        <v>5295</v>
      </c>
      <c r="H339" s="58" t="s">
        <v>5294</v>
      </c>
      <c r="I339" s="58" t="s">
        <v>5294</v>
      </c>
      <c r="J339" s="58" t="s">
        <v>9</v>
      </c>
      <c r="K339" s="49" t="s">
        <v>5494</v>
      </c>
      <c r="P339" s="58"/>
    </row>
    <row r="340" spans="1:16">
      <c r="A340" s="90" t="s">
        <v>5095</v>
      </c>
      <c r="B340" s="90">
        <v>2820063050</v>
      </c>
      <c r="C340" s="73" t="s">
        <v>5104</v>
      </c>
      <c r="D340" s="92" t="s">
        <v>5184</v>
      </c>
      <c r="E340" s="91">
        <v>1102034107</v>
      </c>
      <c r="F340" s="58" t="s">
        <v>5295</v>
      </c>
      <c r="G340" s="58" t="s">
        <v>5295</v>
      </c>
      <c r="H340" s="58" t="s">
        <v>5294</v>
      </c>
      <c r="I340" s="58" t="s">
        <v>5294</v>
      </c>
      <c r="J340" s="58" t="s">
        <v>9</v>
      </c>
      <c r="K340" s="49" t="s">
        <v>5495</v>
      </c>
      <c r="P340" s="58"/>
    </row>
    <row r="341" spans="1:16">
      <c r="A341" s="90" t="s">
        <v>5095</v>
      </c>
      <c r="B341" s="90">
        <v>2820063110</v>
      </c>
      <c r="C341" s="73" t="s">
        <v>5104</v>
      </c>
      <c r="D341" s="92" t="s">
        <v>5193</v>
      </c>
      <c r="E341" s="91">
        <v>1102070101</v>
      </c>
      <c r="F341" s="58" t="s">
        <v>5295</v>
      </c>
      <c r="G341" s="58" t="s">
        <v>5295</v>
      </c>
      <c r="H341" s="58" t="s">
        <v>5294</v>
      </c>
      <c r="I341" s="58" t="s">
        <v>5294</v>
      </c>
      <c r="J341" s="58" t="s">
        <v>9</v>
      </c>
      <c r="K341" s="49" t="s">
        <v>5496</v>
      </c>
      <c r="P341" s="58"/>
    </row>
    <row r="342" spans="1:16">
      <c r="A342" s="90" t="s">
        <v>5095</v>
      </c>
      <c r="B342" s="90">
        <v>2820063150</v>
      </c>
      <c r="C342" s="73" t="s">
        <v>5104</v>
      </c>
      <c r="D342" s="92" t="s">
        <v>5195</v>
      </c>
      <c r="E342" s="91">
        <v>1102080101</v>
      </c>
      <c r="F342" s="58" t="s">
        <v>5295</v>
      </c>
      <c r="G342" s="58" t="s">
        <v>5295</v>
      </c>
      <c r="H342" s="58" t="s">
        <v>5294</v>
      </c>
      <c r="I342" s="58" t="s">
        <v>5294</v>
      </c>
      <c r="J342" s="58" t="s">
        <v>9</v>
      </c>
      <c r="K342" s="49" t="s">
        <v>5497</v>
      </c>
      <c r="P342" s="58"/>
    </row>
    <row r="343" spans="1:16">
      <c r="A343" s="90" t="s">
        <v>5095</v>
      </c>
      <c r="B343" s="90">
        <v>2820063160</v>
      </c>
      <c r="C343" s="73" t="s">
        <v>5104</v>
      </c>
      <c r="D343" s="92" t="s">
        <v>5197</v>
      </c>
      <c r="E343" s="91">
        <v>1102090101</v>
      </c>
      <c r="F343" s="58" t="s">
        <v>5295</v>
      </c>
      <c r="G343" s="58" t="s">
        <v>5295</v>
      </c>
      <c r="H343" s="58" t="s">
        <v>5294</v>
      </c>
      <c r="I343" s="58" t="s">
        <v>5294</v>
      </c>
      <c r="J343" s="58" t="s">
        <v>9</v>
      </c>
      <c r="K343" s="49" t="s">
        <v>5498</v>
      </c>
      <c r="P343" s="58"/>
    </row>
    <row r="344" spans="1:16">
      <c r="A344" s="90" t="s">
        <v>5095</v>
      </c>
      <c r="B344" s="90">
        <v>2820063230</v>
      </c>
      <c r="C344" s="73" t="s">
        <v>5104</v>
      </c>
      <c r="D344" s="92" t="s">
        <v>5185</v>
      </c>
      <c r="E344" s="91">
        <v>1102034108</v>
      </c>
      <c r="F344" s="58" t="s">
        <v>5295</v>
      </c>
      <c r="G344" s="58" t="s">
        <v>5295</v>
      </c>
      <c r="H344" s="58" t="s">
        <v>5294</v>
      </c>
      <c r="I344" s="58" t="s">
        <v>5294</v>
      </c>
      <c r="J344" s="58" t="s">
        <v>9</v>
      </c>
      <c r="K344" s="49" t="s">
        <v>5499</v>
      </c>
      <c r="P344" s="58"/>
    </row>
    <row r="345" spans="1:16">
      <c r="A345" s="90" t="s">
        <v>5095</v>
      </c>
      <c r="B345" s="90">
        <v>2820063240</v>
      </c>
      <c r="C345" s="73" t="s">
        <v>5104</v>
      </c>
      <c r="D345" s="92" t="s">
        <v>5180</v>
      </c>
      <c r="E345" s="91">
        <v>1102024110</v>
      </c>
      <c r="F345" s="58" t="s">
        <v>5295</v>
      </c>
      <c r="G345" s="58" t="s">
        <v>5295</v>
      </c>
      <c r="H345" s="58" t="s">
        <v>5294</v>
      </c>
      <c r="I345" s="58" t="s">
        <v>5294</v>
      </c>
      <c r="J345" s="58" t="s">
        <v>9</v>
      </c>
      <c r="K345" s="49" t="s">
        <v>5500</v>
      </c>
      <c r="P345" s="58"/>
    </row>
    <row r="346" spans="1:16">
      <c r="A346" s="90" t="s">
        <v>5095</v>
      </c>
      <c r="B346" s="90">
        <v>2820063250</v>
      </c>
      <c r="C346" s="73" t="s">
        <v>5104</v>
      </c>
      <c r="D346" s="92" t="s">
        <v>5169</v>
      </c>
      <c r="E346" s="91">
        <v>1102014107</v>
      </c>
      <c r="F346" s="58" t="s">
        <v>5295</v>
      </c>
      <c r="G346" s="58" t="s">
        <v>5295</v>
      </c>
      <c r="H346" s="58" t="s">
        <v>5294</v>
      </c>
      <c r="I346" s="58" t="s">
        <v>5294</v>
      </c>
      <c r="J346" s="58" t="s">
        <v>9</v>
      </c>
      <c r="K346" s="49" t="s">
        <v>5501</v>
      </c>
      <c r="P346" s="58"/>
    </row>
    <row r="347" spans="1:16">
      <c r="A347" s="90" t="s">
        <v>5095</v>
      </c>
      <c r="B347" s="90">
        <v>2820063260</v>
      </c>
      <c r="C347" s="73" t="s">
        <v>5104</v>
      </c>
      <c r="D347" s="92" t="s">
        <v>5200</v>
      </c>
      <c r="E347" s="91">
        <v>1102100102</v>
      </c>
      <c r="F347" s="58" t="s">
        <v>5295</v>
      </c>
      <c r="G347" s="58" t="s">
        <v>5295</v>
      </c>
      <c r="H347" s="58" t="s">
        <v>5294</v>
      </c>
      <c r="I347" s="58" t="s">
        <v>5294</v>
      </c>
      <c r="J347" s="58" t="s">
        <v>9</v>
      </c>
      <c r="K347" s="49" t="s">
        <v>5502</v>
      </c>
      <c r="P347" s="58"/>
    </row>
    <row r="348" spans="1:16">
      <c r="A348" s="90" t="s">
        <v>5095</v>
      </c>
      <c r="B348" s="90">
        <v>2820063270</v>
      </c>
      <c r="C348" s="73" t="s">
        <v>5104</v>
      </c>
      <c r="D348" s="92" t="s">
        <v>5194</v>
      </c>
      <c r="E348" s="91">
        <v>1102070102</v>
      </c>
      <c r="F348" s="58" t="s">
        <v>5295</v>
      </c>
      <c r="G348" s="58" t="s">
        <v>5295</v>
      </c>
      <c r="H348" s="58" t="s">
        <v>5294</v>
      </c>
      <c r="I348" s="58" t="s">
        <v>5294</v>
      </c>
      <c r="J348" s="58" t="s">
        <v>9</v>
      </c>
      <c r="K348" s="49" t="s">
        <v>5503</v>
      </c>
      <c r="P348" s="58"/>
    </row>
    <row r="349" spans="1:16">
      <c r="A349" s="90" t="s">
        <v>5095</v>
      </c>
      <c r="B349" s="90">
        <v>2820063290</v>
      </c>
      <c r="C349" s="73" t="s">
        <v>5104</v>
      </c>
      <c r="D349" s="92" t="s">
        <v>5168</v>
      </c>
      <c r="E349" s="91">
        <v>1102014106</v>
      </c>
      <c r="F349" s="58" t="s">
        <v>5295</v>
      </c>
      <c r="G349" s="58" t="s">
        <v>5295</v>
      </c>
      <c r="H349" s="58" t="s">
        <v>5294</v>
      </c>
      <c r="I349" s="58" t="s">
        <v>5294</v>
      </c>
      <c r="J349" s="58" t="s">
        <v>9</v>
      </c>
      <c r="K349" s="49" t="s">
        <v>5504</v>
      </c>
      <c r="P349" s="58"/>
    </row>
    <row r="350" spans="1:16">
      <c r="A350" s="90" t="s">
        <v>5095</v>
      </c>
      <c r="B350" s="90">
        <v>2820063300</v>
      </c>
      <c r="C350" s="73" t="s">
        <v>5104</v>
      </c>
      <c r="D350" s="92" t="s">
        <v>5198</v>
      </c>
      <c r="E350" s="91">
        <v>1102090102</v>
      </c>
      <c r="F350" s="58" t="s">
        <v>5295</v>
      </c>
      <c r="G350" s="58" t="s">
        <v>5295</v>
      </c>
      <c r="H350" s="58" t="s">
        <v>5294</v>
      </c>
      <c r="I350" s="58" t="s">
        <v>5294</v>
      </c>
      <c r="J350" s="58" t="s">
        <v>9</v>
      </c>
      <c r="K350" s="49" t="s">
        <v>5505</v>
      </c>
      <c r="P350" s="58"/>
    </row>
    <row r="351" spans="1:16">
      <c r="A351" s="90" t="s">
        <v>5095</v>
      </c>
      <c r="B351" s="90">
        <v>2820063310</v>
      </c>
      <c r="C351" s="73" t="s">
        <v>5104</v>
      </c>
      <c r="D351" s="92" t="s">
        <v>5190</v>
      </c>
      <c r="E351" s="91">
        <v>1102050102</v>
      </c>
      <c r="F351" s="58" t="s">
        <v>5295</v>
      </c>
      <c r="G351" s="58" t="s">
        <v>5295</v>
      </c>
      <c r="H351" s="58" t="s">
        <v>5294</v>
      </c>
      <c r="I351" s="58" t="s">
        <v>5294</v>
      </c>
      <c r="J351" s="58" t="s">
        <v>9</v>
      </c>
      <c r="K351" s="49" t="s">
        <v>5506</v>
      </c>
      <c r="P351" s="58"/>
    </row>
    <row r="352" spans="1:16">
      <c r="A352" s="90" t="s">
        <v>5095</v>
      </c>
      <c r="B352" s="90">
        <v>2820063320</v>
      </c>
      <c r="C352" s="73" t="s">
        <v>5104</v>
      </c>
      <c r="D352" s="92" t="s">
        <v>5181</v>
      </c>
      <c r="E352" s="91">
        <v>1102024111</v>
      </c>
      <c r="F352" s="58" t="s">
        <v>5295</v>
      </c>
      <c r="G352" s="58" t="s">
        <v>5295</v>
      </c>
      <c r="H352" s="58" t="s">
        <v>5294</v>
      </c>
      <c r="I352" s="58" t="s">
        <v>5294</v>
      </c>
      <c r="J352" s="58" t="s">
        <v>9</v>
      </c>
      <c r="K352" s="49" t="s">
        <v>5507</v>
      </c>
      <c r="P352" s="58"/>
    </row>
    <row r="353" spans="1:16">
      <c r="A353" s="90" t="s">
        <v>5095</v>
      </c>
      <c r="B353" s="90">
        <v>2820063350</v>
      </c>
      <c r="C353" s="73" t="s">
        <v>5104</v>
      </c>
      <c r="D353" s="92" t="s">
        <v>5179</v>
      </c>
      <c r="E353" s="91">
        <v>1102024113</v>
      </c>
      <c r="F353" s="58" t="s">
        <v>5295</v>
      </c>
      <c r="G353" s="58" t="s">
        <v>5295</v>
      </c>
      <c r="H353" s="58" t="s">
        <v>5294</v>
      </c>
      <c r="I353" s="58" t="s">
        <v>5294</v>
      </c>
      <c r="J353" s="58" t="s">
        <v>9</v>
      </c>
      <c r="K353" s="49" t="s">
        <v>5508</v>
      </c>
      <c r="P353" s="58"/>
    </row>
    <row r="354" spans="1:16">
      <c r="A354" s="90" t="s">
        <v>5095</v>
      </c>
      <c r="B354" s="90">
        <v>2820063360</v>
      </c>
      <c r="C354" s="73" t="s">
        <v>5104</v>
      </c>
      <c r="D354" s="92" t="s">
        <v>5178</v>
      </c>
      <c r="E354" s="91">
        <v>1102024112</v>
      </c>
      <c r="F354" s="58" t="s">
        <v>5295</v>
      </c>
      <c r="G354" s="58" t="s">
        <v>5295</v>
      </c>
      <c r="H354" s="58" t="s">
        <v>5294</v>
      </c>
      <c r="I354" s="58" t="s">
        <v>5294</v>
      </c>
      <c r="J354" s="58" t="s">
        <v>9</v>
      </c>
      <c r="K354" s="49" t="s">
        <v>5509</v>
      </c>
      <c r="P354" s="58"/>
    </row>
    <row r="355" spans="1:16">
      <c r="A355" s="90" t="s">
        <v>5095</v>
      </c>
      <c r="B355" s="90">
        <v>2820063660</v>
      </c>
      <c r="C355" s="73" t="s">
        <v>5104</v>
      </c>
      <c r="D355" s="92" t="s">
        <v>5192</v>
      </c>
      <c r="E355" s="91">
        <v>1102060102</v>
      </c>
      <c r="F355" s="58" t="s">
        <v>5295</v>
      </c>
      <c r="G355" s="58" t="s">
        <v>5295</v>
      </c>
      <c r="H355" s="58" t="s">
        <v>5294</v>
      </c>
      <c r="I355" s="58" t="s">
        <v>5294</v>
      </c>
      <c r="J355" s="58" t="s">
        <v>9</v>
      </c>
      <c r="K355" s="49" t="s">
        <v>5510</v>
      </c>
      <c r="P355" s="58"/>
    </row>
    <row r="356" spans="1:16">
      <c r="A356" s="90" t="s">
        <v>5095</v>
      </c>
      <c r="B356" s="90">
        <v>2820063730</v>
      </c>
      <c r="C356" s="73" t="s">
        <v>5104</v>
      </c>
      <c r="D356" s="92" t="s">
        <v>5186</v>
      </c>
      <c r="E356" s="91">
        <v>1102034109</v>
      </c>
      <c r="F356" s="58" t="s">
        <v>5295</v>
      </c>
      <c r="G356" s="58" t="s">
        <v>5295</v>
      </c>
      <c r="H356" s="58" t="s">
        <v>5294</v>
      </c>
      <c r="I356" s="58" t="s">
        <v>5294</v>
      </c>
      <c r="J356" s="58" t="s">
        <v>9</v>
      </c>
      <c r="K356" s="49" t="s">
        <v>5511</v>
      </c>
      <c r="P356" s="58"/>
    </row>
    <row r="357" spans="1:16">
      <c r="A357" s="90" t="s">
        <v>5095</v>
      </c>
      <c r="B357" s="90">
        <v>2820063870</v>
      </c>
      <c r="C357" s="73" t="s">
        <v>5104</v>
      </c>
      <c r="D357" s="92" t="s">
        <v>5196</v>
      </c>
      <c r="E357" s="91">
        <v>1102080102</v>
      </c>
      <c r="F357" s="58" t="s">
        <v>5295</v>
      </c>
      <c r="G357" s="58" t="s">
        <v>5295</v>
      </c>
      <c r="H357" s="58" t="s">
        <v>5294</v>
      </c>
      <c r="I357" s="58" t="s">
        <v>5294</v>
      </c>
      <c r="J357" s="58" t="s">
        <v>9</v>
      </c>
      <c r="K357" s="49" t="s">
        <v>5512</v>
      </c>
      <c r="P357" s="58"/>
    </row>
    <row r="358" spans="1:16">
      <c r="A358" s="90" t="s">
        <v>5095</v>
      </c>
      <c r="B358" s="90">
        <v>2820063880</v>
      </c>
      <c r="C358" s="73" t="s">
        <v>5104</v>
      </c>
      <c r="D358" s="92" t="s">
        <v>5170</v>
      </c>
      <c r="E358" s="91">
        <v>1102014108</v>
      </c>
      <c r="F358" s="58" t="s">
        <v>5295</v>
      </c>
      <c r="G358" s="58" t="s">
        <v>5295</v>
      </c>
      <c r="H358" s="58" t="s">
        <v>5294</v>
      </c>
      <c r="I358" s="58" t="s">
        <v>5294</v>
      </c>
      <c r="J358" s="58" t="s">
        <v>9</v>
      </c>
      <c r="K358" s="49" t="s">
        <v>5513</v>
      </c>
      <c r="P358" s="58"/>
    </row>
    <row r="359" spans="1:16">
      <c r="A359" s="90" t="s">
        <v>5095</v>
      </c>
      <c r="B359" s="90">
        <v>2820063890</v>
      </c>
      <c r="C359" s="73" t="s">
        <v>5104</v>
      </c>
      <c r="D359" s="92" t="s">
        <v>5167</v>
      </c>
      <c r="E359" s="91">
        <v>1102014104</v>
      </c>
      <c r="F359" s="58" t="s">
        <v>5295</v>
      </c>
      <c r="G359" s="58" t="s">
        <v>5295</v>
      </c>
      <c r="H359" s="58" t="s">
        <v>5294</v>
      </c>
      <c r="I359" s="58" t="s">
        <v>5294</v>
      </c>
      <c r="J359" s="58" t="s">
        <v>9</v>
      </c>
      <c r="K359" s="49" t="s">
        <v>5514</v>
      </c>
      <c r="P359" s="58"/>
    </row>
    <row r="360" spans="1:16">
      <c r="A360" s="90" t="s">
        <v>5095</v>
      </c>
      <c r="B360" s="90">
        <v>2820064160</v>
      </c>
      <c r="C360" s="73" t="s">
        <v>5104</v>
      </c>
      <c r="D360" s="92" t="s">
        <v>5168</v>
      </c>
      <c r="E360" s="91">
        <v>1102014109</v>
      </c>
      <c r="F360" s="58" t="s">
        <v>5295</v>
      </c>
      <c r="G360" s="58" t="s">
        <v>5295</v>
      </c>
      <c r="H360" s="58" t="s">
        <v>5294</v>
      </c>
      <c r="I360" s="58" t="s">
        <v>5294</v>
      </c>
      <c r="J360" s="58" t="s">
        <v>9</v>
      </c>
      <c r="K360" s="49" t="s">
        <v>5515</v>
      </c>
      <c r="P360" s="58"/>
    </row>
    <row r="361" spans="1:16">
      <c r="A361" s="90" t="s">
        <v>5095</v>
      </c>
      <c r="B361" s="90">
        <v>2820064170</v>
      </c>
      <c r="C361" s="73" t="s">
        <v>5104</v>
      </c>
      <c r="D361" s="92" t="s">
        <v>5170</v>
      </c>
      <c r="E361" s="91">
        <v>1102014110</v>
      </c>
      <c r="F361" s="58" t="s">
        <v>5295</v>
      </c>
      <c r="G361" s="58" t="s">
        <v>5295</v>
      </c>
      <c r="H361" s="58" t="s">
        <v>5294</v>
      </c>
      <c r="I361" s="58" t="s">
        <v>5294</v>
      </c>
      <c r="J361" s="58" t="s">
        <v>9</v>
      </c>
      <c r="K361" s="49" t="s">
        <v>5516</v>
      </c>
      <c r="P361" s="58"/>
    </row>
    <row r="362" spans="1:16">
      <c r="A362" s="90" t="s">
        <v>5095</v>
      </c>
      <c r="B362" s="90">
        <v>2820064680</v>
      </c>
      <c r="C362" s="73" t="s">
        <v>5104</v>
      </c>
      <c r="D362" s="92" t="s">
        <v>5199</v>
      </c>
      <c r="E362" s="91">
        <v>1102100101</v>
      </c>
      <c r="F362" s="58" t="s">
        <v>5295</v>
      </c>
      <c r="G362" s="58" t="s">
        <v>5295</v>
      </c>
      <c r="H362" s="58" t="s">
        <v>5294</v>
      </c>
      <c r="I362" s="58" t="s">
        <v>5294</v>
      </c>
      <c r="J362" s="58" t="s">
        <v>9</v>
      </c>
      <c r="K362" s="49" t="s">
        <v>5517</v>
      </c>
      <c r="P362" s="58"/>
    </row>
    <row r="363" spans="1:16">
      <c r="A363" s="90" t="s">
        <v>5095</v>
      </c>
      <c r="B363" s="90">
        <v>2820064820</v>
      </c>
      <c r="C363" s="73" t="s">
        <v>5104</v>
      </c>
      <c r="D363" s="92" t="s">
        <v>5201</v>
      </c>
      <c r="E363" s="91">
        <v>1102110101</v>
      </c>
      <c r="F363" s="58" t="s">
        <v>5295</v>
      </c>
      <c r="G363" s="58" t="s">
        <v>5295</v>
      </c>
      <c r="H363" s="58" t="s">
        <v>5294</v>
      </c>
      <c r="I363" s="58" t="s">
        <v>5294</v>
      </c>
      <c r="J363" s="58" t="s">
        <v>9</v>
      </c>
      <c r="K363" s="49" t="s">
        <v>5518</v>
      </c>
      <c r="P363" s="58"/>
    </row>
    <row r="364" spans="1:16">
      <c r="A364" s="90" t="s">
        <v>5095</v>
      </c>
      <c r="B364" s="90">
        <v>2820064960</v>
      </c>
      <c r="C364" s="73" t="s">
        <v>5104</v>
      </c>
      <c r="D364" s="92" t="s">
        <v>5202</v>
      </c>
      <c r="E364" s="91">
        <v>1102110102</v>
      </c>
      <c r="F364" s="58" t="s">
        <v>5295</v>
      </c>
      <c r="G364" s="58" t="s">
        <v>5295</v>
      </c>
      <c r="H364" s="58" t="s">
        <v>5294</v>
      </c>
      <c r="I364" s="58" t="s">
        <v>5294</v>
      </c>
      <c r="J364" s="58" t="s">
        <v>9</v>
      </c>
      <c r="K364" s="49" t="s">
        <v>5519</v>
      </c>
      <c r="P364" s="58"/>
    </row>
    <row r="365" spans="1:16">
      <c r="A365" s="90" t="s">
        <v>5095</v>
      </c>
      <c r="B365" s="90">
        <v>2820066900</v>
      </c>
      <c r="C365" s="73" t="s">
        <v>5104</v>
      </c>
      <c r="D365" s="92" t="s">
        <v>5169</v>
      </c>
      <c r="E365" s="91">
        <v>1102014111</v>
      </c>
      <c r="F365" s="58" t="s">
        <v>5295</v>
      </c>
      <c r="G365" s="58" t="s">
        <v>5295</v>
      </c>
      <c r="H365" s="58" t="s">
        <v>5294</v>
      </c>
      <c r="I365" s="58" t="s">
        <v>5294</v>
      </c>
      <c r="J365" s="58" t="s">
        <v>9</v>
      </c>
      <c r="K365" s="49" t="s">
        <v>5520</v>
      </c>
      <c r="P365" s="58"/>
    </row>
    <row r="366" spans="1:16">
      <c r="A366" s="90" t="s">
        <v>5095</v>
      </c>
      <c r="B366" s="90">
        <v>2820100101</v>
      </c>
      <c r="C366" s="73" t="s">
        <v>5102</v>
      </c>
      <c r="D366" s="92" t="s">
        <v>5346</v>
      </c>
      <c r="E366" s="91">
        <v>1102010502</v>
      </c>
      <c r="F366" s="58" t="s">
        <v>5295</v>
      </c>
      <c r="G366" s="58" t="s">
        <v>5295</v>
      </c>
      <c r="H366" s="58" t="s">
        <v>5294</v>
      </c>
      <c r="I366" s="58" t="s">
        <v>5294</v>
      </c>
      <c r="J366" s="58" t="s">
        <v>9</v>
      </c>
      <c r="K366" s="49" t="s">
        <v>5521</v>
      </c>
      <c r="P366" s="58"/>
    </row>
    <row r="367" spans="1:16">
      <c r="A367" s="90" t="s">
        <v>5095</v>
      </c>
      <c r="B367" s="90">
        <v>2820100102</v>
      </c>
      <c r="C367" s="73" t="s">
        <v>5102</v>
      </c>
      <c r="D367" s="92" t="s">
        <v>5257</v>
      </c>
      <c r="E367" s="91">
        <v>1102010503</v>
      </c>
      <c r="F367" s="58" t="s">
        <v>5295</v>
      </c>
      <c r="G367" s="58" t="s">
        <v>5295</v>
      </c>
      <c r="H367" s="58" t="s">
        <v>5294</v>
      </c>
      <c r="I367" s="58" t="s">
        <v>5294</v>
      </c>
      <c r="J367" s="58" t="s">
        <v>9</v>
      </c>
      <c r="K367" s="49" t="s">
        <v>5521</v>
      </c>
      <c r="P367" s="58"/>
    </row>
    <row r="368" spans="1:16">
      <c r="A368" s="90" t="s">
        <v>5095</v>
      </c>
      <c r="B368" s="90">
        <v>2820100103</v>
      </c>
      <c r="C368" s="73" t="s">
        <v>5102</v>
      </c>
      <c r="D368" s="92" t="s">
        <v>5150</v>
      </c>
      <c r="E368" s="91">
        <v>1102010525</v>
      </c>
      <c r="F368" s="58" t="s">
        <v>5295</v>
      </c>
      <c r="G368" s="58" t="s">
        <v>5295</v>
      </c>
      <c r="H368" s="58" t="s">
        <v>5294</v>
      </c>
      <c r="I368" s="58" t="s">
        <v>5294</v>
      </c>
      <c r="J368" s="58" t="s">
        <v>9</v>
      </c>
      <c r="K368" s="49" t="s">
        <v>5521</v>
      </c>
      <c r="P368" s="58"/>
    </row>
    <row r="369" spans="1:16">
      <c r="A369" s="90" t="s">
        <v>5095</v>
      </c>
      <c r="B369" s="90">
        <v>2820100104</v>
      </c>
      <c r="C369" s="73" t="s">
        <v>5102</v>
      </c>
      <c r="D369" s="92" t="s">
        <v>5151</v>
      </c>
      <c r="E369" s="91">
        <v>1102010526</v>
      </c>
      <c r="F369" s="58" t="s">
        <v>5295</v>
      </c>
      <c r="G369" s="58" t="s">
        <v>5295</v>
      </c>
      <c r="H369" s="58" t="s">
        <v>5294</v>
      </c>
      <c r="I369" s="58" t="s">
        <v>5294</v>
      </c>
      <c r="J369" s="58" t="s">
        <v>9</v>
      </c>
      <c r="K369" s="49" t="s">
        <v>5521</v>
      </c>
      <c r="P369" s="58"/>
    </row>
    <row r="370" spans="1:16">
      <c r="A370" s="90" t="s">
        <v>5095</v>
      </c>
      <c r="B370" s="90">
        <v>2820130201</v>
      </c>
      <c r="C370" s="73" t="s">
        <v>5101</v>
      </c>
      <c r="D370" s="92" t="s">
        <v>5254</v>
      </c>
      <c r="E370" s="91">
        <v>1102010403</v>
      </c>
      <c r="F370" s="58" t="s">
        <v>5295</v>
      </c>
      <c r="G370" s="58" t="s">
        <v>5295</v>
      </c>
      <c r="H370" s="58" t="s">
        <v>5294</v>
      </c>
      <c r="I370" s="58" t="s">
        <v>5294</v>
      </c>
      <c r="J370" s="58" t="s">
        <v>9</v>
      </c>
      <c r="K370" s="49" t="s">
        <v>5522</v>
      </c>
      <c r="P370" s="58"/>
    </row>
    <row r="371" spans="1:16">
      <c r="A371" s="90" t="s">
        <v>5095</v>
      </c>
      <c r="B371" s="90">
        <v>2820130202</v>
      </c>
      <c r="C371" s="73" t="s">
        <v>5101</v>
      </c>
      <c r="D371" s="92" t="s">
        <v>5347</v>
      </c>
      <c r="E371" s="91">
        <v>1102010413</v>
      </c>
      <c r="F371" s="58" t="s">
        <v>5295</v>
      </c>
      <c r="G371" s="58" t="s">
        <v>5295</v>
      </c>
      <c r="H371" s="58" t="s">
        <v>5294</v>
      </c>
      <c r="I371" s="58" t="s">
        <v>5294</v>
      </c>
      <c r="J371" s="58" t="s">
        <v>9</v>
      </c>
      <c r="K371" s="49" t="s">
        <v>5522</v>
      </c>
      <c r="P371" s="58"/>
    </row>
    <row r="372" spans="1:16">
      <c r="A372" s="90" t="s">
        <v>5095</v>
      </c>
      <c r="B372" s="90">
        <v>2820130203</v>
      </c>
      <c r="C372" s="73" t="s">
        <v>5101</v>
      </c>
      <c r="D372" s="92" t="s">
        <v>5348</v>
      </c>
      <c r="E372" s="91">
        <v>1102010416</v>
      </c>
      <c r="F372" s="58" t="s">
        <v>5295</v>
      </c>
      <c r="G372" s="58" t="s">
        <v>5295</v>
      </c>
      <c r="H372" s="58" t="s">
        <v>5294</v>
      </c>
      <c r="I372" s="58" t="s">
        <v>5294</v>
      </c>
      <c r="J372" s="58" t="s">
        <v>9</v>
      </c>
      <c r="K372" s="49" t="s">
        <v>5522</v>
      </c>
      <c r="P372" s="58"/>
    </row>
    <row r="373" spans="1:16">
      <c r="A373" s="90" t="s">
        <v>5095</v>
      </c>
      <c r="B373" s="90">
        <v>2820130204</v>
      </c>
      <c r="C373" s="73" t="s">
        <v>5101</v>
      </c>
      <c r="D373" s="92" t="s">
        <v>5349</v>
      </c>
      <c r="E373" s="91">
        <v>1102010417</v>
      </c>
      <c r="F373" s="58" t="s">
        <v>5295</v>
      </c>
      <c r="G373" s="58" t="s">
        <v>5295</v>
      </c>
      <c r="H373" s="58" t="s">
        <v>5294</v>
      </c>
      <c r="I373" s="58" t="s">
        <v>5294</v>
      </c>
      <c r="J373" s="58" t="s">
        <v>9</v>
      </c>
      <c r="K373" s="49" t="s">
        <v>5522</v>
      </c>
      <c r="P373" s="58"/>
    </row>
    <row r="374" spans="1:16">
      <c r="A374" s="90" t="s">
        <v>5095</v>
      </c>
      <c r="B374" s="90">
        <v>2820130205</v>
      </c>
      <c r="C374" s="73" t="s">
        <v>5101</v>
      </c>
      <c r="D374" s="92" t="s">
        <v>5140</v>
      </c>
      <c r="E374" s="91">
        <v>1102010419</v>
      </c>
      <c r="F374" s="58" t="s">
        <v>5295</v>
      </c>
      <c r="G374" s="58" t="s">
        <v>5295</v>
      </c>
      <c r="H374" s="58" t="s">
        <v>5294</v>
      </c>
      <c r="I374" s="58" t="s">
        <v>5294</v>
      </c>
      <c r="J374" s="58" t="s">
        <v>9</v>
      </c>
      <c r="K374" s="49" t="s">
        <v>5522</v>
      </c>
      <c r="P374" s="58"/>
    </row>
    <row r="375" spans="1:16">
      <c r="A375" s="90" t="s">
        <v>5095</v>
      </c>
      <c r="B375" s="90">
        <v>2820130206</v>
      </c>
      <c r="C375" s="73" t="s">
        <v>5101</v>
      </c>
      <c r="D375" s="92" t="s">
        <v>5255</v>
      </c>
      <c r="E375" s="91">
        <v>1102010420</v>
      </c>
      <c r="F375" s="58" t="s">
        <v>5295</v>
      </c>
      <c r="G375" s="58" t="s">
        <v>5295</v>
      </c>
      <c r="H375" s="58" t="s">
        <v>5294</v>
      </c>
      <c r="I375" s="58" t="s">
        <v>5294</v>
      </c>
      <c r="J375" s="58" t="s">
        <v>9</v>
      </c>
      <c r="K375" s="49" t="s">
        <v>5522</v>
      </c>
      <c r="P375" s="58"/>
    </row>
    <row r="376" spans="1:16">
      <c r="A376" s="90" t="s">
        <v>5095</v>
      </c>
      <c r="B376" s="90">
        <v>2820130207</v>
      </c>
      <c r="C376" s="73" t="s">
        <v>5101</v>
      </c>
      <c r="D376" s="92" t="s">
        <v>5350</v>
      </c>
      <c r="E376" s="91">
        <v>1102010421</v>
      </c>
      <c r="F376" s="58" t="s">
        <v>5295</v>
      </c>
      <c r="G376" s="58" t="s">
        <v>5295</v>
      </c>
      <c r="H376" s="58" t="s">
        <v>5294</v>
      </c>
      <c r="I376" s="58" t="s">
        <v>5294</v>
      </c>
      <c r="J376" s="58" t="s">
        <v>9</v>
      </c>
      <c r="K376" s="49" t="s">
        <v>5522</v>
      </c>
      <c r="P376" s="58"/>
    </row>
    <row r="377" spans="1:16">
      <c r="A377" s="90" t="s">
        <v>5095</v>
      </c>
      <c r="B377" s="90">
        <v>2820130208</v>
      </c>
      <c r="C377" s="73" t="s">
        <v>5101</v>
      </c>
      <c r="D377" s="92" t="s">
        <v>5351</v>
      </c>
      <c r="E377" s="91">
        <v>1102010422</v>
      </c>
      <c r="F377" s="58" t="s">
        <v>5295</v>
      </c>
      <c r="G377" s="58" t="s">
        <v>5295</v>
      </c>
      <c r="H377" s="58" t="s">
        <v>5294</v>
      </c>
      <c r="I377" s="58" t="s">
        <v>5294</v>
      </c>
      <c r="J377" s="58" t="s">
        <v>9</v>
      </c>
      <c r="K377" s="49" t="s">
        <v>5522</v>
      </c>
      <c r="P377" s="58"/>
    </row>
    <row r="378" spans="1:16">
      <c r="A378" s="90" t="s">
        <v>5095</v>
      </c>
      <c r="B378" s="90">
        <v>2820130209</v>
      </c>
      <c r="C378" s="73" t="s">
        <v>5101</v>
      </c>
      <c r="D378" s="92" t="s">
        <v>5352</v>
      </c>
      <c r="E378" s="91">
        <v>1102010424</v>
      </c>
      <c r="F378" s="58" t="s">
        <v>5295</v>
      </c>
      <c r="G378" s="58" t="s">
        <v>5295</v>
      </c>
      <c r="H378" s="58" t="s">
        <v>5294</v>
      </c>
      <c r="I378" s="58" t="s">
        <v>5294</v>
      </c>
      <c r="J378" s="58" t="s">
        <v>9</v>
      </c>
      <c r="K378" s="49" t="s">
        <v>5522</v>
      </c>
      <c r="P378" s="58"/>
    </row>
    <row r="379" spans="1:16">
      <c r="A379" s="90" t="s">
        <v>5095</v>
      </c>
      <c r="B379" s="90">
        <v>2820130210</v>
      </c>
      <c r="C379" s="73" t="s">
        <v>5101</v>
      </c>
      <c r="D379" s="92" t="s">
        <v>5353</v>
      </c>
      <c r="E379" s="91">
        <v>1102010425</v>
      </c>
      <c r="F379" s="58" t="s">
        <v>5295</v>
      </c>
      <c r="G379" s="58" t="s">
        <v>5295</v>
      </c>
      <c r="H379" s="58" t="s">
        <v>5294</v>
      </c>
      <c r="I379" s="58" t="s">
        <v>5294</v>
      </c>
      <c r="J379" s="58" t="s">
        <v>9</v>
      </c>
      <c r="K379" s="49" t="s">
        <v>5522</v>
      </c>
      <c r="P379" s="58"/>
    </row>
    <row r="380" spans="1:16">
      <c r="A380" s="90" t="s">
        <v>5095</v>
      </c>
      <c r="B380" s="90">
        <v>2820130211</v>
      </c>
      <c r="C380" s="73" t="s">
        <v>5101</v>
      </c>
      <c r="D380" s="92" t="s">
        <v>5354</v>
      </c>
      <c r="E380" s="91">
        <v>1102010426</v>
      </c>
      <c r="F380" s="58" t="s">
        <v>5295</v>
      </c>
      <c r="G380" s="58" t="s">
        <v>5295</v>
      </c>
      <c r="H380" s="58" t="s">
        <v>5294</v>
      </c>
      <c r="I380" s="58" t="s">
        <v>5294</v>
      </c>
      <c r="J380" s="58" t="s">
        <v>9</v>
      </c>
      <c r="K380" s="49" t="s">
        <v>5522</v>
      </c>
      <c r="P380" s="58"/>
    </row>
    <row r="381" spans="1:16">
      <c r="A381" s="90" t="s">
        <v>5095</v>
      </c>
      <c r="B381" s="90">
        <v>2820130212</v>
      </c>
      <c r="C381" s="73" t="s">
        <v>5101</v>
      </c>
      <c r="D381" s="92" t="s">
        <v>5256</v>
      </c>
      <c r="E381" s="91">
        <v>1102010427</v>
      </c>
      <c r="F381" s="58" t="s">
        <v>5295</v>
      </c>
      <c r="G381" s="58" t="s">
        <v>5295</v>
      </c>
      <c r="H381" s="58" t="s">
        <v>5294</v>
      </c>
      <c r="I381" s="58" t="s">
        <v>5294</v>
      </c>
      <c r="J381" s="58" t="s">
        <v>9</v>
      </c>
      <c r="K381" s="49" t="s">
        <v>5522</v>
      </c>
      <c r="P381" s="58"/>
    </row>
    <row r="382" spans="1:16">
      <c r="A382" s="90" t="s">
        <v>5095</v>
      </c>
      <c r="B382" s="90">
        <v>2820130213</v>
      </c>
      <c r="C382" s="73" t="s">
        <v>5101</v>
      </c>
      <c r="D382" s="92" t="s">
        <v>5355</v>
      </c>
      <c r="E382" s="91">
        <v>1102010428</v>
      </c>
      <c r="F382" s="58" t="s">
        <v>5295</v>
      </c>
      <c r="G382" s="58" t="s">
        <v>5295</v>
      </c>
      <c r="H382" s="58" t="s">
        <v>5294</v>
      </c>
      <c r="I382" s="58" t="s">
        <v>5294</v>
      </c>
      <c r="J382" s="58" t="s">
        <v>9</v>
      </c>
      <c r="K382" s="49" t="s">
        <v>5522</v>
      </c>
      <c r="P382" s="58"/>
    </row>
    <row r="383" spans="1:16">
      <c r="A383" s="90" t="s">
        <v>5095</v>
      </c>
      <c r="B383" s="90">
        <v>2820130214</v>
      </c>
      <c r="C383" s="73" t="s">
        <v>5101</v>
      </c>
      <c r="D383" s="92" t="s">
        <v>5356</v>
      </c>
      <c r="E383" s="91">
        <v>1102010430</v>
      </c>
      <c r="F383" s="58" t="s">
        <v>5295</v>
      </c>
      <c r="G383" s="58" t="s">
        <v>5295</v>
      </c>
      <c r="H383" s="58" t="s">
        <v>5294</v>
      </c>
      <c r="I383" s="58" t="s">
        <v>5294</v>
      </c>
      <c r="J383" s="58" t="s">
        <v>9</v>
      </c>
      <c r="K383" s="49" t="s">
        <v>5522</v>
      </c>
      <c r="P383" s="58"/>
    </row>
    <row r="384" spans="1:16">
      <c r="A384" s="90" t="s">
        <v>5095</v>
      </c>
      <c r="B384" s="90">
        <v>2820130215</v>
      </c>
      <c r="C384" s="73" t="s">
        <v>5101</v>
      </c>
      <c r="D384" s="92" t="s">
        <v>5357</v>
      </c>
      <c r="E384" s="91">
        <v>1102010431</v>
      </c>
      <c r="F384" s="58" t="s">
        <v>5295</v>
      </c>
      <c r="G384" s="58" t="s">
        <v>5295</v>
      </c>
      <c r="H384" s="58" t="s">
        <v>5294</v>
      </c>
      <c r="I384" s="58" t="s">
        <v>5294</v>
      </c>
      <c r="J384" s="58" t="s">
        <v>9</v>
      </c>
      <c r="K384" s="49" t="s">
        <v>5522</v>
      </c>
      <c r="P384" s="58"/>
    </row>
    <row r="385" spans="1:16">
      <c r="A385" s="90" t="s">
        <v>5095</v>
      </c>
      <c r="B385" s="90">
        <v>2820130216</v>
      </c>
      <c r="C385" s="73" t="s">
        <v>5101</v>
      </c>
      <c r="D385" s="92" t="s">
        <v>5141</v>
      </c>
      <c r="E385" s="91">
        <v>1102010433</v>
      </c>
      <c r="F385" s="58" t="s">
        <v>5295</v>
      </c>
      <c r="G385" s="58" t="s">
        <v>5295</v>
      </c>
      <c r="H385" s="58" t="s">
        <v>5294</v>
      </c>
      <c r="I385" s="58" t="s">
        <v>5294</v>
      </c>
      <c r="J385" s="58" t="s">
        <v>9</v>
      </c>
      <c r="K385" s="49" t="s">
        <v>5522</v>
      </c>
      <c r="P385" s="58"/>
    </row>
    <row r="386" spans="1:16">
      <c r="A386" s="90" t="s">
        <v>5095</v>
      </c>
      <c r="B386" s="90">
        <v>2820130217</v>
      </c>
      <c r="C386" s="73" t="s">
        <v>5101</v>
      </c>
      <c r="D386" s="92" t="s">
        <v>5142</v>
      </c>
      <c r="E386" s="91">
        <v>1102010434</v>
      </c>
      <c r="F386" s="58" t="s">
        <v>5295</v>
      </c>
      <c r="G386" s="58" t="s">
        <v>5295</v>
      </c>
      <c r="H386" s="58" t="s">
        <v>5294</v>
      </c>
      <c r="I386" s="58" t="s">
        <v>5294</v>
      </c>
      <c r="J386" s="58" t="s">
        <v>9</v>
      </c>
      <c r="K386" s="49" t="s">
        <v>5522</v>
      </c>
      <c r="P386" s="58"/>
    </row>
    <row r="387" spans="1:16">
      <c r="A387" s="90" t="s">
        <v>5095</v>
      </c>
      <c r="B387" s="90">
        <v>2820130218</v>
      </c>
      <c r="C387" s="73" t="s">
        <v>5101</v>
      </c>
      <c r="D387" s="92" t="s">
        <v>5143</v>
      </c>
      <c r="E387" s="91">
        <v>1102010435</v>
      </c>
      <c r="F387" s="58" t="s">
        <v>5295</v>
      </c>
      <c r="G387" s="58" t="s">
        <v>5295</v>
      </c>
      <c r="H387" s="58" t="s">
        <v>5294</v>
      </c>
      <c r="I387" s="58" t="s">
        <v>5294</v>
      </c>
      <c r="J387" s="58" t="s">
        <v>9</v>
      </c>
      <c r="K387" s="49" t="s">
        <v>5522</v>
      </c>
      <c r="P387" s="58"/>
    </row>
    <row r="388" spans="1:16">
      <c r="A388" s="90" t="s">
        <v>5095</v>
      </c>
      <c r="B388" s="90">
        <v>2820130219</v>
      </c>
      <c r="C388" s="73" t="s">
        <v>5101</v>
      </c>
      <c r="D388" s="92" t="s">
        <v>5144</v>
      </c>
      <c r="E388" s="91">
        <v>1102010436</v>
      </c>
      <c r="F388" s="58" t="s">
        <v>5295</v>
      </c>
      <c r="G388" s="58" t="s">
        <v>5295</v>
      </c>
      <c r="H388" s="58" t="s">
        <v>5294</v>
      </c>
      <c r="I388" s="58" t="s">
        <v>5294</v>
      </c>
      <c r="J388" s="58" t="s">
        <v>9</v>
      </c>
      <c r="K388" s="49" t="s">
        <v>5522</v>
      </c>
      <c r="P388" s="58"/>
    </row>
    <row r="389" spans="1:16">
      <c r="A389" s="90" t="s">
        <v>5095</v>
      </c>
      <c r="B389" s="90">
        <v>2820130220</v>
      </c>
      <c r="C389" s="73" t="s">
        <v>5101</v>
      </c>
      <c r="D389" s="92" t="s">
        <v>5145</v>
      </c>
      <c r="E389" s="91">
        <v>1102010437</v>
      </c>
      <c r="F389" s="58" t="s">
        <v>5295</v>
      </c>
      <c r="G389" s="58" t="s">
        <v>5295</v>
      </c>
      <c r="H389" s="58" t="s">
        <v>5294</v>
      </c>
      <c r="I389" s="58" t="s">
        <v>5294</v>
      </c>
      <c r="J389" s="58" t="s">
        <v>9</v>
      </c>
      <c r="K389" s="49" t="s">
        <v>5522</v>
      </c>
      <c r="P389" s="58"/>
    </row>
    <row r="390" spans="1:16">
      <c r="A390" s="90" t="s">
        <v>5095</v>
      </c>
      <c r="B390" s="90">
        <v>2820130221</v>
      </c>
      <c r="C390" s="73" t="s">
        <v>5101</v>
      </c>
      <c r="D390" s="92" t="s">
        <v>5146</v>
      </c>
      <c r="E390" s="91">
        <v>1102010438</v>
      </c>
      <c r="F390" s="58" t="s">
        <v>5295</v>
      </c>
      <c r="G390" s="58" t="s">
        <v>5295</v>
      </c>
      <c r="H390" s="58" t="s">
        <v>5294</v>
      </c>
      <c r="I390" s="58" t="s">
        <v>5294</v>
      </c>
      <c r="J390" s="58" t="s">
        <v>9</v>
      </c>
      <c r="K390" s="49" t="s">
        <v>5522</v>
      </c>
      <c r="P390" s="58"/>
    </row>
    <row r="391" spans="1:16">
      <c r="A391" s="90" t="s">
        <v>5095</v>
      </c>
      <c r="B391" s="90">
        <v>2820130222</v>
      </c>
      <c r="C391" s="73" t="s">
        <v>5101</v>
      </c>
      <c r="D391" s="92" t="s">
        <v>5147</v>
      </c>
      <c r="E391" s="91">
        <v>1102010439</v>
      </c>
      <c r="F391" s="58" t="s">
        <v>5295</v>
      </c>
      <c r="G391" s="58" t="s">
        <v>5295</v>
      </c>
      <c r="H391" s="58" t="s">
        <v>5294</v>
      </c>
      <c r="I391" s="58" t="s">
        <v>5294</v>
      </c>
      <c r="J391" s="58" t="s">
        <v>9</v>
      </c>
      <c r="K391" s="49" t="s">
        <v>5522</v>
      </c>
      <c r="P391" s="58"/>
    </row>
    <row r="392" spans="1:16">
      <c r="A392" s="90" t="s">
        <v>5095</v>
      </c>
      <c r="B392" s="90">
        <v>2820130223</v>
      </c>
      <c r="C392" s="73" t="s">
        <v>5101</v>
      </c>
      <c r="D392" s="92" t="s">
        <v>5358</v>
      </c>
      <c r="E392" s="91">
        <v>1102010440</v>
      </c>
      <c r="F392" s="58" t="s">
        <v>5295</v>
      </c>
      <c r="G392" s="58" t="s">
        <v>5295</v>
      </c>
      <c r="H392" s="58" t="s">
        <v>5294</v>
      </c>
      <c r="I392" s="58" t="s">
        <v>5294</v>
      </c>
      <c r="J392" s="58" t="s">
        <v>9</v>
      </c>
      <c r="K392" s="49" t="s">
        <v>5522</v>
      </c>
      <c r="P392" s="58"/>
    </row>
    <row r="393" spans="1:16">
      <c r="A393" s="90" t="s">
        <v>5095</v>
      </c>
      <c r="B393" s="90">
        <v>2820130224</v>
      </c>
      <c r="C393" s="73" t="s">
        <v>5101</v>
      </c>
      <c r="D393" s="92" t="s">
        <v>5148</v>
      </c>
      <c r="E393" s="91">
        <v>1102010441</v>
      </c>
      <c r="F393" s="58" t="s">
        <v>5295</v>
      </c>
      <c r="G393" s="58" t="s">
        <v>5295</v>
      </c>
      <c r="H393" s="58" t="s">
        <v>5294</v>
      </c>
      <c r="I393" s="58" t="s">
        <v>5294</v>
      </c>
      <c r="J393" s="58" t="s">
        <v>9</v>
      </c>
      <c r="K393" s="49" t="s">
        <v>5522</v>
      </c>
      <c r="P393" s="58"/>
    </row>
    <row r="394" spans="1:16">
      <c r="A394" s="90" t="s">
        <v>5095</v>
      </c>
      <c r="B394" s="90">
        <v>2820130225</v>
      </c>
      <c r="C394" s="73" t="s">
        <v>5101</v>
      </c>
      <c r="D394" s="92" t="s">
        <v>5592</v>
      </c>
      <c r="E394" s="91">
        <v>1102010442</v>
      </c>
      <c r="F394" s="58" t="s">
        <v>5295</v>
      </c>
      <c r="G394" s="58" t="s">
        <v>5295</v>
      </c>
      <c r="H394" s="58" t="s">
        <v>5294</v>
      </c>
      <c r="I394" s="58" t="s">
        <v>5294</v>
      </c>
      <c r="J394" s="58" t="s">
        <v>9</v>
      </c>
      <c r="K394" s="49" t="s">
        <v>5522</v>
      </c>
      <c r="P394" s="58"/>
    </row>
    <row r="395" spans="1:16">
      <c r="A395" s="90" t="s">
        <v>5095</v>
      </c>
      <c r="B395" s="90">
        <v>2820130226</v>
      </c>
      <c r="C395" s="73" t="s">
        <v>5101</v>
      </c>
      <c r="D395" s="92" t="s">
        <v>5149</v>
      </c>
      <c r="E395" s="91">
        <v>1102010443</v>
      </c>
      <c r="F395" s="58" t="s">
        <v>5295</v>
      </c>
      <c r="G395" s="58" t="s">
        <v>5295</v>
      </c>
      <c r="H395" s="58" t="s">
        <v>5294</v>
      </c>
      <c r="I395" s="58" t="s">
        <v>5294</v>
      </c>
      <c r="J395" s="58" t="s">
        <v>9</v>
      </c>
      <c r="K395" s="49" t="s">
        <v>5522</v>
      </c>
      <c r="P395" s="58"/>
    </row>
    <row r="396" spans="1:16">
      <c r="A396" s="90" t="s">
        <v>5095</v>
      </c>
      <c r="B396" s="90">
        <v>2820180201</v>
      </c>
      <c r="C396" s="73" t="s">
        <v>5106</v>
      </c>
      <c r="D396" s="92" t="s">
        <v>5359</v>
      </c>
      <c r="E396" s="91">
        <v>1102014301</v>
      </c>
      <c r="F396" s="58" t="s">
        <v>5295</v>
      </c>
      <c r="G396" s="58" t="s">
        <v>5295</v>
      </c>
      <c r="H396" s="58" t="s">
        <v>5294</v>
      </c>
      <c r="I396" s="58" t="s">
        <v>5294</v>
      </c>
      <c r="J396" s="58" t="s">
        <v>9</v>
      </c>
      <c r="K396" s="49" t="s">
        <v>5523</v>
      </c>
      <c r="P396" s="58"/>
    </row>
    <row r="397" spans="1:16">
      <c r="A397" s="90" t="s">
        <v>5095</v>
      </c>
      <c r="B397" s="90">
        <v>2820180202</v>
      </c>
      <c r="C397" s="73" t="s">
        <v>5106</v>
      </c>
      <c r="D397" s="92" t="s">
        <v>5275</v>
      </c>
      <c r="E397" s="91">
        <v>1102014302</v>
      </c>
      <c r="F397" s="58" t="s">
        <v>5295</v>
      </c>
      <c r="G397" s="58" t="s">
        <v>5295</v>
      </c>
      <c r="H397" s="58" t="s">
        <v>5294</v>
      </c>
      <c r="I397" s="58" t="s">
        <v>5294</v>
      </c>
      <c r="J397" s="58" t="s">
        <v>9</v>
      </c>
      <c r="K397" s="49" t="s">
        <v>5523</v>
      </c>
      <c r="P397" s="58"/>
    </row>
    <row r="398" spans="1:16">
      <c r="A398" s="90" t="s">
        <v>5095</v>
      </c>
      <c r="B398" s="90">
        <v>2820180203</v>
      </c>
      <c r="C398" s="73" t="s">
        <v>5106</v>
      </c>
      <c r="D398" s="92" t="s">
        <v>5171</v>
      </c>
      <c r="E398" s="91">
        <v>1102014308</v>
      </c>
      <c r="F398" s="58" t="s">
        <v>5295</v>
      </c>
      <c r="G398" s="58" t="s">
        <v>5295</v>
      </c>
      <c r="H398" s="58" t="s">
        <v>5294</v>
      </c>
      <c r="I398" s="58" t="s">
        <v>5294</v>
      </c>
      <c r="J398" s="58" t="s">
        <v>9</v>
      </c>
      <c r="K398" s="49" t="s">
        <v>5523</v>
      </c>
      <c r="P398" s="58"/>
    </row>
    <row r="399" spans="1:16">
      <c r="A399" s="90" t="s">
        <v>5095</v>
      </c>
      <c r="B399" s="90">
        <v>2820180204</v>
      </c>
      <c r="C399" s="73" t="s">
        <v>5106</v>
      </c>
      <c r="D399" s="92" t="s">
        <v>5172</v>
      </c>
      <c r="E399" s="91">
        <v>1102014309</v>
      </c>
      <c r="F399" s="58" t="s">
        <v>5295</v>
      </c>
      <c r="G399" s="58" t="s">
        <v>5295</v>
      </c>
      <c r="H399" s="58" t="s">
        <v>5294</v>
      </c>
      <c r="I399" s="58" t="s">
        <v>5294</v>
      </c>
      <c r="J399" s="58" t="s">
        <v>9</v>
      </c>
      <c r="K399" s="49" t="s">
        <v>5523</v>
      </c>
      <c r="P399" s="58"/>
    </row>
    <row r="400" spans="1:16">
      <c r="A400" s="90" t="s">
        <v>5095</v>
      </c>
      <c r="B400" s="90">
        <v>2820460101</v>
      </c>
      <c r="C400" s="73" t="s">
        <v>5099</v>
      </c>
      <c r="D400" s="92" t="s">
        <v>5360</v>
      </c>
      <c r="E400" s="91">
        <v>1102010201</v>
      </c>
      <c r="F400" s="58" t="s">
        <v>5295</v>
      </c>
      <c r="G400" s="58" t="s">
        <v>5295</v>
      </c>
      <c r="H400" s="58" t="s">
        <v>5294</v>
      </c>
      <c r="I400" s="58" t="s">
        <v>5294</v>
      </c>
      <c r="J400" s="58" t="s">
        <v>9</v>
      </c>
      <c r="K400" s="49" t="s">
        <v>5524</v>
      </c>
      <c r="P400" s="58"/>
    </row>
    <row r="401" spans="1:16">
      <c r="A401" s="90" t="s">
        <v>5095</v>
      </c>
      <c r="B401" s="90">
        <v>2820460102</v>
      </c>
      <c r="C401" s="73" t="s">
        <v>5099</v>
      </c>
      <c r="D401" s="92" t="s">
        <v>5593</v>
      </c>
      <c r="E401" s="91">
        <v>1102010223</v>
      </c>
      <c r="F401" s="58" t="s">
        <v>5295</v>
      </c>
      <c r="G401" s="58" t="s">
        <v>5295</v>
      </c>
      <c r="H401" s="58" t="s">
        <v>5294</v>
      </c>
      <c r="I401" s="58" t="s">
        <v>5294</v>
      </c>
      <c r="J401" s="58" t="s">
        <v>9</v>
      </c>
      <c r="K401" s="49" t="s">
        <v>5524</v>
      </c>
      <c r="P401" s="58"/>
    </row>
    <row r="402" spans="1:16">
      <c r="A402" s="90" t="s">
        <v>5095</v>
      </c>
      <c r="B402" s="90">
        <v>2820460103</v>
      </c>
      <c r="C402" s="73" t="s">
        <v>5099</v>
      </c>
      <c r="D402" s="92" t="s">
        <v>5361</v>
      </c>
      <c r="E402" s="91">
        <v>1102010224</v>
      </c>
      <c r="F402" s="58" t="s">
        <v>5295</v>
      </c>
      <c r="G402" s="58" t="s">
        <v>5295</v>
      </c>
      <c r="H402" s="58" t="s">
        <v>5294</v>
      </c>
      <c r="I402" s="58" t="s">
        <v>5294</v>
      </c>
      <c r="J402" s="58" t="s">
        <v>9</v>
      </c>
      <c r="K402" s="49" t="s">
        <v>5524</v>
      </c>
      <c r="P402" s="58"/>
    </row>
    <row r="403" spans="1:16">
      <c r="A403" s="90" t="s">
        <v>5095</v>
      </c>
      <c r="B403" s="90">
        <v>2820460104</v>
      </c>
      <c r="C403" s="73" t="s">
        <v>5099</v>
      </c>
      <c r="D403" s="92" t="s">
        <v>5244</v>
      </c>
      <c r="E403" s="91">
        <v>1102010225</v>
      </c>
      <c r="F403" s="58" t="s">
        <v>5295</v>
      </c>
      <c r="G403" s="58" t="s">
        <v>5295</v>
      </c>
      <c r="H403" s="58" t="s">
        <v>5294</v>
      </c>
      <c r="I403" s="58" t="s">
        <v>5294</v>
      </c>
      <c r="J403" s="58" t="s">
        <v>9</v>
      </c>
      <c r="K403" s="49" t="s">
        <v>5524</v>
      </c>
      <c r="P403" s="58"/>
    </row>
    <row r="404" spans="1:16">
      <c r="A404" s="90" t="s">
        <v>5095</v>
      </c>
      <c r="B404" s="90">
        <v>2820460105</v>
      </c>
      <c r="C404" s="73" t="s">
        <v>5099</v>
      </c>
      <c r="D404" s="92" t="s">
        <v>5362</v>
      </c>
      <c r="E404" s="91">
        <v>1102010229</v>
      </c>
      <c r="F404" s="58" t="s">
        <v>5295</v>
      </c>
      <c r="G404" s="58" t="s">
        <v>5295</v>
      </c>
      <c r="H404" s="58" t="s">
        <v>5294</v>
      </c>
      <c r="I404" s="58" t="s">
        <v>5294</v>
      </c>
      <c r="J404" s="58" t="s">
        <v>9</v>
      </c>
      <c r="K404" s="49" t="s">
        <v>5524</v>
      </c>
      <c r="P404" s="58"/>
    </row>
    <row r="405" spans="1:16">
      <c r="A405" s="90" t="s">
        <v>5095</v>
      </c>
      <c r="B405" s="90">
        <v>2820460106</v>
      </c>
      <c r="C405" s="73" t="s">
        <v>5099</v>
      </c>
      <c r="D405" s="92" t="s">
        <v>5363</v>
      </c>
      <c r="E405" s="91">
        <v>1102010230</v>
      </c>
      <c r="F405" s="58" t="s">
        <v>5295</v>
      </c>
      <c r="G405" s="58" t="s">
        <v>5295</v>
      </c>
      <c r="H405" s="58" t="s">
        <v>5294</v>
      </c>
      <c r="I405" s="58" t="s">
        <v>5294</v>
      </c>
      <c r="J405" s="58" t="s">
        <v>9</v>
      </c>
      <c r="K405" s="49" t="s">
        <v>5524</v>
      </c>
      <c r="P405" s="58"/>
    </row>
    <row r="406" spans="1:16">
      <c r="A406" s="90" t="s">
        <v>5095</v>
      </c>
      <c r="B406" s="90">
        <v>2820460107</v>
      </c>
      <c r="C406" s="73" t="s">
        <v>5099</v>
      </c>
      <c r="D406" s="92" t="s">
        <v>5245</v>
      </c>
      <c r="E406" s="91">
        <v>1102010232</v>
      </c>
      <c r="F406" s="58" t="s">
        <v>5295</v>
      </c>
      <c r="G406" s="58" t="s">
        <v>5295</v>
      </c>
      <c r="H406" s="58" t="s">
        <v>5294</v>
      </c>
      <c r="I406" s="58" t="s">
        <v>5294</v>
      </c>
      <c r="J406" s="58" t="s">
        <v>9</v>
      </c>
      <c r="K406" s="49" t="s">
        <v>5524</v>
      </c>
      <c r="P406" s="58"/>
    </row>
    <row r="407" spans="1:16">
      <c r="A407" s="90" t="s">
        <v>5095</v>
      </c>
      <c r="B407" s="90">
        <v>2820460108</v>
      </c>
      <c r="C407" s="73" t="s">
        <v>5099</v>
      </c>
      <c r="D407" s="92" t="s">
        <v>5246</v>
      </c>
      <c r="E407" s="91">
        <v>1102010233</v>
      </c>
      <c r="F407" s="58" t="s">
        <v>5295</v>
      </c>
      <c r="G407" s="58" t="s">
        <v>5295</v>
      </c>
      <c r="H407" s="58" t="s">
        <v>5294</v>
      </c>
      <c r="I407" s="58" t="s">
        <v>5294</v>
      </c>
      <c r="J407" s="58" t="s">
        <v>9</v>
      </c>
      <c r="K407" s="49" t="s">
        <v>5524</v>
      </c>
      <c r="P407" s="58"/>
    </row>
    <row r="408" spans="1:16">
      <c r="A408" s="90" t="s">
        <v>5095</v>
      </c>
      <c r="B408" s="90">
        <v>2820460109</v>
      </c>
      <c r="C408" s="73" t="s">
        <v>5099</v>
      </c>
      <c r="D408" s="92" t="s">
        <v>5247</v>
      </c>
      <c r="E408" s="91">
        <v>1102010234</v>
      </c>
      <c r="F408" s="58" t="s">
        <v>5295</v>
      </c>
      <c r="G408" s="58" t="s">
        <v>5295</v>
      </c>
      <c r="H408" s="58" t="s">
        <v>5294</v>
      </c>
      <c r="I408" s="58" t="s">
        <v>5294</v>
      </c>
      <c r="J408" s="58" t="s">
        <v>9</v>
      </c>
      <c r="K408" s="49" t="s">
        <v>5524</v>
      </c>
      <c r="P408" s="58"/>
    </row>
    <row r="409" spans="1:16">
      <c r="A409" s="90" t="s">
        <v>5095</v>
      </c>
      <c r="B409" s="90">
        <v>2820460110</v>
      </c>
      <c r="C409" s="73" t="s">
        <v>5099</v>
      </c>
      <c r="D409" s="92" t="s">
        <v>5248</v>
      </c>
      <c r="E409" s="91">
        <v>1102010235</v>
      </c>
      <c r="F409" s="58" t="s">
        <v>5295</v>
      </c>
      <c r="G409" s="58" t="s">
        <v>5295</v>
      </c>
      <c r="H409" s="58" t="s">
        <v>5294</v>
      </c>
      <c r="I409" s="58" t="s">
        <v>5294</v>
      </c>
      <c r="J409" s="58" t="s">
        <v>9</v>
      </c>
      <c r="K409" s="49" t="s">
        <v>5524</v>
      </c>
      <c r="P409" s="58"/>
    </row>
    <row r="410" spans="1:16">
      <c r="A410" s="90" t="s">
        <v>5095</v>
      </c>
      <c r="B410" s="90">
        <v>2820460111</v>
      </c>
      <c r="C410" s="73" t="s">
        <v>5099</v>
      </c>
      <c r="D410" s="92" t="s">
        <v>5249</v>
      </c>
      <c r="E410" s="91">
        <v>1102010236</v>
      </c>
      <c r="F410" s="58" t="s">
        <v>5295</v>
      </c>
      <c r="G410" s="58" t="s">
        <v>5295</v>
      </c>
      <c r="H410" s="58" t="s">
        <v>5294</v>
      </c>
      <c r="I410" s="58" t="s">
        <v>5294</v>
      </c>
      <c r="J410" s="58" t="s">
        <v>9</v>
      </c>
      <c r="K410" s="49" t="s">
        <v>5524</v>
      </c>
      <c r="P410" s="58"/>
    </row>
    <row r="411" spans="1:16">
      <c r="A411" s="90" t="s">
        <v>5095</v>
      </c>
      <c r="B411" s="90">
        <v>2820460112</v>
      </c>
      <c r="C411" s="73" t="s">
        <v>5099</v>
      </c>
      <c r="D411" s="92" t="s">
        <v>5250</v>
      </c>
      <c r="E411" s="91">
        <v>1102010237</v>
      </c>
      <c r="F411" s="58" t="s">
        <v>5295</v>
      </c>
      <c r="G411" s="58" t="s">
        <v>5295</v>
      </c>
      <c r="H411" s="58" t="s">
        <v>5294</v>
      </c>
      <c r="I411" s="58" t="s">
        <v>5294</v>
      </c>
      <c r="J411" s="58" t="s">
        <v>9</v>
      </c>
      <c r="K411" s="49" t="s">
        <v>5524</v>
      </c>
      <c r="P411" s="58"/>
    </row>
    <row r="412" spans="1:16">
      <c r="A412" s="90" t="s">
        <v>5095</v>
      </c>
      <c r="B412" s="90">
        <v>2820460113</v>
      </c>
      <c r="C412" s="73" t="s">
        <v>5099</v>
      </c>
      <c r="D412" s="92" t="s">
        <v>5251</v>
      </c>
      <c r="E412" s="91">
        <v>1102010238</v>
      </c>
      <c r="F412" s="58" t="s">
        <v>5295</v>
      </c>
      <c r="G412" s="58" t="s">
        <v>5295</v>
      </c>
      <c r="H412" s="58" t="s">
        <v>5294</v>
      </c>
      <c r="I412" s="58" t="s">
        <v>5294</v>
      </c>
      <c r="J412" s="58" t="s">
        <v>9</v>
      </c>
      <c r="K412" s="49" t="s">
        <v>5524</v>
      </c>
      <c r="P412" s="58"/>
    </row>
    <row r="413" spans="1:16">
      <c r="A413" s="90" t="s">
        <v>5095</v>
      </c>
      <c r="B413" s="90">
        <v>2820460114</v>
      </c>
      <c r="C413" s="73" t="s">
        <v>5099</v>
      </c>
      <c r="D413" s="92" t="s">
        <v>5252</v>
      </c>
      <c r="E413" s="91">
        <v>1102010239</v>
      </c>
      <c r="F413" s="58" t="s">
        <v>5295</v>
      </c>
      <c r="G413" s="58" t="s">
        <v>5295</v>
      </c>
      <c r="H413" s="58" t="s">
        <v>5294</v>
      </c>
      <c r="I413" s="58" t="s">
        <v>5294</v>
      </c>
      <c r="J413" s="58" t="s">
        <v>9</v>
      </c>
      <c r="K413" s="49" t="s">
        <v>5524</v>
      </c>
      <c r="P413" s="58"/>
    </row>
    <row r="414" spans="1:16">
      <c r="A414" s="90" t="s">
        <v>5095</v>
      </c>
      <c r="B414" s="90">
        <v>2820460201</v>
      </c>
      <c r="C414" s="73" t="s">
        <v>5099</v>
      </c>
      <c r="D414" s="92" t="s">
        <v>5176</v>
      </c>
      <c r="E414" s="91">
        <v>1102020207</v>
      </c>
      <c r="F414" s="58" t="s">
        <v>5295</v>
      </c>
      <c r="G414" s="58" t="s">
        <v>5295</v>
      </c>
      <c r="H414" s="58" t="s">
        <v>5294</v>
      </c>
      <c r="I414" s="58" t="s">
        <v>5294</v>
      </c>
      <c r="J414" s="58" t="s">
        <v>9</v>
      </c>
      <c r="K414" s="49" t="s">
        <v>5524</v>
      </c>
      <c r="P414" s="58"/>
    </row>
    <row r="415" spans="1:16">
      <c r="A415" s="90" t="s">
        <v>5095</v>
      </c>
      <c r="B415" s="90">
        <v>2820460301</v>
      </c>
      <c r="C415" s="73" t="s">
        <v>5099</v>
      </c>
      <c r="D415" s="92" t="s">
        <v>5182</v>
      </c>
      <c r="E415" s="91">
        <v>1102030201</v>
      </c>
      <c r="F415" s="58" t="s">
        <v>5295</v>
      </c>
      <c r="G415" s="58" t="s">
        <v>5295</v>
      </c>
      <c r="H415" s="58" t="s">
        <v>5294</v>
      </c>
      <c r="I415" s="58" t="s">
        <v>5294</v>
      </c>
      <c r="J415" s="58" t="s">
        <v>9</v>
      </c>
      <c r="K415" s="49" t="s">
        <v>5524</v>
      </c>
      <c r="P415" s="58"/>
    </row>
    <row r="416" spans="1:16">
      <c r="A416" s="90" t="s">
        <v>5095</v>
      </c>
      <c r="B416" s="90">
        <v>2829970401</v>
      </c>
      <c r="C416" s="73" t="s">
        <v>4473</v>
      </c>
      <c r="D416" s="92" t="s">
        <v>5152</v>
      </c>
      <c r="E416" s="91">
        <v>1102010707</v>
      </c>
      <c r="F416" s="58" t="s">
        <v>5295</v>
      </c>
      <c r="G416" s="58" t="s">
        <v>5295</v>
      </c>
      <c r="H416" s="58" t="s">
        <v>5294</v>
      </c>
      <c r="I416" s="58" t="s">
        <v>5294</v>
      </c>
      <c r="J416" s="58" t="s">
        <v>9</v>
      </c>
      <c r="K416" s="49" t="s">
        <v>5525</v>
      </c>
      <c r="P416" s="58"/>
    </row>
    <row r="417" spans="1:16">
      <c r="A417" s="90" t="s">
        <v>5095</v>
      </c>
      <c r="B417" s="90">
        <v>2829970402</v>
      </c>
      <c r="C417" s="73" t="s">
        <v>4473</v>
      </c>
      <c r="D417" s="92" t="s">
        <v>5153</v>
      </c>
      <c r="E417" s="91">
        <v>1102010708</v>
      </c>
      <c r="F417" s="58" t="s">
        <v>5295</v>
      </c>
      <c r="G417" s="58" t="s">
        <v>5295</v>
      </c>
      <c r="H417" s="58" t="s">
        <v>5294</v>
      </c>
      <c r="I417" s="58" t="s">
        <v>5294</v>
      </c>
      <c r="J417" s="58" t="s">
        <v>9</v>
      </c>
      <c r="K417" s="49" t="s">
        <v>5525</v>
      </c>
      <c r="P417" s="58"/>
    </row>
    <row r="418" spans="1:16">
      <c r="A418" s="90" t="s">
        <v>5095</v>
      </c>
      <c r="B418" s="90">
        <v>2829970403</v>
      </c>
      <c r="C418" s="73" t="s">
        <v>4473</v>
      </c>
      <c r="D418" s="92" t="s">
        <v>5154</v>
      </c>
      <c r="E418" s="91">
        <v>1102010709</v>
      </c>
      <c r="F418" s="58" t="s">
        <v>5295</v>
      </c>
      <c r="G418" s="58" t="s">
        <v>5295</v>
      </c>
      <c r="H418" s="58" t="s">
        <v>5294</v>
      </c>
      <c r="I418" s="58" t="s">
        <v>5294</v>
      </c>
      <c r="J418" s="58" t="s">
        <v>9</v>
      </c>
      <c r="K418" s="49" t="s">
        <v>5525</v>
      </c>
      <c r="P418" s="58"/>
    </row>
    <row r="419" spans="1:16">
      <c r="A419" s="90" t="s">
        <v>5095</v>
      </c>
      <c r="B419" s="90">
        <v>2829970404</v>
      </c>
      <c r="C419" s="73" t="s">
        <v>4473</v>
      </c>
      <c r="D419" s="92" t="s">
        <v>5155</v>
      </c>
      <c r="E419" s="91">
        <v>1102010710</v>
      </c>
      <c r="F419" s="58" t="s">
        <v>5295</v>
      </c>
      <c r="G419" s="58" t="s">
        <v>5295</v>
      </c>
      <c r="H419" s="58" t="s">
        <v>5294</v>
      </c>
      <c r="I419" s="58" t="s">
        <v>5294</v>
      </c>
      <c r="J419" s="58" t="s">
        <v>9</v>
      </c>
      <c r="K419" s="49" t="s">
        <v>5525</v>
      </c>
      <c r="P419" s="58"/>
    </row>
    <row r="420" spans="1:16">
      <c r="A420" s="90" t="s">
        <v>5095</v>
      </c>
      <c r="B420" s="90">
        <v>2829970405</v>
      </c>
      <c r="C420" s="73" t="s">
        <v>4473</v>
      </c>
      <c r="D420" s="92" t="s">
        <v>5156</v>
      </c>
      <c r="E420" s="91">
        <v>1102010711</v>
      </c>
      <c r="F420" s="58" t="s">
        <v>5295</v>
      </c>
      <c r="G420" s="58" t="s">
        <v>5295</v>
      </c>
      <c r="H420" s="58" t="s">
        <v>5294</v>
      </c>
      <c r="I420" s="58" t="s">
        <v>5294</v>
      </c>
      <c r="J420" s="58" t="s">
        <v>9</v>
      </c>
      <c r="K420" s="49" t="s">
        <v>5525</v>
      </c>
      <c r="P420" s="58"/>
    </row>
    <row r="421" spans="1:16">
      <c r="A421" s="90" t="s">
        <v>5095</v>
      </c>
      <c r="B421" s="90">
        <v>2829970406</v>
      </c>
      <c r="C421" s="73" t="s">
        <v>4473</v>
      </c>
      <c r="D421" s="92" t="s">
        <v>5157</v>
      </c>
      <c r="E421" s="91">
        <v>1102010712</v>
      </c>
      <c r="F421" s="58" t="s">
        <v>5295</v>
      </c>
      <c r="G421" s="58" t="s">
        <v>5295</v>
      </c>
      <c r="H421" s="58" t="s">
        <v>5294</v>
      </c>
      <c r="I421" s="58" t="s">
        <v>5294</v>
      </c>
      <c r="J421" s="58" t="s">
        <v>9</v>
      </c>
      <c r="K421" s="49" t="s">
        <v>5525</v>
      </c>
      <c r="P421" s="58"/>
    </row>
    <row r="422" spans="1:16">
      <c r="A422" s="90" t="s">
        <v>5095</v>
      </c>
      <c r="B422" s="90">
        <v>2829970407</v>
      </c>
      <c r="C422" s="73" t="s">
        <v>4473</v>
      </c>
      <c r="D422" s="92" t="s">
        <v>5158</v>
      </c>
      <c r="E422" s="91">
        <v>1102010713</v>
      </c>
      <c r="F422" s="58" t="s">
        <v>5295</v>
      </c>
      <c r="G422" s="58" t="s">
        <v>5295</v>
      </c>
      <c r="H422" s="58" t="s">
        <v>5294</v>
      </c>
      <c r="I422" s="58" t="s">
        <v>5294</v>
      </c>
      <c r="J422" s="58" t="s">
        <v>9</v>
      </c>
      <c r="K422" s="49" t="s">
        <v>5525</v>
      </c>
      <c r="P422" s="58"/>
    </row>
    <row r="423" spans="1:16">
      <c r="A423" s="90" t="s">
        <v>5095</v>
      </c>
      <c r="B423" s="90">
        <v>2829970408</v>
      </c>
      <c r="C423" s="73" t="s">
        <v>4473</v>
      </c>
      <c r="D423" s="92" t="s">
        <v>5157</v>
      </c>
      <c r="E423" s="91">
        <v>1102010714</v>
      </c>
      <c r="F423" s="58" t="s">
        <v>5295</v>
      </c>
      <c r="G423" s="58" t="s">
        <v>5295</v>
      </c>
      <c r="H423" s="58" t="s">
        <v>5294</v>
      </c>
      <c r="I423" s="58" t="s">
        <v>5294</v>
      </c>
      <c r="J423" s="58" t="s">
        <v>9</v>
      </c>
      <c r="K423" s="49" t="s">
        <v>5525</v>
      </c>
      <c r="P423" s="58"/>
    </row>
    <row r="424" spans="1:16">
      <c r="A424" s="90" t="s">
        <v>5095</v>
      </c>
      <c r="B424" s="90">
        <v>2829970409</v>
      </c>
      <c r="C424" s="73" t="s">
        <v>4473</v>
      </c>
      <c r="D424" s="92" t="s">
        <v>5159</v>
      </c>
      <c r="E424" s="91">
        <v>1102010715</v>
      </c>
      <c r="F424" s="58" t="s">
        <v>5295</v>
      </c>
      <c r="G424" s="58" t="s">
        <v>5295</v>
      </c>
      <c r="H424" s="58" t="s">
        <v>5294</v>
      </c>
      <c r="I424" s="58" t="s">
        <v>5294</v>
      </c>
      <c r="J424" s="58" t="s">
        <v>9</v>
      </c>
      <c r="K424" s="49" t="s">
        <v>5525</v>
      </c>
      <c r="P424" s="58"/>
    </row>
    <row r="425" spans="1:16">
      <c r="A425" s="90" t="s">
        <v>5095</v>
      </c>
      <c r="B425" s="90">
        <v>2829970410</v>
      </c>
      <c r="C425" s="73" t="s">
        <v>4473</v>
      </c>
      <c r="D425" s="92" t="s">
        <v>5258</v>
      </c>
      <c r="E425" s="91">
        <v>1102010805</v>
      </c>
      <c r="F425" s="58" t="s">
        <v>5295</v>
      </c>
      <c r="G425" s="58" t="s">
        <v>5295</v>
      </c>
      <c r="H425" s="58" t="s">
        <v>5294</v>
      </c>
      <c r="I425" s="58" t="s">
        <v>5294</v>
      </c>
      <c r="J425" s="58" t="s">
        <v>9</v>
      </c>
      <c r="K425" s="49" t="s">
        <v>5525</v>
      </c>
      <c r="P425" s="58"/>
    </row>
    <row r="426" spans="1:16">
      <c r="A426" s="90" t="s">
        <v>5095</v>
      </c>
      <c r="B426" s="90">
        <v>2829970411</v>
      </c>
      <c r="C426" s="73" t="s">
        <v>4473</v>
      </c>
      <c r="D426" s="92" t="s">
        <v>5364</v>
      </c>
      <c r="E426" s="91">
        <v>1102011005</v>
      </c>
      <c r="F426" s="58" t="s">
        <v>5295</v>
      </c>
      <c r="G426" s="58" t="s">
        <v>5295</v>
      </c>
      <c r="H426" s="58" t="s">
        <v>5294</v>
      </c>
      <c r="I426" s="58" t="s">
        <v>5294</v>
      </c>
      <c r="J426" s="58" t="s">
        <v>9</v>
      </c>
      <c r="K426" s="49" t="s">
        <v>5525</v>
      </c>
      <c r="P426" s="58"/>
    </row>
    <row r="427" spans="1:16">
      <c r="A427" s="90" t="s">
        <v>5095</v>
      </c>
      <c r="B427" s="90">
        <v>2829970412</v>
      </c>
      <c r="C427" s="73" t="s">
        <v>4473</v>
      </c>
      <c r="D427" s="92" t="s">
        <v>5365</v>
      </c>
      <c r="E427" s="91">
        <v>1102011006</v>
      </c>
      <c r="F427" s="58" t="s">
        <v>5295</v>
      </c>
      <c r="G427" s="58" t="s">
        <v>5295</v>
      </c>
      <c r="H427" s="58" t="s">
        <v>5294</v>
      </c>
      <c r="I427" s="58" t="s">
        <v>5294</v>
      </c>
      <c r="J427" s="58" t="s">
        <v>9</v>
      </c>
      <c r="K427" s="49" t="s">
        <v>5525</v>
      </c>
      <c r="P427" s="58"/>
    </row>
    <row r="428" spans="1:16">
      <c r="A428" s="90" t="s">
        <v>5095</v>
      </c>
      <c r="B428" s="90">
        <v>2829970413</v>
      </c>
      <c r="C428" s="73" t="s">
        <v>4473</v>
      </c>
      <c r="D428" s="92" t="s">
        <v>5160</v>
      </c>
      <c r="E428" s="91">
        <v>1102011007</v>
      </c>
      <c r="F428" s="58" t="s">
        <v>5295</v>
      </c>
      <c r="G428" s="58" t="s">
        <v>5295</v>
      </c>
      <c r="H428" s="58" t="s">
        <v>5294</v>
      </c>
      <c r="I428" s="58" t="s">
        <v>5294</v>
      </c>
      <c r="J428" s="58" t="s">
        <v>9</v>
      </c>
      <c r="K428" s="49" t="s">
        <v>5525</v>
      </c>
      <c r="P428" s="58"/>
    </row>
    <row r="429" spans="1:16">
      <c r="A429" s="90" t="s">
        <v>5095</v>
      </c>
      <c r="B429" s="90">
        <v>2829970414</v>
      </c>
      <c r="C429" s="73" t="s">
        <v>4473</v>
      </c>
      <c r="D429" s="92" t="s">
        <v>5161</v>
      </c>
      <c r="E429" s="91">
        <v>1102011008</v>
      </c>
      <c r="F429" s="58" t="s">
        <v>5295</v>
      </c>
      <c r="G429" s="58" t="s">
        <v>5295</v>
      </c>
      <c r="H429" s="58" t="s">
        <v>5294</v>
      </c>
      <c r="I429" s="58" t="s">
        <v>5294</v>
      </c>
      <c r="J429" s="58" t="s">
        <v>9</v>
      </c>
      <c r="K429" s="49" t="s">
        <v>5525</v>
      </c>
      <c r="P429" s="58"/>
    </row>
    <row r="430" spans="1:16">
      <c r="A430" s="90" t="s">
        <v>5095</v>
      </c>
      <c r="B430" s="90">
        <v>2829970415</v>
      </c>
      <c r="C430" s="73" t="s">
        <v>4473</v>
      </c>
      <c r="D430" s="92" t="s">
        <v>5162</v>
      </c>
      <c r="E430" s="91">
        <v>1102011009</v>
      </c>
      <c r="F430" s="58" t="s">
        <v>5295</v>
      </c>
      <c r="G430" s="58" t="s">
        <v>5295</v>
      </c>
      <c r="H430" s="58" t="s">
        <v>5294</v>
      </c>
      <c r="I430" s="58" t="s">
        <v>5294</v>
      </c>
      <c r="J430" s="58" t="s">
        <v>9</v>
      </c>
      <c r="K430" s="49" t="s">
        <v>5525</v>
      </c>
      <c r="P430" s="58"/>
    </row>
    <row r="431" spans="1:16">
      <c r="A431" s="90" t="s">
        <v>5095</v>
      </c>
      <c r="B431" s="90">
        <v>2829970416</v>
      </c>
      <c r="C431" s="73" t="s">
        <v>4473</v>
      </c>
      <c r="D431" s="92" t="s">
        <v>5163</v>
      </c>
      <c r="E431" s="91">
        <v>1102011010</v>
      </c>
      <c r="F431" s="58" t="s">
        <v>5295</v>
      </c>
      <c r="G431" s="58" t="s">
        <v>5295</v>
      </c>
      <c r="H431" s="58" t="s">
        <v>5294</v>
      </c>
      <c r="I431" s="58" t="s">
        <v>5294</v>
      </c>
      <c r="J431" s="58" t="s">
        <v>9</v>
      </c>
      <c r="K431" s="49" t="s">
        <v>5525</v>
      </c>
      <c r="P431" s="58"/>
    </row>
    <row r="432" spans="1:16">
      <c r="A432" s="90" t="s">
        <v>5095</v>
      </c>
      <c r="B432" s="90">
        <v>2829970417</v>
      </c>
      <c r="C432" s="73" t="s">
        <v>4473</v>
      </c>
      <c r="D432" s="92" t="s">
        <v>5366</v>
      </c>
      <c r="E432" s="91">
        <v>1102011011</v>
      </c>
      <c r="F432" s="58" t="s">
        <v>5295</v>
      </c>
      <c r="G432" s="58" t="s">
        <v>5295</v>
      </c>
      <c r="H432" s="58" t="s">
        <v>5294</v>
      </c>
      <c r="I432" s="58" t="s">
        <v>5294</v>
      </c>
      <c r="J432" s="58" t="s">
        <v>9</v>
      </c>
      <c r="K432" s="49" t="s">
        <v>5525</v>
      </c>
      <c r="P432" s="58"/>
    </row>
    <row r="433" spans="1:16">
      <c r="A433" s="90" t="s">
        <v>5095</v>
      </c>
      <c r="B433" s="90">
        <v>2829970418</v>
      </c>
      <c r="C433" s="73" t="s">
        <v>4473</v>
      </c>
      <c r="D433" s="92" t="s">
        <v>5367</v>
      </c>
      <c r="E433" s="91">
        <v>1102011012</v>
      </c>
      <c r="F433" s="58" t="s">
        <v>5295</v>
      </c>
      <c r="G433" s="58" t="s">
        <v>5295</v>
      </c>
      <c r="H433" s="58" t="s">
        <v>5294</v>
      </c>
      <c r="I433" s="58" t="s">
        <v>5294</v>
      </c>
      <c r="J433" s="58" t="s">
        <v>9</v>
      </c>
      <c r="K433" s="49" t="s">
        <v>5525</v>
      </c>
      <c r="P433" s="58"/>
    </row>
    <row r="434" spans="1:16">
      <c r="A434" s="90" t="s">
        <v>5095</v>
      </c>
      <c r="B434" s="90">
        <v>2829970419</v>
      </c>
      <c r="C434" s="73" t="s">
        <v>4473</v>
      </c>
      <c r="D434" s="92" t="s">
        <v>5368</v>
      </c>
      <c r="E434" s="91">
        <v>1102011013</v>
      </c>
      <c r="F434" s="58" t="s">
        <v>5295</v>
      </c>
      <c r="G434" s="58" t="s">
        <v>5295</v>
      </c>
      <c r="H434" s="58" t="s">
        <v>5294</v>
      </c>
      <c r="I434" s="58" t="s">
        <v>5294</v>
      </c>
      <c r="J434" s="58" t="s">
        <v>9</v>
      </c>
      <c r="K434" s="49" t="s">
        <v>5525</v>
      </c>
      <c r="P434" s="58"/>
    </row>
    <row r="435" spans="1:16">
      <c r="A435" s="90" t="s">
        <v>5095</v>
      </c>
      <c r="B435" s="90">
        <v>2829970420</v>
      </c>
      <c r="C435" s="73" t="s">
        <v>4473</v>
      </c>
      <c r="D435" s="92" t="s">
        <v>5369</v>
      </c>
      <c r="E435" s="91">
        <v>1102011014</v>
      </c>
      <c r="F435" s="58" t="s">
        <v>5295</v>
      </c>
      <c r="G435" s="58" t="s">
        <v>5295</v>
      </c>
      <c r="H435" s="58" t="s">
        <v>5294</v>
      </c>
      <c r="I435" s="58" t="s">
        <v>5294</v>
      </c>
      <c r="J435" s="58" t="s">
        <v>9</v>
      </c>
      <c r="K435" s="49" t="s">
        <v>5525</v>
      </c>
      <c r="P435" s="58"/>
    </row>
    <row r="436" spans="1:16">
      <c r="A436" s="90" t="s">
        <v>5095</v>
      </c>
      <c r="B436" s="90">
        <v>2829970421</v>
      </c>
      <c r="C436" s="73" t="s">
        <v>4473</v>
      </c>
      <c r="D436" s="92" t="s">
        <v>5370</v>
      </c>
      <c r="E436" s="91">
        <v>1102011015</v>
      </c>
      <c r="F436" s="58" t="s">
        <v>5295</v>
      </c>
      <c r="G436" s="58" t="s">
        <v>5295</v>
      </c>
      <c r="H436" s="58" t="s">
        <v>5294</v>
      </c>
      <c r="I436" s="58" t="s">
        <v>5294</v>
      </c>
      <c r="J436" s="58" t="s">
        <v>9</v>
      </c>
      <c r="K436" s="49" t="s">
        <v>5525</v>
      </c>
      <c r="P436" s="58"/>
    </row>
    <row r="437" spans="1:16">
      <c r="A437" s="90" t="s">
        <v>5095</v>
      </c>
      <c r="B437" s="90">
        <v>2829970422</v>
      </c>
      <c r="C437" s="73" t="s">
        <v>4473</v>
      </c>
      <c r="D437" s="92" t="s">
        <v>5371</v>
      </c>
      <c r="E437" s="91">
        <v>1102011016</v>
      </c>
      <c r="F437" s="58" t="s">
        <v>5295</v>
      </c>
      <c r="G437" s="58" t="s">
        <v>5295</v>
      </c>
      <c r="H437" s="58" t="s">
        <v>5294</v>
      </c>
      <c r="I437" s="58" t="s">
        <v>5294</v>
      </c>
      <c r="J437" s="58" t="s">
        <v>9</v>
      </c>
      <c r="K437" s="49" t="s">
        <v>5525</v>
      </c>
      <c r="P437" s="58"/>
    </row>
    <row r="438" spans="1:16">
      <c r="A438" s="90" t="s">
        <v>5095</v>
      </c>
      <c r="B438" s="90">
        <v>2829970423</v>
      </c>
      <c r="C438" s="73" t="s">
        <v>4473</v>
      </c>
      <c r="D438" s="92" t="s">
        <v>5372</v>
      </c>
      <c r="E438" s="91">
        <v>1102011017</v>
      </c>
      <c r="F438" s="58" t="s">
        <v>5295</v>
      </c>
      <c r="G438" s="58" t="s">
        <v>5295</v>
      </c>
      <c r="H438" s="58" t="s">
        <v>5294</v>
      </c>
      <c r="I438" s="58" t="s">
        <v>5294</v>
      </c>
      <c r="J438" s="58" t="s">
        <v>9</v>
      </c>
      <c r="K438" s="49" t="s">
        <v>5525</v>
      </c>
      <c r="P438" s="58"/>
    </row>
    <row r="439" spans="1:16">
      <c r="A439" s="90" t="s">
        <v>5095</v>
      </c>
      <c r="B439" s="90">
        <v>2829970424</v>
      </c>
      <c r="C439" s="73" t="s">
        <v>4473</v>
      </c>
      <c r="D439" s="92" t="s">
        <v>5259</v>
      </c>
      <c r="E439" s="91">
        <v>1102011102</v>
      </c>
      <c r="F439" s="58" t="s">
        <v>5295</v>
      </c>
      <c r="G439" s="58" t="s">
        <v>5295</v>
      </c>
      <c r="H439" s="58" t="s">
        <v>5294</v>
      </c>
      <c r="I439" s="58" t="s">
        <v>5294</v>
      </c>
      <c r="J439" s="58" t="s">
        <v>9</v>
      </c>
      <c r="K439" s="49" t="s">
        <v>5525</v>
      </c>
      <c r="P439" s="58"/>
    </row>
    <row r="440" spans="1:16">
      <c r="A440" s="90" t="s">
        <v>5095</v>
      </c>
      <c r="B440" s="90">
        <v>2829970425</v>
      </c>
      <c r="C440" s="73" t="s">
        <v>4473</v>
      </c>
      <c r="D440" s="92" t="s">
        <v>5164</v>
      </c>
      <c r="E440" s="91">
        <v>1102011402</v>
      </c>
      <c r="F440" s="58" t="s">
        <v>5295</v>
      </c>
      <c r="G440" s="58" t="s">
        <v>5295</v>
      </c>
      <c r="H440" s="58" t="s">
        <v>5294</v>
      </c>
      <c r="I440" s="58" t="s">
        <v>5294</v>
      </c>
      <c r="J440" s="58" t="s">
        <v>9</v>
      </c>
      <c r="K440" s="49" t="s">
        <v>5525</v>
      </c>
      <c r="P440" s="58"/>
    </row>
    <row r="441" spans="1:16">
      <c r="A441" s="90" t="s">
        <v>5095</v>
      </c>
      <c r="B441" s="90">
        <v>2829970426</v>
      </c>
      <c r="C441" s="73" t="s">
        <v>4473</v>
      </c>
      <c r="D441" s="92" t="s">
        <v>5165</v>
      </c>
      <c r="E441" s="91">
        <v>1102011403</v>
      </c>
      <c r="F441" s="58" t="s">
        <v>5295</v>
      </c>
      <c r="G441" s="58" t="s">
        <v>5295</v>
      </c>
      <c r="H441" s="58" t="s">
        <v>5294</v>
      </c>
      <c r="I441" s="58" t="s">
        <v>5294</v>
      </c>
      <c r="J441" s="58" t="s">
        <v>9</v>
      </c>
      <c r="K441" s="49" t="s">
        <v>5525</v>
      </c>
      <c r="P441" s="58"/>
    </row>
    <row r="442" spans="1:16">
      <c r="A442" s="90" t="s">
        <v>5095</v>
      </c>
      <c r="B442" s="90">
        <v>2829970427</v>
      </c>
      <c r="C442" s="73" t="s">
        <v>4473</v>
      </c>
      <c r="D442" s="92" t="s">
        <v>5373</v>
      </c>
      <c r="E442" s="91">
        <v>1102011502</v>
      </c>
      <c r="F442" s="58" t="s">
        <v>5295</v>
      </c>
      <c r="G442" s="58" t="s">
        <v>5295</v>
      </c>
      <c r="H442" s="58" t="s">
        <v>5294</v>
      </c>
      <c r="I442" s="58" t="s">
        <v>5294</v>
      </c>
      <c r="J442" s="58" t="s">
        <v>9</v>
      </c>
      <c r="K442" s="49" t="s">
        <v>5525</v>
      </c>
      <c r="P442" s="58"/>
    </row>
    <row r="443" spans="1:16">
      <c r="A443" s="90" t="s">
        <v>5095</v>
      </c>
      <c r="B443" s="90">
        <v>2829970428</v>
      </c>
      <c r="C443" s="73" t="s">
        <v>4473</v>
      </c>
      <c r="D443" s="92" t="s">
        <v>5260</v>
      </c>
      <c r="E443" s="91">
        <v>1102011801</v>
      </c>
      <c r="F443" s="58" t="s">
        <v>5295</v>
      </c>
      <c r="G443" s="58" t="s">
        <v>5295</v>
      </c>
      <c r="H443" s="58" t="s">
        <v>5294</v>
      </c>
      <c r="I443" s="58" t="s">
        <v>5294</v>
      </c>
      <c r="J443" s="58" t="s">
        <v>9</v>
      </c>
      <c r="K443" s="49" t="s">
        <v>5525</v>
      </c>
      <c r="P443" s="58"/>
    </row>
    <row r="444" spans="1:16">
      <c r="A444" s="90" t="s">
        <v>5095</v>
      </c>
      <c r="B444" s="90">
        <v>2829970429</v>
      </c>
      <c r="C444" s="73" t="s">
        <v>4473</v>
      </c>
      <c r="D444" s="92" t="s">
        <v>5374</v>
      </c>
      <c r="E444" s="91">
        <v>1102012001</v>
      </c>
      <c r="F444" s="58" t="s">
        <v>5295</v>
      </c>
      <c r="G444" s="58" t="s">
        <v>5295</v>
      </c>
      <c r="H444" s="58" t="s">
        <v>5294</v>
      </c>
      <c r="I444" s="58" t="s">
        <v>5294</v>
      </c>
      <c r="J444" s="58" t="s">
        <v>9</v>
      </c>
      <c r="K444" s="49" t="s">
        <v>5525</v>
      </c>
      <c r="P444" s="58"/>
    </row>
    <row r="445" spans="1:16">
      <c r="A445" s="90" t="s">
        <v>5095</v>
      </c>
      <c r="B445" s="90">
        <v>2829970430</v>
      </c>
      <c r="C445" s="73" t="s">
        <v>4473</v>
      </c>
      <c r="D445" s="92" t="s">
        <v>5375</v>
      </c>
      <c r="E445" s="91">
        <v>1102012101</v>
      </c>
      <c r="F445" s="58" t="s">
        <v>5295</v>
      </c>
      <c r="G445" s="58" t="s">
        <v>5295</v>
      </c>
      <c r="H445" s="58" t="s">
        <v>5294</v>
      </c>
      <c r="I445" s="58" t="s">
        <v>5294</v>
      </c>
      <c r="J445" s="58" t="s">
        <v>9</v>
      </c>
      <c r="K445" s="49" t="s">
        <v>5525</v>
      </c>
      <c r="P445" s="58"/>
    </row>
    <row r="446" spans="1:16">
      <c r="A446" s="90" t="s">
        <v>5095</v>
      </c>
      <c r="B446" s="90">
        <v>2829970431</v>
      </c>
      <c r="C446" s="73" t="s">
        <v>4473</v>
      </c>
      <c r="D446" s="92" t="s">
        <v>5594</v>
      </c>
      <c r="E446" s="91">
        <v>1102012601</v>
      </c>
      <c r="F446" s="58" t="s">
        <v>5295</v>
      </c>
      <c r="G446" s="58" t="s">
        <v>5295</v>
      </c>
      <c r="H446" s="58" t="s">
        <v>5294</v>
      </c>
      <c r="I446" s="58" t="s">
        <v>5294</v>
      </c>
      <c r="J446" s="58" t="s">
        <v>9</v>
      </c>
      <c r="K446" s="49" t="s">
        <v>5525</v>
      </c>
      <c r="P446" s="58"/>
    </row>
    <row r="447" spans="1:16">
      <c r="A447" s="90" t="s">
        <v>5095</v>
      </c>
      <c r="B447" s="90">
        <v>2829970432</v>
      </c>
      <c r="C447" s="73" t="s">
        <v>4473</v>
      </c>
      <c r="D447" s="92" t="s">
        <v>5595</v>
      </c>
      <c r="E447" s="91">
        <v>1102012604</v>
      </c>
      <c r="F447" s="58" t="s">
        <v>5295</v>
      </c>
      <c r="G447" s="58" t="s">
        <v>5295</v>
      </c>
      <c r="H447" s="58" t="s">
        <v>5294</v>
      </c>
      <c r="I447" s="58" t="s">
        <v>5294</v>
      </c>
      <c r="J447" s="58" t="s">
        <v>9</v>
      </c>
      <c r="K447" s="49" t="s">
        <v>5525</v>
      </c>
      <c r="P447" s="58"/>
    </row>
    <row r="448" spans="1:16">
      <c r="A448" s="90" t="s">
        <v>5095</v>
      </c>
      <c r="B448" s="90">
        <v>2829970433</v>
      </c>
      <c r="C448" s="73" t="s">
        <v>4473</v>
      </c>
      <c r="D448" s="92" t="s">
        <v>5261</v>
      </c>
      <c r="E448" s="91">
        <v>1102013001</v>
      </c>
      <c r="F448" s="58" t="s">
        <v>5295</v>
      </c>
      <c r="G448" s="58" t="s">
        <v>5295</v>
      </c>
      <c r="H448" s="58" t="s">
        <v>5294</v>
      </c>
      <c r="I448" s="58" t="s">
        <v>5294</v>
      </c>
      <c r="J448" s="58" t="s">
        <v>9</v>
      </c>
      <c r="K448" s="49" t="s">
        <v>5525</v>
      </c>
      <c r="P448" s="58"/>
    </row>
    <row r="449" spans="1:16">
      <c r="A449" s="90" t="s">
        <v>5095</v>
      </c>
      <c r="B449" s="90">
        <v>2829970434</v>
      </c>
      <c r="C449" s="73" t="s">
        <v>4473</v>
      </c>
      <c r="D449" s="92" t="s">
        <v>5262</v>
      </c>
      <c r="E449" s="91">
        <v>1102013002</v>
      </c>
      <c r="F449" s="58" t="s">
        <v>5295</v>
      </c>
      <c r="G449" s="58" t="s">
        <v>5295</v>
      </c>
      <c r="H449" s="58" t="s">
        <v>5294</v>
      </c>
      <c r="I449" s="58" t="s">
        <v>5294</v>
      </c>
      <c r="J449" s="58" t="s">
        <v>9</v>
      </c>
      <c r="K449" s="49" t="s">
        <v>5525</v>
      </c>
      <c r="P449" s="58"/>
    </row>
    <row r="450" spans="1:16">
      <c r="A450" s="90" t="s">
        <v>5095</v>
      </c>
      <c r="B450" s="90">
        <v>2829970435</v>
      </c>
      <c r="C450" s="73" t="s">
        <v>4473</v>
      </c>
      <c r="D450" s="92" t="s">
        <v>5376</v>
      </c>
      <c r="E450" s="91">
        <v>1102013003</v>
      </c>
      <c r="F450" s="58" t="s">
        <v>5295</v>
      </c>
      <c r="G450" s="58" t="s">
        <v>5295</v>
      </c>
      <c r="H450" s="58" t="s">
        <v>5294</v>
      </c>
      <c r="I450" s="58" t="s">
        <v>5294</v>
      </c>
      <c r="J450" s="58" t="s">
        <v>9</v>
      </c>
      <c r="K450" s="49" t="s">
        <v>5525</v>
      </c>
      <c r="P450" s="58"/>
    </row>
    <row r="451" spans="1:16">
      <c r="A451" s="90" t="s">
        <v>5095</v>
      </c>
      <c r="B451" s="90">
        <v>2829970436</v>
      </c>
      <c r="C451" s="73" t="s">
        <v>4473</v>
      </c>
      <c r="D451" s="92" t="s">
        <v>5263</v>
      </c>
      <c r="E451" s="91">
        <v>1102013005</v>
      </c>
      <c r="F451" s="58" t="s">
        <v>5295</v>
      </c>
      <c r="G451" s="58" t="s">
        <v>5295</v>
      </c>
      <c r="H451" s="58" t="s">
        <v>5294</v>
      </c>
      <c r="I451" s="58" t="s">
        <v>5294</v>
      </c>
      <c r="J451" s="58" t="s">
        <v>9</v>
      </c>
      <c r="K451" s="49" t="s">
        <v>5525</v>
      </c>
      <c r="P451" s="58"/>
    </row>
    <row r="452" spans="1:16">
      <c r="A452" s="90" t="s">
        <v>5095</v>
      </c>
      <c r="B452" s="90">
        <v>2829970437</v>
      </c>
      <c r="C452" s="73" t="s">
        <v>4473</v>
      </c>
      <c r="D452" s="92" t="s">
        <v>5264</v>
      </c>
      <c r="E452" s="91">
        <v>1102013006</v>
      </c>
      <c r="F452" s="58" t="s">
        <v>5295</v>
      </c>
      <c r="G452" s="58" t="s">
        <v>5295</v>
      </c>
      <c r="H452" s="58" t="s">
        <v>5294</v>
      </c>
      <c r="I452" s="58" t="s">
        <v>5294</v>
      </c>
      <c r="J452" s="58" t="s">
        <v>9</v>
      </c>
      <c r="K452" s="49" t="s">
        <v>5525</v>
      </c>
      <c r="P452" s="58"/>
    </row>
    <row r="453" spans="1:16">
      <c r="A453" s="90" t="s">
        <v>5095</v>
      </c>
      <c r="B453" s="90">
        <v>2829970438</v>
      </c>
      <c r="C453" s="73" t="s">
        <v>4473</v>
      </c>
      <c r="D453" s="92" t="s">
        <v>5265</v>
      </c>
      <c r="E453" s="91">
        <v>1102013007</v>
      </c>
      <c r="F453" s="58" t="s">
        <v>5295</v>
      </c>
      <c r="G453" s="58" t="s">
        <v>5295</v>
      </c>
      <c r="H453" s="58" t="s">
        <v>5294</v>
      </c>
      <c r="I453" s="58" t="s">
        <v>5294</v>
      </c>
      <c r="J453" s="58" t="s">
        <v>9</v>
      </c>
      <c r="K453" s="49" t="s">
        <v>5525</v>
      </c>
      <c r="P453" s="58"/>
    </row>
    <row r="454" spans="1:16">
      <c r="A454" s="90" t="s">
        <v>5095</v>
      </c>
      <c r="B454" s="90">
        <v>2829970439</v>
      </c>
      <c r="C454" s="73" t="s">
        <v>4473</v>
      </c>
      <c r="D454" s="92" t="s">
        <v>5266</v>
      </c>
      <c r="E454" s="91">
        <v>1102013010</v>
      </c>
      <c r="F454" s="58" t="s">
        <v>5295</v>
      </c>
      <c r="G454" s="58" t="s">
        <v>5295</v>
      </c>
      <c r="H454" s="58" t="s">
        <v>5294</v>
      </c>
      <c r="I454" s="58" t="s">
        <v>5294</v>
      </c>
      <c r="J454" s="58" t="s">
        <v>9</v>
      </c>
      <c r="K454" s="49" t="s">
        <v>5525</v>
      </c>
      <c r="P454" s="58"/>
    </row>
    <row r="455" spans="1:16">
      <c r="A455" s="90" t="s">
        <v>5095</v>
      </c>
      <c r="B455" s="90">
        <v>2829970440</v>
      </c>
      <c r="C455" s="73" t="s">
        <v>4473</v>
      </c>
      <c r="D455" s="92" t="s">
        <v>5267</v>
      </c>
      <c r="E455" s="91">
        <v>1102013011</v>
      </c>
      <c r="F455" s="58" t="s">
        <v>5295</v>
      </c>
      <c r="G455" s="58" t="s">
        <v>5295</v>
      </c>
      <c r="H455" s="58" t="s">
        <v>5294</v>
      </c>
      <c r="I455" s="58" t="s">
        <v>5294</v>
      </c>
      <c r="J455" s="58" t="s">
        <v>9</v>
      </c>
      <c r="K455" s="49" t="s">
        <v>5525</v>
      </c>
      <c r="P455" s="58"/>
    </row>
    <row r="456" spans="1:16">
      <c r="A456" s="90" t="s">
        <v>5095</v>
      </c>
      <c r="B456" s="90">
        <v>2829970441</v>
      </c>
      <c r="C456" s="73" t="s">
        <v>4473</v>
      </c>
      <c r="D456" s="92" t="s">
        <v>5268</v>
      </c>
      <c r="E456" s="91">
        <v>1102013012</v>
      </c>
      <c r="F456" s="58" t="s">
        <v>5295</v>
      </c>
      <c r="G456" s="58" t="s">
        <v>5295</v>
      </c>
      <c r="H456" s="58" t="s">
        <v>5294</v>
      </c>
      <c r="I456" s="58" t="s">
        <v>5294</v>
      </c>
      <c r="J456" s="58" t="s">
        <v>9</v>
      </c>
      <c r="K456" s="49" t="s">
        <v>5525</v>
      </c>
      <c r="P456" s="58"/>
    </row>
    <row r="457" spans="1:16">
      <c r="A457" s="90" t="s">
        <v>5095</v>
      </c>
      <c r="B457" s="90">
        <v>2829970442</v>
      </c>
      <c r="C457" s="73" t="s">
        <v>4473</v>
      </c>
      <c r="D457" s="92" t="s">
        <v>5269</v>
      </c>
      <c r="E457" s="91">
        <v>1102013013</v>
      </c>
      <c r="F457" s="58" t="s">
        <v>5295</v>
      </c>
      <c r="G457" s="58" t="s">
        <v>5295</v>
      </c>
      <c r="H457" s="58" t="s">
        <v>5294</v>
      </c>
      <c r="I457" s="58" t="s">
        <v>5294</v>
      </c>
      <c r="J457" s="58" t="s">
        <v>9</v>
      </c>
      <c r="K457" s="49" t="s">
        <v>5525</v>
      </c>
      <c r="P457" s="58"/>
    </row>
    <row r="458" spans="1:16">
      <c r="A458" s="90" t="s">
        <v>5095</v>
      </c>
      <c r="B458" s="90">
        <v>2829970443</v>
      </c>
      <c r="C458" s="73" t="s">
        <v>4473</v>
      </c>
      <c r="D458" s="92" t="s">
        <v>5270</v>
      </c>
      <c r="E458" s="91">
        <v>1102013014</v>
      </c>
      <c r="F458" s="58" t="s">
        <v>5295</v>
      </c>
      <c r="G458" s="58" t="s">
        <v>5295</v>
      </c>
      <c r="H458" s="58" t="s">
        <v>5294</v>
      </c>
      <c r="I458" s="58" t="s">
        <v>5294</v>
      </c>
      <c r="J458" s="58" t="s">
        <v>9</v>
      </c>
      <c r="K458" s="49" t="s">
        <v>5525</v>
      </c>
      <c r="P458" s="58"/>
    </row>
    <row r="459" spans="1:16">
      <c r="A459" s="90" t="s">
        <v>5095</v>
      </c>
      <c r="B459" s="90">
        <v>2829970444</v>
      </c>
      <c r="C459" s="73" t="s">
        <v>4473</v>
      </c>
      <c r="D459" s="92" t="s">
        <v>5271</v>
      </c>
      <c r="E459" s="91">
        <v>1102013015</v>
      </c>
      <c r="F459" s="58" t="s">
        <v>5295</v>
      </c>
      <c r="G459" s="58" t="s">
        <v>5295</v>
      </c>
      <c r="H459" s="58" t="s">
        <v>5294</v>
      </c>
      <c r="I459" s="58" t="s">
        <v>5294</v>
      </c>
      <c r="J459" s="58" t="s">
        <v>9</v>
      </c>
      <c r="K459" s="49" t="s">
        <v>5525</v>
      </c>
      <c r="P459" s="58"/>
    </row>
    <row r="460" spans="1:16">
      <c r="A460" s="90" t="s">
        <v>5095</v>
      </c>
      <c r="B460" s="90">
        <v>2829970445</v>
      </c>
      <c r="C460" s="73" t="s">
        <v>4473</v>
      </c>
      <c r="D460" s="92" t="s">
        <v>5272</v>
      </c>
      <c r="E460" s="91">
        <v>1102013016</v>
      </c>
      <c r="F460" s="58" t="s">
        <v>5295</v>
      </c>
      <c r="G460" s="58" t="s">
        <v>5295</v>
      </c>
      <c r="H460" s="58" t="s">
        <v>5294</v>
      </c>
      <c r="I460" s="58" t="s">
        <v>5294</v>
      </c>
      <c r="J460" s="58" t="s">
        <v>9</v>
      </c>
      <c r="K460" s="49" t="s">
        <v>5525</v>
      </c>
      <c r="P460" s="58"/>
    </row>
    <row r="461" spans="1:16">
      <c r="A461" s="90" t="s">
        <v>5095</v>
      </c>
      <c r="B461" s="90">
        <v>2829970446</v>
      </c>
      <c r="C461" s="73" t="s">
        <v>4473</v>
      </c>
      <c r="D461" s="92" t="s">
        <v>5273</v>
      </c>
      <c r="E461" s="91">
        <v>1102013101</v>
      </c>
      <c r="F461" s="58" t="s">
        <v>5295</v>
      </c>
      <c r="G461" s="58" t="s">
        <v>5295</v>
      </c>
      <c r="H461" s="58" t="s">
        <v>5294</v>
      </c>
      <c r="I461" s="58" t="s">
        <v>5294</v>
      </c>
      <c r="J461" s="58" t="s">
        <v>9</v>
      </c>
      <c r="K461" s="49" t="s">
        <v>5525</v>
      </c>
      <c r="P461" s="58"/>
    </row>
    <row r="462" spans="1:16">
      <c r="A462" s="90" t="s">
        <v>5095</v>
      </c>
      <c r="B462" s="90">
        <v>2829970447</v>
      </c>
      <c r="C462" s="73" t="s">
        <v>4473</v>
      </c>
      <c r="D462" s="92" t="s">
        <v>5274</v>
      </c>
      <c r="E462" s="91">
        <v>1102013201</v>
      </c>
      <c r="F462" s="58" t="s">
        <v>5295</v>
      </c>
      <c r="G462" s="58" t="s">
        <v>5295</v>
      </c>
      <c r="H462" s="58" t="s">
        <v>5294</v>
      </c>
      <c r="I462" s="58" t="s">
        <v>5294</v>
      </c>
      <c r="J462" s="58" t="s">
        <v>9</v>
      </c>
      <c r="K462" s="49" t="s">
        <v>5525</v>
      </c>
      <c r="P462" s="58"/>
    </row>
    <row r="463" spans="1:16">
      <c r="A463" s="90" t="s">
        <v>5095</v>
      </c>
      <c r="B463" s="90">
        <v>2829970448</v>
      </c>
      <c r="C463" s="73" t="s">
        <v>4473</v>
      </c>
      <c r="D463" s="92" t="s">
        <v>5276</v>
      </c>
      <c r="E463" s="91">
        <v>1102014602</v>
      </c>
      <c r="F463" s="58" t="s">
        <v>5295</v>
      </c>
      <c r="G463" s="58" t="s">
        <v>5295</v>
      </c>
      <c r="H463" s="58" t="s">
        <v>5294</v>
      </c>
      <c r="I463" s="58" t="s">
        <v>5294</v>
      </c>
      <c r="J463" s="58" t="s">
        <v>9</v>
      </c>
      <c r="K463" s="49" t="s">
        <v>5525</v>
      </c>
      <c r="P463" s="58"/>
    </row>
    <row r="464" spans="1:16">
      <c r="A464" s="90" t="s">
        <v>5095</v>
      </c>
      <c r="B464" s="90">
        <v>2829970449</v>
      </c>
      <c r="C464" s="73" t="s">
        <v>4473</v>
      </c>
      <c r="D464" s="92" t="s">
        <v>5596</v>
      </c>
      <c r="E464" s="91">
        <v>1102014901</v>
      </c>
      <c r="F464" s="58" t="s">
        <v>5295</v>
      </c>
      <c r="G464" s="58" t="s">
        <v>5295</v>
      </c>
      <c r="H464" s="58" t="s">
        <v>5294</v>
      </c>
      <c r="I464" s="58" t="s">
        <v>5294</v>
      </c>
      <c r="J464" s="58" t="s">
        <v>9</v>
      </c>
      <c r="K464" s="49" t="s">
        <v>5525</v>
      </c>
      <c r="P464" s="58"/>
    </row>
    <row r="465" spans="1:16">
      <c r="A465" s="90" t="s">
        <v>5095</v>
      </c>
      <c r="B465" s="90">
        <v>2829970450</v>
      </c>
      <c r="C465" s="73" t="s">
        <v>4473</v>
      </c>
      <c r="D465" s="92" t="s">
        <v>5173</v>
      </c>
      <c r="E465" s="91">
        <v>1102015001</v>
      </c>
      <c r="F465" s="58" t="s">
        <v>5295</v>
      </c>
      <c r="G465" s="58" t="s">
        <v>5295</v>
      </c>
      <c r="H465" s="58" t="s">
        <v>5294</v>
      </c>
      <c r="I465" s="58" t="s">
        <v>5294</v>
      </c>
      <c r="J465" s="58" t="s">
        <v>9</v>
      </c>
      <c r="K465" s="49" t="s">
        <v>5525</v>
      </c>
      <c r="P465" s="58"/>
    </row>
    <row r="466" spans="1:16">
      <c r="A466" s="90" t="s">
        <v>5095</v>
      </c>
      <c r="B466" s="90">
        <v>2829970451</v>
      </c>
      <c r="C466" s="73" t="s">
        <v>4473</v>
      </c>
      <c r="D466" s="92" t="s">
        <v>5277</v>
      </c>
      <c r="E466" s="91">
        <v>1102015101</v>
      </c>
      <c r="F466" s="58" t="s">
        <v>5295</v>
      </c>
      <c r="G466" s="58" t="s">
        <v>5295</v>
      </c>
      <c r="H466" s="58" t="s">
        <v>5294</v>
      </c>
      <c r="I466" s="58" t="s">
        <v>5294</v>
      </c>
      <c r="J466" s="58" t="s">
        <v>9</v>
      </c>
      <c r="K466" s="49" t="s">
        <v>5525</v>
      </c>
      <c r="P466" s="58"/>
    </row>
    <row r="467" spans="1:16">
      <c r="A467" s="90" t="s">
        <v>5095</v>
      </c>
      <c r="B467" s="90">
        <v>2829970452</v>
      </c>
      <c r="C467" s="73" t="s">
        <v>4473</v>
      </c>
      <c r="D467" s="92" t="s">
        <v>5278</v>
      </c>
      <c r="E467" s="91">
        <v>1102015102</v>
      </c>
      <c r="F467" s="58" t="s">
        <v>5295</v>
      </c>
      <c r="G467" s="58" t="s">
        <v>5295</v>
      </c>
      <c r="H467" s="58" t="s">
        <v>5294</v>
      </c>
      <c r="I467" s="58" t="s">
        <v>5294</v>
      </c>
      <c r="J467" s="58" t="s">
        <v>9</v>
      </c>
      <c r="K467" s="49" t="s">
        <v>5525</v>
      </c>
      <c r="P467" s="58"/>
    </row>
    <row r="468" spans="1:16">
      <c r="A468" s="90" t="s">
        <v>5095</v>
      </c>
      <c r="B468" s="90">
        <v>2829970453</v>
      </c>
      <c r="C468" s="73" t="s">
        <v>4473</v>
      </c>
      <c r="D468" s="92" t="s">
        <v>5279</v>
      </c>
      <c r="E468" s="91">
        <v>1102015103</v>
      </c>
      <c r="F468" s="58" t="s">
        <v>5295</v>
      </c>
      <c r="G468" s="58" t="s">
        <v>5295</v>
      </c>
      <c r="H468" s="58" t="s">
        <v>5294</v>
      </c>
      <c r="I468" s="58" t="s">
        <v>5294</v>
      </c>
      <c r="J468" s="58" t="s">
        <v>9</v>
      </c>
      <c r="K468" s="49" t="s">
        <v>5525</v>
      </c>
      <c r="P468" s="58"/>
    </row>
    <row r="469" spans="1:16">
      <c r="A469" s="90" t="s">
        <v>5095</v>
      </c>
      <c r="B469" s="90">
        <v>2829970454</v>
      </c>
      <c r="C469" s="73" t="s">
        <v>4473</v>
      </c>
      <c r="D469" s="92" t="s">
        <v>5280</v>
      </c>
      <c r="E469" s="91">
        <v>1102015104</v>
      </c>
      <c r="F469" s="58" t="s">
        <v>5295</v>
      </c>
      <c r="G469" s="58" t="s">
        <v>5295</v>
      </c>
      <c r="H469" s="58" t="s">
        <v>5294</v>
      </c>
      <c r="I469" s="58" t="s">
        <v>5294</v>
      </c>
      <c r="J469" s="58" t="s">
        <v>9</v>
      </c>
      <c r="K469" s="49" t="s">
        <v>5525</v>
      </c>
      <c r="P469" s="58"/>
    </row>
    <row r="470" spans="1:16">
      <c r="A470" s="90" t="s">
        <v>5095</v>
      </c>
      <c r="B470" s="90">
        <v>2829970455</v>
      </c>
      <c r="C470" s="73" t="s">
        <v>4473</v>
      </c>
      <c r="D470" s="92" t="s">
        <v>5281</v>
      </c>
      <c r="E470" s="91">
        <v>1102015105</v>
      </c>
      <c r="F470" s="58" t="s">
        <v>5295</v>
      </c>
      <c r="G470" s="58" t="s">
        <v>5295</v>
      </c>
      <c r="H470" s="58" t="s">
        <v>5294</v>
      </c>
      <c r="I470" s="58" t="s">
        <v>5294</v>
      </c>
      <c r="J470" s="58" t="s">
        <v>9</v>
      </c>
      <c r="K470" s="49" t="s">
        <v>5525</v>
      </c>
      <c r="P470" s="58"/>
    </row>
    <row r="471" spans="1:16">
      <c r="A471" s="90" t="s">
        <v>5095</v>
      </c>
      <c r="B471" s="90">
        <v>2829970456</v>
      </c>
      <c r="C471" s="73" t="s">
        <v>4473</v>
      </c>
      <c r="D471" s="92" t="s">
        <v>5282</v>
      </c>
      <c r="E471" s="91">
        <v>1102015106</v>
      </c>
      <c r="F471" s="58" t="s">
        <v>5295</v>
      </c>
      <c r="G471" s="58" t="s">
        <v>5295</v>
      </c>
      <c r="H471" s="58" t="s">
        <v>5294</v>
      </c>
      <c r="I471" s="58" t="s">
        <v>5294</v>
      </c>
      <c r="J471" s="58" t="s">
        <v>9</v>
      </c>
      <c r="K471" s="49" t="s">
        <v>5525</v>
      </c>
      <c r="P471" s="58"/>
    </row>
    <row r="472" spans="1:16">
      <c r="A472" s="90" t="s">
        <v>5095</v>
      </c>
      <c r="B472" s="90">
        <v>2829970457</v>
      </c>
      <c r="C472" s="73" t="s">
        <v>4473</v>
      </c>
      <c r="D472" s="92" t="s">
        <v>5283</v>
      </c>
      <c r="E472" s="91">
        <v>1102015107</v>
      </c>
      <c r="F472" s="58" t="s">
        <v>5295</v>
      </c>
      <c r="G472" s="58" t="s">
        <v>5295</v>
      </c>
      <c r="H472" s="58" t="s">
        <v>5294</v>
      </c>
      <c r="I472" s="58" t="s">
        <v>5294</v>
      </c>
      <c r="J472" s="58" t="s">
        <v>9</v>
      </c>
      <c r="K472" s="49" t="s">
        <v>5525</v>
      </c>
      <c r="P472" s="58"/>
    </row>
    <row r="473" spans="1:16">
      <c r="A473" s="90" t="s">
        <v>5095</v>
      </c>
      <c r="B473" s="90">
        <v>2829970458</v>
      </c>
      <c r="C473" s="73" t="s">
        <v>4473</v>
      </c>
      <c r="D473" s="92" t="s">
        <v>5306</v>
      </c>
      <c r="E473" s="91">
        <v>1102018101</v>
      </c>
      <c r="F473" s="58" t="s">
        <v>5295</v>
      </c>
      <c r="G473" s="58" t="s">
        <v>5295</v>
      </c>
      <c r="H473" s="58" t="s">
        <v>5294</v>
      </c>
      <c r="I473" s="58" t="s">
        <v>5294</v>
      </c>
      <c r="J473" s="58" t="s">
        <v>9</v>
      </c>
      <c r="K473" s="49" t="s">
        <v>5525</v>
      </c>
      <c r="P473" s="58"/>
    </row>
    <row r="474" spans="1:16">
      <c r="A474" s="90" t="s">
        <v>5095</v>
      </c>
      <c r="B474" s="90">
        <v>2829970501</v>
      </c>
      <c r="C474" s="73" t="s">
        <v>4473</v>
      </c>
      <c r="D474" s="92" t="s">
        <v>5285</v>
      </c>
      <c r="E474" s="91">
        <v>1102025101</v>
      </c>
      <c r="F474" s="58" t="s">
        <v>5295</v>
      </c>
      <c r="G474" s="58" t="s">
        <v>5295</v>
      </c>
      <c r="H474" s="58" t="s">
        <v>5294</v>
      </c>
      <c r="I474" s="58" t="s">
        <v>5294</v>
      </c>
      <c r="J474" s="58" t="s">
        <v>9</v>
      </c>
      <c r="K474" s="49" t="s">
        <v>5525</v>
      </c>
      <c r="P474" s="58"/>
    </row>
    <row r="475" spans="1:16">
      <c r="A475" s="90" t="s">
        <v>5095</v>
      </c>
      <c r="B475" s="90">
        <v>2829970502</v>
      </c>
      <c r="C475" s="73" t="s">
        <v>4473</v>
      </c>
      <c r="D475" s="92" t="s">
        <v>5286</v>
      </c>
      <c r="E475" s="91">
        <v>1102025102</v>
      </c>
      <c r="F475" s="58" t="s">
        <v>5295</v>
      </c>
      <c r="G475" s="58" t="s">
        <v>5295</v>
      </c>
      <c r="H475" s="58" t="s">
        <v>5294</v>
      </c>
      <c r="I475" s="58" t="s">
        <v>5294</v>
      </c>
      <c r="J475" s="58" t="s">
        <v>9</v>
      </c>
      <c r="K475" s="49" t="s">
        <v>5525</v>
      </c>
      <c r="P475" s="58"/>
    </row>
    <row r="476" spans="1:16">
      <c r="A476" s="90" t="s">
        <v>5095</v>
      </c>
      <c r="B476" s="90">
        <v>2829970503</v>
      </c>
      <c r="C476" s="73" t="s">
        <v>4473</v>
      </c>
      <c r="D476" s="92" t="s">
        <v>5287</v>
      </c>
      <c r="E476" s="91">
        <v>1102025103</v>
      </c>
      <c r="F476" s="58" t="s">
        <v>5295</v>
      </c>
      <c r="G476" s="58" t="s">
        <v>5295</v>
      </c>
      <c r="H476" s="58" t="s">
        <v>5294</v>
      </c>
      <c r="I476" s="58" t="s">
        <v>5294</v>
      </c>
      <c r="J476" s="58" t="s">
        <v>9</v>
      </c>
      <c r="K476" s="49" t="s">
        <v>5525</v>
      </c>
      <c r="P476" s="58"/>
    </row>
    <row r="477" spans="1:16">
      <c r="A477" s="90" t="s">
        <v>5095</v>
      </c>
      <c r="B477" s="90">
        <v>2829970504</v>
      </c>
      <c r="C477" s="73" t="s">
        <v>4473</v>
      </c>
      <c r="D477" s="92" t="s">
        <v>5288</v>
      </c>
      <c r="E477" s="91">
        <v>1102025104</v>
      </c>
      <c r="F477" s="58" t="s">
        <v>5295</v>
      </c>
      <c r="G477" s="58" t="s">
        <v>5295</v>
      </c>
      <c r="H477" s="58" t="s">
        <v>5294</v>
      </c>
      <c r="I477" s="58" t="s">
        <v>5294</v>
      </c>
      <c r="J477" s="58" t="s">
        <v>9</v>
      </c>
      <c r="K477" s="49" t="s">
        <v>5525</v>
      </c>
      <c r="P477" s="58"/>
    </row>
    <row r="478" spans="1:16">
      <c r="A478" s="90" t="s">
        <v>5095</v>
      </c>
      <c r="B478" s="90">
        <v>2829970505</v>
      </c>
      <c r="C478" s="73" t="s">
        <v>4473</v>
      </c>
      <c r="D478" s="92" t="s">
        <v>5289</v>
      </c>
      <c r="E478" s="91">
        <v>1102025105</v>
      </c>
      <c r="F478" s="58" t="s">
        <v>5295</v>
      </c>
      <c r="G478" s="58" t="s">
        <v>5295</v>
      </c>
      <c r="H478" s="58" t="s">
        <v>5294</v>
      </c>
      <c r="I478" s="58" t="s">
        <v>5294</v>
      </c>
      <c r="J478" s="58" t="s">
        <v>9</v>
      </c>
      <c r="K478" s="49" t="s">
        <v>5525</v>
      </c>
      <c r="P478" s="58"/>
    </row>
    <row r="479" spans="1:16">
      <c r="A479" s="90" t="s">
        <v>5095</v>
      </c>
      <c r="B479" s="90">
        <v>2829970506</v>
      </c>
      <c r="C479" s="73" t="s">
        <v>4473</v>
      </c>
      <c r="D479" s="92" t="s">
        <v>5290</v>
      </c>
      <c r="E479" s="91">
        <v>1102025106</v>
      </c>
      <c r="F479" s="58" t="s">
        <v>5295</v>
      </c>
      <c r="G479" s="58" t="s">
        <v>5295</v>
      </c>
      <c r="H479" s="58" t="s">
        <v>5294</v>
      </c>
      <c r="I479" s="58" t="s">
        <v>5294</v>
      </c>
      <c r="J479" s="58" t="s">
        <v>9</v>
      </c>
      <c r="K479" s="49" t="s">
        <v>5525</v>
      </c>
      <c r="P479" s="58"/>
    </row>
    <row r="480" spans="1:16">
      <c r="A480" s="90" t="s">
        <v>5095</v>
      </c>
      <c r="B480" s="90">
        <v>2829970507</v>
      </c>
      <c r="C480" s="73" t="s">
        <v>4473</v>
      </c>
      <c r="D480" s="92" t="s">
        <v>5291</v>
      </c>
      <c r="E480" s="91">
        <v>1102025107</v>
      </c>
      <c r="F480" s="58" t="s">
        <v>5295</v>
      </c>
      <c r="G480" s="58" t="s">
        <v>5295</v>
      </c>
      <c r="H480" s="58" t="s">
        <v>5294</v>
      </c>
      <c r="I480" s="58" t="s">
        <v>5294</v>
      </c>
      <c r="J480" s="58" t="s">
        <v>9</v>
      </c>
      <c r="K480" s="49" t="s">
        <v>5525</v>
      </c>
      <c r="P480" s="58"/>
    </row>
    <row r="481" spans="1:16" s="29" customFormat="1">
      <c r="A481" s="17" t="s">
        <v>4</v>
      </c>
      <c r="B481" s="17">
        <v>2829970010</v>
      </c>
      <c r="C481" s="73" t="s">
        <v>4473</v>
      </c>
      <c r="D481" s="86" t="s">
        <v>5683</v>
      </c>
      <c r="E481" s="53" t="s">
        <v>3369</v>
      </c>
      <c r="F481" s="17" t="s">
        <v>3532</v>
      </c>
      <c r="G481" s="17" t="s">
        <v>3532</v>
      </c>
      <c r="H481" s="17" t="s">
        <v>3531</v>
      </c>
      <c r="I481" s="17" t="s">
        <v>3545</v>
      </c>
      <c r="J481" s="17" t="s">
        <v>9</v>
      </c>
      <c r="K481" s="49" t="s">
        <v>1008</v>
      </c>
      <c r="L481" s="4" t="str">
        <f ca="1">IF(ISERROR(VLOOKUP(B481,'ETL Scope'!I:I,1,0)),"NA","ETL")</f>
        <v>NA</v>
      </c>
      <c r="M481" s="29">
        <f ca="1">COUNTIF('Data-WK'!A:A,'V1'!B:B)</f>
        <v>4</v>
      </c>
      <c r="N481" s="29" t="e">
        <f ca="1">VLOOKUP(E481,'IFRS only'!A:A,1,0)</f>
        <v>#N/A</v>
      </c>
      <c r="P481" s="89"/>
    </row>
    <row r="482" spans="1:16" s="29" customFormat="1">
      <c r="A482" s="17" t="s">
        <v>4</v>
      </c>
      <c r="B482" s="17">
        <v>2829970011</v>
      </c>
      <c r="C482" s="73" t="s">
        <v>4473</v>
      </c>
      <c r="D482" s="86" t="s">
        <v>5684</v>
      </c>
      <c r="E482" s="53" t="s">
        <v>3369</v>
      </c>
      <c r="F482" s="17" t="s">
        <v>3532</v>
      </c>
      <c r="G482" s="17" t="s">
        <v>3532</v>
      </c>
      <c r="H482" s="17" t="s">
        <v>3531</v>
      </c>
      <c r="I482" s="17" t="s">
        <v>3545</v>
      </c>
      <c r="J482" s="17" t="s">
        <v>9</v>
      </c>
      <c r="K482" s="49" t="s">
        <v>1009</v>
      </c>
      <c r="L482" s="4" t="str">
        <f ca="1">IF(ISERROR(VLOOKUP(B482,'ETL Scope'!I:I,1,0)),"NA","ETL")</f>
        <v>NA</v>
      </c>
      <c r="M482" s="29">
        <f ca="1">COUNTIF('Data-WK'!A:A,'V1'!B:B)</f>
        <v>4</v>
      </c>
      <c r="N482" s="29" t="e">
        <f ca="1">VLOOKUP(E482,'IFRS only'!A:A,1,0)</f>
        <v>#N/A</v>
      </c>
      <c r="P482" s="89"/>
    </row>
    <row r="483" spans="1:16" s="29" customFormat="1">
      <c r="A483" s="17" t="s">
        <v>4</v>
      </c>
      <c r="B483" s="17">
        <v>2829970012</v>
      </c>
      <c r="C483" s="73" t="s">
        <v>4473</v>
      </c>
      <c r="D483" s="86" t="s">
        <v>5685</v>
      </c>
      <c r="E483" s="53" t="s">
        <v>3369</v>
      </c>
      <c r="F483" s="17" t="s">
        <v>3532</v>
      </c>
      <c r="G483" s="17" t="s">
        <v>3532</v>
      </c>
      <c r="H483" s="17" t="s">
        <v>3531</v>
      </c>
      <c r="I483" s="17" t="s">
        <v>3545</v>
      </c>
      <c r="J483" s="17" t="s">
        <v>9</v>
      </c>
      <c r="K483" s="49" t="s">
        <v>1010</v>
      </c>
      <c r="L483" s="4" t="str">
        <f ca="1">IF(ISERROR(VLOOKUP(B483,'ETL Scope'!I:I,1,0)),"NA","ETL")</f>
        <v>NA</v>
      </c>
      <c r="M483" s="29">
        <f ca="1">COUNTIF('Data-WK'!A:A,'V1'!B:B)</f>
        <v>4</v>
      </c>
      <c r="N483" s="29" t="e">
        <f ca="1">VLOOKUP(E483,'IFRS only'!A:A,1,0)</f>
        <v>#N/A</v>
      </c>
      <c r="P483" s="89"/>
    </row>
    <row r="484" spans="1:16" s="29" customFormat="1">
      <c r="A484" s="17" t="s">
        <v>4</v>
      </c>
      <c r="B484" s="17">
        <v>2829970021</v>
      </c>
      <c r="C484" s="73" t="s">
        <v>4473</v>
      </c>
      <c r="D484" s="86" t="s">
        <v>5686</v>
      </c>
      <c r="E484" s="53" t="s">
        <v>3369</v>
      </c>
      <c r="F484" s="17" t="s">
        <v>3532</v>
      </c>
      <c r="G484" s="17" t="s">
        <v>3532</v>
      </c>
      <c r="H484" s="17" t="s">
        <v>3531</v>
      </c>
      <c r="I484" s="17" t="s">
        <v>3545</v>
      </c>
      <c r="J484" s="17" t="s">
        <v>9</v>
      </c>
      <c r="K484" s="49" t="s">
        <v>1011</v>
      </c>
      <c r="L484" s="4" t="str">
        <f ca="1">IF(ISERROR(VLOOKUP(B484,'ETL Scope'!I:I,1,0)),"NA","ETL")</f>
        <v>NA</v>
      </c>
      <c r="M484" s="29">
        <f ca="1">COUNTIF('Data-WK'!A:A,'V1'!B:B)</f>
        <v>4</v>
      </c>
      <c r="N484" s="29" t="e">
        <f ca="1">VLOOKUP(E484,'IFRS only'!A:A,1,0)</f>
        <v>#N/A</v>
      </c>
      <c r="P484" s="89"/>
    </row>
    <row r="485" spans="1:16" s="29" customFormat="1">
      <c r="A485" s="17" t="s">
        <v>4</v>
      </c>
      <c r="B485" s="17">
        <v>2829970022</v>
      </c>
      <c r="C485" s="73" t="s">
        <v>4473</v>
      </c>
      <c r="D485" s="86" t="s">
        <v>5687</v>
      </c>
      <c r="E485" s="53" t="s">
        <v>3369</v>
      </c>
      <c r="F485" s="17" t="s">
        <v>3532</v>
      </c>
      <c r="G485" s="17" t="s">
        <v>3532</v>
      </c>
      <c r="H485" s="17" t="s">
        <v>3531</v>
      </c>
      <c r="I485" s="17" t="s">
        <v>3545</v>
      </c>
      <c r="J485" s="17" t="s">
        <v>9</v>
      </c>
      <c r="K485" s="49" t="s">
        <v>1012</v>
      </c>
      <c r="L485" s="4" t="str">
        <f ca="1">IF(ISERROR(VLOOKUP(B485,'ETL Scope'!I:I,1,0)),"NA","ETL")</f>
        <v>NA</v>
      </c>
      <c r="M485" s="29">
        <f ca="1">COUNTIF('Data-WK'!A:A,'V1'!B:B)</f>
        <v>4</v>
      </c>
      <c r="N485" s="29" t="e">
        <f ca="1">VLOOKUP(E485,'IFRS only'!A:A,1,0)</f>
        <v>#N/A</v>
      </c>
      <c r="P485" s="89"/>
    </row>
    <row r="486" spans="1:16" s="29" customFormat="1">
      <c r="A486" s="17" t="s">
        <v>4</v>
      </c>
      <c r="B486" s="17">
        <v>2829970031</v>
      </c>
      <c r="C486" s="73" t="s">
        <v>4473</v>
      </c>
      <c r="D486" s="86" t="s">
        <v>5688</v>
      </c>
      <c r="E486" s="53" t="s">
        <v>3369</v>
      </c>
      <c r="F486" s="17" t="s">
        <v>3532</v>
      </c>
      <c r="G486" s="17" t="s">
        <v>3532</v>
      </c>
      <c r="H486" s="17" t="s">
        <v>3531</v>
      </c>
      <c r="I486" s="17" t="s">
        <v>3545</v>
      </c>
      <c r="J486" s="17" t="s">
        <v>9</v>
      </c>
      <c r="K486" s="49" t="s">
        <v>1013</v>
      </c>
      <c r="L486" s="25" t="str">
        <f ca="1">IF(ISERROR(VLOOKUP(B486,'ETL Scope'!I:I,1,0)),"NA","ETL")</f>
        <v>NA</v>
      </c>
      <c r="M486" s="44">
        <f ca="1">COUNTIF('Data-WK'!A:A,'V1'!B:B)</f>
        <v>4</v>
      </c>
      <c r="N486" s="44" t="e">
        <f ca="1">VLOOKUP(E486,'IFRS only'!A:A,1,0)</f>
        <v>#N/A</v>
      </c>
      <c r="O486" s="36"/>
      <c r="P486" s="89"/>
    </row>
    <row r="487" spans="1:16" s="29" customFormat="1">
      <c r="A487" s="17" t="s">
        <v>4</v>
      </c>
      <c r="B487" s="17">
        <v>2829970032</v>
      </c>
      <c r="C487" s="73" t="s">
        <v>4473</v>
      </c>
      <c r="D487" s="86" t="s">
        <v>5689</v>
      </c>
      <c r="E487" s="53" t="s">
        <v>3369</v>
      </c>
      <c r="F487" s="17" t="s">
        <v>3532</v>
      </c>
      <c r="G487" s="17" t="s">
        <v>3532</v>
      </c>
      <c r="H487" s="17" t="s">
        <v>3531</v>
      </c>
      <c r="I487" s="17" t="s">
        <v>3545</v>
      </c>
      <c r="J487" s="17" t="s">
        <v>9</v>
      </c>
      <c r="K487" s="49" t="s">
        <v>1014</v>
      </c>
      <c r="L487" s="4" t="str">
        <f ca="1">IF(ISERROR(VLOOKUP(B487,'ETL Scope'!I:I,1,0)),"NA","ETL")</f>
        <v>NA</v>
      </c>
      <c r="M487" s="29">
        <f ca="1">COUNTIF('Data-WK'!A:A,'V1'!B:B)</f>
        <v>4</v>
      </c>
      <c r="N487" s="29" t="e">
        <f ca="1">VLOOKUP(E487,'IFRS only'!A:A,1,0)</f>
        <v>#N/A</v>
      </c>
      <c r="P487" s="89"/>
    </row>
    <row r="488" spans="1:16" s="29" customFormat="1">
      <c r="A488" s="17" t="s">
        <v>4</v>
      </c>
      <c r="B488" s="17">
        <v>2829970041</v>
      </c>
      <c r="C488" s="73" t="s">
        <v>4473</v>
      </c>
      <c r="D488" s="86" t="s">
        <v>5690</v>
      </c>
      <c r="E488" s="53" t="s">
        <v>3369</v>
      </c>
      <c r="F488" s="17" t="s">
        <v>3532</v>
      </c>
      <c r="G488" s="17" t="s">
        <v>3532</v>
      </c>
      <c r="H488" s="17" t="s">
        <v>3531</v>
      </c>
      <c r="I488" s="17" t="s">
        <v>3545</v>
      </c>
      <c r="J488" s="17" t="s">
        <v>9</v>
      </c>
      <c r="K488" s="49" t="s">
        <v>1015</v>
      </c>
      <c r="L488" s="4" t="str">
        <f ca="1">IF(ISERROR(VLOOKUP(B488,'ETL Scope'!I:I,1,0)),"NA","ETL")</f>
        <v>NA</v>
      </c>
      <c r="M488" s="29">
        <f ca="1">COUNTIF('Data-WK'!A:A,'V1'!B:B)</f>
        <v>4</v>
      </c>
      <c r="N488" s="29" t="e">
        <f ca="1">VLOOKUP(E488,'IFRS only'!A:A,1,0)</f>
        <v>#N/A</v>
      </c>
      <c r="P488" s="89"/>
    </row>
    <row r="489" spans="1:16" s="29" customFormat="1">
      <c r="A489" s="17" t="s">
        <v>4</v>
      </c>
      <c r="B489" s="17">
        <v>2829970042</v>
      </c>
      <c r="C489" s="73" t="s">
        <v>4473</v>
      </c>
      <c r="D489" s="86" t="s">
        <v>5691</v>
      </c>
      <c r="E489" s="53" t="s">
        <v>3369</v>
      </c>
      <c r="F489" s="17" t="s">
        <v>3532</v>
      </c>
      <c r="G489" s="17" t="s">
        <v>3532</v>
      </c>
      <c r="H489" s="17" t="s">
        <v>3531</v>
      </c>
      <c r="I489" s="17" t="s">
        <v>3545</v>
      </c>
      <c r="J489" s="17" t="s">
        <v>9</v>
      </c>
      <c r="K489" s="49" t="s">
        <v>1016</v>
      </c>
      <c r="L489" s="4" t="str">
        <f ca="1">IF(ISERROR(VLOOKUP(B489,'ETL Scope'!I:I,1,0)),"NA","ETL")</f>
        <v>NA</v>
      </c>
      <c r="M489" s="29">
        <f ca="1">COUNTIF('Data-WK'!A:A,'V1'!B:B)</f>
        <v>4</v>
      </c>
      <c r="N489" s="29" t="e">
        <f ca="1">VLOOKUP(E489,'IFRS only'!A:A,1,0)</f>
        <v>#N/A</v>
      </c>
      <c r="P489" s="89"/>
    </row>
    <row r="490" spans="1:16" s="29" customFormat="1">
      <c r="A490" s="17" t="s">
        <v>4</v>
      </c>
      <c r="B490" s="17">
        <v>2829970051</v>
      </c>
      <c r="C490" s="73" t="s">
        <v>4473</v>
      </c>
      <c r="D490" s="86" t="s">
        <v>5692</v>
      </c>
      <c r="E490" s="53" t="s">
        <v>3369</v>
      </c>
      <c r="F490" s="17" t="s">
        <v>3532</v>
      </c>
      <c r="G490" s="17" t="s">
        <v>3532</v>
      </c>
      <c r="H490" s="17" t="s">
        <v>3531</v>
      </c>
      <c r="I490" s="17" t="s">
        <v>3544</v>
      </c>
      <c r="J490" s="17" t="s">
        <v>9</v>
      </c>
      <c r="K490" s="49" t="s">
        <v>1017</v>
      </c>
      <c r="L490" s="4" t="str">
        <f ca="1">IF(ISERROR(VLOOKUP(B490,'ETL Scope'!I:I,1,0)),"NA","ETL")</f>
        <v>NA</v>
      </c>
      <c r="M490" s="29">
        <f ca="1">COUNTIF('Data-WK'!A:A,'V1'!B:B)</f>
        <v>4</v>
      </c>
      <c r="N490" s="29" t="e">
        <f ca="1">VLOOKUP(E490,'IFRS only'!A:A,1,0)</f>
        <v>#N/A</v>
      </c>
      <c r="P490" s="89"/>
    </row>
    <row r="491" spans="1:16" s="29" customFormat="1">
      <c r="A491" s="17" t="s">
        <v>4</v>
      </c>
      <c r="B491" s="17">
        <v>2829970052</v>
      </c>
      <c r="C491" s="73" t="s">
        <v>4473</v>
      </c>
      <c r="D491" s="86" t="s">
        <v>5693</v>
      </c>
      <c r="E491" s="53" t="s">
        <v>3369</v>
      </c>
      <c r="F491" s="17" t="s">
        <v>3532</v>
      </c>
      <c r="G491" s="17" t="s">
        <v>3532</v>
      </c>
      <c r="H491" s="17" t="s">
        <v>3531</v>
      </c>
      <c r="I491" s="17" t="s">
        <v>3544</v>
      </c>
      <c r="J491" s="17" t="s">
        <v>9</v>
      </c>
      <c r="K491" s="49" t="s">
        <v>1018</v>
      </c>
      <c r="L491" s="4" t="str">
        <f ca="1">IF(ISERROR(VLOOKUP(B491,'ETL Scope'!I:I,1,0)),"NA","ETL")</f>
        <v>NA</v>
      </c>
      <c r="M491" s="29">
        <f ca="1">COUNTIF('Data-WK'!A:A,'V1'!B:B)</f>
        <v>4</v>
      </c>
      <c r="N491" s="29" t="e">
        <f ca="1">VLOOKUP(E491,'IFRS only'!A:A,1,0)</f>
        <v>#N/A</v>
      </c>
      <c r="P491" s="89"/>
    </row>
    <row r="492" spans="1:16" s="29" customFormat="1">
      <c r="A492" s="17" t="s">
        <v>4</v>
      </c>
      <c r="B492" s="17">
        <v>2829970061</v>
      </c>
      <c r="C492" s="73" t="s">
        <v>4473</v>
      </c>
      <c r="D492" s="86" t="s">
        <v>5694</v>
      </c>
      <c r="E492" s="53" t="s">
        <v>3369</v>
      </c>
      <c r="F492" s="17" t="s">
        <v>3532</v>
      </c>
      <c r="G492" s="17" t="s">
        <v>3532</v>
      </c>
      <c r="H492" s="17" t="s">
        <v>3531</v>
      </c>
      <c r="I492" s="17" t="s">
        <v>3545</v>
      </c>
      <c r="J492" s="17" t="s">
        <v>9</v>
      </c>
      <c r="K492" s="49" t="s">
        <v>1019</v>
      </c>
      <c r="L492" s="4" t="str">
        <f ca="1">IF(ISERROR(VLOOKUP(B492,'ETL Scope'!I:I,1,0)),"NA","ETL")</f>
        <v>NA</v>
      </c>
      <c r="M492" s="29">
        <f ca="1">COUNTIF('Data-WK'!A:A,'V1'!B:B)</f>
        <v>4</v>
      </c>
      <c r="N492" s="29" t="e">
        <f ca="1">VLOOKUP(E492,'IFRS only'!A:A,1,0)</f>
        <v>#N/A</v>
      </c>
      <c r="P492" s="89"/>
    </row>
    <row r="493" spans="1:16" s="29" customFormat="1">
      <c r="A493" s="17" t="s">
        <v>4</v>
      </c>
      <c r="B493" s="17">
        <v>2829970062</v>
      </c>
      <c r="C493" s="73" t="s">
        <v>4473</v>
      </c>
      <c r="D493" s="86" t="s">
        <v>5695</v>
      </c>
      <c r="E493" s="53" t="s">
        <v>3369</v>
      </c>
      <c r="F493" s="17" t="s">
        <v>3532</v>
      </c>
      <c r="G493" s="17" t="s">
        <v>3532</v>
      </c>
      <c r="H493" s="17" t="s">
        <v>3531</v>
      </c>
      <c r="I493" s="17" t="s">
        <v>3545</v>
      </c>
      <c r="J493" s="17" t="s">
        <v>9</v>
      </c>
      <c r="K493" s="49" t="s">
        <v>1020</v>
      </c>
      <c r="L493" s="4" t="str">
        <f ca="1">IF(ISERROR(VLOOKUP(B493,'ETL Scope'!I:I,1,0)),"NA","ETL")</f>
        <v>NA</v>
      </c>
      <c r="M493" s="29">
        <f ca="1">COUNTIF('Data-WK'!A:A,'V1'!B:B)</f>
        <v>4</v>
      </c>
      <c r="N493" s="29" t="e">
        <f ca="1">VLOOKUP(E493,'IFRS only'!A:A,1,0)</f>
        <v>#N/A</v>
      </c>
      <c r="P493" s="89"/>
    </row>
    <row r="494" spans="1:16" s="31" customFormat="1">
      <c r="A494" s="17" t="s">
        <v>4</v>
      </c>
      <c r="B494" s="17">
        <v>2829970071</v>
      </c>
      <c r="C494" s="73" t="s">
        <v>4473</v>
      </c>
      <c r="D494" s="86" t="s">
        <v>5696</v>
      </c>
      <c r="E494" s="53" t="s">
        <v>3369</v>
      </c>
      <c r="F494" s="17" t="s">
        <v>3532</v>
      </c>
      <c r="G494" s="17" t="s">
        <v>3532</v>
      </c>
      <c r="H494" s="17" t="s">
        <v>3531</v>
      </c>
      <c r="I494" s="17" t="s">
        <v>3545</v>
      </c>
      <c r="J494" s="17" t="s">
        <v>9</v>
      </c>
      <c r="K494" s="49" t="s">
        <v>1021</v>
      </c>
      <c r="L494" s="4" t="str">
        <f ca="1">IF(ISERROR(VLOOKUP(B494,'ETL Scope'!I:I,1,0)),"NA","ETL")</f>
        <v>NA</v>
      </c>
      <c r="M494" s="29">
        <f ca="1">COUNTIF('Data-WK'!A:A,'V1'!B:B)</f>
        <v>4</v>
      </c>
      <c r="N494" s="29" t="e">
        <f ca="1">VLOOKUP(E494,'IFRS only'!A:A,1,0)</f>
        <v>#N/A</v>
      </c>
      <c r="O494" s="29"/>
      <c r="P494" s="89"/>
    </row>
    <row r="495" spans="1:16" s="31" customFormat="1">
      <c r="A495" s="17" t="s">
        <v>4</v>
      </c>
      <c r="B495" s="17">
        <v>2829970072</v>
      </c>
      <c r="C495" s="73" t="s">
        <v>4473</v>
      </c>
      <c r="D495" s="86" t="s">
        <v>5697</v>
      </c>
      <c r="E495" s="53" t="s">
        <v>3369</v>
      </c>
      <c r="F495" s="17" t="s">
        <v>3532</v>
      </c>
      <c r="G495" s="17" t="s">
        <v>3532</v>
      </c>
      <c r="H495" s="17" t="s">
        <v>3531</v>
      </c>
      <c r="I495" s="17" t="s">
        <v>3545</v>
      </c>
      <c r="J495" s="17" t="s">
        <v>9</v>
      </c>
      <c r="K495" s="49" t="s">
        <v>1022</v>
      </c>
      <c r="L495" s="4" t="str">
        <f ca="1">IF(ISERROR(VLOOKUP(B495,'ETL Scope'!I:I,1,0)),"NA","ETL")</f>
        <v>NA</v>
      </c>
      <c r="M495" s="29">
        <f ca="1">COUNTIF('Data-WK'!A:A,'V1'!B:B)</f>
        <v>4</v>
      </c>
      <c r="N495" s="29" t="e">
        <f ca="1">VLOOKUP(E495,'IFRS only'!A:A,1,0)</f>
        <v>#N/A</v>
      </c>
      <c r="O495" s="29"/>
      <c r="P495" s="89"/>
    </row>
    <row r="496" spans="1:16" s="29" customFormat="1">
      <c r="A496" s="17" t="s">
        <v>1</v>
      </c>
      <c r="B496" s="17">
        <v>2850010000</v>
      </c>
      <c r="C496" s="73" t="s">
        <v>4474</v>
      </c>
      <c r="D496" s="3" t="s">
        <v>5597</v>
      </c>
      <c r="E496" s="17" t="s">
        <v>1537</v>
      </c>
      <c r="F496" s="17" t="s">
        <v>1544</v>
      </c>
      <c r="G496" s="17" t="s">
        <v>1544</v>
      </c>
      <c r="H496" s="17" t="s">
        <v>3525</v>
      </c>
      <c r="I496" s="17" t="s">
        <v>3544</v>
      </c>
      <c r="J496" s="17" t="s">
        <v>9</v>
      </c>
      <c r="K496" s="49" t="s">
        <v>876</v>
      </c>
      <c r="L496" s="4" t="str">
        <f ca="1">IF(ISERROR(VLOOKUP(B496,'ETL Scope'!I:I,1,0)),"NA","ETL")</f>
        <v>NA</v>
      </c>
      <c r="M496" s="29">
        <f ca="1">COUNTIF('Data-WK'!A:A,'V1'!B:B)</f>
        <v>78</v>
      </c>
      <c r="N496" s="29" t="e">
        <f ca="1">VLOOKUP(E496,'IFRS only'!A:A,1,0)</f>
        <v>#VALUE!</v>
      </c>
      <c r="P496" s="89"/>
    </row>
    <row r="497" spans="1:16" s="29" customFormat="1">
      <c r="A497" s="17" t="s">
        <v>2</v>
      </c>
      <c r="B497" s="17">
        <v>2860010000</v>
      </c>
      <c r="C497" s="73" t="s">
        <v>4475</v>
      </c>
      <c r="D497" s="3" t="s">
        <v>4812</v>
      </c>
      <c r="E497" s="17" t="s">
        <v>1959</v>
      </c>
      <c r="F497" s="17" t="s">
        <v>1544</v>
      </c>
      <c r="G497" s="17" t="s">
        <v>1544</v>
      </c>
      <c r="H497" s="17" t="s">
        <v>3525</v>
      </c>
      <c r="I497" s="17" t="s">
        <v>3544</v>
      </c>
      <c r="J497" s="17" t="s">
        <v>9</v>
      </c>
      <c r="K497" s="49" t="s">
        <v>882</v>
      </c>
      <c r="L497" s="4" t="str">
        <f ca="1">IF(ISERROR(VLOOKUP(B497,'ETL Scope'!I:I,1,0)),"NA","ETL")</f>
        <v>NA</v>
      </c>
      <c r="M497" s="29">
        <f ca="1">COUNTIF('Data-WK'!A:A,'V1'!B:B)</f>
        <v>1</v>
      </c>
      <c r="N497" s="29" t="e">
        <f ca="1">VLOOKUP(E497,'IFRS only'!A:A,1,0)</f>
        <v>#N/A</v>
      </c>
      <c r="P497" s="89"/>
    </row>
    <row r="498" spans="1:16" s="29" customFormat="1">
      <c r="A498" s="17" t="s">
        <v>2</v>
      </c>
      <c r="B498" s="17">
        <v>2860011000</v>
      </c>
      <c r="C498" s="73" t="s">
        <v>4475</v>
      </c>
      <c r="D498" s="3" t="s">
        <v>5598</v>
      </c>
      <c r="E498" s="17" t="s">
        <v>1959</v>
      </c>
      <c r="F498" s="17" t="s">
        <v>1544</v>
      </c>
      <c r="G498" s="17" t="s">
        <v>1544</v>
      </c>
      <c r="H498" s="17" t="s">
        <v>3525</v>
      </c>
      <c r="I498" s="17" t="s">
        <v>3545</v>
      </c>
      <c r="J498" s="17" t="s">
        <v>3391</v>
      </c>
      <c r="K498" s="49" t="s">
        <v>879</v>
      </c>
      <c r="L498" s="4" t="str">
        <f ca="1">IF(ISERROR(VLOOKUP(B498,'ETL Scope'!I:I,1,0)),"NA","ETL")</f>
        <v>NA</v>
      </c>
      <c r="M498" s="29">
        <f ca="1">COUNTIF('Data-WK'!A:A,'V1'!B:B)</f>
        <v>1</v>
      </c>
      <c r="N498" s="29" t="e">
        <f ca="1">VLOOKUP(E498,'IFRS only'!A:A,1,0)</f>
        <v>#N/A</v>
      </c>
      <c r="P498" s="89"/>
    </row>
    <row r="499" spans="1:16" s="29" customFormat="1">
      <c r="A499" s="17" t="s">
        <v>5</v>
      </c>
      <c r="B499" s="17">
        <v>3010000000</v>
      </c>
      <c r="C499" s="75" t="s">
        <v>4476</v>
      </c>
      <c r="D499" s="3" t="s">
        <v>135</v>
      </c>
      <c r="E499" s="51" t="s">
        <v>2427</v>
      </c>
      <c r="F499" s="17" t="s">
        <v>3392</v>
      </c>
      <c r="G499" s="17" t="s">
        <v>3392</v>
      </c>
      <c r="H499" s="17" t="s">
        <v>3531</v>
      </c>
      <c r="I499" s="17" t="s">
        <v>3545</v>
      </c>
      <c r="J499" s="17" t="s">
        <v>9</v>
      </c>
      <c r="K499" s="49" t="s">
        <v>968</v>
      </c>
      <c r="L499" s="4" t="str">
        <f ca="1">IF(ISERROR(VLOOKUP(B499,'ETL Scope'!I:I,1,0)),"NA","ETL")</f>
        <v>NA</v>
      </c>
      <c r="M499" s="29">
        <f ca="1">COUNTIF('Data-WK'!A:A,'V1'!B:B)</f>
        <v>1</v>
      </c>
      <c r="N499" s="29" t="e">
        <f ca="1">VLOOKUP(E499,'IFRS only'!A:A,1,0)</f>
        <v>#N/A</v>
      </c>
      <c r="P499" s="89"/>
    </row>
    <row r="500" spans="1:16" s="29" customFormat="1">
      <c r="A500" s="17" t="s">
        <v>5</v>
      </c>
      <c r="B500" s="17">
        <v>3010000006</v>
      </c>
      <c r="C500" s="75" t="s">
        <v>4476</v>
      </c>
      <c r="D500" s="3" t="s">
        <v>5599</v>
      </c>
      <c r="E500" s="51" t="s">
        <v>2428</v>
      </c>
      <c r="F500" s="17" t="s">
        <v>3392</v>
      </c>
      <c r="G500" s="17" t="s">
        <v>3392</v>
      </c>
      <c r="H500" s="17" t="s">
        <v>3531</v>
      </c>
      <c r="I500" s="17" t="s">
        <v>3545</v>
      </c>
      <c r="J500" s="17" t="s">
        <v>9</v>
      </c>
      <c r="K500" s="49" t="s">
        <v>968</v>
      </c>
      <c r="L500" s="4" t="str">
        <f ca="1">IF(ISERROR(VLOOKUP(B500,'ETL Scope'!I:I,1,0)),"NA","ETL")</f>
        <v>NA</v>
      </c>
      <c r="M500" s="29">
        <f ca="1">COUNTIF('Data-WK'!A:A,'V1'!B:B)</f>
        <v>1</v>
      </c>
      <c r="N500" s="29" t="e">
        <f ca="1">VLOOKUP(E500,'IFRS only'!A:A,1,0)</f>
        <v>#N/A</v>
      </c>
      <c r="O500" s="31"/>
      <c r="P500" s="89"/>
    </row>
    <row r="501" spans="1:16" s="29" customFormat="1">
      <c r="A501" s="17" t="s">
        <v>5</v>
      </c>
      <c r="B501" s="17">
        <v>3012000000</v>
      </c>
      <c r="C501" s="75" t="s">
        <v>4477</v>
      </c>
      <c r="D501" s="3" t="s">
        <v>87</v>
      </c>
      <c r="E501" s="51" t="s">
        <v>2264</v>
      </c>
      <c r="F501" s="17" t="s">
        <v>3392</v>
      </c>
      <c r="G501" s="17" t="s">
        <v>3392</v>
      </c>
      <c r="H501" s="17" t="s">
        <v>3529</v>
      </c>
      <c r="I501" s="17" t="s">
        <v>3545</v>
      </c>
      <c r="J501" s="17" t="s">
        <v>9</v>
      </c>
      <c r="K501" s="49" t="s">
        <v>932</v>
      </c>
      <c r="L501" s="4" t="str">
        <f ca="1">IF(ISERROR(VLOOKUP(B501,'ETL Scope'!I:I,1,0)),"NA","ETL")</f>
        <v>NA</v>
      </c>
      <c r="M501" s="29">
        <f ca="1">COUNTIF('Data-WK'!A:A,'V1'!B:B)</f>
        <v>1</v>
      </c>
      <c r="N501" s="29" t="e">
        <f ca="1">VLOOKUP(E501,'IFRS only'!A:A,1,0)</f>
        <v>#N/A</v>
      </c>
      <c r="O501" s="31"/>
      <c r="P501" s="89"/>
    </row>
    <row r="502" spans="1:16" s="29" customFormat="1">
      <c r="A502" s="17" t="s">
        <v>5</v>
      </c>
      <c r="B502" s="17">
        <v>3020000000</v>
      </c>
      <c r="C502" s="75" t="s">
        <v>4478</v>
      </c>
      <c r="D502" s="3" t="s">
        <v>139</v>
      </c>
      <c r="E502" s="51" t="s">
        <v>2431</v>
      </c>
      <c r="F502" s="17" t="s">
        <v>3392</v>
      </c>
      <c r="G502" s="17" t="s">
        <v>3392</v>
      </c>
      <c r="H502" s="17" t="s">
        <v>3531</v>
      </c>
      <c r="I502" s="17" t="s">
        <v>3545</v>
      </c>
      <c r="J502" s="17" t="s">
        <v>9</v>
      </c>
      <c r="K502" s="49" t="s">
        <v>971</v>
      </c>
      <c r="L502" s="4" t="str">
        <f ca="1">IF(ISERROR(VLOOKUP(B502,'ETL Scope'!I:I,1,0)),"NA","ETL")</f>
        <v>NA</v>
      </c>
      <c r="M502" s="29">
        <f ca="1">COUNTIF('Data-WK'!A:A,'V1'!B:B)</f>
        <v>1</v>
      </c>
      <c r="N502" s="29" t="e">
        <f ca="1">VLOOKUP(E502,'IFRS only'!A:A,1,0)</f>
        <v>#N/A</v>
      </c>
      <c r="P502" s="89"/>
    </row>
    <row r="503" spans="1:16" s="29" customFormat="1">
      <c r="A503" s="17" t="s">
        <v>5</v>
      </c>
      <c r="B503" s="17">
        <v>3030000000</v>
      </c>
      <c r="C503" s="75" t="s">
        <v>4479</v>
      </c>
      <c r="D503" s="3" t="s">
        <v>3444</v>
      </c>
      <c r="E503" s="51" t="s">
        <v>2429</v>
      </c>
      <c r="F503" s="17" t="s">
        <v>3392</v>
      </c>
      <c r="G503" s="17" t="s">
        <v>3440</v>
      </c>
      <c r="H503" s="17" t="s">
        <v>3531</v>
      </c>
      <c r="I503" s="17" t="s">
        <v>3545</v>
      </c>
      <c r="J503" s="17" t="s">
        <v>9</v>
      </c>
      <c r="K503" s="49" t="s">
        <v>970</v>
      </c>
      <c r="L503" s="4" t="str">
        <f ca="1">IF(ISERROR(VLOOKUP(B503,'ETL Scope'!I:I,1,0)),"NA","ETL")</f>
        <v>ETL</v>
      </c>
      <c r="M503" s="29">
        <f ca="1">COUNTIF('Data-WK'!A:A,'V1'!B:B)</f>
        <v>1</v>
      </c>
      <c r="N503" s="29" t="e">
        <f ca="1">VLOOKUP(E503,'IFRS only'!A:A,1,0)</f>
        <v>#N/A</v>
      </c>
      <c r="P503" s="89"/>
    </row>
    <row r="504" spans="1:16" s="29" customFormat="1">
      <c r="A504" s="17" t="s">
        <v>5</v>
      </c>
      <c r="B504" s="17">
        <v>3032000000</v>
      </c>
      <c r="C504" s="75" t="s">
        <v>4480</v>
      </c>
      <c r="D504" s="3" t="s">
        <v>88</v>
      </c>
      <c r="E504" s="51" t="s">
        <v>2265</v>
      </c>
      <c r="F504" s="17" t="s">
        <v>3392</v>
      </c>
      <c r="G504" s="17" t="s">
        <v>3440</v>
      </c>
      <c r="H504" s="17" t="s">
        <v>3529</v>
      </c>
      <c r="I504" s="17" t="s">
        <v>3545</v>
      </c>
      <c r="J504" s="17" t="s">
        <v>9</v>
      </c>
      <c r="K504" s="49" t="s">
        <v>933</v>
      </c>
      <c r="L504" s="4" t="str">
        <f ca="1">IF(ISERROR(VLOOKUP(B504,'ETL Scope'!I:I,1,0)),"NA","ETL")</f>
        <v>ETL</v>
      </c>
      <c r="M504" s="29">
        <f ca="1">COUNTIF('Data-WK'!A:A,'V1'!B:B)</f>
        <v>1</v>
      </c>
      <c r="N504" s="29" t="e">
        <f ca="1">VLOOKUP(E504,'IFRS only'!A:A,1,0)</f>
        <v>#N/A</v>
      </c>
      <c r="P504" s="89"/>
    </row>
    <row r="505" spans="1:16" s="29" customFormat="1">
      <c r="A505" s="17" t="s">
        <v>5</v>
      </c>
      <c r="B505" s="17">
        <v>3100000000</v>
      </c>
      <c r="C505" s="75" t="s">
        <v>3751</v>
      </c>
      <c r="D505" s="3" t="s">
        <v>4813</v>
      </c>
      <c r="E505" s="51" t="s">
        <v>2440</v>
      </c>
      <c r="F505" s="17" t="s">
        <v>3392</v>
      </c>
      <c r="G505" s="17" t="s">
        <v>3440</v>
      </c>
      <c r="H505" s="17" t="s">
        <v>3531</v>
      </c>
      <c r="I505" s="17" t="s">
        <v>3545</v>
      </c>
      <c r="J505" s="17" t="s">
        <v>9</v>
      </c>
      <c r="K505" s="49" t="s">
        <v>972</v>
      </c>
      <c r="L505" s="4" t="str">
        <f ca="1">IF(ISERROR(VLOOKUP(B505,'ETL Scope'!I:I,1,0)),"NA","ETL")</f>
        <v>ETL</v>
      </c>
      <c r="M505" s="29">
        <f ca="1">COUNTIF('Data-WK'!A:A,'V1'!B:B)</f>
        <v>1</v>
      </c>
      <c r="N505" s="29" t="e">
        <f ca="1">VLOOKUP(E505,'IFRS only'!A:A,1,0)</f>
        <v>#N/A</v>
      </c>
      <c r="P505" s="89"/>
    </row>
    <row r="506" spans="1:16" s="29" customFormat="1">
      <c r="A506" s="17" t="s">
        <v>5</v>
      </c>
      <c r="B506" s="17">
        <v>3100000050</v>
      </c>
      <c r="C506" s="75" t="s">
        <v>3751</v>
      </c>
      <c r="D506" s="3" t="s">
        <v>160</v>
      </c>
      <c r="E506" s="51" t="s">
        <v>2452</v>
      </c>
      <c r="F506" s="17" t="s">
        <v>3392</v>
      </c>
      <c r="G506" s="17" t="s">
        <v>3392</v>
      </c>
      <c r="H506" s="17" t="s">
        <v>3531</v>
      </c>
      <c r="I506" s="17" t="s">
        <v>3545</v>
      </c>
      <c r="J506" s="17" t="s">
        <v>9</v>
      </c>
      <c r="K506" s="49" t="s">
        <v>972</v>
      </c>
      <c r="L506" s="4" t="str">
        <f ca="1">IF(ISERROR(VLOOKUP(B506,'ETL Scope'!I:I,1,0)),"NA","ETL")</f>
        <v>NA</v>
      </c>
      <c r="M506" s="29">
        <f ca="1">COUNTIF('Data-WK'!A:A,'V1'!B:B)</f>
        <v>1</v>
      </c>
      <c r="N506" s="29" t="e">
        <f ca="1">VLOOKUP(E506,'IFRS only'!A:A,1,0)</f>
        <v>#N/A</v>
      </c>
      <c r="P506" s="89"/>
    </row>
    <row r="507" spans="1:16" s="29" customFormat="1">
      <c r="A507" s="17" t="s">
        <v>5</v>
      </c>
      <c r="B507" s="17">
        <v>3100100000</v>
      </c>
      <c r="C507" s="75" t="s">
        <v>4481</v>
      </c>
      <c r="D507" s="3" t="s">
        <v>134</v>
      </c>
      <c r="E507" s="51" t="s">
        <v>2426</v>
      </c>
      <c r="F507" s="17" t="s">
        <v>3392</v>
      </c>
      <c r="G507" s="17" t="s">
        <v>3392</v>
      </c>
      <c r="H507" s="17" t="s">
        <v>3531</v>
      </c>
      <c r="I507" s="17" t="s">
        <v>3545</v>
      </c>
      <c r="J507" s="17" t="s">
        <v>9</v>
      </c>
      <c r="K507" s="49" t="s">
        <v>967</v>
      </c>
      <c r="L507" s="4" t="str">
        <f ca="1">IF(ISERROR(VLOOKUP(B507,'ETL Scope'!I:I,1,0)),"NA","ETL")</f>
        <v>NA</v>
      </c>
      <c r="M507" s="29">
        <f ca="1">COUNTIF('Data-WK'!A:A,'V1'!B:B)</f>
        <v>1</v>
      </c>
      <c r="N507" s="29" t="e">
        <f ca="1">VLOOKUP(E507,'IFRS only'!A:A,1,0)</f>
        <v>#N/A</v>
      </c>
      <c r="P507" s="89"/>
    </row>
    <row r="508" spans="1:16" s="29" customFormat="1">
      <c r="A508" s="17" t="s">
        <v>5</v>
      </c>
      <c r="B508" s="17">
        <v>3102000000</v>
      </c>
      <c r="C508" s="75" t="s">
        <v>4482</v>
      </c>
      <c r="D508" s="3" t="s">
        <v>89</v>
      </c>
      <c r="E508" s="51" t="s">
        <v>2266</v>
      </c>
      <c r="F508" s="17" t="s">
        <v>3392</v>
      </c>
      <c r="G508" s="17" t="s">
        <v>3440</v>
      </c>
      <c r="H508" s="17" t="s">
        <v>3529</v>
      </c>
      <c r="I508" s="17" t="s">
        <v>3545</v>
      </c>
      <c r="J508" s="17" t="s">
        <v>9</v>
      </c>
      <c r="K508" s="49" t="s">
        <v>934</v>
      </c>
      <c r="L508" s="4" t="str">
        <f ca="1">IF(ISERROR(VLOOKUP(B508,'ETL Scope'!I:I,1,0)),"NA","ETL")</f>
        <v>ETL</v>
      </c>
      <c r="M508" s="29">
        <f ca="1">COUNTIF('Data-WK'!A:A,'V1'!B:B)</f>
        <v>1</v>
      </c>
      <c r="N508" s="29" t="e">
        <f ca="1">VLOOKUP(E508,'IFRS only'!A:A,1,0)</f>
        <v>#N/A</v>
      </c>
      <c r="P508" s="89"/>
    </row>
    <row r="509" spans="1:16" s="31" customFormat="1">
      <c r="A509" s="17" t="s">
        <v>5</v>
      </c>
      <c r="B509" s="17">
        <v>3102000010</v>
      </c>
      <c r="C509" s="75" t="s">
        <v>4482</v>
      </c>
      <c r="D509" s="3" t="s">
        <v>3442</v>
      </c>
      <c r="E509" s="51" t="s">
        <v>2267</v>
      </c>
      <c r="F509" s="17" t="s">
        <v>3392</v>
      </c>
      <c r="G509" s="17" t="s">
        <v>3392</v>
      </c>
      <c r="H509" s="17" t="s">
        <v>3529</v>
      </c>
      <c r="I509" s="17" t="s">
        <v>3545</v>
      </c>
      <c r="J509" s="17" t="s">
        <v>9</v>
      </c>
      <c r="K509" s="49" t="s">
        <v>934</v>
      </c>
      <c r="L509" s="4" t="str">
        <f ca="1">IF(ISERROR(VLOOKUP(B509,'ETL Scope'!I:I,1,0)),"NA","ETL")</f>
        <v>NA</v>
      </c>
      <c r="M509" s="29">
        <f ca="1">COUNTIF('Data-WK'!A:A,'V1'!B:B)</f>
        <v>1</v>
      </c>
      <c r="N509" s="29" t="e">
        <f ca="1">VLOOKUP(E509,'IFRS only'!A:A,1,0)</f>
        <v>#N/A</v>
      </c>
      <c r="O509" s="29"/>
      <c r="P509" s="89"/>
    </row>
    <row r="510" spans="1:16" s="31" customFormat="1">
      <c r="A510" s="17" t="s">
        <v>5</v>
      </c>
      <c r="B510" s="17">
        <v>3102100000</v>
      </c>
      <c r="C510" s="75" t="s">
        <v>4483</v>
      </c>
      <c r="D510" s="3" t="s">
        <v>86</v>
      </c>
      <c r="E510" s="51" t="s">
        <v>2263</v>
      </c>
      <c r="F510" s="17" t="s">
        <v>3530</v>
      </c>
      <c r="G510" s="17" t="s">
        <v>3392</v>
      </c>
      <c r="H510" s="17" t="s">
        <v>3529</v>
      </c>
      <c r="I510" s="17" t="s">
        <v>3545</v>
      </c>
      <c r="J510" s="17" t="s">
        <v>9</v>
      </c>
      <c r="K510" s="49" t="s">
        <v>931</v>
      </c>
      <c r="L510" s="4" t="str">
        <f ca="1">IF(ISERROR(VLOOKUP(B510,'ETL Scope'!I:I,1,0)),"NA","ETL")</f>
        <v>NA</v>
      </c>
      <c r="M510" s="29">
        <f ca="1">COUNTIF('Data-WK'!A:A,'V1'!B:B)</f>
        <v>1</v>
      </c>
      <c r="N510" s="29" t="e">
        <f ca="1">VLOOKUP(E510,'IFRS only'!A:A,1,0)</f>
        <v>#N/A</v>
      </c>
      <c r="O510" s="29"/>
      <c r="P510" s="89"/>
    </row>
    <row r="511" spans="1:16" s="31" customFormat="1">
      <c r="A511" s="17" t="s">
        <v>5</v>
      </c>
      <c r="B511" s="17">
        <v>3103000000</v>
      </c>
      <c r="C511" s="75" t="s">
        <v>4484</v>
      </c>
      <c r="D511" s="3" t="s">
        <v>4814</v>
      </c>
      <c r="E511" s="51" t="s">
        <v>2448</v>
      </c>
      <c r="F511" s="17" t="s">
        <v>9</v>
      </c>
      <c r="G511" s="17" t="s">
        <v>3440</v>
      </c>
      <c r="H511" s="17" t="s">
        <v>3531</v>
      </c>
      <c r="I511" s="17" t="s">
        <v>3545</v>
      </c>
      <c r="J511" s="17" t="s">
        <v>9</v>
      </c>
      <c r="K511" s="49" t="s">
        <v>979</v>
      </c>
      <c r="L511" s="4" t="str">
        <f ca="1">IF(ISERROR(VLOOKUP(B511,'ETL Scope'!I:I,1,0)),"NA","ETL")</f>
        <v>ETL</v>
      </c>
      <c r="M511" s="29">
        <f ca="1">COUNTIF('Data-WK'!A:A,'V1'!B:B)</f>
        <v>1</v>
      </c>
      <c r="N511" s="29" t="str">
        <f ca="1">VLOOKUP(E511,'IFRS only'!A:A,1,0)</f>
        <v>220318</v>
      </c>
      <c r="O511" s="29"/>
      <c r="P511" s="89"/>
    </row>
    <row r="512" spans="1:16" s="31" customFormat="1">
      <c r="A512" s="17" t="s">
        <v>5</v>
      </c>
      <c r="B512" s="17">
        <v>3103001000</v>
      </c>
      <c r="C512" s="75" t="s">
        <v>4484</v>
      </c>
      <c r="D512" s="3" t="s">
        <v>4815</v>
      </c>
      <c r="E512" s="51" t="s">
        <v>2449</v>
      </c>
      <c r="F512" s="17" t="s">
        <v>9</v>
      </c>
      <c r="G512" s="17" t="s">
        <v>3440</v>
      </c>
      <c r="H512" s="17" t="s">
        <v>3531</v>
      </c>
      <c r="I512" s="17" t="s">
        <v>3545</v>
      </c>
      <c r="J512" s="17" t="s">
        <v>9</v>
      </c>
      <c r="K512" s="49" t="s">
        <v>980</v>
      </c>
      <c r="L512" s="4" t="str">
        <f ca="1">IF(ISERROR(VLOOKUP(B512,'ETL Scope'!I:I,1,0)),"NA","ETL")</f>
        <v>ETL</v>
      </c>
      <c r="M512" s="29">
        <f ca="1">COUNTIF('Data-WK'!A:A,'V1'!B:B)</f>
        <v>1</v>
      </c>
      <c r="N512" s="29" t="str">
        <f ca="1">VLOOKUP(E512,'IFRS only'!A:A,1,0)</f>
        <v>220319</v>
      </c>
      <c r="O512" s="29"/>
      <c r="P512" s="89"/>
    </row>
    <row r="513" spans="1:16" s="31" customFormat="1">
      <c r="A513" s="17" t="s">
        <v>5</v>
      </c>
      <c r="B513" s="17">
        <v>3130001500</v>
      </c>
      <c r="C513" s="75" t="s">
        <v>4485</v>
      </c>
      <c r="D513" s="3" t="s">
        <v>4816</v>
      </c>
      <c r="E513" s="51" t="s">
        <v>3365</v>
      </c>
      <c r="F513" s="17" t="s">
        <v>9</v>
      </c>
      <c r="G513" s="17" t="s">
        <v>3392</v>
      </c>
      <c r="H513" s="17" t="s">
        <v>3531</v>
      </c>
      <c r="I513" s="17" t="s">
        <v>3545</v>
      </c>
      <c r="J513" s="17" t="s">
        <v>9</v>
      </c>
      <c r="K513" s="49" t="s">
        <v>976</v>
      </c>
      <c r="L513" s="4" t="str">
        <f ca="1">IF(ISERROR(VLOOKUP(B513,'ETL Scope'!I:I,1,0)),"NA","ETL")</f>
        <v>NA</v>
      </c>
      <c r="M513" s="29">
        <f ca="1">COUNTIF('Data-WK'!A:A,'V1'!B:B)</f>
        <v>2</v>
      </c>
      <c r="N513" s="29" t="e">
        <f ca="1">VLOOKUP(E513,'IFRS only'!A:A,1,0)</f>
        <v>#N/A</v>
      </c>
      <c r="O513" s="29"/>
      <c r="P513" s="89"/>
    </row>
    <row r="514" spans="1:16" s="31" customFormat="1">
      <c r="A514" s="17" t="s">
        <v>5</v>
      </c>
      <c r="B514" s="17">
        <v>3500000010</v>
      </c>
      <c r="C514" s="75" t="s">
        <v>3760</v>
      </c>
      <c r="D514" s="86" t="s">
        <v>5817</v>
      </c>
      <c r="E514" s="51" t="s">
        <v>2451</v>
      </c>
      <c r="F514" s="17" t="s">
        <v>9</v>
      </c>
      <c r="G514" s="17" t="s">
        <v>3392</v>
      </c>
      <c r="H514" s="17" t="s">
        <v>3531</v>
      </c>
      <c r="I514" s="17" t="s">
        <v>3545</v>
      </c>
      <c r="J514" s="17" t="s">
        <v>9</v>
      </c>
      <c r="K514" s="49" t="s">
        <v>982</v>
      </c>
      <c r="L514" s="4" t="str">
        <f ca="1">IF(ISERROR(VLOOKUP(B514,'ETL Scope'!I:I,1,0)),"NA","ETL")</f>
        <v>NA</v>
      </c>
      <c r="M514" s="29">
        <f ca="1">COUNTIF('Data-WK'!A:A,'V1'!B:B)</f>
        <v>1</v>
      </c>
      <c r="N514" s="29" t="str">
        <f ca="1">VLOOKUP(E514,'IFRS only'!A:A,1,0)</f>
        <v>220321</v>
      </c>
      <c r="O514" s="29"/>
      <c r="P514" s="89"/>
    </row>
    <row r="515" spans="1:16" s="31" customFormat="1">
      <c r="A515" s="17" t="s">
        <v>3</v>
      </c>
      <c r="B515" s="17">
        <v>3500000013</v>
      </c>
      <c r="C515" s="75" t="s">
        <v>3760</v>
      </c>
      <c r="D515" s="3" t="s">
        <v>1433</v>
      </c>
      <c r="E515" s="17" t="s">
        <v>2665</v>
      </c>
      <c r="F515" s="17" t="s">
        <v>3532</v>
      </c>
      <c r="G515" s="17" t="s">
        <v>3532</v>
      </c>
      <c r="H515" s="17" t="s">
        <v>3531</v>
      </c>
      <c r="I515" s="17" t="s">
        <v>3545</v>
      </c>
      <c r="J515" s="17" t="s">
        <v>9</v>
      </c>
      <c r="K515" s="49" t="s">
        <v>982</v>
      </c>
      <c r="L515" s="4" t="str">
        <f ca="1">IF(ISERROR(VLOOKUP(B515,'ETL Scope'!I:I,1,0)),"NA","ETL")</f>
        <v>NA</v>
      </c>
      <c r="M515" s="29">
        <f ca="1">COUNTIF('Data-WK'!A:A,'V1'!B:B)</f>
        <v>1</v>
      </c>
      <c r="N515" s="29" t="e">
        <f ca="1">VLOOKUP(E515,'IFRS only'!A:A,1,0)</f>
        <v>#N/A</v>
      </c>
      <c r="P515" s="89"/>
    </row>
    <row r="516" spans="1:16" s="31" customFormat="1">
      <c r="A516" s="17" t="s">
        <v>3</v>
      </c>
      <c r="B516" s="17">
        <v>3500000040</v>
      </c>
      <c r="C516" s="75" t="s">
        <v>3760</v>
      </c>
      <c r="D516" s="3" t="s">
        <v>1432</v>
      </c>
      <c r="E516" s="17" t="s">
        <v>2661</v>
      </c>
      <c r="F516" s="17" t="s">
        <v>3532</v>
      </c>
      <c r="G516" s="17" t="s">
        <v>3532</v>
      </c>
      <c r="H516" s="17" t="s">
        <v>3531</v>
      </c>
      <c r="I516" s="17" t="s">
        <v>3545</v>
      </c>
      <c r="J516" s="17" t="s">
        <v>9</v>
      </c>
      <c r="K516" s="49" t="s">
        <v>982</v>
      </c>
      <c r="L516" s="4" t="str">
        <f ca="1">IF(ISERROR(VLOOKUP(B516,'ETL Scope'!I:I,1,0)),"NA","ETL")</f>
        <v>NA</v>
      </c>
      <c r="M516" s="29">
        <f ca="1">COUNTIF('Data-WK'!A:A,'V1'!B:B)</f>
        <v>1</v>
      </c>
      <c r="N516" s="29" t="e">
        <f ca="1">VLOOKUP(E516,'IFRS only'!A:A,1,0)</f>
        <v>#N/A</v>
      </c>
      <c r="P516" s="89"/>
    </row>
    <row r="517" spans="1:16" s="31" customFormat="1">
      <c r="A517" s="17" t="s">
        <v>3</v>
      </c>
      <c r="B517" s="17">
        <v>3500000050</v>
      </c>
      <c r="C517" s="75" t="s">
        <v>3760</v>
      </c>
      <c r="D517" s="3" t="s">
        <v>338</v>
      </c>
      <c r="E517" s="17" t="s">
        <v>2662</v>
      </c>
      <c r="F517" s="17" t="s">
        <v>3532</v>
      </c>
      <c r="G517" s="17" t="s">
        <v>3532</v>
      </c>
      <c r="H517" s="17" t="s">
        <v>3531</v>
      </c>
      <c r="I517" s="17" t="s">
        <v>3545</v>
      </c>
      <c r="J517" s="17" t="s">
        <v>9</v>
      </c>
      <c r="K517" s="49" t="s">
        <v>982</v>
      </c>
      <c r="L517" s="4" t="str">
        <f ca="1">IF(ISERROR(VLOOKUP(B517,'ETL Scope'!I:I,1,0)),"NA","ETL")</f>
        <v>NA</v>
      </c>
      <c r="M517" s="29">
        <f ca="1">COUNTIF('Data-WK'!A:A,'V1'!B:B)</f>
        <v>1</v>
      </c>
      <c r="N517" s="29" t="e">
        <f ca="1">VLOOKUP(E517,'IFRS only'!A:A,1,0)</f>
        <v>#N/A</v>
      </c>
      <c r="P517" s="89"/>
    </row>
    <row r="518" spans="1:16" s="31" customFormat="1">
      <c r="A518" s="17" t="s">
        <v>3</v>
      </c>
      <c r="B518" s="17">
        <v>3500009040</v>
      </c>
      <c r="C518" s="75" t="s">
        <v>3760</v>
      </c>
      <c r="D518" s="3" t="s">
        <v>342</v>
      </c>
      <c r="E518" s="17" t="s">
        <v>2666</v>
      </c>
      <c r="F518" s="17" t="s">
        <v>3532</v>
      </c>
      <c r="G518" s="17" t="s">
        <v>3532</v>
      </c>
      <c r="H518" s="17" t="s">
        <v>3531</v>
      </c>
      <c r="I518" s="17" t="s">
        <v>3545</v>
      </c>
      <c r="J518" s="17" t="s">
        <v>9</v>
      </c>
      <c r="K518" s="49" t="s">
        <v>982</v>
      </c>
      <c r="L518" s="4" t="str">
        <f ca="1">IF(ISERROR(VLOOKUP(B518,'ETL Scope'!I:I,1,0)),"NA","ETL")</f>
        <v>NA</v>
      </c>
      <c r="M518" s="29">
        <f ca="1">COUNTIF('Data-WK'!A:A,'V1'!B:B)</f>
        <v>1</v>
      </c>
      <c r="N518" s="29" t="e">
        <f ca="1">VLOOKUP(E518,'IFRS only'!A:A,1,0)</f>
        <v>#N/A</v>
      </c>
      <c r="P518" s="89"/>
    </row>
    <row r="519" spans="1:16" s="31" customFormat="1">
      <c r="A519" s="17" t="s">
        <v>3</v>
      </c>
      <c r="B519" s="17">
        <v>3500009041</v>
      </c>
      <c r="C519" s="75" t="s">
        <v>3760</v>
      </c>
      <c r="D519" s="3" t="s">
        <v>5564</v>
      </c>
      <c r="E519" s="17">
        <v>240111</v>
      </c>
      <c r="F519" s="17" t="s">
        <v>3526</v>
      </c>
      <c r="G519" s="17" t="s">
        <v>3526</v>
      </c>
      <c r="H519" s="17" t="s">
        <v>3525</v>
      </c>
      <c r="I519" s="17" t="s">
        <v>3525</v>
      </c>
      <c r="J519" s="17" t="s">
        <v>9</v>
      </c>
      <c r="K519" s="49" t="s">
        <v>982</v>
      </c>
      <c r="L519" s="4"/>
      <c r="M519" s="29"/>
      <c r="N519" s="29"/>
      <c r="P519" s="89"/>
    </row>
    <row r="520" spans="1:16" s="31" customFormat="1">
      <c r="A520" s="17" t="s">
        <v>3</v>
      </c>
      <c r="B520" s="17">
        <v>3510000000</v>
      </c>
      <c r="C520" s="75" t="s">
        <v>4486</v>
      </c>
      <c r="D520" s="86" t="s">
        <v>5698</v>
      </c>
      <c r="E520" s="17" t="s">
        <v>2653</v>
      </c>
      <c r="F520" s="17" t="s">
        <v>3532</v>
      </c>
      <c r="G520" s="17" t="s">
        <v>3440</v>
      </c>
      <c r="H520" s="17" t="s">
        <v>3531</v>
      </c>
      <c r="I520" s="17" t="s">
        <v>3545</v>
      </c>
      <c r="J520" s="17" t="s">
        <v>9</v>
      </c>
      <c r="K520" s="49" t="s">
        <v>1049</v>
      </c>
      <c r="L520" s="4" t="str">
        <f ca="1">IF(ISERROR(VLOOKUP(B520,'ETL Scope'!I:I,1,0)),"NA","ETL")</f>
        <v>ETL</v>
      </c>
      <c r="M520" s="29">
        <f ca="1">COUNTIF('Data-WK'!A:A,'V1'!B:B)</f>
        <v>1</v>
      </c>
      <c r="N520" s="29" t="e">
        <f ca="1">VLOOKUP(E520,'IFRS only'!A:A,1,0)</f>
        <v>#N/A</v>
      </c>
      <c r="P520" s="89"/>
    </row>
    <row r="521" spans="1:16" s="29" customFormat="1">
      <c r="A521" s="17" t="s">
        <v>3</v>
      </c>
      <c r="B521" s="17">
        <v>3510000010</v>
      </c>
      <c r="C521" s="75" t="s">
        <v>4486</v>
      </c>
      <c r="D521" s="3" t="s">
        <v>5600</v>
      </c>
      <c r="E521" s="17" t="s">
        <v>2664</v>
      </c>
      <c r="F521" s="17" t="s">
        <v>3532</v>
      </c>
      <c r="G521" s="17" t="s">
        <v>3531</v>
      </c>
      <c r="H521" s="17" t="s">
        <v>3531</v>
      </c>
      <c r="I521" s="17" t="s">
        <v>3545</v>
      </c>
      <c r="J521" s="17" t="s">
        <v>9</v>
      </c>
      <c r="K521" s="49" t="s">
        <v>1049</v>
      </c>
      <c r="L521" s="4" t="str">
        <f ca="1">IF(ISERROR(VLOOKUP(B521,'ETL Scope'!I:I,1,0)),"NA","ETL")</f>
        <v>NA</v>
      </c>
      <c r="M521" s="29">
        <f ca="1">COUNTIF('Data-WK'!A:A,'V1'!B:B)</f>
        <v>1</v>
      </c>
      <c r="N521" s="29" t="e">
        <f ca="1">VLOOKUP(E521,'IFRS only'!A:A,1,0)</f>
        <v>#N/A</v>
      </c>
      <c r="O521" s="31"/>
      <c r="P521" s="89"/>
    </row>
    <row r="522" spans="1:16" s="29" customFormat="1">
      <c r="A522" s="17" t="s">
        <v>3</v>
      </c>
      <c r="B522" s="17">
        <v>3510000020</v>
      </c>
      <c r="C522" s="75" t="s">
        <v>4486</v>
      </c>
      <c r="D522" s="3" t="s">
        <v>5601</v>
      </c>
      <c r="E522" s="17" t="s">
        <v>2664</v>
      </c>
      <c r="F522" s="17" t="s">
        <v>3531</v>
      </c>
      <c r="G522" s="17" t="s">
        <v>3532</v>
      </c>
      <c r="H522" s="17" t="s">
        <v>3531</v>
      </c>
      <c r="I522" s="17" t="s">
        <v>3545</v>
      </c>
      <c r="J522" s="17" t="s">
        <v>9</v>
      </c>
      <c r="K522" s="49" t="s">
        <v>1049</v>
      </c>
      <c r="L522" s="4" t="str">
        <f ca="1">IF(ISERROR(VLOOKUP(B522,'ETL Scope'!I:I,1,0)),"NA","ETL")</f>
        <v>NA</v>
      </c>
      <c r="M522" s="29">
        <f ca="1">COUNTIF('Data-WK'!A:A,'V1'!B:B)</f>
        <v>1</v>
      </c>
      <c r="N522" s="29" t="e">
        <f ca="1">VLOOKUP(E522,'IFRS only'!A:A,1,0)</f>
        <v>#N/A</v>
      </c>
      <c r="O522" s="31"/>
      <c r="P522" s="89"/>
    </row>
    <row r="523" spans="1:16" s="29" customFormat="1">
      <c r="A523" s="17" t="s">
        <v>3</v>
      </c>
      <c r="B523" s="17">
        <v>3540009011</v>
      </c>
      <c r="C523" s="75" t="s">
        <v>4487</v>
      </c>
      <c r="D523" s="3" t="s">
        <v>5781</v>
      </c>
      <c r="E523" s="17" t="s">
        <v>2432</v>
      </c>
      <c r="F523" s="17" t="s">
        <v>3532</v>
      </c>
      <c r="G523" s="17" t="s">
        <v>3532</v>
      </c>
      <c r="H523" s="17" t="s">
        <v>3531</v>
      </c>
      <c r="I523" s="17" t="s">
        <v>3545</v>
      </c>
      <c r="J523" s="17" t="s">
        <v>3391</v>
      </c>
      <c r="K523" s="49" t="s">
        <v>5526</v>
      </c>
      <c r="L523" s="4" t="str">
        <f ca="1">IF(ISERROR(VLOOKUP(B523,'ETL Scope'!I:I,1,0)),"NA","ETL")</f>
        <v>NA</v>
      </c>
      <c r="M523" s="29">
        <f ca="1">COUNTIF('Data-WK'!A:A,'V1'!B:B)</f>
        <v>1</v>
      </c>
      <c r="N523" s="29" t="e">
        <f ca="1">VLOOKUP(E523,'IFRS only'!A:A,1,0)</f>
        <v>#N/A</v>
      </c>
      <c r="O523" s="31"/>
      <c r="P523" s="89"/>
    </row>
    <row r="524" spans="1:16" s="29" customFormat="1">
      <c r="A524" s="17" t="s">
        <v>3</v>
      </c>
      <c r="B524" s="17">
        <v>3540009012</v>
      </c>
      <c r="C524" s="75" t="s">
        <v>4487</v>
      </c>
      <c r="D524" s="3" t="s">
        <v>5782</v>
      </c>
      <c r="E524" s="17" t="s">
        <v>2433</v>
      </c>
      <c r="F524" s="17" t="s">
        <v>3532</v>
      </c>
      <c r="G524" s="17" t="s">
        <v>3532</v>
      </c>
      <c r="H524" s="17" t="s">
        <v>3531</v>
      </c>
      <c r="I524" s="17" t="s">
        <v>3545</v>
      </c>
      <c r="J524" s="17" t="s">
        <v>3391</v>
      </c>
      <c r="K524" s="49" t="s">
        <v>5526</v>
      </c>
      <c r="L524" s="4" t="str">
        <f ca="1">IF(ISERROR(VLOOKUP(B524,'ETL Scope'!I:I,1,0)),"NA","ETL")</f>
        <v>NA</v>
      </c>
      <c r="M524" s="29">
        <f ca="1">COUNTIF('Data-WK'!A:A,'V1'!B:B)</f>
        <v>1</v>
      </c>
      <c r="N524" s="29" t="e">
        <f ca="1">VLOOKUP(E524,'IFRS only'!A:A,1,0)</f>
        <v>#N/A</v>
      </c>
      <c r="O524" s="31"/>
      <c r="P524" s="89"/>
    </row>
    <row r="525" spans="1:16" s="29" customFormat="1">
      <c r="A525" s="17" t="s">
        <v>3</v>
      </c>
      <c r="B525" s="17">
        <v>3540009013</v>
      </c>
      <c r="C525" s="75" t="s">
        <v>4487</v>
      </c>
      <c r="D525" s="3" t="s">
        <v>5783</v>
      </c>
      <c r="E525" s="17" t="s">
        <v>2434</v>
      </c>
      <c r="F525" s="17" t="s">
        <v>3532</v>
      </c>
      <c r="G525" s="17" t="s">
        <v>3532</v>
      </c>
      <c r="H525" s="17" t="s">
        <v>3531</v>
      </c>
      <c r="I525" s="17" t="s">
        <v>3545</v>
      </c>
      <c r="J525" s="17" t="s">
        <v>3391</v>
      </c>
      <c r="K525" s="49" t="s">
        <v>5526</v>
      </c>
      <c r="L525" s="4" t="str">
        <f ca="1">IF(ISERROR(VLOOKUP(B525,'ETL Scope'!I:I,1,0)),"NA","ETL")</f>
        <v>NA</v>
      </c>
      <c r="M525" s="29">
        <f ca="1">COUNTIF('Data-WK'!A:A,'V1'!B:B)</f>
        <v>1</v>
      </c>
      <c r="N525" s="29" t="e">
        <f ca="1">VLOOKUP(E525,'IFRS only'!A:A,1,0)</f>
        <v>#N/A</v>
      </c>
      <c r="O525" s="31"/>
      <c r="P525" s="89"/>
    </row>
    <row r="526" spans="1:16" s="29" customFormat="1">
      <c r="A526" s="17" t="s">
        <v>3</v>
      </c>
      <c r="B526" s="17">
        <v>3540009014</v>
      </c>
      <c r="C526" s="75" t="s">
        <v>4487</v>
      </c>
      <c r="D526" s="3" t="s">
        <v>5784</v>
      </c>
      <c r="E526" s="17" t="s">
        <v>2435</v>
      </c>
      <c r="F526" s="17" t="s">
        <v>3532</v>
      </c>
      <c r="G526" s="17" t="s">
        <v>3532</v>
      </c>
      <c r="H526" s="17" t="s">
        <v>3531</v>
      </c>
      <c r="I526" s="17" t="s">
        <v>3545</v>
      </c>
      <c r="J526" s="17" t="s">
        <v>3391</v>
      </c>
      <c r="K526" s="49" t="s">
        <v>5526</v>
      </c>
      <c r="L526" s="4" t="str">
        <f ca="1">IF(ISERROR(VLOOKUP(B526,'ETL Scope'!I:I,1,0)),"NA","ETL")</f>
        <v>NA</v>
      </c>
      <c r="M526" s="29">
        <f ca="1">COUNTIF('Data-WK'!A:A,'V1'!B:B)</f>
        <v>1</v>
      </c>
      <c r="N526" s="29" t="e">
        <f ca="1">VLOOKUP(E526,'IFRS only'!A:A,1,0)</f>
        <v>#N/A</v>
      </c>
      <c r="O526" s="31"/>
      <c r="P526" s="89"/>
    </row>
    <row r="527" spans="1:16" s="29" customFormat="1">
      <c r="A527" s="17" t="s">
        <v>3</v>
      </c>
      <c r="B527" s="17">
        <v>3540009015</v>
      </c>
      <c r="C527" s="75" t="s">
        <v>4487</v>
      </c>
      <c r="D527" s="3" t="s">
        <v>5785</v>
      </c>
      <c r="E527" s="17" t="s">
        <v>2436</v>
      </c>
      <c r="F527" s="17" t="s">
        <v>3532</v>
      </c>
      <c r="G527" s="17" t="s">
        <v>3532</v>
      </c>
      <c r="H527" s="17" t="s">
        <v>3531</v>
      </c>
      <c r="I527" s="17" t="s">
        <v>3545</v>
      </c>
      <c r="J527" s="17" t="s">
        <v>3391</v>
      </c>
      <c r="K527" s="49" t="s">
        <v>5526</v>
      </c>
      <c r="L527" s="4" t="str">
        <f ca="1">IF(ISERROR(VLOOKUP(B527,'ETL Scope'!I:I,1,0)),"NA","ETL")</f>
        <v>NA</v>
      </c>
      <c r="M527" s="29">
        <f ca="1">COUNTIF('Data-WK'!A:A,'V1'!B:B)</f>
        <v>1</v>
      </c>
      <c r="N527" s="29" t="e">
        <f ca="1">VLOOKUP(E527,'IFRS only'!A:A,1,0)</f>
        <v>#N/A</v>
      </c>
      <c r="P527" s="89"/>
    </row>
    <row r="528" spans="1:16" s="29" customFormat="1">
      <c r="A528" s="17" t="s">
        <v>3</v>
      </c>
      <c r="B528" s="17">
        <v>3540009016</v>
      </c>
      <c r="C528" s="75" t="s">
        <v>4487</v>
      </c>
      <c r="D528" s="3" t="s">
        <v>5786</v>
      </c>
      <c r="E528" s="17" t="s">
        <v>2437</v>
      </c>
      <c r="F528" s="17" t="s">
        <v>3532</v>
      </c>
      <c r="G528" s="17" t="s">
        <v>3532</v>
      </c>
      <c r="H528" s="17" t="s">
        <v>3531</v>
      </c>
      <c r="I528" s="17" t="s">
        <v>3545</v>
      </c>
      <c r="J528" s="17" t="s">
        <v>3391</v>
      </c>
      <c r="K528" s="49" t="s">
        <v>5526</v>
      </c>
      <c r="L528" s="4" t="str">
        <f ca="1">IF(ISERROR(VLOOKUP(B528,'ETL Scope'!I:I,1,0)),"NA","ETL")</f>
        <v>NA</v>
      </c>
      <c r="M528" s="29">
        <f ca="1">COUNTIF('Data-WK'!A:A,'V1'!B:B)</f>
        <v>1</v>
      </c>
      <c r="N528" s="29" t="e">
        <f ca="1">VLOOKUP(E528,'IFRS only'!A:A,1,0)</f>
        <v>#N/A</v>
      </c>
      <c r="P528" s="89"/>
    </row>
    <row r="529" spans="1:16" s="29" customFormat="1">
      <c r="A529" s="17" t="s">
        <v>3</v>
      </c>
      <c r="B529" s="17">
        <v>3540009017</v>
      </c>
      <c r="C529" s="75" t="s">
        <v>4487</v>
      </c>
      <c r="D529" s="3" t="s">
        <v>5787</v>
      </c>
      <c r="E529" s="17" t="s">
        <v>2438</v>
      </c>
      <c r="F529" s="17" t="s">
        <v>3532</v>
      </c>
      <c r="G529" s="17" t="s">
        <v>3532</v>
      </c>
      <c r="H529" s="17" t="s">
        <v>3531</v>
      </c>
      <c r="I529" s="17" t="s">
        <v>3545</v>
      </c>
      <c r="J529" s="17" t="s">
        <v>3391</v>
      </c>
      <c r="K529" s="49" t="s">
        <v>5526</v>
      </c>
      <c r="L529" s="4" t="str">
        <f ca="1">IF(ISERROR(VLOOKUP(B529,'ETL Scope'!I:I,1,0)),"NA","ETL")</f>
        <v>NA</v>
      </c>
      <c r="M529" s="29">
        <f ca="1">COUNTIF('Data-WK'!A:A,'V1'!B:B)</f>
        <v>1</v>
      </c>
      <c r="N529" s="29" t="e">
        <f ca="1">VLOOKUP(E529,'IFRS only'!A:A,1,0)</f>
        <v>#N/A</v>
      </c>
      <c r="P529" s="89"/>
    </row>
    <row r="530" spans="1:16" s="29" customFormat="1">
      <c r="A530" s="17" t="s">
        <v>3</v>
      </c>
      <c r="B530" s="17">
        <v>3540009018</v>
      </c>
      <c r="C530" s="75" t="s">
        <v>4487</v>
      </c>
      <c r="D530" s="3" t="s">
        <v>5788</v>
      </c>
      <c r="E530" s="17" t="s">
        <v>2439</v>
      </c>
      <c r="F530" s="17" t="s">
        <v>3532</v>
      </c>
      <c r="G530" s="17" t="s">
        <v>3532</v>
      </c>
      <c r="H530" s="17" t="s">
        <v>3531</v>
      </c>
      <c r="I530" s="17" t="s">
        <v>3545</v>
      </c>
      <c r="J530" s="17" t="s">
        <v>3391</v>
      </c>
      <c r="K530" s="49" t="s">
        <v>5526</v>
      </c>
      <c r="L530" s="4" t="str">
        <f ca="1">IF(ISERROR(VLOOKUP(B530,'ETL Scope'!I:I,1,0)),"NA","ETL")</f>
        <v>NA</v>
      </c>
      <c r="M530" s="29">
        <f ca="1">COUNTIF('Data-WK'!A:A,'V1'!B:B)</f>
        <v>1</v>
      </c>
      <c r="N530" s="29" t="e">
        <f ca="1">VLOOKUP(E530,'IFRS only'!A:A,1,0)</f>
        <v>#N/A</v>
      </c>
      <c r="P530" s="89"/>
    </row>
    <row r="531" spans="1:16" s="29" customFormat="1">
      <c r="A531" s="17" t="s">
        <v>5</v>
      </c>
      <c r="B531" s="17">
        <v>3540009080</v>
      </c>
      <c r="C531" s="75" t="s">
        <v>4487</v>
      </c>
      <c r="D531" s="86" t="s">
        <v>5818</v>
      </c>
      <c r="E531" s="51" t="s">
        <v>2447</v>
      </c>
      <c r="F531" s="17" t="s">
        <v>9</v>
      </c>
      <c r="G531" s="17" t="s">
        <v>3392</v>
      </c>
      <c r="H531" s="17" t="s">
        <v>3531</v>
      </c>
      <c r="I531" s="17" t="s">
        <v>3545</v>
      </c>
      <c r="J531" s="17" t="s">
        <v>9</v>
      </c>
      <c r="K531" s="49" t="s">
        <v>5526</v>
      </c>
      <c r="L531" s="4" t="str">
        <f ca="1">IF(ISERROR(VLOOKUP(B531,'ETL Scope'!I:I,1,0)),"NA","ETL")</f>
        <v>NA</v>
      </c>
      <c r="M531" s="29">
        <f ca="1">COUNTIF('Data-WK'!A:A,'V1'!B:B)</f>
        <v>1</v>
      </c>
      <c r="N531" s="29" t="str">
        <f ca="1">VLOOKUP(E531,'IFRS only'!A:A,1,0)</f>
        <v>220317</v>
      </c>
      <c r="P531" s="89"/>
    </row>
    <row r="532" spans="1:16" s="29" customFormat="1">
      <c r="A532" s="17" t="s">
        <v>4</v>
      </c>
      <c r="B532" s="17">
        <v>3700000010</v>
      </c>
      <c r="C532" s="75" t="s">
        <v>3770</v>
      </c>
      <c r="D532" s="86" t="s">
        <v>5699</v>
      </c>
      <c r="E532" s="17" t="s">
        <v>2592</v>
      </c>
      <c r="F532" s="17" t="s">
        <v>3532</v>
      </c>
      <c r="G532" s="17" t="s">
        <v>3532</v>
      </c>
      <c r="H532" s="17" t="s">
        <v>3531</v>
      </c>
      <c r="I532" s="17" t="s">
        <v>3545</v>
      </c>
      <c r="J532" s="17" t="s">
        <v>3391</v>
      </c>
      <c r="K532" s="49" t="s">
        <v>1006</v>
      </c>
      <c r="L532" s="4" t="str">
        <f ca="1">IF(ISERROR(VLOOKUP(B532,'ETL Scope'!I:I,1,0)),"NA","ETL")</f>
        <v>NA</v>
      </c>
      <c r="M532" s="29">
        <f ca="1">COUNTIF('Data-WK'!A:A,'V1'!B:B)</f>
        <v>1</v>
      </c>
      <c r="N532" s="29" t="e">
        <f ca="1">VLOOKUP(E532,'IFRS only'!A:A,1,0)</f>
        <v>#N/A</v>
      </c>
      <c r="P532" s="89"/>
    </row>
    <row r="533" spans="1:16" s="29" customFormat="1">
      <c r="A533" s="17" t="s">
        <v>4</v>
      </c>
      <c r="B533" s="17">
        <v>3700000011</v>
      </c>
      <c r="C533" s="75" t="s">
        <v>3770</v>
      </c>
      <c r="D533" s="86" t="s">
        <v>5700</v>
      </c>
      <c r="E533" s="17" t="s">
        <v>2593</v>
      </c>
      <c r="F533" s="17" t="s">
        <v>3532</v>
      </c>
      <c r="G533" s="17" t="s">
        <v>3532</v>
      </c>
      <c r="H533" s="17" t="s">
        <v>3531</v>
      </c>
      <c r="I533" s="17" t="s">
        <v>3545</v>
      </c>
      <c r="J533" s="17" t="s">
        <v>3391</v>
      </c>
      <c r="K533" s="49" t="s">
        <v>1006</v>
      </c>
      <c r="L533" s="4" t="str">
        <f ca="1">IF(ISERROR(VLOOKUP(B533,'ETL Scope'!I:I,1,0)),"NA","ETL")</f>
        <v>NA</v>
      </c>
      <c r="M533" s="29">
        <f ca="1">COUNTIF('Data-WK'!A:A,'V1'!B:B)</f>
        <v>1</v>
      </c>
      <c r="N533" s="29" t="e">
        <f ca="1">VLOOKUP(E533,'IFRS only'!A:A,1,0)</f>
        <v>#N/A</v>
      </c>
      <c r="P533" s="89"/>
    </row>
    <row r="534" spans="1:16" s="29" customFormat="1">
      <c r="A534" s="17" t="s">
        <v>4</v>
      </c>
      <c r="B534" s="17">
        <v>3700000012</v>
      </c>
      <c r="C534" s="75" t="s">
        <v>3770</v>
      </c>
      <c r="D534" s="86" t="s">
        <v>5701</v>
      </c>
      <c r="E534" s="17" t="s">
        <v>2594</v>
      </c>
      <c r="F534" s="17" t="s">
        <v>3532</v>
      </c>
      <c r="G534" s="17" t="s">
        <v>3532</v>
      </c>
      <c r="H534" s="17" t="s">
        <v>3531</v>
      </c>
      <c r="I534" s="17" t="s">
        <v>3545</v>
      </c>
      <c r="J534" s="17" t="s">
        <v>3391</v>
      </c>
      <c r="K534" s="49" t="s">
        <v>1006</v>
      </c>
      <c r="L534" s="4" t="str">
        <f ca="1">IF(ISERROR(VLOOKUP(B534,'ETL Scope'!I:I,1,0)),"NA","ETL")</f>
        <v>NA</v>
      </c>
      <c r="M534" s="29">
        <f ca="1">COUNTIF('Data-WK'!A:A,'V1'!B:B)</f>
        <v>1</v>
      </c>
      <c r="N534" s="29" t="e">
        <f ca="1">VLOOKUP(E534,'IFRS only'!A:A,1,0)</f>
        <v>#N/A</v>
      </c>
      <c r="P534" s="89"/>
    </row>
    <row r="535" spans="1:16" s="29" customFormat="1">
      <c r="A535" s="17" t="s">
        <v>4</v>
      </c>
      <c r="B535" s="17">
        <v>3700000013</v>
      </c>
      <c r="C535" s="75" t="s">
        <v>3770</v>
      </c>
      <c r="D535" s="86" t="s">
        <v>5702</v>
      </c>
      <c r="E535" s="17" t="s">
        <v>2595</v>
      </c>
      <c r="F535" s="17" t="s">
        <v>3532</v>
      </c>
      <c r="G535" s="17" t="s">
        <v>3532</v>
      </c>
      <c r="H535" s="17" t="s">
        <v>3531</v>
      </c>
      <c r="I535" s="17" t="s">
        <v>3545</v>
      </c>
      <c r="J535" s="17" t="s">
        <v>3391</v>
      </c>
      <c r="K535" s="49" t="s">
        <v>1006</v>
      </c>
      <c r="L535" s="4" t="str">
        <f ca="1">IF(ISERROR(VLOOKUP(B535,'ETL Scope'!I:I,1,0)),"NA","ETL")</f>
        <v>NA</v>
      </c>
      <c r="M535" s="29">
        <f ca="1">COUNTIF('Data-WK'!A:A,'V1'!B:B)</f>
        <v>1</v>
      </c>
      <c r="N535" s="29" t="e">
        <f ca="1">VLOOKUP(E535,'IFRS only'!A:A,1,0)</f>
        <v>#N/A</v>
      </c>
      <c r="P535" s="89"/>
    </row>
    <row r="536" spans="1:16" s="29" customFormat="1">
      <c r="A536" s="17" t="s">
        <v>4</v>
      </c>
      <c r="B536" s="17">
        <v>3700000014</v>
      </c>
      <c r="C536" s="75" t="s">
        <v>3770</v>
      </c>
      <c r="D536" s="86" t="s">
        <v>5703</v>
      </c>
      <c r="E536" s="17" t="s">
        <v>2599</v>
      </c>
      <c r="F536" s="17" t="s">
        <v>3532</v>
      </c>
      <c r="G536" s="17" t="s">
        <v>3532</v>
      </c>
      <c r="H536" s="17" t="s">
        <v>3531</v>
      </c>
      <c r="I536" s="17" t="s">
        <v>3545</v>
      </c>
      <c r="J536" s="17" t="s">
        <v>3391</v>
      </c>
      <c r="K536" s="49" t="s">
        <v>1006</v>
      </c>
      <c r="L536" s="4" t="str">
        <f ca="1">IF(ISERROR(VLOOKUP(B536,'ETL Scope'!I:I,1,0)),"NA","ETL")</f>
        <v>NA</v>
      </c>
      <c r="M536" s="29">
        <f ca="1">COUNTIF('Data-WK'!A:A,'V1'!B:B)</f>
        <v>1</v>
      </c>
      <c r="N536" s="29" t="e">
        <f ca="1">VLOOKUP(E536,'IFRS only'!A:A,1,0)</f>
        <v>#N/A</v>
      </c>
      <c r="P536" s="89"/>
    </row>
    <row r="537" spans="1:16" s="29" customFormat="1">
      <c r="A537" s="17" t="s">
        <v>4</v>
      </c>
      <c r="B537" s="17">
        <v>3700000015</v>
      </c>
      <c r="C537" s="75" t="s">
        <v>3770</v>
      </c>
      <c r="D537" s="86" t="s">
        <v>5704</v>
      </c>
      <c r="E537" s="17" t="s">
        <v>2596</v>
      </c>
      <c r="F537" s="17" t="s">
        <v>3532</v>
      </c>
      <c r="G537" s="17" t="s">
        <v>3532</v>
      </c>
      <c r="H537" s="17" t="s">
        <v>3531</v>
      </c>
      <c r="I537" s="17" t="s">
        <v>3545</v>
      </c>
      <c r="J537" s="17" t="s">
        <v>3391</v>
      </c>
      <c r="K537" s="49" t="s">
        <v>1006</v>
      </c>
      <c r="L537" s="4" t="str">
        <f ca="1">IF(ISERROR(VLOOKUP(B537,'ETL Scope'!I:I,1,0)),"NA","ETL")</f>
        <v>NA</v>
      </c>
      <c r="M537" s="29">
        <f ca="1">COUNTIF('Data-WK'!A:A,'V1'!B:B)</f>
        <v>1</v>
      </c>
      <c r="N537" s="29" t="e">
        <f ca="1">VLOOKUP(E537,'IFRS only'!A:A,1,0)</f>
        <v>#N/A</v>
      </c>
      <c r="P537" s="89"/>
    </row>
    <row r="538" spans="1:16" s="29" customFormat="1">
      <c r="A538" s="17" t="s">
        <v>4</v>
      </c>
      <c r="B538" s="17">
        <v>3700000100</v>
      </c>
      <c r="C538" s="75" t="s">
        <v>3770</v>
      </c>
      <c r="D538" s="3" t="s">
        <v>3510</v>
      </c>
      <c r="E538" s="17" t="s">
        <v>2615</v>
      </c>
      <c r="F538" s="17" t="s">
        <v>3532</v>
      </c>
      <c r="G538" s="17" t="s">
        <v>3532</v>
      </c>
      <c r="H538" s="17" t="s">
        <v>3531</v>
      </c>
      <c r="I538" s="17" t="s">
        <v>3545</v>
      </c>
      <c r="J538" s="17" t="s">
        <v>9</v>
      </c>
      <c r="K538" s="49" t="s">
        <v>1006</v>
      </c>
      <c r="L538" s="4" t="str">
        <f ca="1">IF(ISERROR(VLOOKUP(B538,'ETL Scope'!I:I,1,0)),"NA","ETL")</f>
        <v>NA</v>
      </c>
      <c r="M538" s="29">
        <f ca="1">COUNTIF('Data-WK'!A:A,'V1'!B:B)</f>
        <v>1</v>
      </c>
      <c r="N538" s="29" t="e">
        <f ca="1">VLOOKUP(E538,'IFRS only'!A:A,1,0)</f>
        <v>#N/A</v>
      </c>
      <c r="P538" s="89"/>
    </row>
    <row r="539" spans="1:16" s="29" customFormat="1">
      <c r="A539" s="17" t="s">
        <v>3</v>
      </c>
      <c r="B539" s="17">
        <v>4240000124</v>
      </c>
      <c r="C539" s="75" t="s">
        <v>3770</v>
      </c>
      <c r="D539" s="3" t="s">
        <v>4817</v>
      </c>
      <c r="E539" s="17" t="s">
        <v>2577</v>
      </c>
      <c r="F539" s="17" t="s">
        <v>3532</v>
      </c>
      <c r="G539" s="17" t="s">
        <v>3532</v>
      </c>
      <c r="H539" s="17" t="s">
        <v>3531</v>
      </c>
      <c r="I539" s="17" t="s">
        <v>3545</v>
      </c>
      <c r="J539" s="17" t="s">
        <v>9</v>
      </c>
      <c r="K539" s="49" t="s">
        <v>998</v>
      </c>
      <c r="L539" s="4" t="str">
        <f ca="1">IF(ISERROR(VLOOKUP(B539,'ETL Scope'!I:I,1,0)),"NA","ETL")</f>
        <v>NA</v>
      </c>
      <c r="M539" s="29">
        <f ca="1">COUNTIF('Data-WK'!A:A,'V1'!B:B)</f>
        <v>0</v>
      </c>
      <c r="N539" s="29" t="e">
        <f ca="1">VLOOKUP(E539,'IFRS only'!A:A,1,0)</f>
        <v>#N/A</v>
      </c>
      <c r="P539" s="89"/>
    </row>
    <row r="540" spans="1:16" s="29" customFormat="1">
      <c r="A540" s="17" t="s">
        <v>3</v>
      </c>
      <c r="B540" s="17">
        <v>4240000125</v>
      </c>
      <c r="C540" s="75" t="s">
        <v>3770</v>
      </c>
      <c r="D540" s="3" t="s">
        <v>4818</v>
      </c>
      <c r="E540" s="17" t="s">
        <v>2578</v>
      </c>
      <c r="F540" s="17" t="s">
        <v>3532</v>
      </c>
      <c r="G540" s="17" t="s">
        <v>3532</v>
      </c>
      <c r="H540" s="17" t="s">
        <v>3531</v>
      </c>
      <c r="I540" s="17" t="s">
        <v>3545</v>
      </c>
      <c r="J540" s="17" t="s">
        <v>9</v>
      </c>
      <c r="K540" s="49" t="s">
        <v>998</v>
      </c>
      <c r="L540" s="4" t="str">
        <f ca="1">IF(ISERROR(VLOOKUP(B540,'ETL Scope'!I:I,1,0)),"NA","ETL")</f>
        <v>NA</v>
      </c>
      <c r="M540" s="29">
        <f ca="1">COUNTIF('Data-WK'!A:A,'V1'!B:B)</f>
        <v>0</v>
      </c>
      <c r="N540" s="29" t="e">
        <f ca="1">VLOOKUP(E540,'IFRS only'!A:A,1,0)</f>
        <v>#N/A</v>
      </c>
      <c r="P540" s="89"/>
    </row>
    <row r="541" spans="1:16" s="29" customFormat="1">
      <c r="A541" s="17" t="s">
        <v>3</v>
      </c>
      <c r="B541" s="17">
        <v>4240000128</v>
      </c>
      <c r="C541" s="75" t="s">
        <v>3770</v>
      </c>
      <c r="D541" s="3" t="s">
        <v>257</v>
      </c>
      <c r="E541" s="17" t="s">
        <v>2573</v>
      </c>
      <c r="F541" s="17" t="s">
        <v>3532</v>
      </c>
      <c r="G541" s="17" t="s">
        <v>3532</v>
      </c>
      <c r="H541" s="17" t="s">
        <v>3531</v>
      </c>
      <c r="I541" s="17" t="s">
        <v>3545</v>
      </c>
      <c r="J541" s="17" t="s">
        <v>9</v>
      </c>
      <c r="K541" s="49" t="s">
        <v>998</v>
      </c>
      <c r="L541" s="4" t="str">
        <f ca="1">IF(ISERROR(VLOOKUP(B541,'ETL Scope'!I:I,1,0)),"NA","ETL")</f>
        <v>NA</v>
      </c>
      <c r="M541" s="29">
        <f ca="1">COUNTIF('Data-WK'!A:A,'V1'!B:B)</f>
        <v>0</v>
      </c>
      <c r="N541" s="29" t="e">
        <f ca="1">VLOOKUP(E541,'IFRS only'!A:A,1,0)</f>
        <v>#N/A</v>
      </c>
      <c r="P541" s="89"/>
    </row>
    <row r="542" spans="1:16" s="29" customFormat="1">
      <c r="A542" s="17" t="s">
        <v>4</v>
      </c>
      <c r="B542" s="17">
        <v>3700000430</v>
      </c>
      <c r="C542" s="75" t="s">
        <v>3770</v>
      </c>
      <c r="D542" s="3" t="s">
        <v>3508</v>
      </c>
      <c r="E542" s="17" t="s">
        <v>2611</v>
      </c>
      <c r="F542" s="17" t="s">
        <v>3532</v>
      </c>
      <c r="G542" s="17" t="s">
        <v>3532</v>
      </c>
      <c r="H542" s="17" t="s">
        <v>3531</v>
      </c>
      <c r="I542" s="17" t="s">
        <v>3545</v>
      </c>
      <c r="J542" s="17" t="s">
        <v>9</v>
      </c>
      <c r="K542" s="49" t="s">
        <v>1006</v>
      </c>
      <c r="L542" s="4" t="str">
        <f ca="1">IF(ISERROR(VLOOKUP(B542,'ETL Scope'!I:I,1,0)),"NA","ETL")</f>
        <v>NA</v>
      </c>
      <c r="M542" s="29">
        <f ca="1">COUNTIF('Data-WK'!A:A,'V1'!B:B)</f>
        <v>1</v>
      </c>
      <c r="N542" s="29" t="e">
        <f ca="1">VLOOKUP(E542,'IFRS only'!A:A,1,0)</f>
        <v>#N/A</v>
      </c>
      <c r="P542" s="89"/>
    </row>
    <row r="543" spans="1:16" s="29" customFormat="1">
      <c r="A543" s="17" t="s">
        <v>3</v>
      </c>
      <c r="B543" s="17">
        <v>3710000000</v>
      </c>
      <c r="C543" s="75" t="s">
        <v>4488</v>
      </c>
      <c r="D543" s="3" t="s">
        <v>164</v>
      </c>
      <c r="E543" s="17" t="s">
        <v>2456</v>
      </c>
      <c r="F543" s="17" t="s">
        <v>3532</v>
      </c>
      <c r="G543" s="17" t="s">
        <v>3440</v>
      </c>
      <c r="H543" s="17" t="s">
        <v>3531</v>
      </c>
      <c r="I543" s="17" t="s">
        <v>3545</v>
      </c>
      <c r="J543" s="17" t="s">
        <v>9</v>
      </c>
      <c r="K543" s="49" t="s">
        <v>983</v>
      </c>
      <c r="L543" s="4" t="str">
        <f ca="1">IF(ISERROR(VLOOKUP(B543,'ETL Scope'!I:I,1,0)),"NA","ETL")</f>
        <v>ETL</v>
      </c>
      <c r="M543" s="29">
        <f ca="1">COUNTIF('Data-WK'!A:A,'V1'!B:B)</f>
        <v>1</v>
      </c>
      <c r="N543" s="29" t="e">
        <f ca="1">VLOOKUP(E543,'IFRS only'!A:A,1,0)</f>
        <v>#N/A</v>
      </c>
      <c r="P543" s="89"/>
    </row>
    <row r="544" spans="1:16" s="29" customFormat="1">
      <c r="A544" s="17" t="s">
        <v>3</v>
      </c>
      <c r="B544" s="17">
        <v>3710000001</v>
      </c>
      <c r="C544" s="75" t="s">
        <v>4488</v>
      </c>
      <c r="D544" s="3" t="s">
        <v>161</v>
      </c>
      <c r="E544" s="17" t="s">
        <v>2453</v>
      </c>
      <c r="F544" s="17" t="s">
        <v>3532</v>
      </c>
      <c r="G544" s="17" t="s">
        <v>3532</v>
      </c>
      <c r="H544" s="17" t="s">
        <v>3531</v>
      </c>
      <c r="I544" s="17" t="s">
        <v>3545</v>
      </c>
      <c r="J544" s="17" t="s">
        <v>9</v>
      </c>
      <c r="K544" s="49" t="s">
        <v>983</v>
      </c>
      <c r="L544" s="4" t="str">
        <f ca="1">IF(ISERROR(VLOOKUP(B544,'ETL Scope'!I:I,1,0)),"NA","ETL")</f>
        <v>NA</v>
      </c>
      <c r="M544" s="29">
        <f ca="1">COUNTIF('Data-WK'!A:A,'V1'!B:B)</f>
        <v>1</v>
      </c>
      <c r="N544" s="29" t="e">
        <f ca="1">VLOOKUP(E544,'IFRS only'!A:A,1,0)</f>
        <v>#N/A</v>
      </c>
      <c r="P544" s="89"/>
    </row>
    <row r="545" spans="1:16" s="29" customFormat="1">
      <c r="A545" s="17" t="s">
        <v>3</v>
      </c>
      <c r="B545" s="17">
        <v>3710000002</v>
      </c>
      <c r="C545" s="75" t="s">
        <v>4488</v>
      </c>
      <c r="D545" s="3" t="s">
        <v>162</v>
      </c>
      <c r="E545" s="17" t="s">
        <v>2454</v>
      </c>
      <c r="F545" s="17" t="s">
        <v>3532</v>
      </c>
      <c r="G545" s="17" t="s">
        <v>3532</v>
      </c>
      <c r="H545" s="17" t="s">
        <v>3531</v>
      </c>
      <c r="I545" s="17" t="s">
        <v>3545</v>
      </c>
      <c r="J545" s="17" t="s">
        <v>9</v>
      </c>
      <c r="K545" s="49" t="s">
        <v>983</v>
      </c>
      <c r="L545" s="4" t="str">
        <f ca="1">IF(ISERROR(VLOOKUP(B545,'ETL Scope'!I:I,1,0)),"NA","ETL")</f>
        <v>NA</v>
      </c>
      <c r="M545" s="29">
        <f ca="1">COUNTIF('Data-WK'!A:A,'V1'!B:B)</f>
        <v>1</v>
      </c>
      <c r="N545" s="29" t="e">
        <f ca="1">VLOOKUP(E545,'IFRS only'!A:A,1,0)</f>
        <v>#N/A</v>
      </c>
      <c r="P545" s="89"/>
    </row>
    <row r="546" spans="1:16" s="29" customFormat="1">
      <c r="A546" s="17" t="s">
        <v>3</v>
      </c>
      <c r="B546" s="17">
        <v>3710000003</v>
      </c>
      <c r="C546" s="75" t="s">
        <v>4488</v>
      </c>
      <c r="D546" s="3" t="s">
        <v>163</v>
      </c>
      <c r="E546" s="17" t="s">
        <v>2455</v>
      </c>
      <c r="F546" s="17" t="s">
        <v>3532</v>
      </c>
      <c r="G546" s="17" t="s">
        <v>3532</v>
      </c>
      <c r="H546" s="17" t="s">
        <v>3531</v>
      </c>
      <c r="I546" s="17" t="s">
        <v>3545</v>
      </c>
      <c r="J546" s="17" t="s">
        <v>9</v>
      </c>
      <c r="K546" s="49" t="s">
        <v>983</v>
      </c>
      <c r="L546" s="4" t="str">
        <f ca="1">IF(ISERROR(VLOOKUP(B546,'ETL Scope'!I:I,1,0)),"NA","ETL")</f>
        <v>NA</v>
      </c>
      <c r="M546" s="29">
        <f ca="1">COUNTIF('Data-WK'!A:A,'V1'!B:B)</f>
        <v>1</v>
      </c>
      <c r="N546" s="29" t="e">
        <f ca="1">VLOOKUP(E546,'IFRS only'!A:A,1,0)</f>
        <v>#N/A</v>
      </c>
      <c r="P546" s="89"/>
    </row>
    <row r="547" spans="1:16" s="29" customFormat="1">
      <c r="A547" s="17" t="s">
        <v>4</v>
      </c>
      <c r="B547" s="17">
        <v>3710000004</v>
      </c>
      <c r="C547" s="75" t="s">
        <v>4488</v>
      </c>
      <c r="D547" s="86" t="s">
        <v>5705</v>
      </c>
      <c r="E547" s="17" t="s">
        <v>2656</v>
      </c>
      <c r="F547" s="17" t="s">
        <v>3532</v>
      </c>
      <c r="G547" s="17" t="s">
        <v>3532</v>
      </c>
      <c r="H547" s="17" t="s">
        <v>3531</v>
      </c>
      <c r="I547" s="17" t="s">
        <v>3545</v>
      </c>
      <c r="J547" s="17" t="s">
        <v>9</v>
      </c>
      <c r="K547" s="49" t="s">
        <v>983</v>
      </c>
      <c r="L547" s="4" t="str">
        <f ca="1">IF(ISERROR(VLOOKUP(B547,'ETL Scope'!I:I,1,0)),"NA","ETL")</f>
        <v>NA</v>
      </c>
      <c r="M547" s="29">
        <f ca="1">COUNTIF('Data-WK'!A:A,'V1'!B:B)</f>
        <v>1</v>
      </c>
      <c r="N547" s="29" t="e">
        <f ca="1">VLOOKUP(E547,'IFRS only'!A:A,1,0)</f>
        <v>#N/A</v>
      </c>
      <c r="P547" s="89"/>
    </row>
    <row r="548" spans="1:16" s="29" customFormat="1">
      <c r="A548" s="17" t="s">
        <v>3</v>
      </c>
      <c r="B548" s="17">
        <v>3710000100</v>
      </c>
      <c r="C548" s="75" t="s">
        <v>4488</v>
      </c>
      <c r="D548" s="3" t="s">
        <v>165</v>
      </c>
      <c r="E548" s="17" t="s">
        <v>2457</v>
      </c>
      <c r="F548" s="17" t="s">
        <v>3532</v>
      </c>
      <c r="G548" s="17" t="s">
        <v>3532</v>
      </c>
      <c r="H548" s="17" t="s">
        <v>3531</v>
      </c>
      <c r="I548" s="17" t="s">
        <v>3545</v>
      </c>
      <c r="J548" s="17" t="s">
        <v>9</v>
      </c>
      <c r="K548" s="49" t="s">
        <v>983</v>
      </c>
      <c r="L548" s="4" t="str">
        <f ca="1">IF(ISERROR(VLOOKUP(B548,'ETL Scope'!I:I,1,0)),"NA","ETL")</f>
        <v>NA</v>
      </c>
      <c r="M548" s="29">
        <f ca="1">COUNTIF('Data-WK'!A:A,'V1'!B:B)</f>
        <v>1</v>
      </c>
      <c r="N548" s="29" t="e">
        <f ca="1">VLOOKUP(E548,'IFRS only'!A:A,1,0)</f>
        <v>#N/A</v>
      </c>
      <c r="P548" s="89"/>
    </row>
    <row r="549" spans="1:16" s="29" customFormat="1">
      <c r="A549" s="17" t="s">
        <v>3</v>
      </c>
      <c r="B549" s="17">
        <v>3720000000</v>
      </c>
      <c r="C549" s="75" t="s">
        <v>4489</v>
      </c>
      <c r="D549" s="3" t="s">
        <v>1429</v>
      </c>
      <c r="E549" s="17" t="s">
        <v>2579</v>
      </c>
      <c r="F549" s="17" t="s">
        <v>3532</v>
      </c>
      <c r="G549" s="17" t="s">
        <v>3532</v>
      </c>
      <c r="H549" s="17" t="s">
        <v>3531</v>
      </c>
      <c r="I549" s="17" t="s">
        <v>3545</v>
      </c>
      <c r="J549" s="17" t="s">
        <v>9</v>
      </c>
      <c r="K549" s="49" t="s">
        <v>999</v>
      </c>
      <c r="L549" s="4" t="str">
        <f ca="1">IF(ISERROR(VLOOKUP(B549,'ETL Scope'!I:I,1,0)),"NA","ETL")</f>
        <v>NA</v>
      </c>
      <c r="M549" s="29">
        <f ca="1">COUNTIF('Data-WK'!A:A,'V1'!B:B)</f>
        <v>1</v>
      </c>
      <c r="N549" s="29" t="e">
        <f ca="1">VLOOKUP(E549,'IFRS only'!A:A,1,0)</f>
        <v>#N/A</v>
      </c>
      <c r="P549" s="89"/>
    </row>
    <row r="550" spans="1:16" s="29" customFormat="1">
      <c r="A550" s="17" t="s">
        <v>3</v>
      </c>
      <c r="B550" s="17">
        <v>3720000001</v>
      </c>
      <c r="C550" s="75" t="s">
        <v>4489</v>
      </c>
      <c r="D550" s="3" t="s">
        <v>1430</v>
      </c>
      <c r="E550" s="17" t="s">
        <v>2580</v>
      </c>
      <c r="F550" s="17" t="s">
        <v>3532</v>
      </c>
      <c r="G550" s="17" t="s">
        <v>3532</v>
      </c>
      <c r="H550" s="17" t="s">
        <v>3531</v>
      </c>
      <c r="I550" s="17" t="s">
        <v>3545</v>
      </c>
      <c r="J550" s="17" t="s">
        <v>9</v>
      </c>
      <c r="K550" s="49" t="s">
        <v>999</v>
      </c>
      <c r="L550" s="4" t="str">
        <f ca="1">IF(ISERROR(VLOOKUP(B550,'ETL Scope'!I:I,1,0)),"NA","ETL")</f>
        <v>NA</v>
      </c>
      <c r="M550" s="29">
        <f ca="1">COUNTIF('Data-WK'!A:A,'V1'!B:B)</f>
        <v>1</v>
      </c>
      <c r="N550" s="29" t="e">
        <f ca="1">VLOOKUP(E550,'IFRS only'!A:A,1,0)</f>
        <v>#N/A</v>
      </c>
      <c r="P550" s="89"/>
    </row>
    <row r="551" spans="1:16" s="29" customFormat="1">
      <c r="A551" s="17" t="s">
        <v>3</v>
      </c>
      <c r="B551" s="17">
        <v>3720000010</v>
      </c>
      <c r="C551" s="75" t="s">
        <v>4489</v>
      </c>
      <c r="D551" s="3" t="s">
        <v>1431</v>
      </c>
      <c r="E551" s="17" t="s">
        <v>2581</v>
      </c>
      <c r="F551" s="17" t="s">
        <v>3532</v>
      </c>
      <c r="G551" s="17" t="s">
        <v>3532</v>
      </c>
      <c r="H551" s="17" t="s">
        <v>3531</v>
      </c>
      <c r="I551" s="17" t="s">
        <v>3545</v>
      </c>
      <c r="J551" s="17" t="s">
        <v>9</v>
      </c>
      <c r="K551" s="49" t="s">
        <v>999</v>
      </c>
      <c r="L551" s="4" t="str">
        <f ca="1">IF(ISERROR(VLOOKUP(B551,'ETL Scope'!I:I,1,0)),"NA","ETL")</f>
        <v>NA</v>
      </c>
      <c r="M551" s="29">
        <f ca="1">COUNTIF('Data-WK'!A:A,'V1'!B:B)</f>
        <v>1</v>
      </c>
      <c r="N551" s="29" t="e">
        <f ca="1">VLOOKUP(E551,'IFRS only'!A:A,1,0)</f>
        <v>#N/A</v>
      </c>
      <c r="P551" s="89"/>
    </row>
    <row r="552" spans="1:16" s="29" customFormat="1">
      <c r="A552" s="17" t="s">
        <v>4</v>
      </c>
      <c r="B552" s="17">
        <v>3730000000</v>
      </c>
      <c r="C552" s="75" t="s">
        <v>4490</v>
      </c>
      <c r="D552" s="86" t="s">
        <v>5706</v>
      </c>
      <c r="E552" s="17" t="s">
        <v>2652</v>
      </c>
      <c r="F552" s="17" t="s">
        <v>3532</v>
      </c>
      <c r="G552" s="17" t="s">
        <v>3532</v>
      </c>
      <c r="H552" s="17" t="s">
        <v>3531</v>
      </c>
      <c r="I552" s="17" t="s">
        <v>3545</v>
      </c>
      <c r="J552" s="17" t="s">
        <v>9</v>
      </c>
      <c r="K552" s="49" t="s">
        <v>1048</v>
      </c>
      <c r="L552" s="4" t="str">
        <f ca="1">IF(ISERROR(VLOOKUP(B552,'ETL Scope'!I:I,1,0)),"NA","ETL")</f>
        <v>NA</v>
      </c>
      <c r="M552" s="29">
        <f ca="1">COUNTIF('Data-WK'!A:A,'V1'!B:B)</f>
        <v>1</v>
      </c>
      <c r="N552" s="29" t="e">
        <f ca="1">VLOOKUP(E552,'IFRS only'!A:A,1,0)</f>
        <v>#N/A</v>
      </c>
      <c r="P552" s="89"/>
    </row>
    <row r="553" spans="1:16" s="29" customFormat="1">
      <c r="A553" s="17" t="s">
        <v>5</v>
      </c>
      <c r="B553" s="17">
        <v>3800000000</v>
      </c>
      <c r="C553" s="75" t="s">
        <v>3780</v>
      </c>
      <c r="D553" s="3" t="s">
        <v>4819</v>
      </c>
      <c r="E553" s="51" t="s">
        <v>2441</v>
      </c>
      <c r="F553" s="17" t="s">
        <v>3531</v>
      </c>
      <c r="G553" s="17" t="s">
        <v>3440</v>
      </c>
      <c r="H553" s="17" t="s">
        <v>3531</v>
      </c>
      <c r="I553" s="17" t="s">
        <v>3545</v>
      </c>
      <c r="J553" s="17" t="s">
        <v>9</v>
      </c>
      <c r="K553" s="49" t="s">
        <v>973</v>
      </c>
      <c r="L553" s="4" t="str">
        <f ca="1">IF(ISERROR(VLOOKUP(B553,'ETL Scope'!I:I,1,0)),"NA","ETL")</f>
        <v>ETL</v>
      </c>
      <c r="M553" s="29">
        <f ca="1">COUNTIF('Data-WK'!A:A,'V1'!B:B)</f>
        <v>1</v>
      </c>
      <c r="N553" s="29" t="str">
        <f ca="1">VLOOKUP(E553,'IFRS only'!A:A,1,0)</f>
        <v>220307</v>
      </c>
      <c r="P553" s="89"/>
    </row>
    <row r="554" spans="1:16" s="29" customFormat="1">
      <c r="A554" s="17" t="s">
        <v>5</v>
      </c>
      <c r="B554" s="17">
        <v>3800000010</v>
      </c>
      <c r="C554" s="75" t="s">
        <v>3780</v>
      </c>
      <c r="D554" s="3" t="s">
        <v>4820</v>
      </c>
      <c r="E554" s="51" t="s">
        <v>2442</v>
      </c>
      <c r="F554" s="17" t="s">
        <v>3531</v>
      </c>
      <c r="G554" s="17" t="s">
        <v>3440</v>
      </c>
      <c r="H554" s="17" t="s">
        <v>3531</v>
      </c>
      <c r="I554" s="17" t="s">
        <v>3545</v>
      </c>
      <c r="J554" s="17" t="s">
        <v>9</v>
      </c>
      <c r="K554" s="49" t="s">
        <v>974</v>
      </c>
      <c r="L554" s="4" t="str">
        <f ca="1">IF(ISERROR(VLOOKUP(B554,'ETL Scope'!I:I,1,0)),"NA","ETL")</f>
        <v>ETL</v>
      </c>
      <c r="M554" s="29">
        <f ca="1">COUNTIF('Data-WK'!A:A,'V1'!B:B)</f>
        <v>1</v>
      </c>
      <c r="N554" s="29" t="str">
        <f ca="1">VLOOKUP(E554,'IFRS only'!A:A,1,0)</f>
        <v>220308</v>
      </c>
      <c r="P554" s="89"/>
    </row>
    <row r="555" spans="1:16" s="29" customFormat="1">
      <c r="A555" s="17" t="s">
        <v>5</v>
      </c>
      <c r="B555" s="17">
        <v>3810000000</v>
      </c>
      <c r="C555" s="75" t="s">
        <v>4491</v>
      </c>
      <c r="D555" s="3" t="s">
        <v>4821</v>
      </c>
      <c r="E555" s="51" t="s">
        <v>2443</v>
      </c>
      <c r="F555" s="17" t="s">
        <v>9</v>
      </c>
      <c r="G555" s="17" t="s">
        <v>3440</v>
      </c>
      <c r="H555" s="17" t="s">
        <v>3531</v>
      </c>
      <c r="I555" s="17" t="s">
        <v>3545</v>
      </c>
      <c r="J555" s="17" t="s">
        <v>9</v>
      </c>
      <c r="K555" s="49" t="s">
        <v>975</v>
      </c>
      <c r="L555" s="4" t="str">
        <f ca="1">IF(ISERROR(VLOOKUP(B555,'ETL Scope'!I:I,1,0)),"NA","ETL")</f>
        <v>ETL</v>
      </c>
      <c r="M555" s="29">
        <f ca="1">COUNTIF('Data-WK'!A:A,'V1'!B:B)</f>
        <v>1</v>
      </c>
      <c r="N555" s="29" t="str">
        <f ca="1">VLOOKUP(E555,'IFRS only'!A:A,1,0)</f>
        <v>220309</v>
      </c>
      <c r="P555" s="89"/>
    </row>
    <row r="556" spans="1:16" s="29" customFormat="1">
      <c r="A556" s="17" t="s">
        <v>5</v>
      </c>
      <c r="B556" s="17">
        <v>3812000000</v>
      </c>
      <c r="C556" s="75" t="s">
        <v>4492</v>
      </c>
      <c r="D556" s="3" t="s">
        <v>4822</v>
      </c>
      <c r="E556" s="51" t="s">
        <v>1484</v>
      </c>
      <c r="F556" s="17" t="s">
        <v>3392</v>
      </c>
      <c r="G556" s="17" t="s">
        <v>3440</v>
      </c>
      <c r="H556" s="17" t="s">
        <v>3531</v>
      </c>
      <c r="I556" s="17" t="s">
        <v>3545</v>
      </c>
      <c r="J556" s="17" t="s">
        <v>9</v>
      </c>
      <c r="K556" s="49" t="s">
        <v>1384</v>
      </c>
      <c r="L556" s="4" t="str">
        <f ca="1">IF(ISERROR(VLOOKUP(B556,'ETL Scope'!I:I,1,0)),"NA","ETL")</f>
        <v>ETL</v>
      </c>
      <c r="M556" s="29">
        <f ca="1">COUNTIF('Data-WK'!A:A,'V1'!B:B)</f>
        <v>1</v>
      </c>
      <c r="N556" s="29" t="e">
        <f ca="1">VLOOKUP(E556,'IFRS only'!A:A,1,0)</f>
        <v>#N/A</v>
      </c>
      <c r="P556" s="89"/>
    </row>
    <row r="557" spans="1:16" s="29" customFormat="1">
      <c r="A557" s="17" t="s">
        <v>5</v>
      </c>
      <c r="B557" s="17">
        <v>4010000000</v>
      </c>
      <c r="C557" s="75" t="s">
        <v>4493</v>
      </c>
      <c r="D557" s="3" t="s">
        <v>4823</v>
      </c>
      <c r="E557" s="51" t="s">
        <v>2445</v>
      </c>
      <c r="F557" s="17" t="s">
        <v>9</v>
      </c>
      <c r="G557" s="17" t="s">
        <v>3440</v>
      </c>
      <c r="H557" s="17" t="s">
        <v>3531</v>
      </c>
      <c r="I557" s="17" t="s">
        <v>3545</v>
      </c>
      <c r="J557" s="17" t="s">
        <v>9</v>
      </c>
      <c r="K557" s="49" t="s">
        <v>977</v>
      </c>
      <c r="L557" s="4" t="str">
        <f ca="1">IF(ISERROR(VLOOKUP(B557,'ETL Scope'!I:I,1,0)),"NA","ETL")</f>
        <v>ETL</v>
      </c>
      <c r="M557" s="29">
        <f ca="1">COUNTIF('Data-WK'!A:A,'V1'!B:B)</f>
        <v>1</v>
      </c>
      <c r="N557" s="29" t="str">
        <f ca="1">VLOOKUP(E557,'IFRS only'!A:A,1,0)</f>
        <v>220314</v>
      </c>
      <c r="P557" s="89"/>
    </row>
    <row r="558" spans="1:16" s="29" customFormat="1">
      <c r="A558" s="17" t="s">
        <v>3</v>
      </c>
      <c r="B558" s="17">
        <v>4010000010</v>
      </c>
      <c r="C558" s="75" t="s">
        <v>4493</v>
      </c>
      <c r="D558" s="3" t="s">
        <v>4824</v>
      </c>
      <c r="E558" s="17" t="s">
        <v>2668</v>
      </c>
      <c r="F558" s="17" t="s">
        <v>9</v>
      </c>
      <c r="G558" s="17" t="s">
        <v>3532</v>
      </c>
      <c r="H558" s="17" t="s">
        <v>3531</v>
      </c>
      <c r="I558" s="17" t="s">
        <v>3545</v>
      </c>
      <c r="J558" s="17" t="s">
        <v>9</v>
      </c>
      <c r="K558" s="49" t="s">
        <v>977</v>
      </c>
      <c r="L558" s="4" t="str">
        <f ca="1">IF(ISERROR(VLOOKUP(B558,'ETL Scope'!I:I,1,0)),"NA","ETL")</f>
        <v>NA</v>
      </c>
      <c r="M558" s="29">
        <f ca="1">COUNTIF('Data-WK'!A:A,'V1'!B:B)</f>
        <v>1</v>
      </c>
      <c r="N558" s="29" t="str">
        <f ca="1">VLOOKUP(E558,'IFRS only'!A:A,1,0)</f>
        <v>240112</v>
      </c>
      <c r="P558" s="89"/>
    </row>
    <row r="559" spans="1:16" s="29" customFormat="1">
      <c r="A559" s="17" t="s">
        <v>3</v>
      </c>
      <c r="B559" s="17">
        <v>4010000020</v>
      </c>
      <c r="C559" s="75" t="s">
        <v>4493</v>
      </c>
      <c r="D559" s="86" t="s">
        <v>5707</v>
      </c>
      <c r="E559" s="17" t="s">
        <v>2655</v>
      </c>
      <c r="F559" s="17" t="s">
        <v>3532</v>
      </c>
      <c r="G559" s="17" t="s">
        <v>3532</v>
      </c>
      <c r="H559" s="17" t="s">
        <v>3531</v>
      </c>
      <c r="I559" s="17" t="s">
        <v>3545</v>
      </c>
      <c r="J559" s="17" t="s">
        <v>9</v>
      </c>
      <c r="K559" s="49" t="s">
        <v>977</v>
      </c>
      <c r="L559" s="4" t="str">
        <f ca="1">IF(ISERROR(VLOOKUP(B559,'ETL Scope'!I:I,1,0)),"NA","ETL")</f>
        <v>NA</v>
      </c>
      <c r="M559" s="29">
        <f ca="1">COUNTIF('Data-WK'!A:A,'V1'!B:B)</f>
        <v>1</v>
      </c>
      <c r="N559" s="29" t="e">
        <f ca="1">VLOOKUP(E559,'IFRS only'!A:A,1,0)</f>
        <v>#N/A</v>
      </c>
      <c r="P559" s="89"/>
    </row>
    <row r="560" spans="1:16" s="29" customFormat="1">
      <c r="A560" s="17" t="s">
        <v>5</v>
      </c>
      <c r="B560" s="17">
        <v>4010100000</v>
      </c>
      <c r="C560" s="75" t="s">
        <v>4494</v>
      </c>
      <c r="D560" s="3" t="s">
        <v>4825</v>
      </c>
      <c r="E560" s="51" t="s">
        <v>2446</v>
      </c>
      <c r="F560" s="17" t="s">
        <v>9</v>
      </c>
      <c r="G560" s="17" t="s">
        <v>3440</v>
      </c>
      <c r="H560" s="17" t="s">
        <v>3531</v>
      </c>
      <c r="I560" s="17" t="s">
        <v>3545</v>
      </c>
      <c r="J560" s="17" t="s">
        <v>9</v>
      </c>
      <c r="K560" s="49" t="s">
        <v>978</v>
      </c>
      <c r="L560" s="4" t="str">
        <f ca="1">IF(ISERROR(VLOOKUP(B560,'ETL Scope'!I:I,1,0)),"NA","ETL")</f>
        <v>ETL</v>
      </c>
      <c r="M560" s="29">
        <f ca="1">COUNTIF('Data-WK'!A:A,'V1'!B:B)</f>
        <v>1</v>
      </c>
      <c r="N560" s="29" t="str">
        <f ca="1">VLOOKUP(E560,'IFRS only'!A:A,1,0)</f>
        <v>220315</v>
      </c>
      <c r="P560" s="89"/>
    </row>
    <row r="561" spans="1:16" s="29" customFormat="1">
      <c r="A561" s="17" t="s">
        <v>5</v>
      </c>
      <c r="B561" s="17">
        <v>4011000000</v>
      </c>
      <c r="C561" s="75" t="s">
        <v>4495</v>
      </c>
      <c r="D561" s="3" t="s">
        <v>4826</v>
      </c>
      <c r="E561" s="51" t="s">
        <v>2450</v>
      </c>
      <c r="F561" s="17" t="s">
        <v>9</v>
      </c>
      <c r="G561" s="17" t="s">
        <v>3440</v>
      </c>
      <c r="H561" s="17" t="s">
        <v>3531</v>
      </c>
      <c r="I561" s="17" t="s">
        <v>3545</v>
      </c>
      <c r="J561" s="17" t="s">
        <v>9</v>
      </c>
      <c r="K561" s="49" t="s">
        <v>981</v>
      </c>
      <c r="L561" s="4" t="str">
        <f ca="1">IF(ISERROR(VLOOKUP(B561,'ETL Scope'!I:I,1,0)),"NA","ETL")</f>
        <v>ETL</v>
      </c>
      <c r="M561" s="29">
        <f ca="1">COUNTIF('Data-WK'!A:A,'V1'!B:B)</f>
        <v>1</v>
      </c>
      <c r="N561" s="29" t="str">
        <f ca="1">VLOOKUP(E561,'IFRS only'!A:A,1,0)</f>
        <v>220320</v>
      </c>
      <c r="P561" s="89"/>
    </row>
    <row r="562" spans="1:16" s="29" customFormat="1">
      <c r="A562" s="17" t="s">
        <v>2</v>
      </c>
      <c r="B562" s="17">
        <v>4020000000</v>
      </c>
      <c r="C562" s="75" t="s">
        <v>4496</v>
      </c>
      <c r="D562" s="3" t="s">
        <v>4827</v>
      </c>
      <c r="E562" s="17" t="s">
        <v>2423</v>
      </c>
      <c r="F562" s="17" t="s">
        <v>3532</v>
      </c>
      <c r="G562" s="17" t="s">
        <v>3532</v>
      </c>
      <c r="H562" s="17" t="s">
        <v>3531</v>
      </c>
      <c r="I562" s="17" t="s">
        <v>3544</v>
      </c>
      <c r="J562" s="17" t="s">
        <v>9</v>
      </c>
      <c r="K562" s="49" t="s">
        <v>964</v>
      </c>
      <c r="L562" s="4" t="str">
        <f ca="1">IF(ISERROR(VLOOKUP(B562,'ETL Scope'!I:I,1,0)),"NA","ETL")</f>
        <v>NA</v>
      </c>
      <c r="M562" s="29">
        <f ca="1">COUNTIF('Data-WK'!A:A,'V1'!B:B)</f>
        <v>1</v>
      </c>
      <c r="N562" s="29" t="e">
        <f ca="1">VLOOKUP(E562,'IFRS only'!A:A,1,0)</f>
        <v>#N/A</v>
      </c>
      <c r="P562" s="89"/>
    </row>
    <row r="563" spans="1:16" s="29" customFormat="1">
      <c r="A563" s="17" t="s">
        <v>2</v>
      </c>
      <c r="B563" s="17">
        <v>4032001500</v>
      </c>
      <c r="C563" s="75" t="s">
        <v>4497</v>
      </c>
      <c r="D563" s="3" t="s">
        <v>5568</v>
      </c>
      <c r="E563" s="17" t="s">
        <v>3387</v>
      </c>
      <c r="F563" s="17" t="s">
        <v>3532</v>
      </c>
      <c r="G563" s="17" t="s">
        <v>3532</v>
      </c>
      <c r="H563" s="17" t="s">
        <v>3531</v>
      </c>
      <c r="I563" s="17" t="s">
        <v>3545</v>
      </c>
      <c r="J563" s="17" t="s">
        <v>3391</v>
      </c>
      <c r="K563" s="49" t="s">
        <v>966</v>
      </c>
      <c r="L563" s="4" t="str">
        <f ca="1">IF(ISERROR(VLOOKUP(B563,'ETL Scope'!I:I,1,0)),"NA","ETL")</f>
        <v>NA</v>
      </c>
      <c r="M563" s="29">
        <f ca="1">COUNTIF('Data-WK'!A:A,'V1'!B:B)</f>
        <v>2</v>
      </c>
      <c r="N563" s="29" t="e">
        <f ca="1">VLOOKUP(E563,'IFRS only'!A:A,1,0)</f>
        <v>#N/A</v>
      </c>
      <c r="P563" s="89"/>
    </row>
    <row r="564" spans="1:16" s="29" customFormat="1">
      <c r="A564" s="17" t="s">
        <v>2</v>
      </c>
      <c r="B564" s="17">
        <v>4032002000</v>
      </c>
      <c r="C564" s="75" t="s">
        <v>4497</v>
      </c>
      <c r="D564" s="3" t="s">
        <v>4828</v>
      </c>
      <c r="E564" s="17" t="s">
        <v>3364</v>
      </c>
      <c r="F564" s="17" t="s">
        <v>1544</v>
      </c>
      <c r="G564" s="17" t="s">
        <v>1544</v>
      </c>
      <c r="H564" s="17" t="s">
        <v>3525</v>
      </c>
      <c r="I564" s="17" t="s">
        <v>1544</v>
      </c>
      <c r="J564" s="17" t="s">
        <v>9</v>
      </c>
      <c r="K564" s="49" t="s">
        <v>965</v>
      </c>
      <c r="L564" s="89"/>
    </row>
    <row r="565" spans="1:16" s="29" customFormat="1">
      <c r="A565" s="17" t="s">
        <v>4</v>
      </c>
      <c r="B565" s="18">
        <v>4032012000</v>
      </c>
      <c r="C565" s="75" t="s">
        <v>4498</v>
      </c>
      <c r="D565" s="3" t="s">
        <v>4829</v>
      </c>
      <c r="E565" s="17" t="s">
        <v>1485</v>
      </c>
      <c r="F565" s="17" t="s">
        <v>3531</v>
      </c>
      <c r="G565" s="17" t="s">
        <v>3532</v>
      </c>
      <c r="H565" s="17" t="s">
        <v>3531</v>
      </c>
      <c r="I565" s="17" t="s">
        <v>3545</v>
      </c>
      <c r="J565" s="17" t="s">
        <v>9</v>
      </c>
      <c r="K565" s="49" t="s">
        <v>1394</v>
      </c>
      <c r="L565" s="4" t="str">
        <f ca="1">IF(ISERROR(VLOOKUP(B565,'ETL Scope'!I:I,1,0)),"NA","ETL")</f>
        <v>NA</v>
      </c>
      <c r="M565" s="29">
        <f ca="1">COUNTIF('Data-WK'!A:A,'V1'!B:B)</f>
        <v>1</v>
      </c>
      <c r="N565" s="29" t="e">
        <f ca="1">VLOOKUP(E565,'IFRS only'!A:A,1,0)</f>
        <v>#N/A</v>
      </c>
      <c r="P565" s="89"/>
    </row>
    <row r="566" spans="1:16" s="29" customFormat="1">
      <c r="A566" s="17" t="s">
        <v>4</v>
      </c>
      <c r="B566" s="17">
        <v>4034001500</v>
      </c>
      <c r="C566" s="75" t="s">
        <v>4499</v>
      </c>
      <c r="D566" s="3" t="s">
        <v>4830</v>
      </c>
      <c r="E566" s="17" t="s">
        <v>2632</v>
      </c>
      <c r="F566" s="17" t="s">
        <v>3532</v>
      </c>
      <c r="G566" s="17" t="s">
        <v>3532</v>
      </c>
      <c r="H566" s="17" t="s">
        <v>3531</v>
      </c>
      <c r="I566" s="17" t="s">
        <v>3545</v>
      </c>
      <c r="J566" s="17" t="s">
        <v>9</v>
      </c>
      <c r="K566" s="49" t="s">
        <v>1038</v>
      </c>
      <c r="L566" s="4" t="str">
        <f ca="1">IF(ISERROR(VLOOKUP(B566,'ETL Scope'!I:I,1,0)),"NA","ETL")</f>
        <v>NA</v>
      </c>
      <c r="M566" s="29">
        <f ca="1">COUNTIF('Data-WK'!A:A,'V1'!B:B)</f>
        <v>1</v>
      </c>
      <c r="N566" s="29" t="e">
        <f ca="1">VLOOKUP(E566,'IFRS only'!A:A,1,0)</f>
        <v>#N/A</v>
      </c>
      <c r="P566" s="89"/>
    </row>
    <row r="567" spans="1:16" s="29" customFormat="1">
      <c r="A567" s="17" t="s">
        <v>4</v>
      </c>
      <c r="B567" s="17">
        <v>4034001501</v>
      </c>
      <c r="C567" s="75" t="s">
        <v>4499</v>
      </c>
      <c r="D567" s="3" t="s">
        <v>4831</v>
      </c>
      <c r="E567" s="17" t="s">
        <v>2682</v>
      </c>
      <c r="F567" s="17" t="s">
        <v>3532</v>
      </c>
      <c r="G567" s="17" t="s">
        <v>3532</v>
      </c>
      <c r="H567" s="17" t="s">
        <v>3531</v>
      </c>
      <c r="I567" s="17" t="s">
        <v>3545</v>
      </c>
      <c r="J567" s="17" t="s">
        <v>9</v>
      </c>
      <c r="K567" s="49" t="s">
        <v>1038</v>
      </c>
      <c r="L567" s="4" t="str">
        <f ca="1">IF(ISERROR(VLOOKUP(B567,'ETL Scope'!I:I,1,0)),"NA","ETL")</f>
        <v>NA</v>
      </c>
      <c r="M567" s="29">
        <f ca="1">COUNTIF('Data-WK'!A:A,'V1'!B:B)</f>
        <v>1</v>
      </c>
      <c r="N567" s="29" t="e">
        <f ca="1">VLOOKUP(E567,'IFRS only'!A:A,1,0)</f>
        <v>#N/A</v>
      </c>
      <c r="P567" s="89"/>
    </row>
    <row r="568" spans="1:16" s="29" customFormat="1">
      <c r="A568" s="17" t="s">
        <v>7</v>
      </c>
      <c r="B568" s="17">
        <v>4100000010</v>
      </c>
      <c r="C568" s="75" t="s">
        <v>3799</v>
      </c>
      <c r="D568" s="3" t="s">
        <v>213</v>
      </c>
      <c r="E568" s="17" t="s">
        <v>2525</v>
      </c>
      <c r="F568" s="17" t="s">
        <v>3532</v>
      </c>
      <c r="G568" s="17" t="s">
        <v>3532</v>
      </c>
      <c r="H568" s="17" t="s">
        <v>3531</v>
      </c>
      <c r="I568" s="17" t="s">
        <v>3545</v>
      </c>
      <c r="J568" s="17" t="s">
        <v>9</v>
      </c>
      <c r="K568" s="49" t="s">
        <v>994</v>
      </c>
      <c r="L568" s="4" t="str">
        <f ca="1">IF(ISERROR(VLOOKUP(B568,'ETL Scope'!I:I,1,0)),"NA","ETL")</f>
        <v>NA</v>
      </c>
      <c r="M568" s="29">
        <f ca="1">COUNTIF('Data-WK'!A:A,'V1'!B:B)</f>
        <v>1</v>
      </c>
      <c r="N568" s="29" t="e">
        <f ca="1">VLOOKUP(E568,'IFRS only'!A:A,1,0)</f>
        <v>#N/A</v>
      </c>
      <c r="P568" s="89"/>
    </row>
    <row r="569" spans="1:16" s="29" customFormat="1">
      <c r="A569" s="17" t="s">
        <v>7</v>
      </c>
      <c r="B569" s="17">
        <v>4110001500</v>
      </c>
      <c r="C569" s="75" t="s">
        <v>4500</v>
      </c>
      <c r="D569" s="3" t="s">
        <v>345</v>
      </c>
      <c r="E569" s="17" t="s">
        <v>3370</v>
      </c>
      <c r="F569" s="17" t="s">
        <v>3532</v>
      </c>
      <c r="G569" s="17" t="s">
        <v>3532</v>
      </c>
      <c r="H569" s="17" t="s">
        <v>3531</v>
      </c>
      <c r="I569" s="17" t="s">
        <v>3545</v>
      </c>
      <c r="J569" s="17" t="s">
        <v>9</v>
      </c>
      <c r="K569" s="49" t="s">
        <v>1053</v>
      </c>
      <c r="L569" s="4" t="str">
        <f ca="1">IF(ISERROR(VLOOKUP(B569,'ETL Scope'!I:I,1,0)),"NA","ETL")</f>
        <v>NA</v>
      </c>
      <c r="M569" s="29">
        <f ca="1">COUNTIF('Data-WK'!A:A,'V1'!B:B)</f>
        <v>9</v>
      </c>
      <c r="N569" s="29" t="e">
        <f ca="1">VLOOKUP(E569,'IFRS only'!A:A,1,0)</f>
        <v>#N/A</v>
      </c>
      <c r="P569" s="89"/>
    </row>
    <row r="570" spans="1:16" s="29" customFormat="1">
      <c r="A570" s="17" t="s">
        <v>7</v>
      </c>
      <c r="B570" s="17">
        <v>4110001501</v>
      </c>
      <c r="C570" s="75" t="s">
        <v>4500</v>
      </c>
      <c r="D570" s="3" t="s">
        <v>346</v>
      </c>
      <c r="E570" s="17" t="s">
        <v>2679</v>
      </c>
      <c r="F570" s="17" t="s">
        <v>3532</v>
      </c>
      <c r="G570" s="17" t="s">
        <v>3532</v>
      </c>
      <c r="H570" s="17" t="s">
        <v>3531</v>
      </c>
      <c r="I570" s="17" t="s">
        <v>3545</v>
      </c>
      <c r="J570" s="17" t="s">
        <v>9</v>
      </c>
      <c r="K570" s="49" t="s">
        <v>1053</v>
      </c>
      <c r="L570" s="4" t="str">
        <f ca="1">IF(ISERROR(VLOOKUP(B570,'ETL Scope'!I:I,1,0)),"NA","ETL")</f>
        <v>NA</v>
      </c>
      <c r="M570" s="29">
        <f ca="1">COUNTIF('Data-WK'!A:A,'V1'!B:B)</f>
        <v>1</v>
      </c>
      <c r="N570" s="29" t="e">
        <f ca="1">VLOOKUP(E570,'IFRS only'!A:A,1,0)</f>
        <v>#N/A</v>
      </c>
      <c r="P570" s="89"/>
    </row>
    <row r="571" spans="1:16" s="29" customFormat="1">
      <c r="A571" s="17" t="s">
        <v>7</v>
      </c>
      <c r="B571" s="17">
        <v>4111001500</v>
      </c>
      <c r="C571" s="75" t="s">
        <v>4501</v>
      </c>
      <c r="D571" s="3" t="s">
        <v>5602</v>
      </c>
      <c r="E571" s="17" t="s">
        <v>3363</v>
      </c>
      <c r="F571" s="17" t="s">
        <v>3532</v>
      </c>
      <c r="G571" s="17" t="s">
        <v>3532</v>
      </c>
      <c r="H571" s="17" t="s">
        <v>3531</v>
      </c>
      <c r="I571" s="17" t="s">
        <v>3545</v>
      </c>
      <c r="J571" s="17" t="s">
        <v>9</v>
      </c>
      <c r="K571" s="49" t="s">
        <v>954</v>
      </c>
      <c r="L571" s="4" t="str">
        <f ca="1">IF(ISERROR(VLOOKUP(B571,'ETL Scope'!I:I,1,0)),"NA","ETL")</f>
        <v>NA</v>
      </c>
      <c r="M571" s="29">
        <f ca="1">COUNTIF('Data-WK'!A:A,'V1'!B:B)</f>
        <v>2</v>
      </c>
      <c r="N571" s="29" t="e">
        <f ca="1">VLOOKUP(E571,'IFRS only'!A:A,1,0)</f>
        <v>#N/A</v>
      </c>
      <c r="P571" s="89"/>
    </row>
    <row r="572" spans="1:16" s="29" customFormat="1">
      <c r="A572" s="17" t="s">
        <v>4</v>
      </c>
      <c r="B572" s="17">
        <v>4200000010</v>
      </c>
      <c r="C572" s="75" t="s">
        <v>3809</v>
      </c>
      <c r="D572" s="3" t="s">
        <v>3515</v>
      </c>
      <c r="E572" s="17" t="s">
        <v>2621</v>
      </c>
      <c r="F572" s="17" t="s">
        <v>3532</v>
      </c>
      <c r="G572" s="17" t="s">
        <v>3532</v>
      </c>
      <c r="H572" s="17" t="s">
        <v>3531</v>
      </c>
      <c r="I572" s="17" t="s">
        <v>3545</v>
      </c>
      <c r="J572" s="17" t="s">
        <v>9</v>
      </c>
      <c r="K572" s="49" t="s">
        <v>1035</v>
      </c>
      <c r="L572" s="4" t="str">
        <f ca="1">IF(ISERROR(VLOOKUP(B572,'ETL Scope'!I:I,1,0)),"NA","ETL")</f>
        <v>NA</v>
      </c>
      <c r="M572" s="29">
        <f ca="1">COUNTIF('Data-WK'!A:A,'V1'!B:B)</f>
        <v>1</v>
      </c>
      <c r="N572" s="29" t="e">
        <f ca="1">VLOOKUP(E572,'IFRS only'!A:A,1,0)</f>
        <v>#N/A</v>
      </c>
      <c r="P572" s="89"/>
    </row>
    <row r="573" spans="1:16" s="29" customFormat="1">
      <c r="A573" s="17" t="s">
        <v>3</v>
      </c>
      <c r="B573" s="17">
        <v>4200000140</v>
      </c>
      <c r="C573" s="75" t="s">
        <v>3809</v>
      </c>
      <c r="D573" s="3" t="s">
        <v>1424</v>
      </c>
      <c r="E573" s="17" t="s">
        <v>2461</v>
      </c>
      <c r="F573" s="17" t="s">
        <v>3532</v>
      </c>
      <c r="G573" s="17" t="s">
        <v>3532</v>
      </c>
      <c r="H573" s="17" t="s">
        <v>3531</v>
      </c>
      <c r="I573" s="17" t="s">
        <v>3545</v>
      </c>
      <c r="J573" s="17" t="s">
        <v>9</v>
      </c>
      <c r="K573" s="49" t="s">
        <v>1035</v>
      </c>
      <c r="L573" s="4" t="str">
        <f ca="1">IF(ISERROR(VLOOKUP(B573,'ETL Scope'!I:I,1,0)),"NA","ETL")</f>
        <v>NA</v>
      </c>
      <c r="M573" s="29">
        <f ca="1">COUNTIF('Data-WK'!A:A,'V1'!B:B)</f>
        <v>1</v>
      </c>
      <c r="N573" s="29" t="e">
        <f ca="1">VLOOKUP(E573,'IFRS only'!A:A,1,0)</f>
        <v>#N/A</v>
      </c>
      <c r="P573" s="89"/>
    </row>
    <row r="574" spans="1:16" s="29" customFormat="1">
      <c r="A574" s="17" t="s">
        <v>3</v>
      </c>
      <c r="B574" s="17">
        <v>4200000150</v>
      </c>
      <c r="C574" s="75" t="s">
        <v>3809</v>
      </c>
      <c r="D574" s="3" t="s">
        <v>171</v>
      </c>
      <c r="E574" s="17" t="s">
        <v>2464</v>
      </c>
      <c r="F574" s="17" t="s">
        <v>3532</v>
      </c>
      <c r="G574" s="17" t="s">
        <v>3532</v>
      </c>
      <c r="H574" s="17" t="s">
        <v>3531</v>
      </c>
      <c r="I574" s="17" t="s">
        <v>3545</v>
      </c>
      <c r="J574" s="17" t="s">
        <v>9</v>
      </c>
      <c r="K574" s="49" t="s">
        <v>1035</v>
      </c>
      <c r="L574" s="4" t="str">
        <f ca="1">IF(ISERROR(VLOOKUP(B574,'ETL Scope'!I:I,1,0)),"NA","ETL")</f>
        <v>NA</v>
      </c>
      <c r="M574" s="29">
        <f ca="1">COUNTIF('Data-WK'!A:A,'V1'!B:B)</f>
        <v>1</v>
      </c>
      <c r="N574" s="29" t="e">
        <f ca="1">VLOOKUP(E574,'IFRS only'!A:A,1,0)</f>
        <v>#N/A</v>
      </c>
      <c r="P574" s="89"/>
    </row>
    <row r="575" spans="1:16" s="29" customFormat="1">
      <c r="A575" s="17" t="s">
        <v>3</v>
      </c>
      <c r="B575" s="17">
        <v>4200000151</v>
      </c>
      <c r="C575" s="75" t="s">
        <v>3809</v>
      </c>
      <c r="D575" s="3" t="s">
        <v>4832</v>
      </c>
      <c r="E575" s="17" t="s">
        <v>2465</v>
      </c>
      <c r="F575" s="17" t="s">
        <v>3532</v>
      </c>
      <c r="G575" s="17" t="s">
        <v>3532</v>
      </c>
      <c r="H575" s="17" t="s">
        <v>3531</v>
      </c>
      <c r="I575" s="17" t="s">
        <v>3545</v>
      </c>
      <c r="J575" s="17" t="s">
        <v>9</v>
      </c>
      <c r="K575" s="49" t="s">
        <v>1035</v>
      </c>
      <c r="L575" s="4" t="str">
        <f ca="1">IF(ISERROR(VLOOKUP(B575,'ETL Scope'!I:I,1,0)),"NA","ETL")</f>
        <v>NA</v>
      </c>
      <c r="M575" s="29">
        <f ca="1">COUNTIF('Data-WK'!A:A,'V1'!B:B)</f>
        <v>1</v>
      </c>
      <c r="N575" s="29" t="e">
        <f ca="1">VLOOKUP(E575,'IFRS only'!A:A,1,0)</f>
        <v>#N/A</v>
      </c>
      <c r="P575" s="89"/>
    </row>
    <row r="576" spans="1:16" s="29" customFormat="1">
      <c r="A576" s="17" t="s">
        <v>3</v>
      </c>
      <c r="B576" s="17">
        <v>4200000152</v>
      </c>
      <c r="C576" s="75" t="s">
        <v>3809</v>
      </c>
      <c r="D576" s="3" t="s">
        <v>3448</v>
      </c>
      <c r="E576" s="17" t="s">
        <v>2466</v>
      </c>
      <c r="F576" s="17" t="s">
        <v>3532</v>
      </c>
      <c r="G576" s="17" t="s">
        <v>3532</v>
      </c>
      <c r="H576" s="17" t="s">
        <v>3531</v>
      </c>
      <c r="I576" s="17" t="s">
        <v>3545</v>
      </c>
      <c r="J576" s="17" t="s">
        <v>9</v>
      </c>
      <c r="K576" s="49" t="s">
        <v>1035</v>
      </c>
      <c r="L576" s="4" t="str">
        <f ca="1">IF(ISERROR(VLOOKUP(B576,'ETL Scope'!I:I,1,0)),"NA","ETL")</f>
        <v>NA</v>
      </c>
      <c r="M576" s="29">
        <f ca="1">COUNTIF('Data-WK'!A:A,'V1'!B:B)</f>
        <v>1</v>
      </c>
      <c r="N576" s="29" t="e">
        <f ca="1">VLOOKUP(E576,'IFRS only'!A:A,1,0)</f>
        <v>#N/A</v>
      </c>
      <c r="P576" s="89"/>
    </row>
    <row r="577" spans="1:16" s="29" customFormat="1">
      <c r="A577" s="17" t="s">
        <v>3</v>
      </c>
      <c r="B577" s="17">
        <v>4200000153</v>
      </c>
      <c r="C577" s="75" t="s">
        <v>3809</v>
      </c>
      <c r="D577" s="3" t="s">
        <v>3449</v>
      </c>
      <c r="E577" s="17" t="s">
        <v>2467</v>
      </c>
      <c r="F577" s="17" t="s">
        <v>3532</v>
      </c>
      <c r="G577" s="17" t="s">
        <v>3532</v>
      </c>
      <c r="H577" s="17" t="s">
        <v>3531</v>
      </c>
      <c r="I577" s="17" t="s">
        <v>3545</v>
      </c>
      <c r="J577" s="17" t="s">
        <v>9</v>
      </c>
      <c r="K577" s="49" t="s">
        <v>1035</v>
      </c>
      <c r="L577" s="4" t="str">
        <f ca="1">IF(ISERROR(VLOOKUP(B577,'ETL Scope'!I:I,1,0)),"NA","ETL")</f>
        <v>NA</v>
      </c>
      <c r="M577" s="29">
        <f ca="1">COUNTIF('Data-WK'!A:A,'V1'!B:B)</f>
        <v>1</v>
      </c>
      <c r="N577" s="29" t="e">
        <f ca="1">VLOOKUP(E577,'IFRS only'!A:A,1,0)</f>
        <v>#N/A</v>
      </c>
      <c r="P577" s="89"/>
    </row>
    <row r="578" spans="1:16" s="29" customFormat="1">
      <c r="A578" s="17" t="s">
        <v>3</v>
      </c>
      <c r="B578" s="17">
        <v>4200000154</v>
      </c>
      <c r="C578" s="75" t="s">
        <v>3809</v>
      </c>
      <c r="D578" s="3" t="s">
        <v>3450</v>
      </c>
      <c r="E578" s="17" t="s">
        <v>2468</v>
      </c>
      <c r="F578" s="17" t="s">
        <v>3532</v>
      </c>
      <c r="G578" s="17" t="s">
        <v>3532</v>
      </c>
      <c r="H578" s="17" t="s">
        <v>3531</v>
      </c>
      <c r="I578" s="17" t="s">
        <v>3545</v>
      </c>
      <c r="J578" s="17" t="s">
        <v>9</v>
      </c>
      <c r="K578" s="49" t="s">
        <v>1035</v>
      </c>
      <c r="L578" s="4" t="str">
        <f ca="1">IF(ISERROR(VLOOKUP(B578,'ETL Scope'!I:I,1,0)),"NA","ETL")</f>
        <v>NA</v>
      </c>
      <c r="M578" s="29">
        <f ca="1">COUNTIF('Data-WK'!A:A,'V1'!B:B)</f>
        <v>1</v>
      </c>
      <c r="N578" s="29" t="e">
        <f ca="1">VLOOKUP(E578,'IFRS only'!A:A,1,0)</f>
        <v>#N/A</v>
      </c>
      <c r="P578" s="89"/>
    </row>
    <row r="579" spans="1:16" s="29" customFormat="1">
      <c r="A579" s="17" t="s">
        <v>3</v>
      </c>
      <c r="B579" s="17">
        <v>4200000155</v>
      </c>
      <c r="C579" s="75" t="s">
        <v>3809</v>
      </c>
      <c r="D579" s="3" t="s">
        <v>1425</v>
      </c>
      <c r="E579" s="17" t="s">
        <v>2469</v>
      </c>
      <c r="F579" s="17" t="s">
        <v>3532</v>
      </c>
      <c r="G579" s="17" t="s">
        <v>3532</v>
      </c>
      <c r="H579" s="17" t="s">
        <v>3531</v>
      </c>
      <c r="I579" s="17" t="s">
        <v>3545</v>
      </c>
      <c r="J579" s="17" t="s">
        <v>9</v>
      </c>
      <c r="K579" s="49" t="s">
        <v>1035</v>
      </c>
      <c r="L579" s="4" t="str">
        <f ca="1">IF(ISERROR(VLOOKUP(B579,'ETL Scope'!I:I,1,0)),"NA","ETL")</f>
        <v>NA</v>
      </c>
      <c r="M579" s="29">
        <f ca="1">COUNTIF('Data-WK'!A:A,'V1'!B:B)</f>
        <v>1</v>
      </c>
      <c r="N579" s="29" t="e">
        <f ca="1">VLOOKUP(E579,'IFRS only'!A:A,1,0)</f>
        <v>#N/A</v>
      </c>
      <c r="P579" s="89"/>
    </row>
    <row r="580" spans="1:16" s="29" customFormat="1">
      <c r="A580" s="17" t="s">
        <v>3</v>
      </c>
      <c r="B580" s="17">
        <v>4200000156</v>
      </c>
      <c r="C580" s="75" t="s">
        <v>3809</v>
      </c>
      <c r="D580" s="3" t="s">
        <v>177</v>
      </c>
      <c r="E580" s="17" t="s">
        <v>2470</v>
      </c>
      <c r="F580" s="17" t="s">
        <v>3532</v>
      </c>
      <c r="G580" s="17" t="s">
        <v>3532</v>
      </c>
      <c r="H580" s="17" t="s">
        <v>3531</v>
      </c>
      <c r="I580" s="17" t="s">
        <v>3545</v>
      </c>
      <c r="J580" s="17" t="s">
        <v>9</v>
      </c>
      <c r="K580" s="49" t="s">
        <v>1035</v>
      </c>
      <c r="L580" s="4" t="str">
        <f ca="1">IF(ISERROR(VLOOKUP(B580,'ETL Scope'!I:I,1,0)),"NA","ETL")</f>
        <v>NA</v>
      </c>
      <c r="M580" s="29">
        <f ca="1">COUNTIF('Data-WK'!A:A,'V1'!B:B)</f>
        <v>1</v>
      </c>
      <c r="N580" s="29" t="e">
        <f ca="1">VLOOKUP(E580,'IFRS only'!A:A,1,0)</f>
        <v>#N/A</v>
      </c>
      <c r="P580" s="89"/>
    </row>
    <row r="581" spans="1:16" s="29" customFormat="1">
      <c r="A581" s="17" t="s">
        <v>3</v>
      </c>
      <c r="B581" s="17">
        <v>4200000160</v>
      </c>
      <c r="C581" s="75" t="s">
        <v>3809</v>
      </c>
      <c r="D581" s="3" t="s">
        <v>3446</v>
      </c>
      <c r="E581" s="17" t="s">
        <v>2459</v>
      </c>
      <c r="F581" s="17" t="s">
        <v>3532</v>
      </c>
      <c r="G581" s="17" t="s">
        <v>3532</v>
      </c>
      <c r="H581" s="17" t="s">
        <v>3531</v>
      </c>
      <c r="I581" s="17" t="s">
        <v>3545</v>
      </c>
      <c r="J581" s="17" t="s">
        <v>9</v>
      </c>
      <c r="K581" s="49" t="s">
        <v>1035</v>
      </c>
      <c r="L581" s="4" t="str">
        <f ca="1">IF(ISERROR(VLOOKUP(B581,'ETL Scope'!I:I,1,0)),"NA","ETL")</f>
        <v>NA</v>
      </c>
      <c r="M581" s="29">
        <f ca="1">COUNTIF('Data-WK'!A:A,'V1'!B:B)</f>
        <v>1</v>
      </c>
      <c r="N581" s="29" t="e">
        <f ca="1">VLOOKUP(E581,'IFRS only'!A:A,1,0)</f>
        <v>#N/A</v>
      </c>
      <c r="P581" s="89"/>
    </row>
    <row r="582" spans="1:16" s="29" customFormat="1">
      <c r="A582" s="17" t="s">
        <v>3</v>
      </c>
      <c r="B582" s="17">
        <v>4200000161</v>
      </c>
      <c r="C582" s="75" t="s">
        <v>3809</v>
      </c>
      <c r="D582" s="3" t="s">
        <v>1426</v>
      </c>
      <c r="E582" s="17" t="s">
        <v>2460</v>
      </c>
      <c r="F582" s="17" t="s">
        <v>3532</v>
      </c>
      <c r="G582" s="17" t="s">
        <v>3532</v>
      </c>
      <c r="H582" s="17" t="s">
        <v>3531</v>
      </c>
      <c r="I582" s="17" t="s">
        <v>3545</v>
      </c>
      <c r="J582" s="17" t="s">
        <v>9</v>
      </c>
      <c r="K582" s="49" t="s">
        <v>1035</v>
      </c>
      <c r="L582" s="4" t="str">
        <f ca="1">IF(ISERROR(VLOOKUP(B582,'ETL Scope'!I:I,1,0)),"NA","ETL")</f>
        <v>NA</v>
      </c>
      <c r="M582" s="29">
        <f ca="1">COUNTIF('Data-WK'!A:A,'V1'!B:B)</f>
        <v>1</v>
      </c>
      <c r="N582" s="29" t="e">
        <f ca="1">VLOOKUP(E582,'IFRS only'!A:A,1,0)</f>
        <v>#N/A</v>
      </c>
      <c r="P582" s="89"/>
    </row>
    <row r="583" spans="1:16" s="29" customFormat="1">
      <c r="A583" s="17" t="s">
        <v>3</v>
      </c>
      <c r="B583" s="17">
        <v>4200000162</v>
      </c>
      <c r="C583" s="75" t="s">
        <v>3809</v>
      </c>
      <c r="D583" s="3" t="s">
        <v>3447</v>
      </c>
      <c r="E583" s="17" t="s">
        <v>2463</v>
      </c>
      <c r="F583" s="17" t="s">
        <v>3532</v>
      </c>
      <c r="G583" s="17" t="s">
        <v>3532</v>
      </c>
      <c r="H583" s="17" t="s">
        <v>3531</v>
      </c>
      <c r="I583" s="17" t="s">
        <v>3545</v>
      </c>
      <c r="J583" s="17" t="s">
        <v>9</v>
      </c>
      <c r="K583" s="49" t="s">
        <v>1035</v>
      </c>
      <c r="L583" s="4" t="str">
        <f ca="1">IF(ISERROR(VLOOKUP(B583,'ETL Scope'!I:I,1,0)),"NA","ETL")</f>
        <v>NA</v>
      </c>
      <c r="M583" s="29">
        <f ca="1">COUNTIF('Data-WK'!A:A,'V1'!B:B)</f>
        <v>1</v>
      </c>
      <c r="N583" s="29" t="e">
        <f ca="1">VLOOKUP(E583,'IFRS only'!A:A,1,0)</f>
        <v>#N/A</v>
      </c>
      <c r="P583" s="89"/>
    </row>
    <row r="584" spans="1:16" s="29" customFormat="1">
      <c r="A584" s="17" t="s">
        <v>4</v>
      </c>
      <c r="B584" s="17">
        <v>4200000310</v>
      </c>
      <c r="C584" s="75" t="s">
        <v>3809</v>
      </c>
      <c r="D584" s="3" t="s">
        <v>5603</v>
      </c>
      <c r="E584" s="17" t="s">
        <v>2625</v>
      </c>
      <c r="F584" s="17" t="s">
        <v>3532</v>
      </c>
      <c r="G584" s="17" t="s">
        <v>3532</v>
      </c>
      <c r="H584" s="17" t="s">
        <v>3531</v>
      </c>
      <c r="I584" s="17" t="s">
        <v>3545</v>
      </c>
      <c r="J584" s="17" t="s">
        <v>9</v>
      </c>
      <c r="K584" s="49" t="s">
        <v>1035</v>
      </c>
      <c r="L584" s="4" t="str">
        <f ca="1">IF(ISERROR(VLOOKUP(B584,'ETL Scope'!I:I,1,0)),"NA","ETL")</f>
        <v>NA</v>
      </c>
      <c r="M584" s="29">
        <f ca="1">COUNTIF('Data-WK'!A:A,'V1'!B:B)</f>
        <v>1</v>
      </c>
      <c r="N584" s="29" t="e">
        <f ca="1">VLOOKUP(E584,'IFRS only'!A:A,1,0)</f>
        <v>#N/A</v>
      </c>
      <c r="P584" s="89"/>
    </row>
    <row r="585" spans="1:16" s="29" customFormat="1">
      <c r="A585" s="17" t="s">
        <v>3</v>
      </c>
      <c r="B585" s="17">
        <v>4200000312</v>
      </c>
      <c r="C585" s="75" t="s">
        <v>3809</v>
      </c>
      <c r="D585" s="3" t="s">
        <v>3523</v>
      </c>
      <c r="E585" s="17" t="s">
        <v>2634</v>
      </c>
      <c r="F585" s="17" t="s">
        <v>3532</v>
      </c>
      <c r="G585" s="17" t="s">
        <v>3532</v>
      </c>
      <c r="H585" s="17" t="s">
        <v>3531</v>
      </c>
      <c r="I585" s="17" t="s">
        <v>3545</v>
      </c>
      <c r="J585" s="17" t="s">
        <v>9</v>
      </c>
      <c r="K585" s="49" t="s">
        <v>1035</v>
      </c>
      <c r="L585" s="4" t="str">
        <f ca="1">IF(ISERROR(VLOOKUP(B585,'ETL Scope'!I:I,1,0)),"NA","ETL")</f>
        <v>NA</v>
      </c>
      <c r="M585" s="29">
        <f ca="1">COUNTIF('Data-WK'!A:A,'V1'!B:B)</f>
        <v>1</v>
      </c>
      <c r="N585" s="29" t="e">
        <f ca="1">VLOOKUP(E585,'IFRS only'!A:A,1,0)</f>
        <v>#N/A</v>
      </c>
      <c r="P585" s="89"/>
    </row>
    <row r="586" spans="1:16" s="29" customFormat="1">
      <c r="A586" s="17" t="s">
        <v>4</v>
      </c>
      <c r="B586" s="17">
        <v>4200000407</v>
      </c>
      <c r="C586" s="75" t="s">
        <v>3809</v>
      </c>
      <c r="D586" s="3" t="s">
        <v>267</v>
      </c>
      <c r="E586" s="17" t="s">
        <v>2585</v>
      </c>
      <c r="F586" s="17" t="s">
        <v>3532</v>
      </c>
      <c r="G586" s="17" t="s">
        <v>3532</v>
      </c>
      <c r="H586" s="17" t="s">
        <v>3531</v>
      </c>
      <c r="I586" s="17" t="s">
        <v>3545</v>
      </c>
      <c r="J586" s="17" t="s">
        <v>9</v>
      </c>
      <c r="K586" s="49" t="s">
        <v>1035</v>
      </c>
      <c r="L586" s="4" t="str">
        <f ca="1">IF(ISERROR(VLOOKUP(B586,'ETL Scope'!I:I,1,0)),"NA","ETL")</f>
        <v>NA</v>
      </c>
      <c r="M586" s="29">
        <f ca="1">COUNTIF('Data-WK'!A:A,'V1'!B:B)</f>
        <v>1</v>
      </c>
      <c r="N586" s="29" t="e">
        <f ca="1">VLOOKUP(E586,'IFRS only'!A:A,1,0)</f>
        <v>#N/A</v>
      </c>
      <c r="P586" s="89"/>
    </row>
    <row r="587" spans="1:16" s="29" customFormat="1">
      <c r="A587" s="17" t="s">
        <v>4</v>
      </c>
      <c r="B587" s="17">
        <v>4200000409</v>
      </c>
      <c r="C587" s="75" t="s">
        <v>3809</v>
      </c>
      <c r="D587" s="3" t="s">
        <v>271</v>
      </c>
      <c r="E587" s="17" t="s">
        <v>2590</v>
      </c>
      <c r="F587" s="17" t="s">
        <v>3532</v>
      </c>
      <c r="G587" s="17" t="s">
        <v>3532</v>
      </c>
      <c r="H587" s="17" t="s">
        <v>3531</v>
      </c>
      <c r="I587" s="17" t="s">
        <v>3545</v>
      </c>
      <c r="J587" s="17" t="s">
        <v>9</v>
      </c>
      <c r="K587" s="49" t="s">
        <v>1035</v>
      </c>
      <c r="L587" s="4" t="str">
        <f ca="1">IF(ISERROR(VLOOKUP(B587,'ETL Scope'!I:I,1,0)),"NA","ETL")</f>
        <v>NA</v>
      </c>
      <c r="M587" s="29">
        <f ca="1">COUNTIF('Data-WK'!A:A,'V1'!B:B)</f>
        <v>1</v>
      </c>
      <c r="N587" s="29" t="e">
        <f ca="1">VLOOKUP(E587,'IFRS only'!A:A,1,0)</f>
        <v>#N/A</v>
      </c>
      <c r="P587" s="89"/>
    </row>
    <row r="588" spans="1:16" s="29" customFormat="1">
      <c r="A588" s="17" t="s">
        <v>4</v>
      </c>
      <c r="B588" s="17">
        <v>4201001500</v>
      </c>
      <c r="C588" s="75" t="s">
        <v>4502</v>
      </c>
      <c r="D588" s="3" t="s">
        <v>181</v>
      </c>
      <c r="E588" s="17" t="s">
        <v>2474</v>
      </c>
      <c r="F588" s="17" t="s">
        <v>3532</v>
      </c>
      <c r="G588" s="17" t="s">
        <v>3532</v>
      </c>
      <c r="H588" s="17" t="s">
        <v>3531</v>
      </c>
      <c r="I588" s="17" t="s">
        <v>3545</v>
      </c>
      <c r="J588" s="17" t="s">
        <v>9</v>
      </c>
      <c r="K588" s="49" t="s">
        <v>990</v>
      </c>
      <c r="L588" s="4" t="str">
        <f ca="1">IF(ISERROR(VLOOKUP(B588,'ETL Scope'!I:I,1,0)),"NA","ETL")</f>
        <v>NA</v>
      </c>
      <c r="M588" s="29">
        <f ca="1">COUNTIF('Data-WK'!A:A,'V1'!B:B)</f>
        <v>1</v>
      </c>
      <c r="N588" s="29" t="e">
        <f ca="1">VLOOKUP(E588,'IFRS only'!A:A,1,0)</f>
        <v>#N/A</v>
      </c>
      <c r="P588" s="89"/>
    </row>
    <row r="589" spans="1:16" s="29" customFormat="1">
      <c r="A589" s="17" t="s">
        <v>4</v>
      </c>
      <c r="B589" s="17">
        <v>4201001501</v>
      </c>
      <c r="C589" s="75" t="s">
        <v>4502</v>
      </c>
      <c r="D589" s="3" t="s">
        <v>182</v>
      </c>
      <c r="E589" s="17" t="s">
        <v>2475</v>
      </c>
      <c r="F589" s="17" t="s">
        <v>3532</v>
      </c>
      <c r="G589" s="17" t="s">
        <v>3532</v>
      </c>
      <c r="H589" s="17" t="s">
        <v>3531</v>
      </c>
      <c r="I589" s="17" t="s">
        <v>3545</v>
      </c>
      <c r="J589" s="17" t="s">
        <v>9</v>
      </c>
      <c r="K589" s="49" t="s">
        <v>990</v>
      </c>
      <c r="L589" s="4" t="str">
        <f ca="1">IF(ISERROR(VLOOKUP(B589,'ETL Scope'!I:I,1,0)),"NA","ETL")</f>
        <v>NA</v>
      </c>
      <c r="M589" s="29">
        <f ca="1">COUNTIF('Data-WK'!A:A,'V1'!B:B)</f>
        <v>1</v>
      </c>
      <c r="N589" s="29" t="e">
        <f ca="1">VLOOKUP(E589,'IFRS only'!A:A,1,0)</f>
        <v>#N/A</v>
      </c>
      <c r="P589" s="89"/>
    </row>
    <row r="590" spans="1:16" s="29" customFormat="1">
      <c r="A590" s="17" t="s">
        <v>4</v>
      </c>
      <c r="B590" s="17">
        <v>4201001502</v>
      </c>
      <c r="C590" s="75" t="s">
        <v>4502</v>
      </c>
      <c r="D590" s="3" t="s">
        <v>183</v>
      </c>
      <c r="E590" s="17" t="s">
        <v>2476</v>
      </c>
      <c r="F590" s="17" t="s">
        <v>3532</v>
      </c>
      <c r="G590" s="17" t="s">
        <v>3532</v>
      </c>
      <c r="H590" s="17" t="s">
        <v>3531</v>
      </c>
      <c r="I590" s="17" t="s">
        <v>3545</v>
      </c>
      <c r="J590" s="17" t="s">
        <v>9</v>
      </c>
      <c r="K590" s="49" t="s">
        <v>990</v>
      </c>
      <c r="L590" s="4" t="str">
        <f ca="1">IF(ISERROR(VLOOKUP(B590,'ETL Scope'!I:I,1,0)),"NA","ETL")</f>
        <v>NA</v>
      </c>
      <c r="M590" s="29">
        <f ca="1">COUNTIF('Data-WK'!A:A,'V1'!B:B)</f>
        <v>1</v>
      </c>
      <c r="N590" s="29" t="e">
        <f ca="1">VLOOKUP(E590,'IFRS only'!A:A,1,0)</f>
        <v>#N/A</v>
      </c>
      <c r="P590" s="89"/>
    </row>
    <row r="591" spans="1:16" s="29" customFormat="1">
      <c r="A591" s="17" t="s">
        <v>4</v>
      </c>
      <c r="B591" s="17">
        <v>4201001503</v>
      </c>
      <c r="C591" s="75" t="s">
        <v>4502</v>
      </c>
      <c r="D591" s="3" t="s">
        <v>3451</v>
      </c>
      <c r="E591" s="17" t="s">
        <v>2481</v>
      </c>
      <c r="F591" s="17" t="s">
        <v>3532</v>
      </c>
      <c r="G591" s="17" t="s">
        <v>3532</v>
      </c>
      <c r="H591" s="17" t="s">
        <v>3531</v>
      </c>
      <c r="I591" s="17" t="s">
        <v>3545</v>
      </c>
      <c r="J591" s="17" t="s">
        <v>9</v>
      </c>
      <c r="K591" s="49" t="s">
        <v>990</v>
      </c>
      <c r="L591" s="4" t="str">
        <f ca="1">IF(ISERROR(VLOOKUP(B591,'ETL Scope'!I:I,1,0)),"NA","ETL")</f>
        <v>NA</v>
      </c>
      <c r="M591" s="29">
        <f ca="1">COUNTIF('Data-WK'!A:A,'V1'!B:B)</f>
        <v>1</v>
      </c>
      <c r="N591" s="29" t="e">
        <f ca="1">VLOOKUP(E591,'IFRS only'!A:A,1,0)</f>
        <v>#N/A</v>
      </c>
      <c r="P591" s="89"/>
    </row>
    <row r="592" spans="1:16" s="29" customFormat="1">
      <c r="A592" s="17" t="s">
        <v>4</v>
      </c>
      <c r="B592" s="17">
        <v>4201001504</v>
      </c>
      <c r="C592" s="75" t="s">
        <v>4502</v>
      </c>
      <c r="D592" s="3" t="s">
        <v>190</v>
      </c>
      <c r="E592" s="17" t="s">
        <v>2483</v>
      </c>
      <c r="F592" s="17" t="s">
        <v>3532</v>
      </c>
      <c r="G592" s="17" t="s">
        <v>3532</v>
      </c>
      <c r="H592" s="17" t="s">
        <v>3531</v>
      </c>
      <c r="I592" s="17" t="s">
        <v>3545</v>
      </c>
      <c r="J592" s="17" t="s">
        <v>9</v>
      </c>
      <c r="K592" s="49" t="s">
        <v>990</v>
      </c>
      <c r="L592" s="4" t="str">
        <f ca="1">IF(ISERROR(VLOOKUP(B592,'ETL Scope'!I:I,1,0)),"NA","ETL")</f>
        <v>NA</v>
      </c>
      <c r="M592" s="29">
        <f ca="1">COUNTIF('Data-WK'!A:A,'V1'!B:B)</f>
        <v>1</v>
      </c>
      <c r="N592" s="29" t="e">
        <f ca="1">VLOOKUP(E592,'IFRS only'!A:A,1,0)</f>
        <v>#N/A</v>
      </c>
      <c r="P592" s="89"/>
    </row>
    <row r="593" spans="1:16" s="29" customFormat="1">
      <c r="A593" s="17" t="s">
        <v>4</v>
      </c>
      <c r="B593" s="17">
        <v>4201001505</v>
      </c>
      <c r="C593" s="75" t="s">
        <v>4502</v>
      </c>
      <c r="D593" s="3" t="s">
        <v>3453</v>
      </c>
      <c r="E593" s="17" t="s">
        <v>2484</v>
      </c>
      <c r="F593" s="17" t="s">
        <v>3532</v>
      </c>
      <c r="G593" s="17" t="s">
        <v>3532</v>
      </c>
      <c r="H593" s="17" t="s">
        <v>3531</v>
      </c>
      <c r="I593" s="17" t="s">
        <v>3545</v>
      </c>
      <c r="J593" s="17" t="s">
        <v>9</v>
      </c>
      <c r="K593" s="49" t="s">
        <v>990</v>
      </c>
      <c r="L593" s="4" t="str">
        <f ca="1">IF(ISERROR(VLOOKUP(B593,'ETL Scope'!I:I,1,0)),"NA","ETL")</f>
        <v>NA</v>
      </c>
      <c r="M593" s="29">
        <f ca="1">COUNTIF('Data-WK'!A:A,'V1'!B:B)</f>
        <v>1</v>
      </c>
      <c r="N593" s="29" t="e">
        <f ca="1">VLOOKUP(E593,'IFRS only'!A:A,1,0)</f>
        <v>#N/A</v>
      </c>
      <c r="P593" s="89"/>
    </row>
    <row r="594" spans="1:16" s="29" customFormat="1">
      <c r="A594" s="17" t="s">
        <v>4</v>
      </c>
      <c r="B594" s="17">
        <v>4201001506</v>
      </c>
      <c r="C594" s="75" t="s">
        <v>4502</v>
      </c>
      <c r="D594" s="3" t="s">
        <v>3454</v>
      </c>
      <c r="E594" s="17" t="s">
        <v>2485</v>
      </c>
      <c r="F594" s="17" t="s">
        <v>3532</v>
      </c>
      <c r="G594" s="17" t="s">
        <v>3532</v>
      </c>
      <c r="H594" s="17" t="s">
        <v>3531</v>
      </c>
      <c r="I594" s="17" t="s">
        <v>3545</v>
      </c>
      <c r="J594" s="17" t="s">
        <v>9</v>
      </c>
      <c r="K594" s="49" t="s">
        <v>990</v>
      </c>
      <c r="L594" s="4" t="str">
        <f ca="1">IF(ISERROR(VLOOKUP(B594,'ETL Scope'!I:I,1,0)),"NA","ETL")</f>
        <v>NA</v>
      </c>
      <c r="M594" s="29">
        <f ca="1">COUNTIF('Data-WK'!A:A,'V1'!B:B)</f>
        <v>1</v>
      </c>
      <c r="N594" s="29" t="e">
        <f ca="1">VLOOKUP(E594,'IFRS only'!A:A,1,0)</f>
        <v>#N/A</v>
      </c>
      <c r="P594" s="89"/>
    </row>
    <row r="595" spans="1:16" s="29" customFormat="1">
      <c r="A595" s="17" t="s">
        <v>4</v>
      </c>
      <c r="B595" s="17">
        <v>4201001507</v>
      </c>
      <c r="C595" s="75" t="s">
        <v>4502</v>
      </c>
      <c r="D595" s="3" t="s">
        <v>3455</v>
      </c>
      <c r="E595" s="17" t="s">
        <v>2486</v>
      </c>
      <c r="F595" s="17" t="s">
        <v>3532</v>
      </c>
      <c r="G595" s="17" t="s">
        <v>3532</v>
      </c>
      <c r="H595" s="17" t="s">
        <v>3531</v>
      </c>
      <c r="I595" s="17" t="s">
        <v>3545</v>
      </c>
      <c r="J595" s="17" t="s">
        <v>9</v>
      </c>
      <c r="K595" s="49" t="s">
        <v>990</v>
      </c>
      <c r="L595" s="4" t="str">
        <f ca="1">IF(ISERROR(VLOOKUP(B595,'ETL Scope'!I:I,1,0)),"NA","ETL")</f>
        <v>NA</v>
      </c>
      <c r="M595" s="29">
        <f ca="1">COUNTIF('Data-WK'!A:A,'V1'!B:B)</f>
        <v>1</v>
      </c>
      <c r="N595" s="29" t="e">
        <f ca="1">VLOOKUP(E595,'IFRS only'!A:A,1,0)</f>
        <v>#N/A</v>
      </c>
      <c r="P595" s="89"/>
    </row>
    <row r="596" spans="1:16" s="29" customFormat="1">
      <c r="A596" s="17" t="s">
        <v>4</v>
      </c>
      <c r="B596" s="17">
        <v>4201001510</v>
      </c>
      <c r="C596" s="75" t="s">
        <v>4502</v>
      </c>
      <c r="D596" s="3" t="s">
        <v>1427</v>
      </c>
      <c r="E596" s="17" t="s">
        <v>2478</v>
      </c>
      <c r="F596" s="17" t="s">
        <v>3532</v>
      </c>
      <c r="G596" s="17" t="s">
        <v>3532</v>
      </c>
      <c r="H596" s="17" t="s">
        <v>3531</v>
      </c>
      <c r="I596" s="17" t="s">
        <v>3545</v>
      </c>
      <c r="J596" s="17" t="s">
        <v>9</v>
      </c>
      <c r="K596" s="49" t="s">
        <v>990</v>
      </c>
      <c r="L596" s="4" t="str">
        <f ca="1">IF(ISERROR(VLOOKUP(B596,'ETL Scope'!I:I,1,0)),"NA","ETL")</f>
        <v>NA</v>
      </c>
      <c r="M596" s="29">
        <f ca="1">COUNTIF('Data-WK'!A:A,'V1'!B:B)</f>
        <v>1</v>
      </c>
      <c r="N596" s="29" t="e">
        <f ca="1">VLOOKUP(E596,'IFRS only'!A:A,1,0)</f>
        <v>#N/A</v>
      </c>
      <c r="P596" s="89"/>
    </row>
    <row r="597" spans="1:16" s="29" customFormat="1">
      <c r="A597" s="17" t="s">
        <v>4</v>
      </c>
      <c r="B597" s="17">
        <v>4201001511</v>
      </c>
      <c r="C597" s="75" t="s">
        <v>4502</v>
      </c>
      <c r="D597" s="3" t="s">
        <v>4833</v>
      </c>
      <c r="E597" s="17" t="s">
        <v>2479</v>
      </c>
      <c r="F597" s="17" t="s">
        <v>3532</v>
      </c>
      <c r="G597" s="17" t="s">
        <v>3532</v>
      </c>
      <c r="H597" s="17" t="s">
        <v>3531</v>
      </c>
      <c r="I597" s="17" t="s">
        <v>3545</v>
      </c>
      <c r="J597" s="17" t="s">
        <v>9</v>
      </c>
      <c r="K597" s="49" t="s">
        <v>990</v>
      </c>
      <c r="L597" s="4" t="str">
        <f ca="1">IF(ISERROR(VLOOKUP(B597,'ETL Scope'!I:I,1,0)),"NA","ETL")</f>
        <v>NA</v>
      </c>
      <c r="M597" s="29">
        <f ca="1">COUNTIF('Data-WK'!A:A,'V1'!B:B)</f>
        <v>1</v>
      </c>
      <c r="N597" s="29" t="e">
        <f ca="1">VLOOKUP(E597,'IFRS only'!A:A,1,0)</f>
        <v>#N/A</v>
      </c>
      <c r="P597" s="89"/>
    </row>
    <row r="598" spans="1:16" s="29" customFormat="1">
      <c r="A598" s="17" t="s">
        <v>4</v>
      </c>
      <c r="B598" s="17">
        <v>4201300161</v>
      </c>
      <c r="C598" s="75" t="s">
        <v>4503</v>
      </c>
      <c r="D598" s="3" t="s">
        <v>270</v>
      </c>
      <c r="E598" s="17" t="s">
        <v>2589</v>
      </c>
      <c r="F598" s="17" t="s">
        <v>3532</v>
      </c>
      <c r="G598" s="17" t="s">
        <v>3532</v>
      </c>
      <c r="H598" s="17" t="s">
        <v>3531</v>
      </c>
      <c r="I598" s="17" t="s">
        <v>3545</v>
      </c>
      <c r="J598" s="17" t="s">
        <v>9</v>
      </c>
      <c r="K598" s="49" t="s">
        <v>1003</v>
      </c>
      <c r="L598" s="4" t="str">
        <f ca="1">IF(ISERROR(VLOOKUP(B598,'ETL Scope'!I:I,1,0)),"NA","ETL")</f>
        <v>NA</v>
      </c>
      <c r="M598" s="29">
        <f ca="1">COUNTIF('Data-WK'!A:A,'V1'!B:B)</f>
        <v>1</v>
      </c>
      <c r="N598" s="29" t="e">
        <f ca="1">VLOOKUP(E598,'IFRS only'!A:A,1,0)</f>
        <v>#N/A</v>
      </c>
      <c r="P598" s="89"/>
    </row>
    <row r="599" spans="1:16" s="29" customFormat="1">
      <c r="A599" s="17" t="s">
        <v>4</v>
      </c>
      <c r="B599" s="17">
        <v>4201300281</v>
      </c>
      <c r="C599" s="75" t="s">
        <v>4503</v>
      </c>
      <c r="D599" s="3" t="s">
        <v>351</v>
      </c>
      <c r="E599" s="17" t="s">
        <v>2684</v>
      </c>
      <c r="F599" s="17" t="s">
        <v>3532</v>
      </c>
      <c r="G599" s="17" t="s">
        <v>3532</v>
      </c>
      <c r="H599" s="17" t="s">
        <v>3531</v>
      </c>
      <c r="I599" s="17" t="s">
        <v>3545</v>
      </c>
      <c r="J599" s="17" t="s">
        <v>9</v>
      </c>
      <c r="K599" s="49" t="s">
        <v>1003</v>
      </c>
      <c r="L599" s="4" t="str">
        <f ca="1">IF(ISERROR(VLOOKUP(B599,'ETL Scope'!I:I,1,0)),"NA","ETL")</f>
        <v>NA</v>
      </c>
      <c r="M599" s="29">
        <f ca="1">COUNTIF('Data-WK'!A:A,'V1'!B:B)</f>
        <v>1</v>
      </c>
      <c r="N599" s="29" t="e">
        <f ca="1">VLOOKUP(E599,'IFRS only'!A:A,1,0)</f>
        <v>#N/A</v>
      </c>
      <c r="P599" s="89"/>
    </row>
    <row r="600" spans="1:16" s="29" customFormat="1">
      <c r="A600" s="17" t="s">
        <v>4</v>
      </c>
      <c r="B600" s="17">
        <v>4201301500</v>
      </c>
      <c r="C600" s="75" t="s">
        <v>4503</v>
      </c>
      <c r="D600" s="3" t="s">
        <v>268</v>
      </c>
      <c r="E600" s="17" t="s">
        <v>2586</v>
      </c>
      <c r="F600" s="17" t="s">
        <v>3532</v>
      </c>
      <c r="G600" s="17" t="s">
        <v>3532</v>
      </c>
      <c r="H600" s="17" t="s">
        <v>3531</v>
      </c>
      <c r="I600" s="17" t="s">
        <v>3545</v>
      </c>
      <c r="J600" s="17" t="s">
        <v>9</v>
      </c>
      <c r="K600" s="49" t="s">
        <v>1003</v>
      </c>
      <c r="L600" s="4" t="str">
        <f ca="1">IF(ISERROR(VLOOKUP(B600,'ETL Scope'!I:I,1,0)),"NA","ETL")</f>
        <v>NA</v>
      </c>
      <c r="M600" s="29">
        <f ca="1">COUNTIF('Data-WK'!A:A,'V1'!B:B)</f>
        <v>1</v>
      </c>
      <c r="N600" s="29" t="e">
        <f ca="1">VLOOKUP(E600,'IFRS only'!A:A,1,0)</f>
        <v>#N/A</v>
      </c>
      <c r="P600" s="89"/>
    </row>
    <row r="601" spans="1:16" s="29" customFormat="1">
      <c r="A601" s="17" t="s">
        <v>7</v>
      </c>
      <c r="B601" s="17">
        <v>4202000000</v>
      </c>
      <c r="C601" s="75" t="s">
        <v>4504</v>
      </c>
      <c r="D601" s="3" t="s">
        <v>5604</v>
      </c>
      <c r="E601" s="17" t="s">
        <v>2562</v>
      </c>
      <c r="F601" s="17" t="s">
        <v>3532</v>
      </c>
      <c r="G601" s="17" t="s">
        <v>3532</v>
      </c>
      <c r="H601" s="17" t="s">
        <v>3531</v>
      </c>
      <c r="I601" s="17" t="s">
        <v>3545</v>
      </c>
      <c r="J601" s="17" t="s">
        <v>9</v>
      </c>
      <c r="K601" s="49" t="s">
        <v>996</v>
      </c>
      <c r="L601" s="4" t="str">
        <f ca="1">IF(ISERROR(VLOOKUP(B601,'ETL Scope'!I:I,1,0)),"NA","ETL")</f>
        <v>NA</v>
      </c>
      <c r="M601" s="29">
        <f ca="1">COUNTIF('Data-WK'!A:A,'V1'!B:B)</f>
        <v>1</v>
      </c>
      <c r="N601" s="29" t="e">
        <f ca="1">VLOOKUP(E601,'IFRS only'!A:A,1,0)</f>
        <v>#N/A</v>
      </c>
      <c r="P601" s="89"/>
    </row>
    <row r="602" spans="1:16" s="29" customFormat="1">
      <c r="A602" s="17" t="s">
        <v>7</v>
      </c>
      <c r="B602" s="17">
        <v>4202000210</v>
      </c>
      <c r="C602" s="75" t="s">
        <v>4504</v>
      </c>
      <c r="D602" s="3" t="s">
        <v>5605</v>
      </c>
      <c r="E602" s="17" t="s">
        <v>2528</v>
      </c>
      <c r="F602" s="17" t="s">
        <v>3532</v>
      </c>
      <c r="G602" s="17" t="s">
        <v>3532</v>
      </c>
      <c r="H602" s="17" t="s">
        <v>3531</v>
      </c>
      <c r="I602" s="17" t="s">
        <v>3545</v>
      </c>
      <c r="J602" s="17" t="s">
        <v>9</v>
      </c>
      <c r="K602" s="49" t="s">
        <v>996</v>
      </c>
      <c r="L602" s="4" t="str">
        <f ca="1">IF(ISERROR(VLOOKUP(B602,'ETL Scope'!I:I,1,0)),"NA","ETL")</f>
        <v>NA</v>
      </c>
      <c r="M602" s="29">
        <f ca="1">COUNTIF('Data-WK'!A:A,'V1'!B:B)</f>
        <v>1</v>
      </c>
      <c r="N602" s="29" t="e">
        <f ca="1">VLOOKUP(E602,'IFRS only'!A:A,1,0)</f>
        <v>#N/A</v>
      </c>
      <c r="P602" s="89"/>
    </row>
    <row r="603" spans="1:16" s="29" customFormat="1">
      <c r="A603" s="17" t="s">
        <v>7</v>
      </c>
      <c r="B603" s="17">
        <v>4202000251</v>
      </c>
      <c r="C603" s="75" t="s">
        <v>4504</v>
      </c>
      <c r="D603" s="3" t="s">
        <v>3457</v>
      </c>
      <c r="E603" s="17" t="s">
        <v>2519</v>
      </c>
      <c r="F603" s="17" t="s">
        <v>3532</v>
      </c>
      <c r="G603" s="17" t="s">
        <v>3532</v>
      </c>
      <c r="H603" s="17" t="s">
        <v>3531</v>
      </c>
      <c r="I603" s="17" t="s">
        <v>3545</v>
      </c>
      <c r="J603" s="17" t="s">
        <v>9</v>
      </c>
      <c r="K603" s="49" t="s">
        <v>996</v>
      </c>
      <c r="L603" s="4" t="str">
        <f ca="1">IF(ISERROR(VLOOKUP(B603,'ETL Scope'!I:I,1,0)),"NA","ETL")</f>
        <v>NA</v>
      </c>
      <c r="M603" s="29">
        <f ca="1">COUNTIF('Data-WK'!A:A,'V1'!B:B)</f>
        <v>1</v>
      </c>
      <c r="N603" s="29" t="e">
        <f ca="1">VLOOKUP(E603,'IFRS only'!A:A,1,0)</f>
        <v>#N/A</v>
      </c>
      <c r="P603" s="89"/>
    </row>
    <row r="604" spans="1:16" s="29" customFormat="1">
      <c r="A604" s="17" t="s">
        <v>7</v>
      </c>
      <c r="B604" s="17">
        <v>4202000252</v>
      </c>
      <c r="C604" s="75" t="s">
        <v>4504</v>
      </c>
      <c r="D604" s="3" t="s">
        <v>3458</v>
      </c>
      <c r="E604" s="17" t="s">
        <v>2520</v>
      </c>
      <c r="F604" s="17" t="s">
        <v>3532</v>
      </c>
      <c r="G604" s="17" t="s">
        <v>3532</v>
      </c>
      <c r="H604" s="17" t="s">
        <v>3531</v>
      </c>
      <c r="I604" s="17" t="s">
        <v>3545</v>
      </c>
      <c r="J604" s="17" t="s">
        <v>9</v>
      </c>
      <c r="K604" s="49" t="s">
        <v>996</v>
      </c>
      <c r="L604" s="4" t="str">
        <f ca="1">IF(ISERROR(VLOOKUP(B604,'ETL Scope'!I:I,1,0)),"NA","ETL")</f>
        <v>NA</v>
      </c>
      <c r="M604" s="29">
        <f ca="1">COUNTIF('Data-WK'!A:A,'V1'!B:B)</f>
        <v>1</v>
      </c>
      <c r="N604" s="29" t="e">
        <f ca="1">VLOOKUP(E604,'IFRS only'!A:A,1,0)</f>
        <v>#N/A</v>
      </c>
      <c r="P604" s="89"/>
    </row>
    <row r="605" spans="1:16" s="29" customFormat="1">
      <c r="A605" s="17" t="s">
        <v>7</v>
      </c>
      <c r="B605" s="17">
        <v>4202000253</v>
      </c>
      <c r="C605" s="75" t="s">
        <v>4504</v>
      </c>
      <c r="D605" s="3" t="s">
        <v>4834</v>
      </c>
      <c r="E605" s="17" t="s">
        <v>2521</v>
      </c>
      <c r="F605" s="17" t="s">
        <v>3532</v>
      </c>
      <c r="G605" s="17" t="s">
        <v>3532</v>
      </c>
      <c r="H605" s="17" t="s">
        <v>3531</v>
      </c>
      <c r="I605" s="17" t="s">
        <v>3545</v>
      </c>
      <c r="J605" s="17" t="s">
        <v>9</v>
      </c>
      <c r="K605" s="49" t="s">
        <v>996</v>
      </c>
      <c r="L605" s="4" t="str">
        <f ca="1">IF(ISERROR(VLOOKUP(B605,'ETL Scope'!I:I,1,0)),"NA","ETL")</f>
        <v>NA</v>
      </c>
      <c r="M605" s="29">
        <f ca="1">COUNTIF('Data-WK'!A:A,'V1'!B:B)</f>
        <v>1</v>
      </c>
      <c r="N605" s="29" t="e">
        <f ca="1">VLOOKUP(E605,'IFRS only'!A:A,1,0)</f>
        <v>#N/A</v>
      </c>
      <c r="P605" s="89"/>
    </row>
    <row r="606" spans="1:16" s="29" customFormat="1">
      <c r="A606" s="17" t="s">
        <v>7</v>
      </c>
      <c r="B606" s="17">
        <v>4202000254</v>
      </c>
      <c r="C606" s="75" t="s">
        <v>4504</v>
      </c>
      <c r="D606" s="3" t="s">
        <v>5606</v>
      </c>
      <c r="E606" s="17" t="s">
        <v>2522</v>
      </c>
      <c r="F606" s="17" t="s">
        <v>3532</v>
      </c>
      <c r="G606" s="17" t="s">
        <v>3532</v>
      </c>
      <c r="H606" s="17" t="s">
        <v>3531</v>
      </c>
      <c r="I606" s="17" t="s">
        <v>3545</v>
      </c>
      <c r="J606" s="17" t="s">
        <v>9</v>
      </c>
      <c r="K606" s="49" t="s">
        <v>996</v>
      </c>
      <c r="L606" s="4" t="str">
        <f ca="1">IF(ISERROR(VLOOKUP(B606,'ETL Scope'!I:I,1,0)),"NA","ETL")</f>
        <v>NA</v>
      </c>
      <c r="M606" s="29">
        <f ca="1">COUNTIF('Data-WK'!A:A,'V1'!B:B)</f>
        <v>1</v>
      </c>
      <c r="N606" s="29" t="e">
        <f ca="1">VLOOKUP(E606,'IFRS only'!A:A,1,0)</f>
        <v>#N/A</v>
      </c>
      <c r="P606" s="89"/>
    </row>
    <row r="607" spans="1:16" s="29" customFormat="1">
      <c r="A607" s="17" t="s">
        <v>7</v>
      </c>
      <c r="B607" s="17">
        <v>4202000255</v>
      </c>
      <c r="C607" s="75" t="s">
        <v>4504</v>
      </c>
      <c r="D607" s="3" t="s">
        <v>5607</v>
      </c>
      <c r="E607" s="17" t="s">
        <v>2523</v>
      </c>
      <c r="F607" s="17" t="s">
        <v>3532</v>
      </c>
      <c r="G607" s="17" t="s">
        <v>3532</v>
      </c>
      <c r="H607" s="17" t="s">
        <v>3531</v>
      </c>
      <c r="I607" s="17" t="s">
        <v>3545</v>
      </c>
      <c r="J607" s="17" t="s">
        <v>9</v>
      </c>
      <c r="K607" s="49" t="s">
        <v>996</v>
      </c>
      <c r="L607" s="4" t="str">
        <f ca="1">IF(ISERROR(VLOOKUP(B607,'ETL Scope'!I:I,1,0)),"NA","ETL")</f>
        <v>NA</v>
      </c>
      <c r="M607" s="29">
        <f ca="1">COUNTIF('Data-WK'!A:A,'V1'!B:B)</f>
        <v>1</v>
      </c>
      <c r="N607" s="29" t="e">
        <f ca="1">VLOOKUP(E607,'IFRS only'!A:A,1,0)</f>
        <v>#N/A</v>
      </c>
      <c r="P607" s="89"/>
    </row>
    <row r="608" spans="1:16" s="29" customFormat="1">
      <c r="A608" s="17" t="s">
        <v>7</v>
      </c>
      <c r="B608" s="17">
        <v>4202000256</v>
      </c>
      <c r="C608" s="75" t="s">
        <v>4504</v>
      </c>
      <c r="D608" s="3" t="s">
        <v>4835</v>
      </c>
      <c r="E608" s="17" t="s">
        <v>2524</v>
      </c>
      <c r="F608" s="17" t="s">
        <v>3532</v>
      </c>
      <c r="G608" s="17" t="s">
        <v>3532</v>
      </c>
      <c r="H608" s="17" t="s">
        <v>3531</v>
      </c>
      <c r="I608" s="17" t="s">
        <v>3545</v>
      </c>
      <c r="J608" s="17" t="s">
        <v>9</v>
      </c>
      <c r="K608" s="49" t="s">
        <v>996</v>
      </c>
      <c r="L608" s="4" t="str">
        <f ca="1">IF(ISERROR(VLOOKUP(B608,'ETL Scope'!I:I,1,0)),"NA","ETL")</f>
        <v>NA</v>
      </c>
      <c r="M608" s="29">
        <f ca="1">COUNTIF('Data-WK'!A:A,'V1'!B:B)</f>
        <v>1</v>
      </c>
      <c r="N608" s="29" t="e">
        <f ca="1">VLOOKUP(E608,'IFRS only'!A:A,1,0)</f>
        <v>#N/A</v>
      </c>
      <c r="P608" s="89"/>
    </row>
    <row r="609" spans="1:16" s="29" customFormat="1">
      <c r="A609" s="17" t="s">
        <v>7</v>
      </c>
      <c r="B609" s="17">
        <v>4202000257</v>
      </c>
      <c r="C609" s="75" t="s">
        <v>4504</v>
      </c>
      <c r="D609" s="3" t="s">
        <v>1428</v>
      </c>
      <c r="E609" s="17" t="s">
        <v>2526</v>
      </c>
      <c r="F609" s="17" t="s">
        <v>3532</v>
      </c>
      <c r="G609" s="17" t="s">
        <v>3532</v>
      </c>
      <c r="H609" s="17" t="s">
        <v>3531</v>
      </c>
      <c r="I609" s="17" t="s">
        <v>3545</v>
      </c>
      <c r="J609" s="17" t="s">
        <v>9</v>
      </c>
      <c r="K609" s="49" t="s">
        <v>996</v>
      </c>
      <c r="L609" s="4" t="str">
        <f ca="1">IF(ISERROR(VLOOKUP(B609,'ETL Scope'!I:I,1,0)),"NA","ETL")</f>
        <v>NA</v>
      </c>
      <c r="M609" s="29">
        <f ca="1">COUNTIF('Data-WK'!A:A,'V1'!B:B)</f>
        <v>1</v>
      </c>
      <c r="N609" s="29" t="e">
        <f ca="1">VLOOKUP(E609,'IFRS only'!A:A,1,0)</f>
        <v>#N/A</v>
      </c>
      <c r="P609" s="89"/>
    </row>
    <row r="610" spans="1:16" s="29" customFormat="1">
      <c r="A610" s="17" t="s">
        <v>7</v>
      </c>
      <c r="B610" s="17">
        <v>4202001500</v>
      </c>
      <c r="C610" s="75" t="s">
        <v>4504</v>
      </c>
      <c r="D610" s="3" t="s">
        <v>5608</v>
      </c>
      <c r="E610" s="17" t="s">
        <v>3542</v>
      </c>
      <c r="F610" s="17" t="s">
        <v>3532</v>
      </c>
      <c r="G610" s="17" t="s">
        <v>3532</v>
      </c>
      <c r="H610" s="17" t="s">
        <v>3531</v>
      </c>
      <c r="I610" s="17" t="s">
        <v>3545</v>
      </c>
      <c r="J610" s="17" t="s">
        <v>9</v>
      </c>
      <c r="K610" s="49" t="s">
        <v>996</v>
      </c>
      <c r="L610" s="4" t="str">
        <f ca="1">IF(ISERROR(VLOOKUP(B610,'ETL Scope'!I:I,1,0)),"NA","ETL")</f>
        <v>NA</v>
      </c>
      <c r="M610" s="29">
        <f ca="1">COUNTIF('Data-WK'!A:A,'V1'!B:B)</f>
        <v>0</v>
      </c>
      <c r="N610" s="29" t="e">
        <f ca="1">VLOOKUP(E610,'IFRS only'!A:A,1,0)</f>
        <v>#N/A</v>
      </c>
      <c r="P610" s="89"/>
    </row>
    <row r="611" spans="1:16" s="29" customFormat="1">
      <c r="A611" s="17" t="s">
        <v>7</v>
      </c>
      <c r="B611" s="17">
        <v>4202001502</v>
      </c>
      <c r="C611" s="75" t="s">
        <v>4504</v>
      </c>
      <c r="D611" s="3" t="s">
        <v>4836</v>
      </c>
      <c r="E611" s="17" t="s">
        <v>3367</v>
      </c>
      <c r="F611" s="17" t="s">
        <v>3532</v>
      </c>
      <c r="G611" s="17" t="s">
        <v>3532</v>
      </c>
      <c r="H611" s="17" t="s">
        <v>3531</v>
      </c>
      <c r="I611" s="17" t="s">
        <v>3545</v>
      </c>
      <c r="J611" s="17" t="s">
        <v>9</v>
      </c>
      <c r="K611" s="49" t="s">
        <v>996</v>
      </c>
      <c r="L611" s="4" t="str">
        <f ca="1">IF(ISERROR(VLOOKUP(B611,'ETL Scope'!I:I,1,0)),"NA","ETL")</f>
        <v>NA</v>
      </c>
      <c r="M611" s="29">
        <f ca="1">COUNTIF('Data-WK'!A:A,'V1'!B:B)</f>
        <v>4</v>
      </c>
      <c r="N611" s="29" t="e">
        <f ca="1">VLOOKUP(E611,'IFRS only'!A:A,1,0)</f>
        <v>#N/A</v>
      </c>
      <c r="P611" s="89"/>
    </row>
    <row r="612" spans="1:16" s="29" customFormat="1">
      <c r="A612" s="17" t="s">
        <v>7</v>
      </c>
      <c r="B612" s="17">
        <v>4202001503</v>
      </c>
      <c r="C612" s="75" t="s">
        <v>4504</v>
      </c>
      <c r="D612" s="3" t="s">
        <v>5609</v>
      </c>
      <c r="E612" s="17" t="s">
        <v>2497</v>
      </c>
      <c r="F612" s="17" t="s">
        <v>3532</v>
      </c>
      <c r="G612" s="17" t="s">
        <v>3532</v>
      </c>
      <c r="H612" s="17" t="s">
        <v>3531</v>
      </c>
      <c r="I612" s="17" t="s">
        <v>3545</v>
      </c>
      <c r="J612" s="17" t="s">
        <v>9</v>
      </c>
      <c r="K612" s="49" t="s">
        <v>996</v>
      </c>
      <c r="L612" s="4" t="str">
        <f ca="1">IF(ISERROR(VLOOKUP(B612,'ETL Scope'!I:I,1,0)),"NA","ETL")</f>
        <v>NA</v>
      </c>
      <c r="M612" s="29">
        <f ca="1">COUNTIF('Data-WK'!A:A,'V1'!B:B)</f>
        <v>1</v>
      </c>
      <c r="N612" s="29" t="e">
        <f ca="1">VLOOKUP(E612,'IFRS only'!A:A,1,0)</f>
        <v>#N/A</v>
      </c>
      <c r="P612" s="89"/>
    </row>
    <row r="613" spans="1:16" s="29" customFormat="1">
      <c r="A613" s="17" t="s">
        <v>7</v>
      </c>
      <c r="B613" s="17">
        <v>4202001505</v>
      </c>
      <c r="C613" s="75" t="s">
        <v>4504</v>
      </c>
      <c r="D613" s="3" t="s">
        <v>5610</v>
      </c>
      <c r="E613" s="17" t="s">
        <v>1484</v>
      </c>
      <c r="F613" s="17" t="s">
        <v>3532</v>
      </c>
      <c r="G613" s="17" t="s">
        <v>3532</v>
      </c>
      <c r="H613" s="17" t="s">
        <v>3531</v>
      </c>
      <c r="I613" s="17" t="s">
        <v>3545</v>
      </c>
      <c r="J613" s="17" t="s">
        <v>9</v>
      </c>
      <c r="K613" s="49" t="s">
        <v>996</v>
      </c>
      <c r="L613" s="4" t="str">
        <f ca="1">IF(ISERROR(VLOOKUP(B613,'ETL Scope'!I:I,1,0)),"NA","ETL")</f>
        <v>NA</v>
      </c>
      <c r="M613" s="29">
        <f ca="1">COUNTIF('Data-WK'!A:A,'V1'!B:B)</f>
        <v>1</v>
      </c>
      <c r="N613" s="29" t="e">
        <f ca="1">VLOOKUP(E613,'IFRS only'!A:A,1,0)</f>
        <v>#N/A</v>
      </c>
      <c r="P613" s="89"/>
    </row>
    <row r="614" spans="1:16" s="29" customFormat="1">
      <c r="A614" s="17" t="s">
        <v>7</v>
      </c>
      <c r="B614" s="17">
        <v>4202001506</v>
      </c>
      <c r="C614" s="75" t="s">
        <v>4504</v>
      </c>
      <c r="D614" s="3" t="s">
        <v>4837</v>
      </c>
      <c r="E614" s="17" t="s">
        <v>3368</v>
      </c>
      <c r="F614" s="17" t="s">
        <v>3532</v>
      </c>
      <c r="G614" s="17" t="s">
        <v>3532</v>
      </c>
      <c r="H614" s="17" t="s">
        <v>3531</v>
      </c>
      <c r="I614" s="17" t="s">
        <v>3545</v>
      </c>
      <c r="J614" s="17" t="s">
        <v>9</v>
      </c>
      <c r="K614" s="49" t="s">
        <v>996</v>
      </c>
      <c r="L614" s="4" t="str">
        <f ca="1">IF(ISERROR(VLOOKUP(B614,'ETL Scope'!I:I,1,0)),"NA","ETL")</f>
        <v>NA</v>
      </c>
      <c r="M614" s="29">
        <f ca="1">COUNTIF('Data-WK'!A:A,'V1'!B:B)</f>
        <v>4</v>
      </c>
      <c r="N614" s="29" t="e">
        <f ca="1">VLOOKUP(E614,'IFRS only'!A:A,1,0)</f>
        <v>#N/A</v>
      </c>
      <c r="P614" s="89"/>
    </row>
    <row r="615" spans="1:16" s="29" customFormat="1">
      <c r="A615" s="17" t="s">
        <v>7</v>
      </c>
      <c r="B615" s="17">
        <v>4202001507</v>
      </c>
      <c r="C615" s="75" t="s">
        <v>4504</v>
      </c>
      <c r="D615" s="3" t="s">
        <v>202</v>
      </c>
      <c r="E615" s="17" t="s">
        <v>2503</v>
      </c>
      <c r="F615" s="17" t="s">
        <v>3532</v>
      </c>
      <c r="G615" s="17" t="s">
        <v>3532</v>
      </c>
      <c r="H615" s="17" t="s">
        <v>3531</v>
      </c>
      <c r="I615" s="17" t="s">
        <v>3545</v>
      </c>
      <c r="J615" s="17" t="s">
        <v>9</v>
      </c>
      <c r="K615" s="49" t="s">
        <v>996</v>
      </c>
      <c r="L615" s="4" t="str">
        <f ca="1">IF(ISERROR(VLOOKUP(B615,'ETL Scope'!I:I,1,0)),"NA","ETL")</f>
        <v>NA</v>
      </c>
      <c r="M615" s="29">
        <f ca="1">COUNTIF('Data-WK'!A:A,'V1'!B:B)</f>
        <v>1</v>
      </c>
      <c r="N615" s="29" t="e">
        <f ca="1">VLOOKUP(E615,'IFRS only'!A:A,1,0)</f>
        <v>#N/A</v>
      </c>
      <c r="P615" s="89"/>
    </row>
    <row r="616" spans="1:16" s="29" customFormat="1">
      <c r="A616" s="17" t="s">
        <v>7</v>
      </c>
      <c r="B616" s="17">
        <v>4202001515</v>
      </c>
      <c r="C616" s="75" t="s">
        <v>4504</v>
      </c>
      <c r="D616" s="3" t="s">
        <v>3456</v>
      </c>
      <c r="E616" s="17" t="s">
        <v>1484</v>
      </c>
      <c r="F616" s="17" t="s">
        <v>3532</v>
      </c>
      <c r="G616" s="17" t="s">
        <v>3532</v>
      </c>
      <c r="H616" s="17" t="s">
        <v>3531</v>
      </c>
      <c r="I616" s="17" t="s">
        <v>3545</v>
      </c>
      <c r="J616" s="17" t="s">
        <v>9</v>
      </c>
      <c r="K616" s="49" t="s">
        <v>996</v>
      </c>
      <c r="L616" s="4" t="str">
        <f ca="1">IF(ISERROR(VLOOKUP(B616,'ETL Scope'!I:I,1,0)),"NA","ETL")</f>
        <v>NA</v>
      </c>
      <c r="M616" s="29">
        <f ca="1">COUNTIF('Data-WK'!A:A,'V1'!B:B)</f>
        <v>1</v>
      </c>
      <c r="N616" s="29" t="e">
        <f ca="1">VLOOKUP(E616,'IFRS only'!A:A,1,0)</f>
        <v>#N/A</v>
      </c>
      <c r="P616" s="89"/>
    </row>
    <row r="617" spans="1:16" s="29" customFormat="1">
      <c r="A617" s="17" t="s">
        <v>4</v>
      </c>
      <c r="B617" s="17">
        <v>4202002000</v>
      </c>
      <c r="C617" s="75" t="s">
        <v>4504</v>
      </c>
      <c r="D617" s="86" t="s">
        <v>5708</v>
      </c>
      <c r="E617" s="17" t="s">
        <v>2640</v>
      </c>
      <c r="F617" s="17" t="s">
        <v>3532</v>
      </c>
      <c r="G617" s="17" t="s">
        <v>3532</v>
      </c>
      <c r="H617" s="17" t="s">
        <v>3531</v>
      </c>
      <c r="I617" s="17" t="s">
        <v>3544</v>
      </c>
      <c r="J617" s="17" t="s">
        <v>9</v>
      </c>
      <c r="K617" s="49" t="s">
        <v>1042</v>
      </c>
      <c r="L617" s="4" t="str">
        <f ca="1">IF(ISERROR(VLOOKUP(B617,'ETL Scope'!I:I,1,0)),"NA","ETL")</f>
        <v>NA</v>
      </c>
      <c r="M617" s="29">
        <f ca="1">COUNTIF('Data-WK'!A:A,'V1'!B:B)</f>
        <v>1</v>
      </c>
      <c r="N617" s="29" t="e">
        <f ca="1">VLOOKUP(E617,'IFRS only'!A:A,1,0)</f>
        <v>#N/A</v>
      </c>
      <c r="P617" s="89"/>
    </row>
    <row r="618" spans="1:16" s="29" customFormat="1">
      <c r="A618" s="17" t="s">
        <v>7</v>
      </c>
      <c r="B618" s="17">
        <v>4202000110</v>
      </c>
      <c r="C618" s="75" t="s">
        <v>4504</v>
      </c>
      <c r="D618" s="3" t="s">
        <v>5611</v>
      </c>
      <c r="E618" s="17" t="s">
        <v>5378</v>
      </c>
      <c r="F618" s="17" t="s">
        <v>3532</v>
      </c>
      <c r="G618" s="17" t="s">
        <v>3532</v>
      </c>
      <c r="H618" s="17" t="s">
        <v>3531</v>
      </c>
      <c r="I618" s="17" t="s">
        <v>3545</v>
      </c>
      <c r="J618" s="17" t="s">
        <v>9</v>
      </c>
      <c r="K618" s="49" t="s">
        <v>5527</v>
      </c>
      <c r="L618" s="4" t="str">
        <f ca="1">IF(ISERROR(VLOOKUP(B618,'ETL Scope'!I:I,1,0)),"NA","ETL")</f>
        <v>NA</v>
      </c>
      <c r="M618" s="29">
        <f ca="1">COUNTIF('Data-WK'!A:A,'V1'!B:B)</f>
        <v>0</v>
      </c>
      <c r="N618" s="29" t="e">
        <f ca="1">VLOOKUP(E618,'IFRS only'!A:A,1,0)</f>
        <v>#N/A</v>
      </c>
      <c r="P618" s="89"/>
    </row>
    <row r="619" spans="1:16" s="29" customFormat="1">
      <c r="A619" s="17" t="s">
        <v>7</v>
      </c>
      <c r="B619" s="17">
        <v>4202003100</v>
      </c>
      <c r="C619" s="75" t="s">
        <v>4504</v>
      </c>
      <c r="D619" s="3" t="s">
        <v>4838</v>
      </c>
      <c r="E619" s="17" t="s">
        <v>2546</v>
      </c>
      <c r="F619" s="17" t="s">
        <v>3532</v>
      </c>
      <c r="G619" s="17" t="s">
        <v>3532</v>
      </c>
      <c r="H619" s="17" t="s">
        <v>3531</v>
      </c>
      <c r="I619" s="17" t="s">
        <v>3545</v>
      </c>
      <c r="J619" s="17" t="s">
        <v>9</v>
      </c>
      <c r="K619" s="49" t="s">
        <v>5528</v>
      </c>
      <c r="L619" s="4" t="str">
        <f ca="1">IF(ISERROR(VLOOKUP(B619,'ETL Scope'!I:I,1,0)),"NA","ETL")</f>
        <v>NA</v>
      </c>
      <c r="M619" s="29">
        <f ca="1">COUNTIF('Data-WK'!A:A,'V1'!B:B)</f>
        <v>1</v>
      </c>
      <c r="N619" s="29" t="e">
        <f ca="1">VLOOKUP(E619,'IFRS only'!A:A,1,0)</f>
        <v>#N/A</v>
      </c>
      <c r="P619" s="89"/>
    </row>
    <row r="620" spans="1:16" s="31" customFormat="1">
      <c r="A620" s="17" t="s">
        <v>7</v>
      </c>
      <c r="B620" s="17">
        <v>4202003201</v>
      </c>
      <c r="C620" s="75" t="s">
        <v>4504</v>
      </c>
      <c r="D620" s="3" t="s">
        <v>231</v>
      </c>
      <c r="E620" s="52" t="s">
        <v>2547</v>
      </c>
      <c r="F620" s="17" t="s">
        <v>3532</v>
      </c>
      <c r="G620" s="17" t="s">
        <v>3532</v>
      </c>
      <c r="H620" s="17" t="s">
        <v>3531</v>
      </c>
      <c r="I620" s="17" t="s">
        <v>3545</v>
      </c>
      <c r="J620" s="17" t="s">
        <v>9</v>
      </c>
      <c r="K620" s="49" t="s">
        <v>5529</v>
      </c>
      <c r="L620" s="4" t="str">
        <f ca="1">IF(ISERROR(VLOOKUP(B620,'ETL Scope'!I:I,1,0)),"NA","ETL")</f>
        <v>NA</v>
      </c>
      <c r="M620" s="29">
        <f ca="1">COUNTIF('Data-WK'!A:A,'V1'!B:B)</f>
        <v>1</v>
      </c>
      <c r="N620" s="29" t="e">
        <f ca="1">VLOOKUP(E620,'IFRS only'!A:A,1,0)</f>
        <v>#N/A</v>
      </c>
      <c r="O620" s="29"/>
      <c r="P620" s="89"/>
    </row>
    <row r="621" spans="1:16" s="31" customFormat="1">
      <c r="A621" s="17" t="s">
        <v>7</v>
      </c>
      <c r="B621" s="17">
        <v>4202003202</v>
      </c>
      <c r="C621" s="75" t="s">
        <v>4504</v>
      </c>
      <c r="D621" s="3" t="s">
        <v>232</v>
      </c>
      <c r="E621" s="52" t="s">
        <v>2548</v>
      </c>
      <c r="F621" s="17" t="s">
        <v>3532</v>
      </c>
      <c r="G621" s="17" t="s">
        <v>3532</v>
      </c>
      <c r="H621" s="17" t="s">
        <v>3531</v>
      </c>
      <c r="I621" s="17" t="s">
        <v>3545</v>
      </c>
      <c r="J621" s="17" t="s">
        <v>9</v>
      </c>
      <c r="K621" s="49" t="s">
        <v>5529</v>
      </c>
      <c r="L621" s="4" t="str">
        <f ca="1">IF(ISERROR(VLOOKUP(B621,'ETL Scope'!I:I,1,0)),"NA","ETL")</f>
        <v>NA</v>
      </c>
      <c r="M621" s="29">
        <f ca="1">COUNTIF('Data-WK'!A:A,'V1'!B:B)</f>
        <v>1</v>
      </c>
      <c r="N621" s="29" t="e">
        <f ca="1">VLOOKUP(E621,'IFRS only'!A:A,1,0)</f>
        <v>#N/A</v>
      </c>
      <c r="O621" s="29"/>
      <c r="P621" s="89"/>
    </row>
    <row r="622" spans="1:16" s="31" customFormat="1">
      <c r="A622" s="17" t="s">
        <v>7</v>
      </c>
      <c r="B622" s="17">
        <v>4202000130</v>
      </c>
      <c r="C622" s="75" t="s">
        <v>4504</v>
      </c>
      <c r="D622" s="3" t="s">
        <v>5612</v>
      </c>
      <c r="E622" s="52" t="s">
        <v>5379</v>
      </c>
      <c r="F622" s="17" t="s">
        <v>3532</v>
      </c>
      <c r="G622" s="17" t="s">
        <v>3532</v>
      </c>
      <c r="H622" s="17" t="s">
        <v>3531</v>
      </c>
      <c r="I622" s="17" t="s">
        <v>3545</v>
      </c>
      <c r="J622" s="17" t="s">
        <v>9</v>
      </c>
      <c r="K622" s="49" t="s">
        <v>5530</v>
      </c>
      <c r="L622" s="4" t="str">
        <f ca="1">IF(ISERROR(VLOOKUP(B622,'ETL Scope'!I:I,1,0)),"NA","ETL")</f>
        <v>NA</v>
      </c>
      <c r="M622" s="29">
        <f ca="1">COUNTIF('Data-WK'!A:A,'V1'!B:B)</f>
        <v>0</v>
      </c>
      <c r="N622" s="29" t="e">
        <f ca="1">VLOOKUP(E622,'IFRS only'!A:A,1,0)</f>
        <v>#N/A</v>
      </c>
      <c r="O622" s="29"/>
      <c r="P622" s="89"/>
    </row>
    <row r="623" spans="1:16" s="31" customFormat="1">
      <c r="A623" s="17" t="s">
        <v>7</v>
      </c>
      <c r="B623" s="17">
        <v>4202003400</v>
      </c>
      <c r="C623" s="75" t="s">
        <v>4504</v>
      </c>
      <c r="D623" s="3" t="s">
        <v>245</v>
      </c>
      <c r="E623" s="17" t="s">
        <v>2561</v>
      </c>
      <c r="F623" s="17" t="s">
        <v>3532</v>
      </c>
      <c r="G623" s="17" t="s">
        <v>3532</v>
      </c>
      <c r="H623" s="17" t="s">
        <v>3531</v>
      </c>
      <c r="I623" s="17" t="s">
        <v>3545</v>
      </c>
      <c r="J623" s="17" t="s">
        <v>9</v>
      </c>
      <c r="K623" s="49" t="s">
        <v>5531</v>
      </c>
      <c r="L623" s="4" t="str">
        <f ca="1">IF(ISERROR(VLOOKUP(B623,'ETL Scope'!I:I,1,0)),"NA","ETL")</f>
        <v>NA</v>
      </c>
      <c r="M623" s="29">
        <f ca="1">COUNTIF('Data-WK'!A:A,'V1'!B:B)</f>
        <v>1</v>
      </c>
      <c r="N623" s="29" t="e">
        <f ca="1">VLOOKUP(E623,'IFRS only'!A:A,1,0)</f>
        <v>#N/A</v>
      </c>
      <c r="P623" s="89"/>
    </row>
    <row r="624" spans="1:16" s="29" customFormat="1">
      <c r="A624" s="17" t="s">
        <v>3</v>
      </c>
      <c r="B624" s="17">
        <v>4203000000</v>
      </c>
      <c r="C624" s="75" t="s">
        <v>4505</v>
      </c>
      <c r="D624" s="86" t="s">
        <v>5709</v>
      </c>
      <c r="E624" s="17" t="s">
        <v>3366</v>
      </c>
      <c r="F624" s="17" t="s">
        <v>3532</v>
      </c>
      <c r="G624" s="17" t="s">
        <v>3440</v>
      </c>
      <c r="H624" s="17" t="s">
        <v>3531</v>
      </c>
      <c r="I624" s="17" t="s">
        <v>3545</v>
      </c>
      <c r="J624" s="17" t="s">
        <v>9</v>
      </c>
      <c r="K624" s="49" t="s">
        <v>987</v>
      </c>
      <c r="L624" s="4" t="str">
        <f ca="1">IF(ISERROR(VLOOKUP(B624,'ETL Scope'!I:I,1,0)),"NA","ETL")</f>
        <v>ETL</v>
      </c>
      <c r="M624" s="29">
        <f ca="1">COUNTIF('Data-WK'!A:A,'V1'!B:B)</f>
        <v>2</v>
      </c>
      <c r="N624" s="29" t="e">
        <f ca="1">VLOOKUP(E624,'IFRS only'!A:A,1,0)</f>
        <v>#N/A</v>
      </c>
      <c r="O624" s="31"/>
      <c r="P624" s="89"/>
    </row>
    <row r="625" spans="1:16" s="29" customFormat="1">
      <c r="A625" s="17" t="s">
        <v>4</v>
      </c>
      <c r="B625" s="17">
        <v>4205000000</v>
      </c>
      <c r="C625" s="75" t="s">
        <v>4506</v>
      </c>
      <c r="D625" s="3" t="s">
        <v>315</v>
      </c>
      <c r="E625" s="17" t="s">
        <v>2638</v>
      </c>
      <c r="F625" s="17" t="s">
        <v>3532</v>
      </c>
      <c r="G625" s="17" t="s">
        <v>3532</v>
      </c>
      <c r="H625" s="17" t="s">
        <v>3531</v>
      </c>
      <c r="I625" s="17" t="s">
        <v>3544</v>
      </c>
      <c r="J625" s="17" t="s">
        <v>9</v>
      </c>
      <c r="K625" s="49" t="s">
        <v>1041</v>
      </c>
      <c r="L625" s="4" t="str">
        <f ca="1">IF(ISERROR(VLOOKUP(B625,'ETL Scope'!I:I,1,0)),"NA","ETL")</f>
        <v>NA</v>
      </c>
      <c r="M625" s="29">
        <f ca="1">COUNTIF('Data-WK'!A:A,'V1'!B:B)</f>
        <v>1</v>
      </c>
      <c r="N625" s="29" t="e">
        <f ca="1">VLOOKUP(E625,'IFRS only'!A:A,1,0)</f>
        <v>#N/A</v>
      </c>
      <c r="O625" s="31"/>
      <c r="P625" s="89"/>
    </row>
    <row r="626" spans="1:16" s="29" customFormat="1">
      <c r="A626" s="17" t="s">
        <v>2</v>
      </c>
      <c r="B626" s="17">
        <v>4205100000</v>
      </c>
      <c r="C626" s="75" t="s">
        <v>4507</v>
      </c>
      <c r="D626" s="3" t="s">
        <v>266</v>
      </c>
      <c r="E626" s="17" t="s">
        <v>2583</v>
      </c>
      <c r="F626" s="17" t="s">
        <v>3532</v>
      </c>
      <c r="G626" s="17" t="s">
        <v>3532</v>
      </c>
      <c r="H626" s="17" t="s">
        <v>3531</v>
      </c>
      <c r="I626" s="17" t="s">
        <v>3544</v>
      </c>
      <c r="J626" s="17" t="s">
        <v>9</v>
      </c>
      <c r="K626" s="49" t="s">
        <v>1001</v>
      </c>
      <c r="L626" s="4" t="str">
        <f ca="1">IF(ISERROR(VLOOKUP(B626,'ETL Scope'!I:I,1,0)),"NA","ETL")</f>
        <v>NA</v>
      </c>
      <c r="M626" s="29">
        <f ca="1">COUNTIF('Data-WK'!A:A,'V1'!B:B)</f>
        <v>1</v>
      </c>
      <c r="N626" s="29" t="e">
        <f ca="1">VLOOKUP(E626,'IFRS only'!A:A,1,0)</f>
        <v>#N/A</v>
      </c>
      <c r="O626" s="31"/>
      <c r="P626" s="89"/>
    </row>
    <row r="627" spans="1:16" s="29" customFormat="1">
      <c r="A627" s="17" t="s">
        <v>2</v>
      </c>
      <c r="B627" s="17">
        <v>4205101000</v>
      </c>
      <c r="C627" s="75" t="s">
        <v>4507</v>
      </c>
      <c r="D627" s="3" t="s">
        <v>5810</v>
      </c>
      <c r="E627" s="17" t="s">
        <v>2583</v>
      </c>
      <c r="F627" s="17" t="s">
        <v>3532</v>
      </c>
      <c r="G627" s="17" t="s">
        <v>3532</v>
      </c>
      <c r="H627" s="17" t="s">
        <v>3531</v>
      </c>
      <c r="I627" s="17" t="s">
        <v>3545</v>
      </c>
      <c r="J627" s="17" t="s">
        <v>5761</v>
      </c>
      <c r="K627" s="49" t="s">
        <v>1002</v>
      </c>
      <c r="L627" s="4" t="str">
        <f ca="1">IF(ISERROR(VLOOKUP(B627,'ETL Scope'!I:I,1,0)),"NA","ETL")</f>
        <v>NA</v>
      </c>
      <c r="M627" s="29">
        <f ca="1">COUNTIF('Data-WK'!A:A,'V1'!B:B)</f>
        <v>1</v>
      </c>
      <c r="N627" s="29" t="e">
        <f ca="1">VLOOKUP(E627,'IFRS only'!A:A,1,0)</f>
        <v>#N/A</v>
      </c>
      <c r="O627" s="31"/>
      <c r="P627" s="89"/>
    </row>
    <row r="628" spans="1:16" s="29" customFormat="1">
      <c r="A628" s="17" t="s">
        <v>3</v>
      </c>
      <c r="B628" s="17">
        <v>4210001500</v>
      </c>
      <c r="C628" s="75" t="s">
        <v>4508</v>
      </c>
      <c r="D628" s="3" t="s">
        <v>179</v>
      </c>
      <c r="E628" s="17" t="s">
        <v>2472</v>
      </c>
      <c r="F628" s="17" t="s">
        <v>3532</v>
      </c>
      <c r="G628" s="17" t="s">
        <v>3532</v>
      </c>
      <c r="H628" s="17" t="s">
        <v>3531</v>
      </c>
      <c r="I628" s="17" t="s">
        <v>3545</v>
      </c>
      <c r="J628" s="17" t="s">
        <v>9</v>
      </c>
      <c r="K628" s="49" t="s">
        <v>988</v>
      </c>
      <c r="L628" s="4" t="str">
        <f ca="1">IF(ISERROR(VLOOKUP(B628,'ETL Scope'!I:I,1,0)),"NA","ETL")</f>
        <v>NA</v>
      </c>
      <c r="M628" s="29">
        <f ca="1">COUNTIF('Data-WK'!A:A,'V1'!B:B)</f>
        <v>1</v>
      </c>
      <c r="N628" s="29" t="e">
        <f ca="1">VLOOKUP(E628,'IFRS only'!A:A,1,0)</f>
        <v>#N/A</v>
      </c>
      <c r="O628" s="31"/>
      <c r="P628" s="89"/>
    </row>
    <row r="629" spans="1:16" s="29" customFormat="1">
      <c r="A629" s="17" t="s">
        <v>3</v>
      </c>
      <c r="B629" s="17">
        <v>4212001500</v>
      </c>
      <c r="C629" s="75" t="s">
        <v>4509</v>
      </c>
      <c r="D629" s="3" t="s">
        <v>180</v>
      </c>
      <c r="E629" s="17" t="s">
        <v>2473</v>
      </c>
      <c r="F629" s="17" t="s">
        <v>3532</v>
      </c>
      <c r="G629" s="17" t="s">
        <v>3532</v>
      </c>
      <c r="H629" s="17" t="s">
        <v>3531</v>
      </c>
      <c r="I629" s="17" t="s">
        <v>3545</v>
      </c>
      <c r="J629" s="17" t="s">
        <v>9</v>
      </c>
      <c r="K629" s="49" t="s">
        <v>989</v>
      </c>
      <c r="L629" s="4" t="str">
        <f ca="1">IF(ISERROR(VLOOKUP(B629,'ETL Scope'!I:I,1,0)),"NA","ETL")</f>
        <v>NA</v>
      </c>
      <c r="M629" s="29">
        <f ca="1">COUNTIF('Data-WK'!A:A,'V1'!B:B)</f>
        <v>1</v>
      </c>
      <c r="N629" s="29" t="e">
        <f ca="1">VLOOKUP(E629,'IFRS only'!A:A,1,0)</f>
        <v>#N/A</v>
      </c>
      <c r="O629" s="31"/>
      <c r="P629" s="89"/>
    </row>
    <row r="630" spans="1:16" s="29" customFormat="1">
      <c r="A630" s="17" t="s">
        <v>4</v>
      </c>
      <c r="B630" s="17">
        <v>4220000010</v>
      </c>
      <c r="C630" s="75" t="s">
        <v>4510</v>
      </c>
      <c r="D630" s="86" t="s">
        <v>5789</v>
      </c>
      <c r="E630" s="17" t="s">
        <v>2591</v>
      </c>
      <c r="F630" s="17" t="s">
        <v>3532</v>
      </c>
      <c r="G630" s="17" t="s">
        <v>3532</v>
      </c>
      <c r="H630" s="17" t="s">
        <v>3531</v>
      </c>
      <c r="I630" s="17" t="s">
        <v>3545</v>
      </c>
      <c r="J630" s="17" t="s">
        <v>3391</v>
      </c>
      <c r="K630" s="49" t="s">
        <v>1005</v>
      </c>
      <c r="L630" s="4" t="str">
        <f ca="1">IF(ISERROR(VLOOKUP(B630,'ETL Scope'!I:I,1,0)),"NA","ETL")</f>
        <v>NA</v>
      </c>
      <c r="M630" s="29">
        <f ca="1">COUNTIF('Data-WK'!A:A,'V1'!B:B)</f>
        <v>1</v>
      </c>
      <c r="N630" s="29" t="e">
        <f ca="1">VLOOKUP(E630,'IFRS only'!A:A,1,0)</f>
        <v>#N/A</v>
      </c>
      <c r="P630" s="89"/>
    </row>
    <row r="631" spans="1:16" s="29" customFormat="1">
      <c r="A631" s="17" t="s">
        <v>4</v>
      </c>
      <c r="B631" s="17">
        <v>4220000011</v>
      </c>
      <c r="C631" s="75" t="s">
        <v>4510</v>
      </c>
      <c r="D631" s="3" t="s">
        <v>4839</v>
      </c>
      <c r="E631" s="17" t="s">
        <v>2602</v>
      </c>
      <c r="F631" s="17" t="s">
        <v>3532</v>
      </c>
      <c r="G631" s="17" t="s">
        <v>3532</v>
      </c>
      <c r="H631" s="17" t="s">
        <v>3531</v>
      </c>
      <c r="I631" s="17" t="s">
        <v>3545</v>
      </c>
      <c r="J631" s="17" t="s">
        <v>9</v>
      </c>
      <c r="K631" s="49" t="s">
        <v>1005</v>
      </c>
      <c r="L631" s="4" t="str">
        <f ca="1">IF(ISERROR(VLOOKUP(B631,'ETL Scope'!I:I,1,0)),"NA","ETL")</f>
        <v>NA</v>
      </c>
      <c r="M631" s="29">
        <f ca="1">COUNTIF('Data-WK'!A:A,'V1'!B:B)</f>
        <v>1</v>
      </c>
      <c r="N631" s="29" t="e">
        <f ca="1">VLOOKUP(E631,'IFRS only'!A:A,1,0)</f>
        <v>#N/A</v>
      </c>
      <c r="P631" s="89"/>
    </row>
    <row r="632" spans="1:16" s="29" customFormat="1">
      <c r="A632" s="17" t="s">
        <v>4</v>
      </c>
      <c r="B632" s="17">
        <v>4220000012</v>
      </c>
      <c r="C632" s="75" t="s">
        <v>4510</v>
      </c>
      <c r="D632" s="3" t="s">
        <v>4840</v>
      </c>
      <c r="E632" s="17" t="s">
        <v>2620</v>
      </c>
      <c r="F632" s="17" t="s">
        <v>3532</v>
      </c>
      <c r="G632" s="17" t="s">
        <v>3532</v>
      </c>
      <c r="H632" s="17" t="s">
        <v>3531</v>
      </c>
      <c r="I632" s="17" t="s">
        <v>3545</v>
      </c>
      <c r="J632" s="17" t="s">
        <v>9</v>
      </c>
      <c r="K632" s="49" t="s">
        <v>1005</v>
      </c>
      <c r="L632" s="4" t="str">
        <f ca="1">IF(ISERROR(VLOOKUP(B632,'ETL Scope'!I:I,1,0)),"NA","ETL")</f>
        <v>NA</v>
      </c>
      <c r="M632" s="29">
        <f ca="1">COUNTIF('Data-WK'!A:A,'V1'!B:B)</f>
        <v>1</v>
      </c>
      <c r="N632" s="29" t="e">
        <f ca="1">VLOOKUP(E632,'IFRS only'!A:A,1,0)</f>
        <v>#N/A</v>
      </c>
      <c r="P632" s="89"/>
    </row>
    <row r="633" spans="1:16" s="29" customFormat="1">
      <c r="A633" s="17" t="s">
        <v>4</v>
      </c>
      <c r="B633" s="17">
        <v>4220000030</v>
      </c>
      <c r="C633" s="75" t="s">
        <v>4510</v>
      </c>
      <c r="D633" s="3" t="s">
        <v>3507</v>
      </c>
      <c r="E633" s="17" t="s">
        <v>2610</v>
      </c>
      <c r="F633" s="17" t="s">
        <v>3532</v>
      </c>
      <c r="G633" s="17" t="s">
        <v>3532</v>
      </c>
      <c r="H633" s="17" t="s">
        <v>3531</v>
      </c>
      <c r="I633" s="17" t="s">
        <v>3545</v>
      </c>
      <c r="J633" s="17" t="s">
        <v>9</v>
      </c>
      <c r="K633" s="49" t="s">
        <v>1030</v>
      </c>
      <c r="L633" s="4" t="str">
        <f ca="1">IF(ISERROR(VLOOKUP(B633,'ETL Scope'!I:I,1,0)),"NA","ETL")</f>
        <v>NA</v>
      </c>
      <c r="M633" s="29">
        <f ca="1">COUNTIF('Data-WK'!A:A,'V1'!B:B)</f>
        <v>1</v>
      </c>
      <c r="N633" s="29" t="e">
        <f ca="1">VLOOKUP(E633,'IFRS only'!A:A,1,0)</f>
        <v>#N/A</v>
      </c>
      <c r="P633" s="89"/>
    </row>
    <row r="634" spans="1:16" s="29" customFormat="1">
      <c r="A634" s="17" t="s">
        <v>4</v>
      </c>
      <c r="B634" s="17">
        <v>4220000150</v>
      </c>
      <c r="C634" s="75" t="s">
        <v>4510</v>
      </c>
      <c r="D634" s="3" t="s">
        <v>3511</v>
      </c>
      <c r="E634" s="17" t="s">
        <v>2616</v>
      </c>
      <c r="F634" s="17" t="s">
        <v>3532</v>
      </c>
      <c r="G634" s="17" t="s">
        <v>3532</v>
      </c>
      <c r="H634" s="17" t="s">
        <v>3531</v>
      </c>
      <c r="I634" s="17" t="s">
        <v>3545</v>
      </c>
      <c r="J634" s="17" t="s">
        <v>9</v>
      </c>
      <c r="K634" s="49" t="s">
        <v>1033</v>
      </c>
      <c r="L634" s="4" t="str">
        <f ca="1">IF(ISERROR(VLOOKUP(B634,'ETL Scope'!I:I,1,0)),"NA","ETL")</f>
        <v>NA</v>
      </c>
      <c r="M634" s="29">
        <f ca="1">COUNTIF('Data-WK'!A:A,'V1'!B:B)</f>
        <v>1</v>
      </c>
      <c r="N634" s="29" t="e">
        <f ca="1">VLOOKUP(E634,'IFRS only'!A:A,1,0)</f>
        <v>#N/A</v>
      </c>
      <c r="P634" s="89"/>
    </row>
    <row r="635" spans="1:16" s="29" customFormat="1">
      <c r="A635" s="17" t="s">
        <v>4</v>
      </c>
      <c r="B635" s="17">
        <v>4220000210</v>
      </c>
      <c r="C635" s="75" t="s">
        <v>4510</v>
      </c>
      <c r="D635" s="3" t="s">
        <v>3514</v>
      </c>
      <c r="E635" s="17" t="s">
        <v>2619</v>
      </c>
      <c r="F635" s="17" t="s">
        <v>3532</v>
      </c>
      <c r="G635" s="17" t="s">
        <v>3532</v>
      </c>
      <c r="H635" s="17" t="s">
        <v>3531</v>
      </c>
      <c r="I635" s="17" t="s">
        <v>3545</v>
      </c>
      <c r="J635" s="17" t="s">
        <v>9</v>
      </c>
      <c r="K635" s="49" t="s">
        <v>1034</v>
      </c>
      <c r="L635" s="4" t="str">
        <f ca="1">IF(ISERROR(VLOOKUP(B635,'ETL Scope'!I:I,1,0)),"NA","ETL")</f>
        <v>NA</v>
      </c>
      <c r="M635" s="29">
        <f ca="1">COUNTIF('Data-WK'!A:A,'V1'!B:B)</f>
        <v>1</v>
      </c>
      <c r="N635" s="29" t="e">
        <f ca="1">VLOOKUP(E635,'IFRS only'!A:A,1,0)</f>
        <v>#N/A</v>
      </c>
      <c r="P635" s="89"/>
    </row>
    <row r="636" spans="1:16" s="29" customFormat="1">
      <c r="A636" s="17" t="s">
        <v>4</v>
      </c>
      <c r="B636" s="17">
        <v>4220000460</v>
      </c>
      <c r="C636" s="75" t="s">
        <v>4510</v>
      </c>
      <c r="D636" s="3" t="s">
        <v>4841</v>
      </c>
      <c r="E636" s="17" t="s">
        <v>2612</v>
      </c>
      <c r="F636" s="17" t="s">
        <v>3532</v>
      </c>
      <c r="G636" s="17" t="s">
        <v>3532</v>
      </c>
      <c r="H636" s="17" t="s">
        <v>3531</v>
      </c>
      <c r="I636" s="17" t="s">
        <v>3545</v>
      </c>
      <c r="J636" s="17" t="s">
        <v>9</v>
      </c>
      <c r="K636" s="49" t="s">
        <v>1031</v>
      </c>
      <c r="L636" s="4" t="str">
        <f ca="1">IF(ISERROR(VLOOKUP(B636,'ETL Scope'!I:I,1,0)),"NA","ETL")</f>
        <v>NA</v>
      </c>
      <c r="M636" s="29">
        <f ca="1">COUNTIF('Data-WK'!A:A,'V1'!B:B)</f>
        <v>1</v>
      </c>
      <c r="N636" s="29" t="e">
        <f ca="1">VLOOKUP(E636,'IFRS only'!A:A,1,0)</f>
        <v>#N/A</v>
      </c>
      <c r="P636" s="89"/>
    </row>
    <row r="637" spans="1:16" s="29" customFormat="1">
      <c r="A637" s="17" t="s">
        <v>4</v>
      </c>
      <c r="B637" s="17">
        <v>4220000461</v>
      </c>
      <c r="C637" s="75" t="s">
        <v>4510</v>
      </c>
      <c r="D637" s="3" t="s">
        <v>4842</v>
      </c>
      <c r="E637" s="17" t="s">
        <v>2613</v>
      </c>
      <c r="F637" s="17" t="s">
        <v>3532</v>
      </c>
      <c r="G637" s="17" t="s">
        <v>3532</v>
      </c>
      <c r="H637" s="17" t="s">
        <v>3531</v>
      </c>
      <c r="I637" s="17" t="s">
        <v>3545</v>
      </c>
      <c r="J637" s="17" t="s">
        <v>9</v>
      </c>
      <c r="K637" s="49" t="s">
        <v>1031</v>
      </c>
      <c r="L637" s="4" t="str">
        <f ca="1">IF(ISERROR(VLOOKUP(B637,'ETL Scope'!I:I,1,0)),"NA","ETL")</f>
        <v>NA</v>
      </c>
      <c r="M637" s="29">
        <f ca="1">COUNTIF('Data-WK'!A:A,'V1'!B:B)</f>
        <v>1</v>
      </c>
      <c r="N637" s="29" t="e">
        <f ca="1">VLOOKUP(E637,'IFRS only'!A:A,1,0)</f>
        <v>#N/A</v>
      </c>
      <c r="P637" s="89"/>
    </row>
    <row r="638" spans="1:16" s="29" customFormat="1">
      <c r="A638" s="17" t="s">
        <v>4</v>
      </c>
      <c r="B638" s="17">
        <v>4220000520</v>
      </c>
      <c r="C638" s="75" t="s">
        <v>4510</v>
      </c>
      <c r="D638" s="3" t="s">
        <v>3509</v>
      </c>
      <c r="E638" s="17" t="s">
        <v>2614</v>
      </c>
      <c r="F638" s="17" t="s">
        <v>3532</v>
      </c>
      <c r="G638" s="17" t="s">
        <v>3532</v>
      </c>
      <c r="H638" s="17" t="s">
        <v>3531</v>
      </c>
      <c r="I638" s="17" t="s">
        <v>3545</v>
      </c>
      <c r="J638" s="17" t="s">
        <v>9</v>
      </c>
      <c r="K638" s="49" t="s">
        <v>1005</v>
      </c>
      <c r="L638" s="4" t="str">
        <f ca="1">IF(ISERROR(VLOOKUP(B638,'ETL Scope'!I:I,1,0)),"NA","ETL")</f>
        <v>NA</v>
      </c>
      <c r="M638" s="29">
        <f ca="1">COUNTIF('Data-WK'!A:A,'V1'!B:B)</f>
        <v>1</v>
      </c>
      <c r="N638" s="29" t="e">
        <f ca="1">VLOOKUP(E638,'IFRS only'!A:A,1,0)</f>
        <v>#N/A</v>
      </c>
      <c r="P638" s="89"/>
    </row>
    <row r="639" spans="1:16" s="29" customFormat="1">
      <c r="A639" s="17" t="s">
        <v>2</v>
      </c>
      <c r="B639" s="17">
        <v>4221000030</v>
      </c>
      <c r="C639" s="75" t="s">
        <v>4511</v>
      </c>
      <c r="D639" s="3" t="s">
        <v>4843</v>
      </c>
      <c r="E639" s="17" t="s">
        <v>2254</v>
      </c>
      <c r="F639" s="17" t="s">
        <v>3528</v>
      </c>
      <c r="G639" s="17" t="s">
        <v>3528</v>
      </c>
      <c r="H639" s="17" t="s">
        <v>3529</v>
      </c>
      <c r="I639" s="17" t="s">
        <v>3544</v>
      </c>
      <c r="J639" s="17" t="s">
        <v>9</v>
      </c>
      <c r="K639" s="49" t="s">
        <v>925</v>
      </c>
      <c r="L639" s="4" t="str">
        <f ca="1">IF(ISERROR(VLOOKUP(B639,'ETL Scope'!I:I,1,0)),"NA","ETL")</f>
        <v>NA</v>
      </c>
      <c r="M639" s="29">
        <f ca="1">COUNTIF('Data-WK'!A:A,'V1'!B:B)</f>
        <v>1</v>
      </c>
      <c r="N639" s="29" t="e">
        <f ca="1">VLOOKUP(E639,'IFRS only'!A:A,1,0)</f>
        <v>#N/A</v>
      </c>
      <c r="P639" s="89"/>
    </row>
    <row r="640" spans="1:16" s="29" customFormat="1">
      <c r="A640" s="17" t="s">
        <v>2</v>
      </c>
      <c r="B640" s="17">
        <v>4221000100</v>
      </c>
      <c r="C640" s="75" t="s">
        <v>4511</v>
      </c>
      <c r="D640" s="3" t="s">
        <v>4844</v>
      </c>
      <c r="E640" s="17" t="s">
        <v>2255</v>
      </c>
      <c r="F640" s="17" t="s">
        <v>3528</v>
      </c>
      <c r="G640" s="17" t="s">
        <v>3528</v>
      </c>
      <c r="H640" s="17" t="s">
        <v>3529</v>
      </c>
      <c r="I640" s="17" t="s">
        <v>3544</v>
      </c>
      <c r="J640" s="17" t="s">
        <v>9</v>
      </c>
      <c r="K640" s="49" t="s">
        <v>927</v>
      </c>
      <c r="L640" s="4" t="str">
        <f ca="1">IF(ISERROR(VLOOKUP(B640,'ETL Scope'!I:I,1,0)),"NA","ETL")</f>
        <v>NA</v>
      </c>
      <c r="M640" s="29">
        <f ca="1">COUNTIF('Data-WK'!A:A,'V1'!B:B)</f>
        <v>1</v>
      </c>
      <c r="N640" s="29" t="e">
        <f ca="1">VLOOKUP(E640,'IFRS only'!A:A,1,0)</f>
        <v>#N/A</v>
      </c>
      <c r="P640" s="89"/>
    </row>
    <row r="641" spans="1:16" s="29" customFormat="1">
      <c r="A641" s="17" t="s">
        <v>2</v>
      </c>
      <c r="B641" s="17">
        <v>4221001000</v>
      </c>
      <c r="C641" s="75" t="s">
        <v>4511</v>
      </c>
      <c r="D641" s="3" t="s">
        <v>4845</v>
      </c>
      <c r="E641" s="17" t="s">
        <v>2255</v>
      </c>
      <c r="F641" s="17" t="s">
        <v>3528</v>
      </c>
      <c r="G641" s="17" t="s">
        <v>3528</v>
      </c>
      <c r="H641" s="17" t="s">
        <v>3529</v>
      </c>
      <c r="I641" s="17" t="s">
        <v>3545</v>
      </c>
      <c r="J641" s="17" t="s">
        <v>9</v>
      </c>
      <c r="K641" s="49" t="s">
        <v>926</v>
      </c>
      <c r="L641" s="4" t="str">
        <f ca="1">IF(ISERROR(VLOOKUP(B641,'ETL Scope'!I:I,1,0)),"NA","ETL")</f>
        <v>NA</v>
      </c>
      <c r="M641" s="29">
        <f ca="1">COUNTIF('Data-WK'!A:A,'V1'!B:B)</f>
        <v>1</v>
      </c>
      <c r="N641" s="29" t="e">
        <f ca="1">VLOOKUP(E641,'IFRS only'!A:A,1,0)</f>
        <v>#N/A</v>
      </c>
      <c r="P641" s="89"/>
    </row>
    <row r="642" spans="1:16" s="29" customFormat="1">
      <c r="A642" s="17" t="s">
        <v>4</v>
      </c>
      <c r="B642" s="17">
        <v>4221001001</v>
      </c>
      <c r="C642" s="75" t="s">
        <v>4511</v>
      </c>
      <c r="D642" s="3" t="s">
        <v>3513</v>
      </c>
      <c r="E642" s="17" t="s">
        <v>2618</v>
      </c>
      <c r="F642" s="17" t="s">
        <v>3532</v>
      </c>
      <c r="G642" s="17" t="s">
        <v>3532</v>
      </c>
      <c r="H642" s="17" t="s">
        <v>3531</v>
      </c>
      <c r="I642" s="17" t="s">
        <v>3545</v>
      </c>
      <c r="J642" s="17" t="s">
        <v>9</v>
      </c>
      <c r="K642" s="49" t="s">
        <v>926</v>
      </c>
      <c r="L642" s="4" t="str">
        <f ca="1">IF(ISERROR(VLOOKUP(B642,'ETL Scope'!I:I,1,0)),"NA","ETL")</f>
        <v>NA</v>
      </c>
      <c r="M642" s="29">
        <f ca="1">COUNTIF('Data-WK'!A:A,'V1'!B:B)</f>
        <v>1</v>
      </c>
      <c r="N642" s="29" t="e">
        <f ca="1">VLOOKUP(E642,'IFRS only'!A:A,1,0)</f>
        <v>#N/A</v>
      </c>
      <c r="P642" s="89"/>
    </row>
    <row r="643" spans="1:16" s="29" customFormat="1">
      <c r="A643" s="17" t="s">
        <v>4</v>
      </c>
      <c r="B643" s="17">
        <v>4221001010</v>
      </c>
      <c r="C643" s="75" t="s">
        <v>4511</v>
      </c>
      <c r="D643" s="3" t="s">
        <v>3512</v>
      </c>
      <c r="E643" s="17" t="s">
        <v>2617</v>
      </c>
      <c r="F643" s="17" t="s">
        <v>3532</v>
      </c>
      <c r="G643" s="17" t="s">
        <v>3532</v>
      </c>
      <c r="H643" s="17" t="s">
        <v>3531</v>
      </c>
      <c r="I643" s="17" t="s">
        <v>3545</v>
      </c>
      <c r="J643" s="17" t="s">
        <v>9</v>
      </c>
      <c r="K643" s="49" t="s">
        <v>926</v>
      </c>
      <c r="L643" s="4" t="str">
        <f ca="1">IF(ISERROR(VLOOKUP(B643,'ETL Scope'!I:I,1,0)),"NA","ETL")</f>
        <v>NA</v>
      </c>
      <c r="M643" s="29">
        <f ca="1">COUNTIF('Data-WK'!A:A,'V1'!B:B)</f>
        <v>1</v>
      </c>
      <c r="N643" s="29" t="e">
        <f ca="1">VLOOKUP(E643,'IFRS only'!A:A,1,0)</f>
        <v>#N/A</v>
      </c>
      <c r="P643" s="89"/>
    </row>
    <row r="644" spans="1:16" s="29" customFormat="1">
      <c r="A644" s="17" t="s">
        <v>3</v>
      </c>
      <c r="B644" s="17">
        <v>4221002000</v>
      </c>
      <c r="C644" s="75" t="s">
        <v>4511</v>
      </c>
      <c r="D644" s="3" t="s">
        <v>5613</v>
      </c>
      <c r="E644" s="17" t="s">
        <v>4779</v>
      </c>
      <c r="F644" s="17" t="s">
        <v>3532</v>
      </c>
      <c r="G644" s="17" t="s">
        <v>3532</v>
      </c>
      <c r="H644" s="17" t="s">
        <v>3531</v>
      </c>
      <c r="I644" s="17" t="s">
        <v>3545</v>
      </c>
      <c r="J644" s="17" t="s">
        <v>9</v>
      </c>
      <c r="K644" s="49" t="s">
        <v>1023</v>
      </c>
      <c r="L644" s="4" t="str">
        <f ca="1">IF(ISERROR(VLOOKUP(B644,'ETL Scope'!I:I,1,0)),"NA","ETL")</f>
        <v>NA</v>
      </c>
      <c r="M644" s="29">
        <f ca="1">COUNTIF('Data-WK'!A:A,'V1'!B:B)</f>
        <v>1</v>
      </c>
      <c r="N644" s="29" t="e">
        <f ca="1">VLOOKUP(E644,'IFRS only'!A:A,1,0)</f>
        <v>#N/A</v>
      </c>
      <c r="P644" s="89"/>
    </row>
    <row r="645" spans="1:16" s="29" customFormat="1">
      <c r="A645" s="17" t="s">
        <v>4</v>
      </c>
      <c r="B645" s="17">
        <v>4230000000</v>
      </c>
      <c r="C645" s="75">
        <v>423000</v>
      </c>
      <c r="D645" s="3" t="s">
        <v>5870</v>
      </c>
      <c r="E645" s="17" t="s">
        <v>5871</v>
      </c>
      <c r="F645" s="17" t="s">
        <v>1544</v>
      </c>
      <c r="G645" s="17" t="s">
        <v>1544</v>
      </c>
      <c r="H645" s="17" t="s">
        <v>3527</v>
      </c>
      <c r="I645" s="17" t="s">
        <v>3527</v>
      </c>
      <c r="J645" s="17" t="s">
        <v>9</v>
      </c>
      <c r="K645" s="49" t="s">
        <v>1056</v>
      </c>
      <c r="L645" s="4"/>
      <c r="P645" s="89"/>
    </row>
    <row r="646" spans="1:16" s="29" customFormat="1">
      <c r="A646" s="17" t="s">
        <v>3</v>
      </c>
      <c r="B646" s="17">
        <v>4230000210</v>
      </c>
      <c r="C646" s="75" t="s">
        <v>4512</v>
      </c>
      <c r="D646" s="3" t="s">
        <v>5872</v>
      </c>
      <c r="E646" s="17" t="s">
        <v>5873</v>
      </c>
      <c r="F646" s="17" t="s">
        <v>1544</v>
      </c>
      <c r="G646" s="17" t="s">
        <v>1544</v>
      </c>
      <c r="H646" s="17" t="s">
        <v>3527</v>
      </c>
      <c r="I646" s="17" t="s">
        <v>3527</v>
      </c>
      <c r="J646" s="17" t="s">
        <v>9</v>
      </c>
      <c r="K646" s="49" t="s">
        <v>1052</v>
      </c>
      <c r="L646" s="4" t="str">
        <f ca="1">IF(ISERROR(VLOOKUP(B646,'ETL Scope'!I:I,1,0)),"NA","ETL")</f>
        <v>NA</v>
      </c>
      <c r="M646" s="29">
        <f ca="1">COUNTIF('Data-WK'!A:A,'V1'!B:B)</f>
        <v>1</v>
      </c>
      <c r="N646" s="29" t="e">
        <f ca="1">VLOOKUP(E646,'IFRS only'!A:A,1,0)</f>
        <v>#N/A</v>
      </c>
      <c r="P646" s="89"/>
    </row>
    <row r="647" spans="1:16" s="29" customFormat="1">
      <c r="A647" s="17" t="s">
        <v>3</v>
      </c>
      <c r="B647" s="17">
        <v>4243000442</v>
      </c>
      <c r="C647" s="75">
        <v>423000</v>
      </c>
      <c r="D647" s="3" t="s">
        <v>5874</v>
      </c>
      <c r="E647" s="17" t="s">
        <v>5875</v>
      </c>
      <c r="F647" s="17" t="s">
        <v>1544</v>
      </c>
      <c r="G647" s="17" t="s">
        <v>1544</v>
      </c>
      <c r="H647" s="17" t="s">
        <v>3527</v>
      </c>
      <c r="I647" s="17" t="s">
        <v>3527</v>
      </c>
      <c r="J647" s="17" t="s">
        <v>9</v>
      </c>
      <c r="K647" s="49" t="s">
        <v>1044</v>
      </c>
      <c r="L647" s="4" t="str">
        <f ca="1">IF(ISERROR(VLOOKUP(B647,'ETL Scope'!I:I,1,0)),"NA","ETL")</f>
        <v>NA</v>
      </c>
      <c r="M647" s="29">
        <f ca="1">COUNTIF('Data-WK'!A:A,'V1'!B:B)</f>
        <v>0</v>
      </c>
      <c r="N647" s="29" t="e">
        <f ca="1">VLOOKUP(E647,'IFRS only'!A:A,1,0)</f>
        <v>#N/A</v>
      </c>
      <c r="P647" s="89"/>
    </row>
    <row r="648" spans="1:16" s="29" customFormat="1">
      <c r="A648" s="17" t="s">
        <v>4</v>
      </c>
      <c r="B648" s="17">
        <v>4230001501</v>
      </c>
      <c r="C648" s="75" t="s">
        <v>4512</v>
      </c>
      <c r="D648" s="3" t="s">
        <v>5790</v>
      </c>
      <c r="E648" s="17" t="s">
        <v>5876</v>
      </c>
      <c r="F648" s="17" t="s">
        <v>1544</v>
      </c>
      <c r="G648" s="17" t="s">
        <v>1544</v>
      </c>
      <c r="H648" s="17" t="s">
        <v>3527</v>
      </c>
      <c r="I648" s="17" t="s">
        <v>3527</v>
      </c>
      <c r="J648" s="17" t="s">
        <v>3391</v>
      </c>
      <c r="K648" s="49" t="s">
        <v>1044</v>
      </c>
      <c r="L648" s="4" t="str">
        <f ca="1">IF(ISERROR(VLOOKUP(B648,'ETL Scope'!I:I,1,0)),"NA","ETL")</f>
        <v>NA</v>
      </c>
      <c r="M648" s="29">
        <f ca="1">COUNTIF('Data-WK'!A:A,'V1'!B:B)</f>
        <v>1</v>
      </c>
      <c r="N648" s="29" t="e">
        <f ca="1">VLOOKUP(E648,'IFRS only'!A:A,1,0)</f>
        <v>#N/A</v>
      </c>
      <c r="P648" s="89"/>
    </row>
    <row r="649" spans="1:16" s="29" customFormat="1">
      <c r="A649" s="17" t="s">
        <v>4</v>
      </c>
      <c r="B649" s="17">
        <v>4230001502</v>
      </c>
      <c r="C649" s="75" t="s">
        <v>4512</v>
      </c>
      <c r="D649" s="3" t="s">
        <v>5877</v>
      </c>
      <c r="E649" s="17" t="s">
        <v>5878</v>
      </c>
      <c r="F649" s="17" t="s">
        <v>1544</v>
      </c>
      <c r="G649" s="17" t="s">
        <v>1544</v>
      </c>
      <c r="H649" s="17" t="s">
        <v>3527</v>
      </c>
      <c r="I649" s="17" t="s">
        <v>3527</v>
      </c>
      <c r="J649" s="17" t="s">
        <v>9</v>
      </c>
      <c r="K649" s="49" t="s">
        <v>1044</v>
      </c>
      <c r="L649" s="4" t="str">
        <f ca="1">IF(ISERROR(VLOOKUP(B649,'ETL Scope'!I:I,1,0)),"NA","ETL")</f>
        <v>NA</v>
      </c>
      <c r="M649" s="29">
        <f ca="1">COUNTIF('Data-WK'!A:A,'V1'!B:B)</f>
        <v>1</v>
      </c>
      <c r="N649" s="29" t="e">
        <f ca="1">VLOOKUP(E649,'IFRS only'!A:A,1,0)</f>
        <v>#N/A</v>
      </c>
      <c r="P649" s="89"/>
    </row>
    <row r="650" spans="1:16" s="29" customFormat="1">
      <c r="A650" s="17" t="s">
        <v>4</v>
      </c>
      <c r="B650" s="17">
        <v>4230001503</v>
      </c>
      <c r="C650" s="75" t="s">
        <v>4512</v>
      </c>
      <c r="D650" s="3" t="s">
        <v>5879</v>
      </c>
      <c r="E650" s="17" t="s">
        <v>5880</v>
      </c>
      <c r="F650" s="17" t="s">
        <v>1544</v>
      </c>
      <c r="G650" s="17" t="s">
        <v>1544</v>
      </c>
      <c r="H650" s="17" t="s">
        <v>3527</v>
      </c>
      <c r="I650" s="17" t="s">
        <v>3527</v>
      </c>
      <c r="J650" s="17" t="s">
        <v>9</v>
      </c>
      <c r="K650" s="49" t="s">
        <v>1044</v>
      </c>
      <c r="L650" s="4" t="str">
        <f ca="1">IF(ISERROR(VLOOKUP(B650,'ETL Scope'!I:I,1,0)),"NA","ETL")</f>
        <v>NA</v>
      </c>
      <c r="M650" s="29">
        <f ca="1">COUNTIF('Data-WK'!A:A,'V1'!B:B)</f>
        <v>1</v>
      </c>
      <c r="N650" s="29" t="e">
        <f ca="1">VLOOKUP(E650,'IFRS only'!A:A,1,0)</f>
        <v>#N/A</v>
      </c>
      <c r="P650" s="89"/>
    </row>
    <row r="651" spans="1:16" s="29" customFormat="1">
      <c r="A651" s="17" t="s">
        <v>4</v>
      </c>
      <c r="B651" s="17">
        <v>4230010000</v>
      </c>
      <c r="C651" s="75" t="s">
        <v>4513</v>
      </c>
      <c r="D651" s="3" t="s">
        <v>5867</v>
      </c>
      <c r="E651" s="17" t="s">
        <v>4760</v>
      </c>
      <c r="F651" s="17" t="s">
        <v>1544</v>
      </c>
      <c r="G651" s="17" t="s">
        <v>1544</v>
      </c>
      <c r="H651" s="17" t="s">
        <v>3527</v>
      </c>
      <c r="I651" s="17" t="s">
        <v>3527</v>
      </c>
      <c r="J651" s="17" t="s">
        <v>9</v>
      </c>
      <c r="K651" s="49" t="s">
        <v>1056</v>
      </c>
      <c r="L651" s="4"/>
      <c r="P651" s="89"/>
    </row>
    <row r="652" spans="1:16" s="29" customFormat="1">
      <c r="A652" s="17" t="s">
        <v>4</v>
      </c>
      <c r="B652" s="17">
        <v>4230011500</v>
      </c>
      <c r="C652" s="75" t="s">
        <v>4513</v>
      </c>
      <c r="D652" s="3" t="s">
        <v>5868</v>
      </c>
      <c r="E652" s="17" t="s">
        <v>4760</v>
      </c>
      <c r="F652" s="17" t="s">
        <v>1544</v>
      </c>
      <c r="G652" s="17" t="s">
        <v>1544</v>
      </c>
      <c r="H652" s="17" t="s">
        <v>3527</v>
      </c>
      <c r="I652" s="17" t="s">
        <v>3527</v>
      </c>
      <c r="J652" s="17" t="s">
        <v>9</v>
      </c>
      <c r="K652" s="49" t="s">
        <v>1056</v>
      </c>
      <c r="L652" s="4" t="str">
        <f ca="1">IF(ISERROR(VLOOKUP(B652,'ETL Scope'!I:I,1,0)),"NA","ETL")</f>
        <v>NA</v>
      </c>
      <c r="M652" s="29">
        <f ca="1">COUNTIF('Data-WK'!A:A,'V1'!B:B)</f>
        <v>2</v>
      </c>
      <c r="N652" s="29" t="e">
        <f ca="1">VLOOKUP(E652,'IFRS only'!A:A,1,0)</f>
        <v>#N/A</v>
      </c>
      <c r="P652" s="89"/>
    </row>
    <row r="653" spans="1:16" s="29" customFormat="1">
      <c r="A653" s="17" t="s">
        <v>4</v>
      </c>
      <c r="B653" s="17">
        <v>4230042120</v>
      </c>
      <c r="C653" s="75" t="s">
        <v>4514</v>
      </c>
      <c r="D653" s="3" t="s">
        <v>5881</v>
      </c>
      <c r="E653" s="17" t="s">
        <v>5882</v>
      </c>
      <c r="F653" s="17" t="s">
        <v>1544</v>
      </c>
      <c r="G653" s="17" t="s">
        <v>1544</v>
      </c>
      <c r="H653" s="17" t="s">
        <v>3527</v>
      </c>
      <c r="I653" s="17" t="s">
        <v>3527</v>
      </c>
      <c r="J653" s="17" t="s">
        <v>9</v>
      </c>
      <c r="K653" s="49" t="s">
        <v>991</v>
      </c>
      <c r="L653" s="4" t="str">
        <f ca="1">IF(ISERROR(VLOOKUP(B653,'ETL Scope'!I:I,1,0)),"NA","ETL")</f>
        <v>NA</v>
      </c>
      <c r="M653" s="29">
        <f ca="1">COUNTIF('Data-WK'!A:A,'V1'!B:B)</f>
        <v>1</v>
      </c>
      <c r="N653" s="29" t="e">
        <f ca="1">VLOOKUP(E653,'IFRS only'!A:A,1,0)</f>
        <v>#N/A</v>
      </c>
      <c r="P653" s="89"/>
    </row>
    <row r="654" spans="1:16" s="29" customFormat="1">
      <c r="A654" s="17" t="s">
        <v>4</v>
      </c>
      <c r="B654" s="17">
        <v>4230042121</v>
      </c>
      <c r="C654" s="75" t="s">
        <v>4514</v>
      </c>
      <c r="D654" s="3" t="s">
        <v>5883</v>
      </c>
      <c r="E654" s="17" t="s">
        <v>5836</v>
      </c>
      <c r="F654" s="17" t="s">
        <v>1544</v>
      </c>
      <c r="G654" s="17" t="s">
        <v>1544</v>
      </c>
      <c r="H654" s="17" t="s">
        <v>3527</v>
      </c>
      <c r="I654" s="17" t="s">
        <v>3527</v>
      </c>
      <c r="J654" s="17" t="s">
        <v>9</v>
      </c>
      <c r="K654" s="49" t="s">
        <v>991</v>
      </c>
      <c r="L654" s="4" t="str">
        <f ca="1">IF(ISERROR(VLOOKUP(B654,'ETL Scope'!I:I,1,0)),"NA","ETL")</f>
        <v>NA</v>
      </c>
      <c r="M654" s="29">
        <f ca="1">COUNTIF('Data-WK'!A:A,'V1'!B:B)</f>
        <v>1</v>
      </c>
      <c r="N654" s="29" t="e">
        <f ca="1">VLOOKUP(E654,'IFRS only'!A:A,1,0)</f>
        <v>#N/A</v>
      </c>
      <c r="P654" s="89"/>
    </row>
    <row r="655" spans="1:16" s="29" customFormat="1">
      <c r="A655" s="17" t="s">
        <v>4</v>
      </c>
      <c r="B655" s="17">
        <v>4230042122</v>
      </c>
      <c r="C655" s="75" t="s">
        <v>4514</v>
      </c>
      <c r="D655" s="3" t="s">
        <v>3452</v>
      </c>
      <c r="E655" s="17" t="s">
        <v>2482</v>
      </c>
      <c r="F655" s="17" t="s">
        <v>3532</v>
      </c>
      <c r="G655" s="17" t="s">
        <v>3532</v>
      </c>
      <c r="H655" s="17" t="s">
        <v>3531</v>
      </c>
      <c r="I655" s="17" t="s">
        <v>3545</v>
      </c>
      <c r="J655" s="17" t="s">
        <v>9</v>
      </c>
      <c r="K655" s="49" t="s">
        <v>991</v>
      </c>
      <c r="L655" s="4" t="str">
        <f ca="1">IF(ISERROR(VLOOKUP(B655,'ETL Scope'!I:I,1,0)),"NA","ETL")</f>
        <v>NA</v>
      </c>
      <c r="M655" s="29">
        <f ca="1">COUNTIF('Data-WK'!A:A,'V1'!B:B)</f>
        <v>1</v>
      </c>
      <c r="N655" s="29" t="e">
        <f ca="1">VLOOKUP(E655,'IFRS only'!A:A,1,0)</f>
        <v>#N/A</v>
      </c>
      <c r="P655" s="89"/>
    </row>
    <row r="656" spans="1:16" s="29" customFormat="1">
      <c r="A656" s="17" t="s">
        <v>3</v>
      </c>
      <c r="B656" s="17">
        <v>4230100000</v>
      </c>
      <c r="C656" s="75" t="s">
        <v>4515</v>
      </c>
      <c r="D656" s="86" t="s">
        <v>5710</v>
      </c>
      <c r="E656" s="17" t="s">
        <v>2654</v>
      </c>
      <c r="F656" s="17" t="s">
        <v>3532</v>
      </c>
      <c r="G656" s="17" t="s">
        <v>3532</v>
      </c>
      <c r="H656" s="17" t="s">
        <v>3531</v>
      </c>
      <c r="I656" s="17" t="s">
        <v>3545</v>
      </c>
      <c r="J656" s="17" t="s">
        <v>9</v>
      </c>
      <c r="K656" s="49" t="s">
        <v>1050</v>
      </c>
      <c r="L656" s="4" t="str">
        <f ca="1">IF(ISERROR(VLOOKUP(B656,'ETL Scope'!I:I,1,0)),"NA","ETL")</f>
        <v>NA</v>
      </c>
      <c r="M656" s="29">
        <f ca="1">COUNTIF('Data-WK'!A:A,'V1'!B:B)</f>
        <v>1</v>
      </c>
      <c r="N656" s="29" t="e">
        <f ca="1">VLOOKUP(E656,'IFRS only'!A:A,1,0)</f>
        <v>#N/A</v>
      </c>
      <c r="O656" s="31"/>
      <c r="P656" s="89"/>
    </row>
    <row r="657" spans="1:16" s="29" customFormat="1">
      <c r="A657" s="17" t="s">
        <v>4</v>
      </c>
      <c r="B657" s="17">
        <v>4232000000</v>
      </c>
      <c r="C657" s="75" t="s">
        <v>4516</v>
      </c>
      <c r="D657" s="3" t="s">
        <v>313</v>
      </c>
      <c r="E657" s="17" t="s">
        <v>2636</v>
      </c>
      <c r="F657" s="17" t="s">
        <v>3532</v>
      </c>
      <c r="G657" s="17" t="s">
        <v>3532</v>
      </c>
      <c r="H657" s="17" t="s">
        <v>3531</v>
      </c>
      <c r="I657" s="17" t="s">
        <v>3545</v>
      </c>
      <c r="J657" s="17" t="s">
        <v>9</v>
      </c>
      <c r="K657" s="49" t="s">
        <v>1039</v>
      </c>
      <c r="L657" s="4" t="str">
        <f ca="1">IF(ISERROR(VLOOKUP(B657,'ETL Scope'!I:I,1,0)),"NA","ETL")</f>
        <v>NA</v>
      </c>
      <c r="M657" s="29">
        <f ca="1">COUNTIF('Data-WK'!A:A,'V1'!B:B)</f>
        <v>1</v>
      </c>
      <c r="N657" s="29" t="e">
        <f ca="1">VLOOKUP(E657,'IFRS only'!A:A,1,0)</f>
        <v>#N/A</v>
      </c>
      <c r="O657" s="31"/>
      <c r="P657" s="89"/>
    </row>
    <row r="658" spans="1:16" s="29" customFormat="1">
      <c r="A658" s="17" t="s">
        <v>4</v>
      </c>
      <c r="B658" s="17">
        <v>4232001500</v>
      </c>
      <c r="C658" s="75" t="s">
        <v>4516</v>
      </c>
      <c r="D658" s="3" t="s">
        <v>5614</v>
      </c>
      <c r="E658" s="17" t="s">
        <v>2636</v>
      </c>
      <c r="F658" s="17" t="s">
        <v>3532</v>
      </c>
      <c r="G658" s="17" t="s">
        <v>3532</v>
      </c>
      <c r="H658" s="17" t="s">
        <v>3531</v>
      </c>
      <c r="I658" s="17" t="s">
        <v>3545</v>
      </c>
      <c r="J658" s="17" t="s">
        <v>9</v>
      </c>
      <c r="K658" s="49" t="s">
        <v>1039</v>
      </c>
      <c r="L658" s="4" t="str">
        <f ca="1">IF(ISERROR(VLOOKUP(B658,'ETL Scope'!I:I,1,0)),"NA","ETL")</f>
        <v>NA</v>
      </c>
      <c r="M658" s="29">
        <f ca="1">COUNTIF('Data-WK'!A:A,'V1'!B:B)</f>
        <v>1</v>
      </c>
      <c r="N658" s="29" t="e">
        <f ca="1">VLOOKUP(E658,'IFRS only'!A:A,1,0)</f>
        <v>#N/A</v>
      </c>
      <c r="P658" s="89"/>
    </row>
    <row r="659" spans="1:16" s="29" customFormat="1">
      <c r="A659" s="17" t="s">
        <v>3</v>
      </c>
      <c r="B659" s="17">
        <v>4232100011</v>
      </c>
      <c r="C659" s="75" t="s">
        <v>4517</v>
      </c>
      <c r="D659" s="3" t="s">
        <v>3445</v>
      </c>
      <c r="E659" s="17" t="s">
        <v>2458</v>
      </c>
      <c r="F659" s="17" t="s">
        <v>3532</v>
      </c>
      <c r="G659" s="17" t="s">
        <v>3532</v>
      </c>
      <c r="H659" s="17" t="s">
        <v>3531</v>
      </c>
      <c r="I659" s="17" t="s">
        <v>3545</v>
      </c>
      <c r="J659" s="17" t="s">
        <v>9</v>
      </c>
      <c r="K659" s="49" t="s">
        <v>1040</v>
      </c>
      <c r="L659" s="4" t="str">
        <f ca="1">IF(ISERROR(VLOOKUP(B659,'ETL Scope'!I:I,1,0)),"NA","ETL")</f>
        <v>NA</v>
      </c>
      <c r="M659" s="29">
        <f ca="1">COUNTIF('Data-WK'!A:A,'V1'!B:B)</f>
        <v>1</v>
      </c>
      <c r="N659" s="29" t="e">
        <f ca="1">VLOOKUP(E659,'IFRS only'!A:A,1,0)</f>
        <v>#N/A</v>
      </c>
      <c r="P659" s="89"/>
    </row>
    <row r="660" spans="1:16" s="29" customFormat="1">
      <c r="A660" s="17" t="s">
        <v>4</v>
      </c>
      <c r="B660" s="17">
        <v>4232101000</v>
      </c>
      <c r="C660" s="75" t="s">
        <v>4517</v>
      </c>
      <c r="D660" s="3" t="s">
        <v>5791</v>
      </c>
      <c r="E660" s="17" t="s">
        <v>2637</v>
      </c>
      <c r="F660" s="17" t="s">
        <v>3532</v>
      </c>
      <c r="G660" s="17" t="s">
        <v>3532</v>
      </c>
      <c r="H660" s="17" t="s">
        <v>3531</v>
      </c>
      <c r="I660" s="17" t="s">
        <v>3545</v>
      </c>
      <c r="J660" s="17" t="s">
        <v>3391</v>
      </c>
      <c r="K660" s="49" t="s">
        <v>1040</v>
      </c>
      <c r="L660" s="4" t="str">
        <f ca="1">IF(ISERROR(VLOOKUP(B660,'ETL Scope'!I:I,1,0)),"NA","ETL")</f>
        <v>NA</v>
      </c>
      <c r="M660" s="29">
        <f ca="1">COUNTIF('Data-WK'!A:A,'V1'!B:B)</f>
        <v>1</v>
      </c>
      <c r="N660" s="29" t="e">
        <f ca="1">VLOOKUP(E660,'IFRS only'!A:A,1,0)</f>
        <v>#N/A</v>
      </c>
      <c r="P660" s="89"/>
    </row>
    <row r="661" spans="1:16" s="29" customFormat="1">
      <c r="A661" s="17" t="s">
        <v>4</v>
      </c>
      <c r="B661" s="17">
        <v>4232101001</v>
      </c>
      <c r="C661" s="75" t="s">
        <v>4517</v>
      </c>
      <c r="D661" s="3" t="s">
        <v>5615</v>
      </c>
      <c r="E661" s="17" t="s">
        <v>2639</v>
      </c>
      <c r="F661" s="17" t="s">
        <v>3532</v>
      </c>
      <c r="G661" s="17" t="s">
        <v>3532</v>
      </c>
      <c r="H661" s="17" t="s">
        <v>3531</v>
      </c>
      <c r="I661" s="17" t="s">
        <v>3545</v>
      </c>
      <c r="J661" s="17" t="s">
        <v>9</v>
      </c>
      <c r="K661" s="49" t="s">
        <v>1040</v>
      </c>
      <c r="L661" s="4" t="str">
        <f ca="1">IF(ISERROR(VLOOKUP(B661,'ETL Scope'!I:I,1,0)),"NA","ETL")</f>
        <v>NA</v>
      </c>
      <c r="M661" s="29">
        <f ca="1">COUNTIF('Data-WK'!A:A,'V1'!B:B)</f>
        <v>1</v>
      </c>
      <c r="N661" s="29" t="e">
        <f ca="1">VLOOKUP(E661,'IFRS only'!A:A,1,0)</f>
        <v>#N/A</v>
      </c>
      <c r="O661" s="31"/>
      <c r="P661" s="89"/>
    </row>
    <row r="662" spans="1:16" s="29" customFormat="1">
      <c r="A662" s="17" t="s">
        <v>4</v>
      </c>
      <c r="B662" s="17">
        <v>4234001500</v>
      </c>
      <c r="C662" s="75" t="s">
        <v>4518</v>
      </c>
      <c r="D662" s="3" t="s">
        <v>334</v>
      </c>
      <c r="E662" s="17" t="s">
        <v>2657</v>
      </c>
      <c r="F662" s="17" t="s">
        <v>3532</v>
      </c>
      <c r="G662" s="17" t="s">
        <v>3532</v>
      </c>
      <c r="H662" s="17" t="s">
        <v>3531</v>
      </c>
      <c r="I662" s="17" t="s">
        <v>3545</v>
      </c>
      <c r="J662" s="17" t="s">
        <v>9</v>
      </c>
      <c r="K662" s="49" t="s">
        <v>1051</v>
      </c>
      <c r="L662" s="4" t="str">
        <f ca="1">IF(ISERROR(VLOOKUP(B662,'ETL Scope'!I:I,1,0)),"NA","ETL")</f>
        <v>NA</v>
      </c>
      <c r="M662" s="29">
        <f ca="1">COUNTIF('Data-WK'!A:A,'V1'!B:B)</f>
        <v>1</v>
      </c>
      <c r="N662" s="29" t="e">
        <f ca="1">VLOOKUP(E662,'IFRS only'!A:A,1,0)</f>
        <v>#N/A</v>
      </c>
      <c r="P662" s="89"/>
    </row>
    <row r="663" spans="1:16" s="29" customFormat="1">
      <c r="A663" s="17" t="s">
        <v>3</v>
      </c>
      <c r="B663" s="17">
        <v>4240000010</v>
      </c>
      <c r="C663" s="75" t="s">
        <v>4519</v>
      </c>
      <c r="D663" s="3" t="s">
        <v>247</v>
      </c>
      <c r="E663" s="17" t="s">
        <v>5815</v>
      </c>
      <c r="F663" s="17" t="s">
        <v>3532</v>
      </c>
      <c r="G663" s="17" t="s">
        <v>3532</v>
      </c>
      <c r="H663" s="17" t="s">
        <v>3531</v>
      </c>
      <c r="I663" s="17" t="s">
        <v>3545</v>
      </c>
      <c r="J663" s="17" t="s">
        <v>9</v>
      </c>
      <c r="K663" s="49" t="s">
        <v>998</v>
      </c>
      <c r="L663" s="4" t="str">
        <f ca="1">IF(ISERROR(VLOOKUP(B663,'ETL Scope'!I:I,1,0)),"NA","ETL")</f>
        <v>NA</v>
      </c>
      <c r="M663" s="29">
        <f ca="1">COUNTIF('Data-WK'!A:A,'V1'!B:B)</f>
        <v>1</v>
      </c>
      <c r="N663" s="29" t="e">
        <f ca="1">VLOOKUP(E663,'IFRS only'!A:A,1,0)</f>
        <v>#N/A</v>
      </c>
      <c r="P663" s="89"/>
    </row>
    <row r="664" spans="1:16" s="29" customFormat="1">
      <c r="A664" s="17" t="s">
        <v>3</v>
      </c>
      <c r="B664" s="17">
        <v>4240000030</v>
      </c>
      <c r="C664" s="75" t="s">
        <v>4519</v>
      </c>
      <c r="D664" s="3" t="s">
        <v>248</v>
      </c>
      <c r="E664" s="17" t="s">
        <v>2564</v>
      </c>
      <c r="F664" s="17" t="s">
        <v>3532</v>
      </c>
      <c r="G664" s="17" t="s">
        <v>3532</v>
      </c>
      <c r="H664" s="17" t="s">
        <v>3531</v>
      </c>
      <c r="I664" s="17" t="s">
        <v>3545</v>
      </c>
      <c r="J664" s="17" t="s">
        <v>9</v>
      </c>
      <c r="K664" s="49" t="s">
        <v>998</v>
      </c>
      <c r="L664" s="4" t="str">
        <f ca="1">IF(ISERROR(VLOOKUP(B664,'ETL Scope'!I:I,1,0)),"NA","ETL")</f>
        <v>NA</v>
      </c>
      <c r="M664" s="29">
        <f ca="1">COUNTIF('Data-WK'!A:A,'V1'!B:B)</f>
        <v>1</v>
      </c>
      <c r="N664" s="29" t="e">
        <f ca="1">VLOOKUP(E664,'IFRS only'!A:A,1,0)</f>
        <v>#N/A</v>
      </c>
      <c r="P664" s="89"/>
    </row>
    <row r="665" spans="1:16" s="29" customFormat="1">
      <c r="A665" s="17" t="s">
        <v>3</v>
      </c>
      <c r="B665" s="17">
        <v>4240000110</v>
      </c>
      <c r="C665" s="75" t="s">
        <v>4519</v>
      </c>
      <c r="D665" s="3" t="s">
        <v>250</v>
      </c>
      <c r="E665" s="17" t="s">
        <v>2566</v>
      </c>
      <c r="F665" s="17" t="s">
        <v>3532</v>
      </c>
      <c r="G665" s="17" t="s">
        <v>3532</v>
      </c>
      <c r="H665" s="17" t="s">
        <v>3531</v>
      </c>
      <c r="I665" s="17" t="s">
        <v>3545</v>
      </c>
      <c r="J665" s="17" t="s">
        <v>9</v>
      </c>
      <c r="K665" s="49" t="s">
        <v>998</v>
      </c>
      <c r="L665" s="4" t="str">
        <f ca="1">IF(ISERROR(VLOOKUP(B665,'ETL Scope'!I:I,1,0)),"NA","ETL")</f>
        <v>NA</v>
      </c>
      <c r="M665" s="29">
        <f ca="1">COUNTIF('Data-WK'!A:A,'V1'!B:B)</f>
        <v>1</v>
      </c>
      <c r="N665" s="29" t="e">
        <f ca="1">VLOOKUP(E665,'IFRS only'!A:A,1,0)</f>
        <v>#N/A</v>
      </c>
      <c r="P665" s="89"/>
    </row>
    <row r="666" spans="1:16" s="29" customFormat="1">
      <c r="A666" s="17" t="s">
        <v>3</v>
      </c>
      <c r="B666" s="17">
        <v>4240000120</v>
      </c>
      <c r="C666" s="75" t="s">
        <v>4519</v>
      </c>
      <c r="D666" s="3" t="s">
        <v>252</v>
      </c>
      <c r="E666" s="17" t="s">
        <v>5088</v>
      </c>
      <c r="F666" s="17" t="s">
        <v>3532</v>
      </c>
      <c r="G666" s="17" t="s">
        <v>3532</v>
      </c>
      <c r="H666" s="17" t="s">
        <v>3531</v>
      </c>
      <c r="I666" s="17" t="s">
        <v>3545</v>
      </c>
      <c r="J666" s="17" t="s">
        <v>9</v>
      </c>
      <c r="K666" s="49" t="s">
        <v>998</v>
      </c>
      <c r="L666" s="4" t="str">
        <f ca="1">IF(ISERROR(VLOOKUP(B666,'ETL Scope'!I:I,1,0)),"NA","ETL")</f>
        <v>NA</v>
      </c>
      <c r="M666" s="29">
        <f ca="1">COUNTIF('Data-WK'!A:A,'V1'!B:B)</f>
        <v>1</v>
      </c>
      <c r="N666" s="29" t="e">
        <f ca="1">VLOOKUP(E666,'IFRS only'!A:A,1,0)</f>
        <v>#N/A</v>
      </c>
      <c r="P666" s="89"/>
    </row>
    <row r="667" spans="1:16" s="29" customFormat="1">
      <c r="A667" s="17" t="s">
        <v>3</v>
      </c>
      <c r="B667" s="17">
        <v>4240000130</v>
      </c>
      <c r="C667" s="75" t="s">
        <v>4519</v>
      </c>
      <c r="D667" s="3" t="s">
        <v>254</v>
      </c>
      <c r="E667" s="17" t="s">
        <v>5089</v>
      </c>
      <c r="F667" s="17" t="s">
        <v>3532</v>
      </c>
      <c r="G667" s="17" t="s">
        <v>3532</v>
      </c>
      <c r="H667" s="17" t="s">
        <v>3531</v>
      </c>
      <c r="I667" s="17" t="s">
        <v>3545</v>
      </c>
      <c r="J667" s="17" t="s">
        <v>9</v>
      </c>
      <c r="K667" s="49" t="s">
        <v>998</v>
      </c>
      <c r="L667" s="4" t="str">
        <f ca="1">IF(ISERROR(VLOOKUP(B667,'ETL Scope'!I:I,1,0)),"NA","ETL")</f>
        <v>NA</v>
      </c>
      <c r="M667" s="29">
        <f ca="1">COUNTIF('Data-WK'!A:A,'V1'!B:B)</f>
        <v>1</v>
      </c>
      <c r="N667" s="29" t="e">
        <f ca="1">VLOOKUP(E667,'IFRS only'!A:A,1,0)</f>
        <v>#N/A</v>
      </c>
      <c r="P667" s="89"/>
    </row>
    <row r="668" spans="1:16" s="29" customFormat="1">
      <c r="A668" s="17" t="s">
        <v>3</v>
      </c>
      <c r="B668" s="17">
        <v>4240000140</v>
      </c>
      <c r="C668" s="75" t="s">
        <v>4519</v>
      </c>
      <c r="D668" s="3" t="s">
        <v>258</v>
      </c>
      <c r="E668" s="17" t="s">
        <v>2574</v>
      </c>
      <c r="F668" s="17" t="s">
        <v>3532</v>
      </c>
      <c r="G668" s="17" t="s">
        <v>3532</v>
      </c>
      <c r="H668" s="17" t="s">
        <v>3531</v>
      </c>
      <c r="I668" s="17" t="s">
        <v>3545</v>
      </c>
      <c r="J668" s="17" t="s">
        <v>9</v>
      </c>
      <c r="K668" s="49" t="s">
        <v>998</v>
      </c>
      <c r="L668" s="4" t="str">
        <f ca="1">IF(ISERROR(VLOOKUP(B668,'ETL Scope'!I:I,1,0)),"NA","ETL")</f>
        <v>NA</v>
      </c>
      <c r="M668" s="29">
        <f ca="1">COUNTIF('Data-WK'!A:A,'V1'!B:B)</f>
        <v>1</v>
      </c>
      <c r="N668" s="29" t="e">
        <f ca="1">VLOOKUP(E668,'IFRS only'!A:A,1,0)</f>
        <v>#N/A</v>
      </c>
      <c r="P668" s="89"/>
    </row>
    <row r="669" spans="1:16" s="29" customFormat="1">
      <c r="A669" s="17" t="s">
        <v>3</v>
      </c>
      <c r="B669" s="17">
        <v>4240001500</v>
      </c>
      <c r="C669" s="75" t="s">
        <v>4519</v>
      </c>
      <c r="D669" s="3" t="s">
        <v>5616</v>
      </c>
      <c r="E669" s="17" t="s">
        <v>5090</v>
      </c>
      <c r="F669" s="17" t="s">
        <v>3532</v>
      </c>
      <c r="G669" s="17" t="s">
        <v>3532</v>
      </c>
      <c r="H669" s="17" t="s">
        <v>3531</v>
      </c>
      <c r="I669" s="17" t="s">
        <v>3545</v>
      </c>
      <c r="J669" s="17" t="s">
        <v>9</v>
      </c>
      <c r="K669" s="49" t="s">
        <v>998</v>
      </c>
      <c r="L669" s="4" t="str">
        <f ca="1">IF(ISERROR(VLOOKUP(B669,'ETL Scope'!I:I,1,0)),"NA","ETL")</f>
        <v>NA</v>
      </c>
      <c r="M669" s="29">
        <f ca="1">COUNTIF('Data-WK'!A:A,'V1'!B:B)</f>
        <v>1</v>
      </c>
      <c r="N669" s="29" t="e">
        <f ca="1">VLOOKUP(E669,'IFRS only'!A:A,1,0)</f>
        <v>#N/A</v>
      </c>
      <c r="P669" s="89"/>
    </row>
    <row r="670" spans="1:16" s="29" customFormat="1">
      <c r="A670" s="17" t="s">
        <v>3</v>
      </c>
      <c r="B670" s="17">
        <v>4240001501</v>
      </c>
      <c r="C670" s="75" t="s">
        <v>4519</v>
      </c>
      <c r="D670" s="3" t="s">
        <v>249</v>
      </c>
      <c r="E670" s="17" t="s">
        <v>2565</v>
      </c>
      <c r="F670" s="17" t="s">
        <v>3532</v>
      </c>
      <c r="G670" s="17" t="s">
        <v>3532</v>
      </c>
      <c r="H670" s="17" t="s">
        <v>3531</v>
      </c>
      <c r="I670" s="17" t="s">
        <v>3545</v>
      </c>
      <c r="J670" s="17" t="s">
        <v>9</v>
      </c>
      <c r="K670" s="49" t="s">
        <v>998</v>
      </c>
      <c r="L670" s="4" t="str">
        <f ca="1">IF(ISERROR(VLOOKUP(B670,'ETL Scope'!I:I,1,0)),"NA","ETL")</f>
        <v>NA</v>
      </c>
      <c r="M670" s="29">
        <f ca="1">COUNTIF('Data-WK'!A:A,'V1'!B:B)</f>
        <v>1</v>
      </c>
      <c r="N670" s="29" t="e">
        <f ca="1">VLOOKUP(E670,'IFRS only'!A:A,1,0)</f>
        <v>#N/A</v>
      </c>
      <c r="P670" s="89"/>
    </row>
    <row r="671" spans="1:16" s="29" customFormat="1">
      <c r="A671" s="17" t="s">
        <v>3</v>
      </c>
      <c r="B671" s="17">
        <v>4240001502</v>
      </c>
      <c r="C671" s="75" t="s">
        <v>4519</v>
      </c>
      <c r="D671" s="3" t="s">
        <v>251</v>
      </c>
      <c r="E671" s="17" t="s">
        <v>2567</v>
      </c>
      <c r="F671" s="17" t="s">
        <v>3532</v>
      </c>
      <c r="G671" s="17" t="s">
        <v>3532</v>
      </c>
      <c r="H671" s="17" t="s">
        <v>3531</v>
      </c>
      <c r="I671" s="17" t="s">
        <v>3545</v>
      </c>
      <c r="J671" s="17" t="s">
        <v>9</v>
      </c>
      <c r="K671" s="49" t="s">
        <v>998</v>
      </c>
      <c r="L671" s="4" t="str">
        <f ca="1">IF(ISERROR(VLOOKUP(B671,'ETL Scope'!I:I,1,0)),"NA","ETL")</f>
        <v>NA</v>
      </c>
      <c r="M671" s="29">
        <f ca="1">COUNTIF('Data-WK'!A:A,'V1'!B:B)</f>
        <v>1</v>
      </c>
      <c r="N671" s="29" t="e">
        <f ca="1">VLOOKUP(E671,'IFRS only'!A:A,1,0)</f>
        <v>#N/A</v>
      </c>
      <c r="P671" s="89"/>
    </row>
    <row r="672" spans="1:16" s="29" customFormat="1">
      <c r="A672" s="17" t="s">
        <v>3</v>
      </c>
      <c r="B672" s="17">
        <v>4240001504</v>
      </c>
      <c r="C672" s="75" t="s">
        <v>4519</v>
      </c>
      <c r="D672" s="3" t="s">
        <v>5617</v>
      </c>
      <c r="E672" s="17" t="s">
        <v>2572</v>
      </c>
      <c r="F672" s="17" t="s">
        <v>3532</v>
      </c>
      <c r="G672" s="17" t="s">
        <v>3532</v>
      </c>
      <c r="H672" s="17" t="s">
        <v>3531</v>
      </c>
      <c r="I672" s="17" t="s">
        <v>3545</v>
      </c>
      <c r="J672" s="17" t="s">
        <v>9</v>
      </c>
      <c r="K672" s="49" t="s">
        <v>998</v>
      </c>
      <c r="L672" s="4" t="str">
        <f ca="1">IF(ISERROR(VLOOKUP(B672,'ETL Scope'!I:I,1,0)),"NA","ETL")</f>
        <v>NA</v>
      </c>
      <c r="M672" s="29">
        <f ca="1">COUNTIF('Data-WK'!A:A,'V1'!B:B)</f>
        <v>1</v>
      </c>
      <c r="N672" s="29" t="e">
        <f ca="1">VLOOKUP(E672,'IFRS only'!A:A,1,0)</f>
        <v>#N/A</v>
      </c>
      <c r="P672" s="89"/>
    </row>
    <row r="673" spans="1:16" s="29" customFormat="1">
      <c r="A673" s="17" t="s">
        <v>4</v>
      </c>
      <c r="B673" s="17">
        <v>4240001507</v>
      </c>
      <c r="C673" s="75" t="s">
        <v>4519</v>
      </c>
      <c r="D673" s="3" t="s">
        <v>4846</v>
      </c>
      <c r="E673" s="17" t="s">
        <v>2650</v>
      </c>
      <c r="F673" s="17" t="s">
        <v>3532</v>
      </c>
      <c r="G673" s="17" t="s">
        <v>3532</v>
      </c>
      <c r="H673" s="17" t="s">
        <v>3531</v>
      </c>
      <c r="I673" s="17" t="s">
        <v>3545</v>
      </c>
      <c r="J673" s="17" t="s">
        <v>9</v>
      </c>
      <c r="K673" s="49" t="s">
        <v>998</v>
      </c>
      <c r="L673" s="4" t="str">
        <f ca="1">IF(ISERROR(VLOOKUP(B673,'ETL Scope'!I:I,1,0)),"NA","ETL")</f>
        <v>NA</v>
      </c>
      <c r="M673" s="29">
        <f ca="1">COUNTIF('Data-WK'!A:A,'V1'!B:B)</f>
        <v>1</v>
      </c>
      <c r="N673" s="29" t="e">
        <f ca="1">VLOOKUP(E673,'IFRS only'!A:A,1,0)</f>
        <v>#N/A</v>
      </c>
      <c r="P673" s="89"/>
    </row>
    <row r="674" spans="1:16" s="29" customFormat="1">
      <c r="A674" s="17" t="s">
        <v>4</v>
      </c>
      <c r="B674" s="17">
        <v>4240001508</v>
      </c>
      <c r="C674" s="75" t="s">
        <v>4519</v>
      </c>
      <c r="D674" s="3" t="s">
        <v>4847</v>
      </c>
      <c r="E674" s="17" t="s">
        <v>2651</v>
      </c>
      <c r="F674" s="17" t="s">
        <v>3532</v>
      </c>
      <c r="G674" s="17" t="s">
        <v>3532</v>
      </c>
      <c r="H674" s="17" t="s">
        <v>3531</v>
      </c>
      <c r="I674" s="17" t="s">
        <v>3545</v>
      </c>
      <c r="J674" s="17" t="s">
        <v>9</v>
      </c>
      <c r="K674" s="49" t="s">
        <v>998</v>
      </c>
      <c r="L674" s="4" t="str">
        <f ca="1">IF(ISERROR(VLOOKUP(B674,'ETL Scope'!I:I,1,0)),"NA","ETL")</f>
        <v>NA</v>
      </c>
      <c r="M674" s="29">
        <f ca="1">COUNTIF('Data-WK'!A:A,'V1'!B:B)</f>
        <v>1</v>
      </c>
      <c r="N674" s="29" t="e">
        <f ca="1">VLOOKUP(E674,'IFRS only'!A:A,1,0)</f>
        <v>#N/A</v>
      </c>
      <c r="P674" s="89"/>
    </row>
    <row r="675" spans="1:16" s="29" customFormat="1">
      <c r="A675" s="17" t="s">
        <v>4</v>
      </c>
      <c r="B675" s="17">
        <v>4242101500</v>
      </c>
      <c r="C675" s="75" t="s">
        <v>4520</v>
      </c>
      <c r="D675" s="3" t="s">
        <v>3518</v>
      </c>
      <c r="E675" s="17" t="s">
        <v>2624</v>
      </c>
      <c r="F675" s="17" t="s">
        <v>3532</v>
      </c>
      <c r="G675" s="17" t="s">
        <v>3532</v>
      </c>
      <c r="H675" s="17" t="s">
        <v>3531</v>
      </c>
      <c r="I675" s="17" t="s">
        <v>3545</v>
      </c>
      <c r="J675" s="17" t="s">
        <v>9</v>
      </c>
      <c r="K675" s="49" t="s">
        <v>1036</v>
      </c>
      <c r="L675" s="4" t="str">
        <f ca="1">IF(ISERROR(VLOOKUP(B675,'ETL Scope'!I:I,1,0)),"NA","ETL")</f>
        <v>NA</v>
      </c>
      <c r="M675" s="29">
        <f ca="1">COUNTIF('Data-WK'!A:A,'V1'!B:B)</f>
        <v>1</v>
      </c>
      <c r="N675" s="29" t="e">
        <f ca="1">VLOOKUP(E675,'IFRS only'!A:A,1,0)</f>
        <v>#N/A</v>
      </c>
      <c r="P675" s="89"/>
    </row>
    <row r="676" spans="1:16" s="29" customFormat="1">
      <c r="A676" s="17" t="s">
        <v>4</v>
      </c>
      <c r="B676" s="17">
        <v>4243000001</v>
      </c>
      <c r="C676" s="75" t="s">
        <v>4521</v>
      </c>
      <c r="D676" s="3" t="s">
        <v>4848</v>
      </c>
      <c r="E676" s="17" t="s">
        <v>2681</v>
      </c>
      <c r="F676" s="17" t="s">
        <v>5092</v>
      </c>
      <c r="G676" s="17" t="s">
        <v>5093</v>
      </c>
      <c r="H676" s="17" t="s">
        <v>5093</v>
      </c>
      <c r="I676" s="17" t="s">
        <v>5093</v>
      </c>
      <c r="J676" s="17" t="s">
        <v>9</v>
      </c>
      <c r="K676" s="49" t="s">
        <v>1055</v>
      </c>
      <c r="L676" s="4" t="str">
        <f ca="1">IF(ISERROR(VLOOKUP(B676,'ETL Scope'!I:I,1,0)),"NA","ETL")</f>
        <v>NA</v>
      </c>
      <c r="M676" s="29">
        <f ca="1">COUNTIF('Data-WK'!A:A,'V1'!B:B)</f>
        <v>1</v>
      </c>
      <c r="N676" s="29" t="e">
        <f ca="1">VLOOKUP(E676,'IFRS only'!A:A,1,0)</f>
        <v>#N/A</v>
      </c>
      <c r="P676" s="89"/>
    </row>
    <row r="677" spans="1:16" s="29" customFormat="1">
      <c r="A677" s="17" t="s">
        <v>4</v>
      </c>
      <c r="B677" s="17">
        <v>4243000170</v>
      </c>
      <c r="C677" s="75" t="s">
        <v>4521</v>
      </c>
      <c r="D677" s="3" t="s">
        <v>269</v>
      </c>
      <c r="E677" s="17" t="s">
        <v>2587</v>
      </c>
      <c r="F677" s="17" t="s">
        <v>3532</v>
      </c>
      <c r="G677" s="17" t="s">
        <v>3532</v>
      </c>
      <c r="H677" s="17" t="s">
        <v>3531</v>
      </c>
      <c r="I677" s="17" t="s">
        <v>3545</v>
      </c>
      <c r="J677" s="17" t="s">
        <v>9</v>
      </c>
      <c r="K677" s="49" t="s">
        <v>1004</v>
      </c>
      <c r="L677" s="4" t="str">
        <f ca="1">IF(ISERROR(VLOOKUP(B677,'ETL Scope'!I:I,1,0)),"NA","ETL")</f>
        <v>NA</v>
      </c>
      <c r="M677" s="29">
        <f ca="1">COUNTIF('Data-WK'!A:A,'V1'!B:B)</f>
        <v>1</v>
      </c>
      <c r="N677" s="29" t="e">
        <f ca="1">VLOOKUP(E677,'IFRS only'!A:A,1,0)</f>
        <v>#N/A</v>
      </c>
      <c r="P677" s="89"/>
    </row>
    <row r="678" spans="1:16" s="29" customFormat="1">
      <c r="A678" s="17" t="s">
        <v>4</v>
      </c>
      <c r="B678" s="17">
        <v>4243000200</v>
      </c>
      <c r="C678" s="75" t="s">
        <v>4521</v>
      </c>
      <c r="D678" s="3" t="s">
        <v>5618</v>
      </c>
      <c r="E678" s="17" t="s">
        <v>2487</v>
      </c>
      <c r="F678" s="17" t="s">
        <v>3532</v>
      </c>
      <c r="G678" s="17" t="s">
        <v>3532</v>
      </c>
      <c r="H678" s="17" t="s">
        <v>3531</v>
      </c>
      <c r="I678" s="17" t="s">
        <v>3545</v>
      </c>
      <c r="J678" s="17" t="s">
        <v>9</v>
      </c>
      <c r="K678" s="49" t="s">
        <v>993</v>
      </c>
      <c r="L678" s="4" t="str">
        <f ca="1">IF(ISERROR(VLOOKUP(B678,'ETL Scope'!I:I,1,0)),"NA","ETL")</f>
        <v>NA</v>
      </c>
      <c r="M678" s="29">
        <f ca="1">COUNTIF('Data-WK'!A:A,'V1'!B:B)</f>
        <v>1</v>
      </c>
      <c r="N678" s="29" t="e">
        <f ca="1">VLOOKUP(E678,'IFRS only'!A:A,1,0)</f>
        <v>#N/A</v>
      </c>
      <c r="P678" s="89"/>
    </row>
    <row r="679" spans="1:16" s="29" customFormat="1">
      <c r="A679" s="17" t="s">
        <v>4</v>
      </c>
      <c r="B679" s="17">
        <v>4243000431</v>
      </c>
      <c r="C679" s="75" t="s">
        <v>4521</v>
      </c>
      <c r="D679" s="3" t="s">
        <v>3516</v>
      </c>
      <c r="E679" s="17" t="s">
        <v>2622</v>
      </c>
      <c r="F679" s="17" t="s">
        <v>3532</v>
      </c>
      <c r="G679" s="17" t="s">
        <v>3532</v>
      </c>
      <c r="H679" s="17" t="s">
        <v>3531</v>
      </c>
      <c r="I679" s="17" t="s">
        <v>3545</v>
      </c>
      <c r="J679" s="17" t="s">
        <v>9</v>
      </c>
      <c r="K679" s="49" t="s">
        <v>1044</v>
      </c>
      <c r="L679" s="4" t="str">
        <f ca="1">IF(ISERROR(VLOOKUP(B679,'ETL Scope'!I:I,1,0)),"NA","ETL")</f>
        <v>NA</v>
      </c>
      <c r="M679" s="29">
        <f ca="1">COUNTIF('Data-WK'!A:A,'V1'!B:B)</f>
        <v>1</v>
      </c>
      <c r="N679" s="29" t="e">
        <f ca="1">VLOOKUP(E679,'IFRS only'!A:A,1,0)</f>
        <v>#N/A</v>
      </c>
      <c r="P679" s="89"/>
    </row>
    <row r="680" spans="1:16" s="29" customFormat="1">
      <c r="A680" s="17" t="s">
        <v>4</v>
      </c>
      <c r="B680" s="17">
        <v>4243000432</v>
      </c>
      <c r="C680" s="75" t="s">
        <v>4521</v>
      </c>
      <c r="D680" s="3" t="s">
        <v>3517</v>
      </c>
      <c r="E680" s="17" t="s">
        <v>2623</v>
      </c>
      <c r="F680" s="17" t="s">
        <v>3532</v>
      </c>
      <c r="G680" s="17" t="s">
        <v>3532</v>
      </c>
      <c r="H680" s="17" t="s">
        <v>3531</v>
      </c>
      <c r="I680" s="17" t="s">
        <v>3545</v>
      </c>
      <c r="J680" s="17" t="s">
        <v>9</v>
      </c>
      <c r="K680" s="49" t="s">
        <v>1044</v>
      </c>
      <c r="L680" s="4" t="str">
        <f ca="1">IF(ISERROR(VLOOKUP(B680,'ETL Scope'!I:I,1,0)),"NA","ETL")</f>
        <v>NA</v>
      </c>
      <c r="M680" s="29">
        <f ca="1">COUNTIF('Data-WK'!A:A,'V1'!B:B)</f>
        <v>1</v>
      </c>
      <c r="N680" s="29" t="e">
        <f ca="1">VLOOKUP(E680,'IFRS only'!A:A,1,0)</f>
        <v>#N/A</v>
      </c>
      <c r="P680" s="89"/>
    </row>
    <row r="681" spans="1:16" s="29" customFormat="1">
      <c r="A681" s="17" t="s">
        <v>3</v>
      </c>
      <c r="B681" s="17">
        <v>4243000434</v>
      </c>
      <c r="C681" s="75" t="s">
        <v>4521</v>
      </c>
      <c r="D681" s="3" t="s">
        <v>3519</v>
      </c>
      <c r="E681" s="17" t="s">
        <v>2626</v>
      </c>
      <c r="F681" s="17" t="s">
        <v>3532</v>
      </c>
      <c r="G681" s="17" t="s">
        <v>3532</v>
      </c>
      <c r="H681" s="17" t="s">
        <v>3531</v>
      </c>
      <c r="I681" s="17" t="s">
        <v>3545</v>
      </c>
      <c r="J681" s="17" t="s">
        <v>9</v>
      </c>
      <c r="K681" s="49" t="s">
        <v>1044</v>
      </c>
      <c r="L681" s="4" t="str">
        <f ca="1">IF(ISERROR(VLOOKUP(B681,'ETL Scope'!I:I,1,0)),"NA","ETL")</f>
        <v>NA</v>
      </c>
      <c r="M681" s="29">
        <f ca="1">COUNTIF('Data-WK'!A:A,'V1'!B:B)</f>
        <v>1</v>
      </c>
      <c r="N681" s="29" t="e">
        <f ca="1">VLOOKUP(E681,'IFRS only'!A:A,1,0)</f>
        <v>#N/A</v>
      </c>
      <c r="P681" s="89"/>
    </row>
    <row r="682" spans="1:16" s="29" customFormat="1">
      <c r="A682" s="17" t="s">
        <v>4</v>
      </c>
      <c r="B682" s="17">
        <v>4243000435</v>
      </c>
      <c r="C682" s="75" t="s">
        <v>4521</v>
      </c>
      <c r="D682" s="3" t="s">
        <v>3522</v>
      </c>
      <c r="E682" s="17" t="s">
        <v>2630</v>
      </c>
      <c r="F682" s="17" t="s">
        <v>3532</v>
      </c>
      <c r="G682" s="17" t="s">
        <v>3532</v>
      </c>
      <c r="H682" s="17" t="s">
        <v>3531</v>
      </c>
      <c r="I682" s="17" t="s">
        <v>3545</v>
      </c>
      <c r="J682" s="17" t="s">
        <v>9</v>
      </c>
      <c r="K682" s="49" t="s">
        <v>5532</v>
      </c>
      <c r="L682" s="4" t="str">
        <f ca="1">IF(ISERROR(VLOOKUP(B682,'ETL Scope'!I:I,1,0)),"NA","ETL")</f>
        <v>NA</v>
      </c>
      <c r="M682" s="29">
        <f ca="1">COUNTIF('Data-WK'!A:A,'V1'!B:B)</f>
        <v>1</v>
      </c>
      <c r="N682" s="29" t="e">
        <f ca="1">VLOOKUP(E682,'IFRS only'!A:A,1,0)</f>
        <v>#N/A</v>
      </c>
      <c r="P682" s="89"/>
    </row>
    <row r="683" spans="1:16" s="29" customFormat="1">
      <c r="A683" s="17" t="s">
        <v>4</v>
      </c>
      <c r="B683" s="17">
        <v>4243000436</v>
      </c>
      <c r="C683" s="75" t="s">
        <v>4521</v>
      </c>
      <c r="D683" s="3" t="s">
        <v>3521</v>
      </c>
      <c r="E683" s="17" t="s">
        <v>2629</v>
      </c>
      <c r="F683" s="17" t="s">
        <v>3532</v>
      </c>
      <c r="G683" s="17" t="s">
        <v>3532</v>
      </c>
      <c r="H683" s="17" t="s">
        <v>3531</v>
      </c>
      <c r="I683" s="17" t="s">
        <v>3545</v>
      </c>
      <c r="J683" s="17" t="s">
        <v>9</v>
      </c>
      <c r="K683" s="49" t="s">
        <v>5532</v>
      </c>
      <c r="L683" s="4" t="str">
        <f ca="1">IF(ISERROR(VLOOKUP(B683,'ETL Scope'!I:I,1,0)),"NA","ETL")</f>
        <v>NA</v>
      </c>
      <c r="M683" s="29">
        <f ca="1">COUNTIF('Data-WK'!A:A,'V1'!B:B)</f>
        <v>1</v>
      </c>
      <c r="N683" s="29" t="e">
        <f ca="1">VLOOKUP(E683,'IFRS only'!A:A,1,0)</f>
        <v>#N/A</v>
      </c>
      <c r="P683" s="89"/>
    </row>
    <row r="684" spans="1:16" s="29" customFormat="1">
      <c r="A684" s="17" t="s">
        <v>4</v>
      </c>
      <c r="B684" s="17">
        <v>4243000440</v>
      </c>
      <c r="C684" s="75" t="s">
        <v>4521</v>
      </c>
      <c r="D684" s="3" t="s">
        <v>3520</v>
      </c>
      <c r="E684" s="17" t="s">
        <v>2628</v>
      </c>
      <c r="F684" s="17" t="s">
        <v>3532</v>
      </c>
      <c r="G684" s="17" t="s">
        <v>3532</v>
      </c>
      <c r="H684" s="17" t="s">
        <v>3531</v>
      </c>
      <c r="I684" s="17" t="s">
        <v>3545</v>
      </c>
      <c r="J684" s="17" t="s">
        <v>9</v>
      </c>
      <c r="K684" s="49" t="s">
        <v>1044</v>
      </c>
      <c r="L684" s="4" t="str">
        <f ca="1">IF(ISERROR(VLOOKUP(B684,'ETL Scope'!I:I,1,0)),"NA","ETL")</f>
        <v>NA</v>
      </c>
      <c r="M684" s="29">
        <f ca="1">COUNTIF('Data-WK'!A:A,'V1'!B:B)</f>
        <v>1</v>
      </c>
      <c r="N684" s="29" t="e">
        <f ca="1">VLOOKUP(E684,'IFRS only'!A:A,1,0)</f>
        <v>#N/A</v>
      </c>
      <c r="P684" s="89"/>
    </row>
    <row r="685" spans="1:16" s="31" customFormat="1">
      <c r="A685" s="17" t="s">
        <v>3</v>
      </c>
      <c r="B685" s="17">
        <v>4243000441</v>
      </c>
      <c r="C685" s="75" t="s">
        <v>4521</v>
      </c>
      <c r="D685" s="3" t="s">
        <v>3524</v>
      </c>
      <c r="E685" s="17" t="s">
        <v>2635</v>
      </c>
      <c r="F685" s="17" t="s">
        <v>3532</v>
      </c>
      <c r="G685" s="17" t="s">
        <v>3532</v>
      </c>
      <c r="H685" s="17" t="s">
        <v>3531</v>
      </c>
      <c r="I685" s="17" t="s">
        <v>3545</v>
      </c>
      <c r="J685" s="17" t="s">
        <v>9</v>
      </c>
      <c r="K685" s="49" t="s">
        <v>1044</v>
      </c>
      <c r="L685" s="4" t="str">
        <f ca="1">IF(ISERROR(VLOOKUP(B685,'ETL Scope'!I:I,1,0)),"NA","ETL")</f>
        <v>NA</v>
      </c>
      <c r="M685" s="29">
        <f ca="1">COUNTIF('Data-WK'!A:A,'V1'!B:B)</f>
        <v>1</v>
      </c>
      <c r="N685" s="29" t="e">
        <f ca="1">VLOOKUP(E685,'IFRS only'!A:A,1,0)</f>
        <v>#N/A</v>
      </c>
      <c r="O685" s="29"/>
      <c r="P685" s="89"/>
    </row>
    <row r="686" spans="1:16" s="31" customFormat="1">
      <c r="A686" s="17" t="s">
        <v>4</v>
      </c>
      <c r="B686" s="17">
        <v>4244000000</v>
      </c>
      <c r="C686" s="75" t="s">
        <v>4522</v>
      </c>
      <c r="D686" s="3" t="s">
        <v>4849</v>
      </c>
      <c r="E686" s="17" t="s">
        <v>2641</v>
      </c>
      <c r="F686" s="17" t="s">
        <v>3532</v>
      </c>
      <c r="G686" s="17" t="s">
        <v>3532</v>
      </c>
      <c r="H686" s="17" t="s">
        <v>3531</v>
      </c>
      <c r="I686" s="17" t="s">
        <v>3545</v>
      </c>
      <c r="J686" s="17" t="s">
        <v>9</v>
      </c>
      <c r="K686" s="49" t="s">
        <v>1043</v>
      </c>
      <c r="L686" s="4" t="str">
        <f ca="1">IF(ISERROR(VLOOKUP(B686,'ETL Scope'!I:I,1,0)),"NA","ETL")</f>
        <v>NA</v>
      </c>
      <c r="M686" s="29">
        <f ca="1">COUNTIF('Data-WK'!A:A,'V1'!B:B)</f>
        <v>1</v>
      </c>
      <c r="N686" s="29" t="e">
        <f ca="1">VLOOKUP(E686,'IFRS only'!A:A,1,0)</f>
        <v>#N/A</v>
      </c>
      <c r="O686" s="29"/>
      <c r="P686" s="89"/>
    </row>
    <row r="687" spans="1:16" s="29" customFormat="1">
      <c r="A687" s="17" t="s">
        <v>4</v>
      </c>
      <c r="B687" s="17">
        <v>4244000010</v>
      </c>
      <c r="C687" s="75" t="s">
        <v>4522</v>
      </c>
      <c r="D687" s="3" t="s">
        <v>4850</v>
      </c>
      <c r="E687" s="17" t="s">
        <v>2631</v>
      </c>
      <c r="F687" s="17" t="s">
        <v>3532</v>
      </c>
      <c r="G687" s="17" t="s">
        <v>3532</v>
      </c>
      <c r="H687" s="17" t="s">
        <v>3531</v>
      </c>
      <c r="I687" s="17" t="s">
        <v>3545</v>
      </c>
      <c r="J687" s="17" t="s">
        <v>9</v>
      </c>
      <c r="K687" s="49" t="s">
        <v>1037</v>
      </c>
      <c r="L687" s="4" t="str">
        <f ca="1">IF(ISERROR(VLOOKUP(B687,'ETL Scope'!I:I,1,0)),"NA","ETL")</f>
        <v>NA</v>
      </c>
      <c r="M687" s="29">
        <f ca="1">COUNTIF('Data-WK'!A:A,'V1'!B:B)</f>
        <v>1</v>
      </c>
      <c r="N687" s="29" t="e">
        <f ca="1">VLOOKUP(E687,'IFRS only'!A:A,1,0)</f>
        <v>#N/A</v>
      </c>
      <c r="P687" s="89"/>
    </row>
    <row r="688" spans="1:16" s="29" customFormat="1">
      <c r="A688" s="17" t="s">
        <v>4</v>
      </c>
      <c r="B688" s="17">
        <v>4250001500</v>
      </c>
      <c r="C688" s="75" t="s">
        <v>4523</v>
      </c>
      <c r="D688" s="3" t="s">
        <v>320</v>
      </c>
      <c r="E688" s="17" t="s">
        <v>2643</v>
      </c>
      <c r="F688" s="17" t="s">
        <v>3532</v>
      </c>
      <c r="G688" s="17" t="s">
        <v>3532</v>
      </c>
      <c r="H688" s="17" t="s">
        <v>3531</v>
      </c>
      <c r="I688" s="17" t="s">
        <v>3545</v>
      </c>
      <c r="J688" s="17" t="s">
        <v>9</v>
      </c>
      <c r="K688" s="49" t="s">
        <v>1045</v>
      </c>
      <c r="L688" s="4" t="str">
        <f ca="1">IF(ISERROR(VLOOKUP(B688,'ETL Scope'!I:I,1,0)),"NA","ETL")</f>
        <v>NA</v>
      </c>
      <c r="M688" s="29">
        <f ca="1">COUNTIF('Data-WK'!A:A,'V1'!B:B)</f>
        <v>1</v>
      </c>
      <c r="N688" s="29" t="e">
        <f ca="1">VLOOKUP(E688,'IFRS only'!A:A,1,0)</f>
        <v>#N/A</v>
      </c>
      <c r="P688" s="89"/>
    </row>
    <row r="689" spans="1:16" s="31" customFormat="1">
      <c r="A689" s="17" t="s">
        <v>4</v>
      </c>
      <c r="B689" s="17">
        <v>4310001500</v>
      </c>
      <c r="C689" s="75" t="s">
        <v>4524</v>
      </c>
      <c r="D689" s="3" t="s">
        <v>347</v>
      </c>
      <c r="E689" s="17" t="s">
        <v>2680</v>
      </c>
      <c r="F689" s="17" t="s">
        <v>3532</v>
      </c>
      <c r="G689" s="17" t="s">
        <v>3532</v>
      </c>
      <c r="H689" s="17" t="s">
        <v>3531</v>
      </c>
      <c r="I689" s="17" t="s">
        <v>3545</v>
      </c>
      <c r="J689" s="17" t="s">
        <v>9</v>
      </c>
      <c r="K689" s="49" t="s">
        <v>1054</v>
      </c>
      <c r="L689" s="4" t="str">
        <f ca="1">IF(ISERROR(VLOOKUP(B689,'ETL Scope'!I:I,1,0)),"NA","ETL")</f>
        <v>NA</v>
      </c>
      <c r="M689" s="29">
        <f ca="1">COUNTIF('Data-WK'!A:A,'V1'!B:B)</f>
        <v>1</v>
      </c>
      <c r="N689" s="29" t="e">
        <f ca="1">VLOOKUP(E689,'IFRS only'!A:A,1,0)</f>
        <v>#N/A</v>
      </c>
      <c r="O689" s="29"/>
      <c r="P689" s="89"/>
    </row>
    <row r="690" spans="1:16" s="29" customFormat="1">
      <c r="A690" s="17" t="s">
        <v>4</v>
      </c>
      <c r="B690" s="17">
        <v>4500000010</v>
      </c>
      <c r="C690" s="76" t="s">
        <v>3839</v>
      </c>
      <c r="D690" s="3" t="s">
        <v>352</v>
      </c>
      <c r="E690" s="17" t="s">
        <v>5091</v>
      </c>
      <c r="F690" s="17" t="s">
        <v>1544</v>
      </c>
      <c r="G690" s="17" t="s">
        <v>3525</v>
      </c>
      <c r="H690" s="17" t="s">
        <v>3525</v>
      </c>
      <c r="I690" s="17" t="s">
        <v>3525</v>
      </c>
      <c r="J690" s="17" t="s">
        <v>9</v>
      </c>
      <c r="K690" s="49" t="s">
        <v>1056</v>
      </c>
      <c r="L690" s="4" t="str">
        <f ca="1">IF(ISERROR(VLOOKUP(B690,'ETL Scope'!I:I,1,0)),"NA","ETL")</f>
        <v>NA</v>
      </c>
      <c r="M690" s="29">
        <f ca="1">COUNTIF('Data-WK'!A:A,'V1'!B:B)</f>
        <v>1</v>
      </c>
      <c r="N690" s="29" t="e">
        <f ca="1">VLOOKUP(E690,'IFRS only'!A:A,1,0)</f>
        <v>#N/A</v>
      </c>
      <c r="O690" s="31"/>
      <c r="P690" s="89"/>
    </row>
    <row r="691" spans="1:16" s="29" customFormat="1">
      <c r="A691" s="17" t="s">
        <v>4</v>
      </c>
      <c r="B691" s="17">
        <v>4500101500</v>
      </c>
      <c r="C691" s="76" t="s">
        <v>4525</v>
      </c>
      <c r="D691" s="3" t="s">
        <v>3540</v>
      </c>
      <c r="E691" s="17" t="s">
        <v>2693</v>
      </c>
      <c r="F691" s="17" t="s">
        <v>3532</v>
      </c>
      <c r="G691" s="17" t="s">
        <v>3532</v>
      </c>
      <c r="H691" s="17" t="s">
        <v>3531</v>
      </c>
      <c r="I691" s="17" t="s">
        <v>3545</v>
      </c>
      <c r="J691" s="17" t="s">
        <v>9</v>
      </c>
      <c r="K691" s="49" t="s">
        <v>1061</v>
      </c>
      <c r="L691" s="4" t="str">
        <f ca="1">IF(ISERROR(VLOOKUP(B691,'ETL Scope'!I:I,1,0)),"NA","ETL")</f>
        <v>NA</v>
      </c>
      <c r="M691" s="29">
        <f ca="1">COUNTIF('Data-WK'!A:A,'V1'!B:B)</f>
        <v>1</v>
      </c>
      <c r="N691" s="29" t="e">
        <f ca="1">VLOOKUP(E691,'IFRS only'!A:A,1,0)</f>
        <v>#N/A</v>
      </c>
      <c r="O691" s="31"/>
      <c r="P691" s="89"/>
    </row>
    <row r="692" spans="1:16" s="29" customFormat="1">
      <c r="A692" s="17" t="s">
        <v>4</v>
      </c>
      <c r="B692" s="17">
        <v>4510000010</v>
      </c>
      <c r="C692" s="76" t="s">
        <v>4526</v>
      </c>
      <c r="D692" s="3" t="s">
        <v>5619</v>
      </c>
      <c r="E692" s="17" t="s">
        <v>2648</v>
      </c>
      <c r="F692" s="17" t="s">
        <v>3532</v>
      </c>
      <c r="G692" s="17" t="s">
        <v>3532</v>
      </c>
      <c r="H692" s="17" t="s">
        <v>3531</v>
      </c>
      <c r="I692" s="17" t="s">
        <v>3545</v>
      </c>
      <c r="J692" s="17" t="s">
        <v>9</v>
      </c>
      <c r="K692" s="49" t="s">
        <v>1047</v>
      </c>
      <c r="L692" s="4" t="str">
        <f ca="1">IF(ISERROR(VLOOKUP(B692,'ETL Scope'!I:I,1,0)),"NA","ETL")</f>
        <v>NA</v>
      </c>
      <c r="M692" s="29">
        <f ca="1">COUNTIF('Data-WK'!A:A,'V1'!B:B)</f>
        <v>1</v>
      </c>
      <c r="N692" s="29" t="e">
        <f ca="1">VLOOKUP(E692,'IFRS only'!A:A,1,0)</f>
        <v>#N/A</v>
      </c>
      <c r="O692" s="31"/>
      <c r="P692" s="89"/>
    </row>
    <row r="693" spans="1:16" s="29" customFormat="1">
      <c r="A693" s="17" t="s">
        <v>4</v>
      </c>
      <c r="B693" s="17">
        <v>4540000001</v>
      </c>
      <c r="C693" s="76" t="s">
        <v>4527</v>
      </c>
      <c r="D693" s="3" t="s">
        <v>1434</v>
      </c>
      <c r="E693" s="17" t="s">
        <v>2698</v>
      </c>
      <c r="F693" s="17" t="s">
        <v>3532</v>
      </c>
      <c r="G693" s="17" t="s">
        <v>3532</v>
      </c>
      <c r="H693" s="17" t="s">
        <v>3531</v>
      </c>
      <c r="I693" s="17" t="s">
        <v>3545</v>
      </c>
      <c r="J693" s="17" t="s">
        <v>9</v>
      </c>
      <c r="K693" s="49" t="s">
        <v>5533</v>
      </c>
      <c r="L693" s="4" t="str">
        <f ca="1">IF(ISERROR(VLOOKUP(B693,'ETL Scope'!I:I,1,0)),"NA","ETL")</f>
        <v>NA</v>
      </c>
      <c r="M693" s="29">
        <f ca="1">COUNTIF('Data-WK'!A:A,'V1'!B:B)</f>
        <v>1</v>
      </c>
      <c r="N693" s="29" t="e">
        <f ca="1">VLOOKUP(E693,'IFRS only'!A:A,1,0)</f>
        <v>#N/A</v>
      </c>
      <c r="P693" s="89"/>
    </row>
    <row r="694" spans="1:16" s="31" customFormat="1">
      <c r="A694" s="17" t="s">
        <v>4</v>
      </c>
      <c r="B694" s="17">
        <v>4540000010</v>
      </c>
      <c r="C694" s="76" t="s">
        <v>4527</v>
      </c>
      <c r="D694" s="3" t="s">
        <v>4851</v>
      </c>
      <c r="E694" s="17" t="s">
        <v>2697</v>
      </c>
      <c r="F694" s="17" t="s">
        <v>9</v>
      </c>
      <c r="G694" s="17" t="s">
        <v>3532</v>
      </c>
      <c r="H694" s="17" t="s">
        <v>3531</v>
      </c>
      <c r="I694" s="17" t="s">
        <v>3545</v>
      </c>
      <c r="J694" s="17" t="s">
        <v>9</v>
      </c>
      <c r="K694" s="49" t="s">
        <v>5533</v>
      </c>
      <c r="L694" s="4" t="str">
        <f ca="1">IF(ISERROR(VLOOKUP(B694,'ETL Scope'!I:I,1,0)),"NA","ETL")</f>
        <v>NA</v>
      </c>
      <c r="M694" s="29">
        <f ca="1">COUNTIF('Data-WK'!A:A,'V1'!B:B)</f>
        <v>1</v>
      </c>
      <c r="N694" s="29" t="str">
        <f ca="1">VLOOKUP(E694,'IFRS only'!A:A,1,0)</f>
        <v>320305</v>
      </c>
      <c r="P694" s="89"/>
    </row>
    <row r="695" spans="1:16" s="31" customFormat="1">
      <c r="A695" s="17" t="s">
        <v>4</v>
      </c>
      <c r="B695" s="17">
        <v>4540000020</v>
      </c>
      <c r="C695" s="76" t="s">
        <v>4527</v>
      </c>
      <c r="D695" s="3" t="s">
        <v>5840</v>
      </c>
      <c r="E695" s="17" t="s">
        <v>2697</v>
      </c>
      <c r="F695" s="17" t="s">
        <v>9</v>
      </c>
      <c r="G695" s="17" t="s">
        <v>3391</v>
      </c>
      <c r="H695" s="17" t="s">
        <v>9</v>
      </c>
      <c r="I695" s="17" t="s">
        <v>9</v>
      </c>
      <c r="J695" s="17" t="s">
        <v>9</v>
      </c>
      <c r="K695" s="49" t="s">
        <v>5533</v>
      </c>
      <c r="L695" s="4" t="s">
        <v>9</v>
      </c>
      <c r="M695" s="29">
        <v>1</v>
      </c>
      <c r="N695" s="29" t="s">
        <v>2697</v>
      </c>
      <c r="P695" s="89"/>
    </row>
    <row r="696" spans="1:16" s="31" customFormat="1">
      <c r="A696" s="17" t="s">
        <v>4</v>
      </c>
      <c r="B696" s="17">
        <v>4540000030</v>
      </c>
      <c r="C696" s="76" t="s">
        <v>4527</v>
      </c>
      <c r="D696" s="3" t="s">
        <v>5841</v>
      </c>
      <c r="E696" s="17" t="s">
        <v>2697</v>
      </c>
      <c r="F696" s="17" t="s">
        <v>9</v>
      </c>
      <c r="G696" s="17" t="s">
        <v>3391</v>
      </c>
      <c r="H696" s="17" t="s">
        <v>9</v>
      </c>
      <c r="I696" s="17" t="s">
        <v>9</v>
      </c>
      <c r="J696" s="17" t="s">
        <v>9</v>
      </c>
      <c r="K696" s="49" t="s">
        <v>5533</v>
      </c>
      <c r="L696" s="4" t="s">
        <v>9</v>
      </c>
      <c r="M696" s="29">
        <v>1</v>
      </c>
      <c r="N696" s="29" t="s">
        <v>2697</v>
      </c>
      <c r="P696" s="89"/>
    </row>
    <row r="697" spans="1:16" s="29" customFormat="1">
      <c r="A697" s="17" t="s">
        <v>2</v>
      </c>
      <c r="B697" s="17">
        <v>4600000000</v>
      </c>
      <c r="C697" s="76" t="s">
        <v>3849</v>
      </c>
      <c r="D697" s="3" t="s">
        <v>4852</v>
      </c>
      <c r="E697" s="17" t="s">
        <v>2689</v>
      </c>
      <c r="F697" s="17" t="s">
        <v>3391</v>
      </c>
      <c r="G697" s="17" t="s">
        <v>3391</v>
      </c>
      <c r="H697" s="17" t="s">
        <v>9</v>
      </c>
      <c r="I697" s="17" t="s">
        <v>3391</v>
      </c>
      <c r="J697" s="17" t="s">
        <v>9</v>
      </c>
      <c r="K697" s="49" t="s">
        <v>1058</v>
      </c>
      <c r="L697" s="4"/>
      <c r="P697" s="89"/>
    </row>
    <row r="698" spans="1:16" s="29" customFormat="1">
      <c r="A698" s="17" t="s">
        <v>2</v>
      </c>
      <c r="B698" s="17">
        <v>4600000001</v>
      </c>
      <c r="C698" s="76" t="s">
        <v>3849</v>
      </c>
      <c r="D698" s="3" t="s">
        <v>5620</v>
      </c>
      <c r="E698" s="17" t="s">
        <v>2689</v>
      </c>
      <c r="F698" s="17" t="s">
        <v>3532</v>
      </c>
      <c r="G698" s="17" t="s">
        <v>3532</v>
      </c>
      <c r="H698" s="17" t="s">
        <v>3531</v>
      </c>
      <c r="I698" s="17" t="s">
        <v>3544</v>
      </c>
      <c r="J698" s="17" t="s">
        <v>9</v>
      </c>
      <c r="K698" s="49" t="s">
        <v>1058</v>
      </c>
      <c r="L698" s="4" t="str">
        <f ca="1">IF(ISERROR(VLOOKUP(B698,'ETL Scope'!I:I,1,0)),"NA","ETL")</f>
        <v>NA</v>
      </c>
      <c r="M698" s="29">
        <f ca="1">COUNTIF('Data-WK'!A:A,'V1'!B:B)</f>
        <v>0</v>
      </c>
      <c r="N698" s="29" t="e">
        <f ca="1">VLOOKUP(E698,'IFRS only'!A:A,1,0)</f>
        <v>#N/A</v>
      </c>
      <c r="P698" s="89"/>
    </row>
    <row r="699" spans="1:16" s="31" customFormat="1">
      <c r="A699" s="17" t="s">
        <v>7</v>
      </c>
      <c r="B699" s="17">
        <v>4602000000</v>
      </c>
      <c r="C699" s="76" t="s">
        <v>4528</v>
      </c>
      <c r="D699" s="3" t="s">
        <v>4853</v>
      </c>
      <c r="E699" s="17" t="s">
        <v>2692</v>
      </c>
      <c r="F699" s="17" t="s">
        <v>3532</v>
      </c>
      <c r="G699" s="17" t="s">
        <v>3532</v>
      </c>
      <c r="H699" s="17" t="s">
        <v>3531</v>
      </c>
      <c r="I699" s="17" t="s">
        <v>3545</v>
      </c>
      <c r="J699" s="17" t="s">
        <v>9</v>
      </c>
      <c r="K699" s="49" t="s">
        <v>1060</v>
      </c>
      <c r="L699" s="4" t="str">
        <f ca="1">IF(ISERROR(VLOOKUP(B699,'ETL Scope'!I:I,1,0)),"NA","ETL")</f>
        <v>NA</v>
      </c>
      <c r="M699" s="29">
        <f ca="1">COUNTIF('Data-WK'!A:A,'V1'!B:B)</f>
        <v>1</v>
      </c>
      <c r="N699" s="29" t="e">
        <f ca="1">VLOOKUP(E699,'IFRS only'!A:A,1,0)</f>
        <v>#N/A</v>
      </c>
      <c r="O699" s="29"/>
      <c r="P699" s="89"/>
    </row>
    <row r="700" spans="1:16" s="31" customFormat="1">
      <c r="A700" s="17" t="s">
        <v>4</v>
      </c>
      <c r="B700" s="17">
        <v>4610000000</v>
      </c>
      <c r="C700" s="76" t="s">
        <v>4529</v>
      </c>
      <c r="D700" s="3" t="s">
        <v>4854</v>
      </c>
      <c r="E700" s="17" t="s">
        <v>2694</v>
      </c>
      <c r="F700" s="17" t="s">
        <v>9</v>
      </c>
      <c r="G700" s="17" t="s">
        <v>3440</v>
      </c>
      <c r="H700" s="17" t="s">
        <v>3531</v>
      </c>
      <c r="I700" s="17" t="s">
        <v>3545</v>
      </c>
      <c r="J700" s="17" t="s">
        <v>9</v>
      </c>
      <c r="K700" s="49" t="s">
        <v>1062</v>
      </c>
      <c r="L700" s="4" t="str">
        <f ca="1">IF(ISERROR(VLOOKUP(B700,'ETL Scope'!I:I,1,0)),"NA","ETL")</f>
        <v>ETL</v>
      </c>
      <c r="M700" s="29">
        <f ca="1">COUNTIF('Data-WK'!A:A,'V1'!B:B)</f>
        <v>1</v>
      </c>
      <c r="N700" s="29" t="str">
        <f ca="1">VLOOKUP(E700,'IFRS only'!A:A,1,0)</f>
        <v>320302</v>
      </c>
      <c r="O700" s="29"/>
      <c r="P700" s="89"/>
    </row>
    <row r="701" spans="1:16" s="31" customFormat="1">
      <c r="A701" s="17" t="s">
        <v>4</v>
      </c>
      <c r="B701" s="17">
        <v>4611000000</v>
      </c>
      <c r="C701" s="76" t="s">
        <v>4530</v>
      </c>
      <c r="D701" s="3" t="s">
        <v>4855</v>
      </c>
      <c r="E701" s="17" t="s">
        <v>2696</v>
      </c>
      <c r="F701" s="17" t="s">
        <v>9</v>
      </c>
      <c r="G701" s="17" t="s">
        <v>3440</v>
      </c>
      <c r="H701" s="17" t="s">
        <v>3531</v>
      </c>
      <c r="I701" s="17" t="s">
        <v>3545</v>
      </c>
      <c r="J701" s="17" t="s">
        <v>9</v>
      </c>
      <c r="K701" s="49" t="s">
        <v>1064</v>
      </c>
      <c r="L701" s="4" t="str">
        <f ca="1">IF(ISERROR(VLOOKUP(B701,'ETL Scope'!I:I,1,0)),"NA","ETL")</f>
        <v>ETL</v>
      </c>
      <c r="M701" s="29">
        <f ca="1">COUNTIF('Data-WK'!A:A,'V1'!B:B)</f>
        <v>1</v>
      </c>
      <c r="N701" s="29" t="str">
        <f ca="1">VLOOKUP(E701,'IFRS only'!A:A,1,0)</f>
        <v>320304</v>
      </c>
      <c r="P701" s="89"/>
    </row>
    <row r="702" spans="1:16" s="29" customFormat="1">
      <c r="A702" s="17" t="s">
        <v>4</v>
      </c>
      <c r="B702" s="17">
        <v>4612000000</v>
      </c>
      <c r="C702" s="76" t="s">
        <v>4531</v>
      </c>
      <c r="D702" s="86" t="s">
        <v>5711</v>
      </c>
      <c r="E702" s="17" t="s">
        <v>2695</v>
      </c>
      <c r="F702" s="17" t="s">
        <v>9</v>
      </c>
      <c r="G702" s="17" t="s">
        <v>3440</v>
      </c>
      <c r="H702" s="17" t="s">
        <v>3531</v>
      </c>
      <c r="I702" s="17" t="s">
        <v>3545</v>
      </c>
      <c r="J702" s="17" t="s">
        <v>9</v>
      </c>
      <c r="K702" s="49" t="s">
        <v>1063</v>
      </c>
      <c r="L702" s="4" t="str">
        <f ca="1">IF(ISERROR(VLOOKUP(B702,'ETL Scope'!I:I,1,0)),"NA","ETL")</f>
        <v>ETL</v>
      </c>
      <c r="M702" s="29">
        <f ca="1">COUNTIF('Data-WK'!A:A,'V1'!B:B)</f>
        <v>1</v>
      </c>
      <c r="N702" s="29" t="str">
        <f ca="1">VLOOKUP(E702,'IFRS only'!A:A,1,0)</f>
        <v>320303</v>
      </c>
      <c r="P702" s="89"/>
    </row>
    <row r="703" spans="1:16" s="29" customFormat="1">
      <c r="A703" s="17" t="s">
        <v>4</v>
      </c>
      <c r="B703" s="17">
        <v>4641000001</v>
      </c>
      <c r="C703" s="76" t="s">
        <v>4532</v>
      </c>
      <c r="D703" s="3" t="s">
        <v>366</v>
      </c>
      <c r="E703" s="17" t="s">
        <v>2702</v>
      </c>
      <c r="F703" s="17" t="s">
        <v>3532</v>
      </c>
      <c r="G703" s="17" t="s">
        <v>3532</v>
      </c>
      <c r="H703" s="17" t="s">
        <v>3531</v>
      </c>
      <c r="I703" s="17" t="s">
        <v>3545</v>
      </c>
      <c r="J703" s="17" t="s">
        <v>9</v>
      </c>
      <c r="K703" s="49" t="s">
        <v>1071</v>
      </c>
      <c r="L703" s="4" t="str">
        <f ca="1">IF(ISERROR(VLOOKUP(B703,'ETL Scope'!I:I,1,0)),"NA","ETL")</f>
        <v>NA</v>
      </c>
      <c r="M703" s="29">
        <f ca="1">COUNTIF('Data-WK'!A:A,'V1'!B:B)</f>
        <v>1</v>
      </c>
      <c r="N703" s="29" t="e">
        <f ca="1">VLOOKUP(E703,'IFRS only'!A:A,1,0)</f>
        <v>#N/A</v>
      </c>
      <c r="P703" s="89"/>
    </row>
    <row r="704" spans="1:16" s="29" customFormat="1">
      <c r="A704" s="17" t="s">
        <v>2</v>
      </c>
      <c r="B704" s="17">
        <v>4650001500</v>
      </c>
      <c r="C704" s="76" t="s">
        <v>4533</v>
      </c>
      <c r="D704" s="3" t="s">
        <v>4856</v>
      </c>
      <c r="E704" s="17" t="s">
        <v>3371</v>
      </c>
      <c r="F704" s="17" t="s">
        <v>3532</v>
      </c>
      <c r="G704" s="17" t="s">
        <v>3532</v>
      </c>
      <c r="H704" s="17" t="s">
        <v>3531</v>
      </c>
      <c r="I704" s="17" t="s">
        <v>3545</v>
      </c>
      <c r="J704" s="17" t="s">
        <v>9</v>
      </c>
      <c r="K704" s="49" t="s">
        <v>1059</v>
      </c>
      <c r="L704" s="4" t="str">
        <f ca="1">IF(ISERROR(VLOOKUP(B704,'ETL Scope'!I:I,1,0)),"NA","ETL")</f>
        <v>NA</v>
      </c>
      <c r="M704" s="29">
        <f ca="1">COUNTIF('Data-WK'!A:A,'V1'!B:B)</f>
        <v>2</v>
      </c>
      <c r="N704" s="29" t="e">
        <f ca="1">VLOOKUP(E704,'IFRS only'!A:A,1,0)</f>
        <v>#N/A</v>
      </c>
      <c r="P704" s="89"/>
    </row>
    <row r="705" spans="1:16" s="29" customFormat="1">
      <c r="A705" s="17" t="s">
        <v>4</v>
      </c>
      <c r="B705" s="17">
        <v>4710000000</v>
      </c>
      <c r="C705" s="76" t="s">
        <v>4534</v>
      </c>
      <c r="D705" s="3" t="s">
        <v>365</v>
      </c>
      <c r="E705" s="17" t="s">
        <v>2701</v>
      </c>
      <c r="F705" s="17" t="s">
        <v>3532</v>
      </c>
      <c r="G705" s="17" t="s">
        <v>3532</v>
      </c>
      <c r="H705" s="17" t="s">
        <v>3531</v>
      </c>
      <c r="I705" s="17" t="s">
        <v>3545</v>
      </c>
      <c r="J705" s="17" t="s">
        <v>9</v>
      </c>
      <c r="K705" s="49" t="s">
        <v>1070</v>
      </c>
      <c r="L705" s="4" t="str">
        <f ca="1">IF(ISERROR(VLOOKUP(B705,'ETL Scope'!I:I,1,0)),"NA","ETL")</f>
        <v>NA</v>
      </c>
      <c r="M705" s="29">
        <f ca="1">COUNTIF('Data-WK'!A:A,'V1'!B:B)</f>
        <v>1</v>
      </c>
      <c r="N705" s="29" t="e">
        <f ca="1">VLOOKUP(E705,'IFRS only'!A:A,1,0)</f>
        <v>#N/A</v>
      </c>
      <c r="O705" s="31"/>
      <c r="P705" s="89"/>
    </row>
    <row r="706" spans="1:16" s="29" customFormat="1">
      <c r="A706" s="17" t="s">
        <v>4</v>
      </c>
      <c r="B706" s="17">
        <v>4710000030</v>
      </c>
      <c r="C706" s="76" t="s">
        <v>4534</v>
      </c>
      <c r="D706" s="3" t="s">
        <v>363</v>
      </c>
      <c r="E706" s="17" t="s">
        <v>2699</v>
      </c>
      <c r="F706" s="17" t="s">
        <v>3532</v>
      </c>
      <c r="G706" s="17" t="s">
        <v>3532</v>
      </c>
      <c r="H706" s="17" t="s">
        <v>3531</v>
      </c>
      <c r="I706" s="17" t="s">
        <v>3545</v>
      </c>
      <c r="J706" s="17" t="s">
        <v>9</v>
      </c>
      <c r="K706" s="49" t="s">
        <v>1070</v>
      </c>
      <c r="L706" s="4" t="str">
        <f ca="1">IF(ISERROR(VLOOKUP(B706,'ETL Scope'!I:I,1,0)),"NA","ETL")</f>
        <v>NA</v>
      </c>
      <c r="M706" s="29">
        <f ca="1">COUNTIF('Data-WK'!A:A,'V1'!B:B)</f>
        <v>1</v>
      </c>
      <c r="N706" s="29" t="e">
        <f ca="1">VLOOKUP(E706,'IFRS only'!A:A,1,0)</f>
        <v>#N/A</v>
      </c>
      <c r="O706" s="31"/>
      <c r="P706" s="89"/>
    </row>
    <row r="707" spans="1:16" s="29" customFormat="1">
      <c r="A707" s="17" t="s">
        <v>4</v>
      </c>
      <c r="B707" s="17">
        <v>4724000000</v>
      </c>
      <c r="C707" s="76" t="s">
        <v>4535</v>
      </c>
      <c r="D707" s="3" t="s">
        <v>4857</v>
      </c>
      <c r="E707" s="17" t="s">
        <v>2688</v>
      </c>
      <c r="F707" s="17" t="s">
        <v>3531</v>
      </c>
      <c r="G707" s="17" t="s">
        <v>3532</v>
      </c>
      <c r="H707" s="17" t="s">
        <v>3531</v>
      </c>
      <c r="I707" s="17" t="s">
        <v>3545</v>
      </c>
      <c r="J707" s="17" t="s">
        <v>9</v>
      </c>
      <c r="K707" s="49" t="s">
        <v>1057</v>
      </c>
      <c r="L707" s="4" t="str">
        <f ca="1">IF(ISERROR(VLOOKUP(B707,'ETL Scope'!I:I,1,0)),"NA","ETL")</f>
        <v>NA</v>
      </c>
      <c r="M707" s="29">
        <f ca="1">COUNTIF('Data-WK'!A:A,'V1'!B:B)</f>
        <v>1</v>
      </c>
      <c r="N707" s="29" t="str">
        <f ca="1">VLOOKUP(E707,'IFRS only'!A:A,1,0)</f>
        <v>310102</v>
      </c>
      <c r="O707" s="31"/>
      <c r="P707" s="89"/>
    </row>
    <row r="708" spans="1:16" s="29" customFormat="1">
      <c r="A708" s="17" t="s">
        <v>3</v>
      </c>
      <c r="B708" s="17">
        <v>5000000000</v>
      </c>
      <c r="C708" s="77" t="s">
        <v>3886</v>
      </c>
      <c r="D708" s="3" t="s">
        <v>367</v>
      </c>
      <c r="E708" s="17" t="s">
        <v>2703</v>
      </c>
      <c r="F708" s="17" t="s">
        <v>3532</v>
      </c>
      <c r="G708" s="17" t="s">
        <v>3532</v>
      </c>
      <c r="H708" s="17" t="s">
        <v>3531</v>
      </c>
      <c r="I708" s="17" t="s">
        <v>3545</v>
      </c>
      <c r="J708" s="17" t="s">
        <v>9</v>
      </c>
      <c r="K708" s="49" t="s">
        <v>1072</v>
      </c>
      <c r="L708" s="4" t="str">
        <f ca="1">IF(ISERROR(VLOOKUP(B708,'ETL Scope'!I:I,1,0)),"NA","ETL")</f>
        <v>NA</v>
      </c>
      <c r="M708" s="29">
        <f ca="1">COUNTIF('Data-WK'!A:A,'V1'!B:B)</f>
        <v>1</v>
      </c>
      <c r="N708" s="29" t="e">
        <f ca="1">VLOOKUP(E708,'IFRS only'!A:A,1,0)</f>
        <v>#N/A</v>
      </c>
      <c r="P708" s="89"/>
    </row>
    <row r="709" spans="1:16" s="29" customFormat="1">
      <c r="A709" s="17" t="s">
        <v>3</v>
      </c>
      <c r="B709" s="17">
        <v>5000100000</v>
      </c>
      <c r="C709" s="77" t="s">
        <v>4536</v>
      </c>
      <c r="D709" s="3" t="s">
        <v>373</v>
      </c>
      <c r="E709" s="17" t="s">
        <v>2713</v>
      </c>
      <c r="F709" s="17" t="s">
        <v>3532</v>
      </c>
      <c r="G709" s="17" t="s">
        <v>3532</v>
      </c>
      <c r="H709" s="17" t="s">
        <v>3531</v>
      </c>
      <c r="I709" s="17" t="s">
        <v>3545</v>
      </c>
      <c r="J709" s="17" t="s">
        <v>9</v>
      </c>
      <c r="K709" s="49" t="s">
        <v>1076</v>
      </c>
      <c r="L709" s="4" t="str">
        <f ca="1">IF(ISERROR(VLOOKUP(B709,'ETL Scope'!I:I,1,0)),"NA","ETL")</f>
        <v>NA</v>
      </c>
      <c r="M709" s="29">
        <f ca="1">COUNTIF('Data-WK'!A:A,'V1'!B:B)</f>
        <v>1</v>
      </c>
      <c r="N709" s="29" t="e">
        <f ca="1">VLOOKUP(E709,'IFRS only'!A:A,1,0)</f>
        <v>#N/A</v>
      </c>
      <c r="P709" s="89"/>
    </row>
    <row r="710" spans="1:16" s="29" customFormat="1">
      <c r="A710" s="17" t="s">
        <v>3</v>
      </c>
      <c r="B710" s="17">
        <v>5000200000</v>
      </c>
      <c r="C710" s="77" t="s">
        <v>4537</v>
      </c>
      <c r="D710" s="3" t="s">
        <v>382</v>
      </c>
      <c r="E710" s="17" t="s">
        <v>2722</v>
      </c>
      <c r="F710" s="17" t="s">
        <v>3532</v>
      </c>
      <c r="G710" s="17" t="s">
        <v>3532</v>
      </c>
      <c r="H710" s="17" t="s">
        <v>3531</v>
      </c>
      <c r="I710" s="17" t="s">
        <v>3545</v>
      </c>
      <c r="J710" s="17" t="s">
        <v>9</v>
      </c>
      <c r="K710" s="49" t="s">
        <v>1080</v>
      </c>
      <c r="L710" s="4" t="str">
        <f ca="1">IF(ISERROR(VLOOKUP(B710,'ETL Scope'!I:I,1,0)),"NA","ETL")</f>
        <v>NA</v>
      </c>
      <c r="M710" s="29">
        <f ca="1">COUNTIF('Data-WK'!A:A,'V1'!B:B)</f>
        <v>1</v>
      </c>
      <c r="N710" s="29" t="e">
        <f ca="1">VLOOKUP(E710,'IFRS only'!A:A,1,0)</f>
        <v>#N/A</v>
      </c>
      <c r="P710" s="89"/>
    </row>
    <row r="711" spans="1:16" s="29" customFormat="1">
      <c r="A711" s="17" t="s">
        <v>3</v>
      </c>
      <c r="B711" s="17">
        <v>5000200001</v>
      </c>
      <c r="C711" s="77" t="s">
        <v>4537</v>
      </c>
      <c r="D711" s="3" t="s">
        <v>5621</v>
      </c>
      <c r="E711" s="17" t="s">
        <v>2723</v>
      </c>
      <c r="F711" s="17" t="s">
        <v>3532</v>
      </c>
      <c r="G711" s="17" t="s">
        <v>3532</v>
      </c>
      <c r="H711" s="17" t="s">
        <v>3531</v>
      </c>
      <c r="I711" s="17" t="s">
        <v>3545</v>
      </c>
      <c r="J711" s="17" t="s">
        <v>9</v>
      </c>
      <c r="K711" s="49" t="s">
        <v>1080</v>
      </c>
      <c r="L711" s="4" t="str">
        <f ca="1">IF(ISERROR(VLOOKUP(B711,'ETL Scope'!I:I,1,0)),"NA","ETL")</f>
        <v>NA</v>
      </c>
      <c r="M711" s="29">
        <f ca="1">COUNTIF('Data-WK'!A:A,'V1'!B:B)</f>
        <v>1</v>
      </c>
      <c r="N711" s="29" t="e">
        <f ca="1">VLOOKUP(E711,'IFRS only'!A:A,1,0)</f>
        <v>#N/A</v>
      </c>
      <c r="P711" s="89"/>
    </row>
    <row r="712" spans="1:16" s="29" customFormat="1">
      <c r="A712" s="17" t="s">
        <v>3</v>
      </c>
      <c r="B712" s="17">
        <v>5000200002</v>
      </c>
      <c r="C712" s="77" t="s">
        <v>4537</v>
      </c>
      <c r="D712" s="3" t="s">
        <v>5622</v>
      </c>
      <c r="E712" s="17" t="s">
        <v>2724</v>
      </c>
      <c r="F712" s="17" t="s">
        <v>3532</v>
      </c>
      <c r="G712" s="17" t="s">
        <v>3532</v>
      </c>
      <c r="H712" s="17" t="s">
        <v>3531</v>
      </c>
      <c r="I712" s="17" t="s">
        <v>3545</v>
      </c>
      <c r="J712" s="17" t="s">
        <v>9</v>
      </c>
      <c r="K712" s="49" t="s">
        <v>1080</v>
      </c>
      <c r="L712" s="4" t="str">
        <f ca="1">IF(ISERROR(VLOOKUP(B712,'ETL Scope'!I:I,1,0)),"NA","ETL")</f>
        <v>NA</v>
      </c>
      <c r="M712" s="29">
        <f ca="1">COUNTIF('Data-WK'!A:A,'V1'!B:B)</f>
        <v>1</v>
      </c>
      <c r="N712" s="29" t="e">
        <f ca="1">VLOOKUP(E712,'IFRS only'!A:A,1,0)</f>
        <v>#N/A</v>
      </c>
      <c r="P712" s="89"/>
    </row>
    <row r="713" spans="1:16" s="29" customFormat="1">
      <c r="A713" s="17" t="s">
        <v>3</v>
      </c>
      <c r="B713" s="17">
        <v>5002100000</v>
      </c>
      <c r="C713" s="77" t="s">
        <v>4538</v>
      </c>
      <c r="D713" s="3" t="s">
        <v>5623</v>
      </c>
      <c r="E713" s="17" t="s">
        <v>2729</v>
      </c>
      <c r="F713" s="17" t="s">
        <v>3532</v>
      </c>
      <c r="G713" s="17" t="s">
        <v>3532</v>
      </c>
      <c r="H713" s="17" t="s">
        <v>3531</v>
      </c>
      <c r="I713" s="17" t="s">
        <v>3545</v>
      </c>
      <c r="J713" s="17" t="s">
        <v>9</v>
      </c>
      <c r="K713" s="49" t="s">
        <v>1086</v>
      </c>
      <c r="L713" s="4" t="str">
        <f ca="1">IF(ISERROR(VLOOKUP(B713,'ETL Scope'!I:I,1,0)),"NA","ETL")</f>
        <v>NA</v>
      </c>
      <c r="M713" s="29">
        <f ca="1">COUNTIF('Data-WK'!A:A,'V1'!B:B)</f>
        <v>1</v>
      </c>
      <c r="N713" s="29" t="e">
        <f ca="1">VLOOKUP(E713,'IFRS only'!A:A,1,0)</f>
        <v>#N/A</v>
      </c>
      <c r="P713" s="89"/>
    </row>
    <row r="714" spans="1:16" s="29" customFormat="1">
      <c r="A714" s="17" t="s">
        <v>3</v>
      </c>
      <c r="B714" s="17">
        <v>5010000000</v>
      </c>
      <c r="C714" s="77" t="s">
        <v>4539</v>
      </c>
      <c r="D714" s="3" t="s">
        <v>368</v>
      </c>
      <c r="E714" s="17" t="s">
        <v>4770</v>
      </c>
      <c r="F714" s="17" t="s">
        <v>3532</v>
      </c>
      <c r="G714" s="17" t="s">
        <v>3440</v>
      </c>
      <c r="H714" s="17" t="s">
        <v>3531</v>
      </c>
      <c r="I714" s="17" t="s">
        <v>3545</v>
      </c>
      <c r="J714" s="17" t="s">
        <v>9</v>
      </c>
      <c r="K714" s="49" t="s">
        <v>1073</v>
      </c>
      <c r="L714" s="4" t="str">
        <f ca="1">IF(ISERROR(VLOOKUP(B714,'ETL Scope'!I:I,1,0)),"NA","ETL")</f>
        <v>ETL</v>
      </c>
      <c r="M714" s="29">
        <f ca="1">COUNTIF('Data-WK'!A:A,'V1'!B:B)</f>
        <v>1</v>
      </c>
      <c r="N714" s="29" t="e">
        <f ca="1">VLOOKUP(E714,'IFRS only'!A:A,1,0)</f>
        <v>#N/A</v>
      </c>
      <c r="P714" s="89"/>
    </row>
    <row r="715" spans="1:16" s="29" customFormat="1">
      <c r="A715" s="17" t="s">
        <v>3</v>
      </c>
      <c r="B715" s="17">
        <v>5010000010</v>
      </c>
      <c r="C715" s="77" t="s">
        <v>4539</v>
      </c>
      <c r="D715" s="3" t="s">
        <v>369</v>
      </c>
      <c r="E715" s="17" t="s">
        <v>4771</v>
      </c>
      <c r="F715" s="17" t="s">
        <v>3532</v>
      </c>
      <c r="G715" s="17" t="s">
        <v>3440</v>
      </c>
      <c r="H715" s="17" t="s">
        <v>3531</v>
      </c>
      <c r="I715" s="17" t="s">
        <v>3545</v>
      </c>
      <c r="J715" s="17" t="s">
        <v>9</v>
      </c>
      <c r="K715" s="49" t="s">
        <v>1074</v>
      </c>
      <c r="L715" s="4" t="str">
        <f ca="1">IF(ISERROR(VLOOKUP(B715,'ETL Scope'!I:I,1,0)),"NA","ETL")</f>
        <v>ETL</v>
      </c>
      <c r="M715" s="29">
        <f ca="1">COUNTIF('Data-WK'!A:A,'V1'!B:B)</f>
        <v>1</v>
      </c>
      <c r="N715" s="29" t="e">
        <f ca="1">VLOOKUP(E715,'IFRS only'!A:A,1,0)</f>
        <v>#N/A</v>
      </c>
      <c r="P715" s="89"/>
    </row>
    <row r="716" spans="1:16" s="29" customFormat="1">
      <c r="A716" s="17" t="s">
        <v>3</v>
      </c>
      <c r="B716" s="17">
        <v>5010100000</v>
      </c>
      <c r="C716" s="77" t="s">
        <v>4540</v>
      </c>
      <c r="D716" s="3" t="s">
        <v>376</v>
      </c>
      <c r="E716" s="17" t="s">
        <v>4772</v>
      </c>
      <c r="F716" s="17" t="s">
        <v>3532</v>
      </c>
      <c r="G716" s="17" t="s">
        <v>3440</v>
      </c>
      <c r="H716" s="17" t="s">
        <v>3531</v>
      </c>
      <c r="I716" s="17" t="s">
        <v>3545</v>
      </c>
      <c r="J716" s="17" t="s">
        <v>9</v>
      </c>
      <c r="K716" s="49" t="s">
        <v>1077</v>
      </c>
      <c r="L716" s="4" t="str">
        <f ca="1">IF(ISERROR(VLOOKUP(B716,'ETL Scope'!I:I,1,0)),"NA","ETL")</f>
        <v>ETL</v>
      </c>
      <c r="M716" s="29">
        <f ca="1">COUNTIF('Data-WK'!A:A,'V1'!B:B)</f>
        <v>1</v>
      </c>
      <c r="N716" s="29" t="e">
        <f ca="1">VLOOKUP(E716,'IFRS only'!A:A,1,0)</f>
        <v>#N/A</v>
      </c>
      <c r="P716" s="89"/>
    </row>
    <row r="717" spans="1:16" s="29" customFormat="1">
      <c r="A717" s="17" t="s">
        <v>3</v>
      </c>
      <c r="B717" s="17">
        <v>5010100010</v>
      </c>
      <c r="C717" s="77" t="s">
        <v>4540</v>
      </c>
      <c r="D717" s="3" t="s">
        <v>377</v>
      </c>
      <c r="E717" s="17" t="s">
        <v>4773</v>
      </c>
      <c r="F717" s="17" t="s">
        <v>3532</v>
      </c>
      <c r="G717" s="17" t="s">
        <v>3440</v>
      </c>
      <c r="H717" s="17" t="s">
        <v>3531</v>
      </c>
      <c r="I717" s="17" t="s">
        <v>3545</v>
      </c>
      <c r="J717" s="17" t="s">
        <v>9</v>
      </c>
      <c r="K717" s="49" t="s">
        <v>1078</v>
      </c>
      <c r="L717" s="4" t="str">
        <f ca="1">IF(ISERROR(VLOOKUP(B717,'ETL Scope'!I:I,1,0)),"NA","ETL")</f>
        <v>ETL</v>
      </c>
      <c r="M717" s="29">
        <f ca="1">COUNTIF('Data-WK'!A:A,'V1'!B:B)</f>
        <v>1</v>
      </c>
      <c r="N717" s="29" t="e">
        <f ca="1">VLOOKUP(E717,'IFRS only'!A:A,1,0)</f>
        <v>#N/A</v>
      </c>
      <c r="P717" s="89"/>
    </row>
    <row r="718" spans="1:16" s="31" customFormat="1">
      <c r="A718" s="17" t="s">
        <v>3</v>
      </c>
      <c r="B718" s="17">
        <v>5022010000</v>
      </c>
      <c r="C718" s="77" t="s">
        <v>4541</v>
      </c>
      <c r="D718" s="3" t="s">
        <v>3481</v>
      </c>
      <c r="E718" s="17" t="s">
        <v>3276</v>
      </c>
      <c r="F718" s="17" t="s">
        <v>3533</v>
      </c>
      <c r="G718" s="17" t="s">
        <v>3533</v>
      </c>
      <c r="H718" s="17" t="s">
        <v>3534</v>
      </c>
      <c r="I718" s="17" t="s">
        <v>3545</v>
      </c>
      <c r="J718" s="17" t="s">
        <v>9</v>
      </c>
      <c r="K718" s="49" t="s">
        <v>1358</v>
      </c>
      <c r="L718" s="4" t="str">
        <f ca="1">IF(ISERROR(VLOOKUP(B718,'ETL Scope'!I:I,1,0)),"NA","ETL")</f>
        <v>NA</v>
      </c>
      <c r="M718" s="29">
        <f ca="1">COUNTIF('Data-WK'!A:A,'V1'!B:B)</f>
        <v>1</v>
      </c>
      <c r="N718" s="29" t="e">
        <f ca="1">VLOOKUP(E718,'IFRS only'!A:A,1,0)</f>
        <v>#N/A</v>
      </c>
      <c r="O718" s="29"/>
      <c r="P718" s="89"/>
    </row>
    <row r="719" spans="1:16" s="29" customFormat="1">
      <c r="A719" s="17" t="s">
        <v>3</v>
      </c>
      <c r="B719" s="17">
        <v>5040000000</v>
      </c>
      <c r="C719" s="77" t="s">
        <v>4542</v>
      </c>
      <c r="D719" s="3" t="s">
        <v>444</v>
      </c>
      <c r="E719" s="17" t="s">
        <v>2811</v>
      </c>
      <c r="F719" s="17" t="s">
        <v>3532</v>
      </c>
      <c r="G719" s="17" t="s">
        <v>3532</v>
      </c>
      <c r="H719" s="17" t="s">
        <v>3531</v>
      </c>
      <c r="I719" s="17" t="s">
        <v>3545</v>
      </c>
      <c r="J719" s="17" t="s">
        <v>9</v>
      </c>
      <c r="K719" s="49" t="s">
        <v>1175</v>
      </c>
      <c r="L719" s="4" t="str">
        <f ca="1">IF(ISERROR(VLOOKUP(B719,'ETL Scope'!I:I,1,0)),"NA","ETL")</f>
        <v>NA</v>
      </c>
      <c r="M719" s="29">
        <f ca="1">COUNTIF('Data-WK'!A:A,'V1'!B:B)</f>
        <v>8</v>
      </c>
      <c r="N719" s="29" t="e">
        <f ca="1">VLOOKUP(E719,'IFRS only'!A:A,1,0)</f>
        <v>#N/A</v>
      </c>
      <c r="P719" s="89"/>
    </row>
    <row r="720" spans="1:16" s="29" customFormat="1">
      <c r="A720" s="17" t="s">
        <v>3</v>
      </c>
      <c r="B720" s="17">
        <v>5041001100</v>
      </c>
      <c r="C720" s="77" t="s">
        <v>4543</v>
      </c>
      <c r="D720" s="86" t="s">
        <v>5712</v>
      </c>
      <c r="E720" s="17" t="s">
        <v>2708</v>
      </c>
      <c r="F720" s="17" t="s">
        <v>3532</v>
      </c>
      <c r="G720" s="17" t="s">
        <v>3532</v>
      </c>
      <c r="H720" s="17" t="s">
        <v>3531</v>
      </c>
      <c r="I720" s="17" t="s">
        <v>3545</v>
      </c>
      <c r="J720" s="17" t="s">
        <v>9</v>
      </c>
      <c r="K720" s="49" t="s">
        <v>1075</v>
      </c>
      <c r="L720" s="4" t="str">
        <f ca="1">IF(ISERROR(VLOOKUP(B720,'ETL Scope'!I:I,1,0)),"NA","ETL")</f>
        <v>NA</v>
      </c>
      <c r="M720" s="29">
        <f ca="1">COUNTIF('Data-WK'!A:A,'V1'!B:B)</f>
        <v>1</v>
      </c>
      <c r="N720" s="29" t="e">
        <f ca="1">VLOOKUP(E720,'IFRS only'!A:A,1,0)</f>
        <v>#N/A</v>
      </c>
      <c r="P720" s="89"/>
    </row>
    <row r="721" spans="1:16" s="29" customFormat="1">
      <c r="A721" s="17" t="s">
        <v>3</v>
      </c>
      <c r="B721" s="17">
        <v>5041002100</v>
      </c>
      <c r="C721" s="77" t="s">
        <v>4543</v>
      </c>
      <c r="D721" s="86" t="s">
        <v>5713</v>
      </c>
      <c r="E721" s="17" t="s">
        <v>2718</v>
      </c>
      <c r="F721" s="17" t="s">
        <v>3532</v>
      </c>
      <c r="G721" s="17" t="s">
        <v>3532</v>
      </c>
      <c r="H721" s="17" t="s">
        <v>3531</v>
      </c>
      <c r="I721" s="17" t="s">
        <v>3545</v>
      </c>
      <c r="J721" s="17" t="s">
        <v>9</v>
      </c>
      <c r="K721" s="49" t="s">
        <v>1079</v>
      </c>
      <c r="L721" s="4" t="str">
        <f ca="1">IF(ISERROR(VLOOKUP(B721,'ETL Scope'!I:I,1,0)),"NA","ETL")</f>
        <v>NA</v>
      </c>
      <c r="M721" s="29">
        <f ca="1">COUNTIF('Data-WK'!A:A,'V1'!B:B)</f>
        <v>1</v>
      </c>
      <c r="N721" s="29" t="e">
        <f ca="1">VLOOKUP(E721,'IFRS only'!A:A,1,0)</f>
        <v>#N/A</v>
      </c>
      <c r="O721" s="31"/>
      <c r="P721" s="89"/>
    </row>
    <row r="722" spans="1:16" s="31" customFormat="1">
      <c r="A722" s="17" t="s">
        <v>4</v>
      </c>
      <c r="B722" s="17">
        <v>5042000000</v>
      </c>
      <c r="C722" s="77" t="s">
        <v>4544</v>
      </c>
      <c r="D722" s="3" t="s">
        <v>442</v>
      </c>
      <c r="E722" s="17" t="s">
        <v>5381</v>
      </c>
      <c r="F722" s="17" t="s">
        <v>3532</v>
      </c>
      <c r="G722" s="17" t="s">
        <v>3532</v>
      </c>
      <c r="H722" s="17" t="s">
        <v>3531</v>
      </c>
      <c r="I722" s="17" t="s">
        <v>3545</v>
      </c>
      <c r="J722" s="17" t="s">
        <v>9</v>
      </c>
      <c r="K722" s="49" t="s">
        <v>1172</v>
      </c>
      <c r="L722" s="4" t="str">
        <f ca="1">IF(ISERROR(VLOOKUP(B722,'ETL Scope'!I:I,1,0)),"NA","ETL")</f>
        <v>NA</v>
      </c>
      <c r="M722" s="29">
        <f ca="1">COUNTIF('Data-WK'!A:A,'V1'!B:B)</f>
        <v>1</v>
      </c>
      <c r="N722" s="29" t="e">
        <f ca="1">VLOOKUP(E722,'IFRS only'!A:A,1,0)</f>
        <v>#N/A</v>
      </c>
      <c r="P722" s="89"/>
    </row>
    <row r="723" spans="1:16" s="31" customFormat="1">
      <c r="A723" s="17" t="s">
        <v>4</v>
      </c>
      <c r="B723" s="17">
        <v>5042000030</v>
      </c>
      <c r="C723" s="77" t="s">
        <v>4544</v>
      </c>
      <c r="D723" s="3" t="s">
        <v>443</v>
      </c>
      <c r="E723" s="17" t="s">
        <v>5382</v>
      </c>
      <c r="F723" s="17" t="s">
        <v>3532</v>
      </c>
      <c r="G723" s="17" t="s">
        <v>3532</v>
      </c>
      <c r="H723" s="17" t="s">
        <v>3531</v>
      </c>
      <c r="I723" s="17" t="s">
        <v>3545</v>
      </c>
      <c r="J723" s="17" t="s">
        <v>9</v>
      </c>
      <c r="K723" s="49" t="s">
        <v>1173</v>
      </c>
      <c r="L723" s="4" t="str">
        <f ca="1">IF(ISERROR(VLOOKUP(B723,'ETL Scope'!I:I,1,0)),"NA","ETL")</f>
        <v>NA</v>
      </c>
      <c r="M723" s="29">
        <f ca="1">COUNTIF('Data-WK'!A:A,'V1'!B:B)</f>
        <v>1</v>
      </c>
      <c r="N723" s="29" t="e">
        <f ca="1">VLOOKUP(E723,'IFRS only'!A:A,1,0)</f>
        <v>#N/A</v>
      </c>
      <c r="P723" s="89"/>
    </row>
    <row r="724" spans="1:16" s="31" customFormat="1">
      <c r="A724" s="17" t="s">
        <v>4</v>
      </c>
      <c r="B724" s="17">
        <v>5044000000</v>
      </c>
      <c r="C724" s="77" t="s">
        <v>4545</v>
      </c>
      <c r="D724" s="3" t="s">
        <v>441</v>
      </c>
      <c r="E724" s="17" t="s">
        <v>5380</v>
      </c>
      <c r="F724" s="17" t="s">
        <v>3532</v>
      </c>
      <c r="G724" s="17" t="s">
        <v>3532</v>
      </c>
      <c r="H724" s="17" t="s">
        <v>3531</v>
      </c>
      <c r="I724" s="17" t="s">
        <v>3545</v>
      </c>
      <c r="J724" s="17" t="s">
        <v>9</v>
      </c>
      <c r="K724" s="49" t="s">
        <v>1171</v>
      </c>
      <c r="L724" s="4" t="str">
        <f ca="1">IF(ISERROR(VLOOKUP(B724,'ETL Scope'!I:I,1,0)),"NA","ETL")</f>
        <v>NA</v>
      </c>
      <c r="M724" s="29">
        <f ca="1">COUNTIF('Data-WK'!A:A,'V1'!B:B)</f>
        <v>1</v>
      </c>
      <c r="N724" s="29" t="e">
        <f ca="1">VLOOKUP(E724,'IFRS only'!A:A,1,0)</f>
        <v>#N/A</v>
      </c>
      <c r="O724" s="29"/>
      <c r="P724" s="89"/>
    </row>
    <row r="725" spans="1:16" s="31" customFormat="1">
      <c r="A725" s="17" t="s">
        <v>4</v>
      </c>
      <c r="B725" s="17">
        <v>5045000000</v>
      </c>
      <c r="C725" s="77" t="s">
        <v>4546</v>
      </c>
      <c r="D725" s="3" t="s">
        <v>440</v>
      </c>
      <c r="E725" s="17" t="s">
        <v>4776</v>
      </c>
      <c r="F725" s="17" t="s">
        <v>3532</v>
      </c>
      <c r="G725" s="17" t="s">
        <v>3532</v>
      </c>
      <c r="H725" s="17" t="s">
        <v>3531</v>
      </c>
      <c r="I725" s="17" t="s">
        <v>3545</v>
      </c>
      <c r="J725" s="17" t="s">
        <v>9</v>
      </c>
      <c r="K725" s="49" t="s">
        <v>1170</v>
      </c>
      <c r="L725" s="4" t="str">
        <f ca="1">IF(ISERROR(VLOOKUP(B725,'ETL Scope'!I:I,1,0)),"NA","ETL")</f>
        <v>NA</v>
      </c>
      <c r="M725" s="29">
        <f ca="1">COUNTIF('Data-WK'!A:A,'V1'!B:B)</f>
        <v>1</v>
      </c>
      <c r="N725" s="29" t="e">
        <f ca="1">VLOOKUP(E725,'IFRS only'!A:A,1,0)</f>
        <v>#N/A</v>
      </c>
      <c r="O725" s="29"/>
      <c r="P725" s="89"/>
    </row>
    <row r="726" spans="1:16" s="31" customFormat="1">
      <c r="A726" s="17" t="s">
        <v>4</v>
      </c>
      <c r="B726" s="17">
        <v>5048000000</v>
      </c>
      <c r="C726" s="77" t="s">
        <v>4547</v>
      </c>
      <c r="D726" s="3" t="s">
        <v>4858</v>
      </c>
      <c r="E726" s="52" t="s">
        <v>5384</v>
      </c>
      <c r="F726" s="17" t="s">
        <v>3532</v>
      </c>
      <c r="G726" s="17" t="s">
        <v>3532</v>
      </c>
      <c r="H726" s="17" t="s">
        <v>3531</v>
      </c>
      <c r="I726" s="17" t="s">
        <v>3545</v>
      </c>
      <c r="J726" s="17" t="s">
        <v>9</v>
      </c>
      <c r="K726" s="49" t="s">
        <v>1176</v>
      </c>
      <c r="L726" s="4" t="str">
        <f ca="1">IF(ISERROR(VLOOKUP(B726,'ETL Scope'!I:I,1,0)),"NA","ETL")</f>
        <v>NA</v>
      </c>
      <c r="M726" s="29">
        <f ca="1">COUNTIF('Data-WK'!A:A,'V1'!B:B)</f>
        <v>1</v>
      </c>
      <c r="N726" s="29" t="e">
        <f ca="1">VLOOKUP(E726,'IFRS only'!A:A,1,0)</f>
        <v>#N/A</v>
      </c>
      <c r="O726" s="29"/>
      <c r="P726" s="89"/>
    </row>
    <row r="727" spans="1:16" s="29" customFormat="1">
      <c r="A727" s="17" t="s">
        <v>3</v>
      </c>
      <c r="B727" s="17">
        <v>5050000000</v>
      </c>
      <c r="C727" s="77" t="s">
        <v>4548</v>
      </c>
      <c r="D727" s="3" t="s">
        <v>4859</v>
      </c>
      <c r="E727" s="17" t="s">
        <v>2725</v>
      </c>
      <c r="F727" s="17" t="s">
        <v>9</v>
      </c>
      <c r="G727" s="17" t="s">
        <v>3440</v>
      </c>
      <c r="H727" s="17" t="s">
        <v>3531</v>
      </c>
      <c r="I727" s="17" t="s">
        <v>3545</v>
      </c>
      <c r="J727" s="17" t="s">
        <v>9</v>
      </c>
      <c r="K727" s="49" t="s">
        <v>1081</v>
      </c>
      <c r="L727" s="4" t="str">
        <f ca="1">IF(ISERROR(VLOOKUP(B727,'ETL Scope'!I:I,1,0)),"NA","ETL")</f>
        <v>ETL</v>
      </c>
      <c r="M727" s="29">
        <f ca="1">COUNTIF('Data-WK'!A:A,'V1'!B:B)</f>
        <v>1</v>
      </c>
      <c r="N727" s="29" t="str">
        <f ca="1">VLOOKUP(E727,'IFRS only'!A:A,1,0)</f>
        <v>410305</v>
      </c>
      <c r="O727" s="31"/>
      <c r="P727" s="89"/>
    </row>
    <row r="728" spans="1:16" s="29" customFormat="1">
      <c r="A728" s="17" t="s">
        <v>3</v>
      </c>
      <c r="B728" s="17">
        <v>5050010000</v>
      </c>
      <c r="C728" s="77" t="s">
        <v>4549</v>
      </c>
      <c r="D728" s="3" t="s">
        <v>4860</v>
      </c>
      <c r="E728" s="17" t="s">
        <v>2726</v>
      </c>
      <c r="F728" s="17" t="s">
        <v>9</v>
      </c>
      <c r="G728" s="17" t="s">
        <v>3440</v>
      </c>
      <c r="H728" s="17" t="s">
        <v>3531</v>
      </c>
      <c r="I728" s="17" t="s">
        <v>3545</v>
      </c>
      <c r="J728" s="17" t="s">
        <v>9</v>
      </c>
      <c r="K728" s="49" t="s">
        <v>1082</v>
      </c>
      <c r="L728" s="4" t="str">
        <f ca="1">IF(ISERROR(VLOOKUP(B728,'ETL Scope'!I:I,1,0)),"NA","ETL")</f>
        <v>ETL</v>
      </c>
      <c r="M728" s="29">
        <f ca="1">COUNTIF('Data-WK'!A:A,'V1'!B:B)</f>
        <v>1</v>
      </c>
      <c r="N728" s="29" t="str">
        <f ca="1">VLOOKUP(E728,'IFRS only'!A:A,1,0)</f>
        <v>410306</v>
      </c>
      <c r="O728" s="31"/>
      <c r="P728" s="89"/>
    </row>
    <row r="729" spans="1:16" s="29" customFormat="1">
      <c r="A729" s="17" t="s">
        <v>3</v>
      </c>
      <c r="B729" s="17">
        <v>5052000000</v>
      </c>
      <c r="C729" s="77" t="s">
        <v>4550</v>
      </c>
      <c r="D729" s="3" t="s">
        <v>4861</v>
      </c>
      <c r="E729" s="17" t="s">
        <v>2727</v>
      </c>
      <c r="F729" s="17" t="s">
        <v>9</v>
      </c>
      <c r="G729" s="17" t="s">
        <v>3440</v>
      </c>
      <c r="H729" s="17" t="s">
        <v>3531</v>
      </c>
      <c r="I729" s="17" t="s">
        <v>3545</v>
      </c>
      <c r="J729" s="17" t="s">
        <v>9</v>
      </c>
      <c r="K729" s="49" t="s">
        <v>1083</v>
      </c>
      <c r="L729" s="4" t="str">
        <f ca="1">IF(ISERROR(VLOOKUP(B729,'ETL Scope'!I:I,1,0)),"NA","ETL")</f>
        <v>ETL</v>
      </c>
      <c r="M729" s="29">
        <f ca="1">COUNTIF('Data-WK'!A:A,'V1'!B:B)</f>
        <v>1</v>
      </c>
      <c r="N729" s="29" t="str">
        <f ca="1">VLOOKUP(E729,'IFRS only'!A:A,1,0)</f>
        <v>410307</v>
      </c>
      <c r="O729" s="31"/>
      <c r="P729" s="89"/>
    </row>
    <row r="730" spans="1:16" s="29" customFormat="1">
      <c r="A730" s="17" t="s">
        <v>3</v>
      </c>
      <c r="B730" s="17">
        <v>5052000010</v>
      </c>
      <c r="C730" s="77" t="s">
        <v>4550</v>
      </c>
      <c r="D730" s="3" t="s">
        <v>4862</v>
      </c>
      <c r="E730" s="17" t="s">
        <v>2719</v>
      </c>
      <c r="F730" s="17" t="s">
        <v>9</v>
      </c>
      <c r="G730" s="17" t="s">
        <v>3532</v>
      </c>
      <c r="H730" s="17" t="s">
        <v>3531</v>
      </c>
      <c r="I730" s="17" t="s">
        <v>3545</v>
      </c>
      <c r="J730" s="17" t="s">
        <v>9</v>
      </c>
      <c r="K730" s="49" t="s">
        <v>1083</v>
      </c>
      <c r="L730" s="4" t="str">
        <f ca="1">IF(ISERROR(VLOOKUP(B730,'ETL Scope'!I:I,1,0)),"NA","ETL")</f>
        <v>NA</v>
      </c>
      <c r="M730" s="29">
        <f ca="1">COUNTIF('Data-WK'!A:A,'V1'!B:B)</f>
        <v>1</v>
      </c>
      <c r="N730" s="29" t="str">
        <f ca="1">VLOOKUP(E730,'IFRS only'!A:A,1,0)</f>
        <v>410207</v>
      </c>
      <c r="O730" s="31"/>
      <c r="P730" s="89"/>
    </row>
    <row r="731" spans="1:16" s="29" customFormat="1">
      <c r="A731" s="17" t="s">
        <v>3</v>
      </c>
      <c r="B731" s="17">
        <v>5052010000</v>
      </c>
      <c r="C731" s="77" t="s">
        <v>4551</v>
      </c>
      <c r="D731" s="3" t="s">
        <v>4863</v>
      </c>
      <c r="E731" s="17" t="s">
        <v>2728</v>
      </c>
      <c r="F731" s="17" t="s">
        <v>9</v>
      </c>
      <c r="G731" s="17" t="s">
        <v>3440</v>
      </c>
      <c r="H731" s="17" t="s">
        <v>3531</v>
      </c>
      <c r="I731" s="17" t="s">
        <v>3545</v>
      </c>
      <c r="J731" s="17" t="s">
        <v>9</v>
      </c>
      <c r="K731" s="49" t="s">
        <v>1084</v>
      </c>
      <c r="L731" s="4" t="str">
        <f ca="1">IF(ISERROR(VLOOKUP(B731,'ETL Scope'!I:I,1,0)),"NA","ETL")</f>
        <v>ETL</v>
      </c>
      <c r="M731" s="29">
        <f ca="1">COUNTIF('Data-WK'!A:A,'V1'!B:B)</f>
        <v>1</v>
      </c>
      <c r="N731" s="29" t="str">
        <f ca="1">VLOOKUP(E731,'IFRS only'!A:A,1,0)</f>
        <v>410308</v>
      </c>
      <c r="O731" s="31"/>
      <c r="P731" s="89"/>
    </row>
    <row r="732" spans="1:16" s="29" customFormat="1">
      <c r="A732" s="17" t="s">
        <v>3</v>
      </c>
      <c r="B732" s="17">
        <v>5910000000</v>
      </c>
      <c r="C732" s="77" t="s">
        <v>4552</v>
      </c>
      <c r="D732" s="3" t="s">
        <v>4864</v>
      </c>
      <c r="E732" s="17" t="s">
        <v>2818</v>
      </c>
      <c r="F732" s="17" t="s">
        <v>3532</v>
      </c>
      <c r="G732" s="17" t="s">
        <v>3532</v>
      </c>
      <c r="H732" s="17" t="s">
        <v>3531</v>
      </c>
      <c r="I732" s="17" t="s">
        <v>3545</v>
      </c>
      <c r="J732" s="17" t="s">
        <v>9</v>
      </c>
      <c r="K732" s="49" t="s">
        <v>1179</v>
      </c>
      <c r="L732" s="4" t="str">
        <f ca="1">IF(ISERROR(VLOOKUP(B732,'ETL Scope'!I:I,1,0)),"NA","ETL")</f>
        <v>NA</v>
      </c>
      <c r="M732" s="29">
        <f ca="1">COUNTIF('Data-WK'!A:A,'V1'!B:B)</f>
        <v>1</v>
      </c>
      <c r="N732" s="29" t="e">
        <f ca="1">VLOOKUP(E732,'IFRS only'!A:A,1,0)</f>
        <v>#N/A</v>
      </c>
      <c r="P732" s="89"/>
    </row>
    <row r="733" spans="1:16" s="29" customFormat="1">
      <c r="A733" s="17" t="s">
        <v>3</v>
      </c>
      <c r="B733" s="17">
        <v>5920000000</v>
      </c>
      <c r="C733" s="77" t="s">
        <v>4553</v>
      </c>
      <c r="D733" s="3" t="s">
        <v>444</v>
      </c>
      <c r="E733" s="17" t="s">
        <v>5383</v>
      </c>
      <c r="F733" s="17" t="s">
        <v>3532</v>
      </c>
      <c r="G733" s="17" t="s">
        <v>3532</v>
      </c>
      <c r="H733" s="17" t="s">
        <v>3531</v>
      </c>
      <c r="I733" s="17" t="s">
        <v>3545</v>
      </c>
      <c r="J733" s="17" t="s">
        <v>9</v>
      </c>
      <c r="K733" s="49" t="s">
        <v>1174</v>
      </c>
      <c r="L733" s="4" t="str">
        <f ca="1">IF(ISERROR(VLOOKUP(B733,'ETL Scope'!I:I,1,0)),"NA","ETL")</f>
        <v>NA</v>
      </c>
      <c r="M733" s="29">
        <f ca="1">COUNTIF('Data-WK'!A:A,'V1'!B:B)</f>
        <v>2</v>
      </c>
      <c r="N733" s="29" t="e">
        <f ca="1">VLOOKUP(E733,'IFRS only'!A:A,1,0)</f>
        <v>#N/A</v>
      </c>
      <c r="P733" s="89"/>
    </row>
    <row r="734" spans="1:16" s="29" customFormat="1">
      <c r="A734" s="17" t="s">
        <v>4</v>
      </c>
      <c r="B734" s="17">
        <v>5920000040</v>
      </c>
      <c r="C734" s="77" t="s">
        <v>4553</v>
      </c>
      <c r="D734" s="3" t="s">
        <v>448</v>
      </c>
      <c r="E734" s="17" t="s">
        <v>2815</v>
      </c>
      <c r="F734" s="17" t="s">
        <v>3532</v>
      </c>
      <c r="G734" s="17" t="s">
        <v>3532</v>
      </c>
      <c r="H734" s="17" t="s">
        <v>3531</v>
      </c>
      <c r="I734" s="17" t="s">
        <v>3545</v>
      </c>
      <c r="J734" s="17" t="s">
        <v>9</v>
      </c>
      <c r="K734" s="49" t="s">
        <v>1174</v>
      </c>
      <c r="L734" s="4" t="str">
        <f ca="1">IF(ISERROR(VLOOKUP(B734,'ETL Scope'!I:I,1,0)),"NA","ETL")</f>
        <v>NA</v>
      </c>
      <c r="M734" s="29">
        <f ca="1">COUNTIF('Data-WK'!A:A,'V1'!B:B)</f>
        <v>1</v>
      </c>
      <c r="N734" s="29" t="e">
        <f ca="1">VLOOKUP(E734,'IFRS only'!A:A,1,0)</f>
        <v>#N/A</v>
      </c>
      <c r="P734" s="89"/>
    </row>
    <row r="735" spans="1:16" s="29" customFormat="1">
      <c r="A735" s="17" t="s">
        <v>4</v>
      </c>
      <c r="B735" s="17">
        <v>5930000000</v>
      </c>
      <c r="C735" s="77" t="s">
        <v>4554</v>
      </c>
      <c r="D735" s="3" t="s">
        <v>5625</v>
      </c>
      <c r="E735" s="17" t="s">
        <v>4778</v>
      </c>
      <c r="F735" s="17" t="s">
        <v>3532</v>
      </c>
      <c r="G735" s="17" t="s">
        <v>3532</v>
      </c>
      <c r="H735" s="17" t="s">
        <v>3531</v>
      </c>
      <c r="I735" s="17" t="s">
        <v>3545</v>
      </c>
      <c r="J735" s="17" t="s">
        <v>9</v>
      </c>
      <c r="K735" s="49" t="s">
        <v>1169</v>
      </c>
      <c r="L735" s="4" t="str">
        <f ca="1">IF(ISERROR(VLOOKUP(B735,'ETL Scope'!I:I,1,0)),"NA","ETL")</f>
        <v>NA</v>
      </c>
      <c r="M735" s="29">
        <f ca="1">COUNTIF('Data-WK'!A:A,'V1'!B:B)</f>
        <v>1</v>
      </c>
      <c r="N735" s="29" t="e">
        <f ca="1">VLOOKUP(E735,'IFRS only'!A:A,1,0)</f>
        <v>#N/A</v>
      </c>
      <c r="P735" s="89"/>
    </row>
    <row r="736" spans="1:16" s="29" customFormat="1">
      <c r="A736" s="17" t="s">
        <v>4</v>
      </c>
      <c r="B736" s="17">
        <v>5930000002</v>
      </c>
      <c r="C736" s="77" t="s">
        <v>4554</v>
      </c>
      <c r="D736" s="3" t="s">
        <v>4865</v>
      </c>
      <c r="E736" s="17" t="s">
        <v>2805</v>
      </c>
      <c r="F736" s="17" t="s">
        <v>3532</v>
      </c>
      <c r="G736" s="17" t="s">
        <v>3532</v>
      </c>
      <c r="H736" s="17" t="s">
        <v>3531</v>
      </c>
      <c r="I736" s="17" t="s">
        <v>3545</v>
      </c>
      <c r="J736" s="17" t="s">
        <v>9</v>
      </c>
      <c r="K736" s="49" t="s">
        <v>1169</v>
      </c>
      <c r="L736" s="4" t="str">
        <f ca="1">IF(ISERROR(VLOOKUP(B736,'ETL Scope'!I:I,1,0)),"NA","ETL")</f>
        <v>NA</v>
      </c>
      <c r="M736" s="29">
        <f ca="1">COUNTIF('Data-WK'!A:A,'V1'!B:B)</f>
        <v>1</v>
      </c>
      <c r="N736" s="29" t="e">
        <f ca="1">VLOOKUP(E736,'IFRS only'!A:A,1,0)</f>
        <v>#N/A</v>
      </c>
      <c r="P736" s="89"/>
    </row>
    <row r="737" spans="1:16" s="29" customFormat="1">
      <c r="A737" s="17" t="s">
        <v>3</v>
      </c>
      <c r="B737" s="17">
        <v>6000000030</v>
      </c>
      <c r="C737" s="78" t="s">
        <v>3902</v>
      </c>
      <c r="D737" s="3" t="s">
        <v>474</v>
      </c>
      <c r="E737" s="17" t="s">
        <v>2850</v>
      </c>
      <c r="F737" s="17" t="s">
        <v>3533</v>
      </c>
      <c r="G737" s="17" t="s">
        <v>3533</v>
      </c>
      <c r="H737" s="17" t="s">
        <v>3534</v>
      </c>
      <c r="I737" s="17" t="s">
        <v>3545</v>
      </c>
      <c r="J737" s="17" t="s">
        <v>9</v>
      </c>
      <c r="K737" s="49" t="s">
        <v>5534</v>
      </c>
      <c r="L737" s="4" t="str">
        <f ca="1">IF(ISERROR(VLOOKUP(B737,'ETL Scope'!I:I,1,0)),"NA","ETL")</f>
        <v>NA</v>
      </c>
      <c r="M737" s="29">
        <f ca="1">COUNTIF('Data-WK'!A:A,'V1'!B:B)</f>
        <v>1</v>
      </c>
      <c r="N737" s="29" t="e">
        <f ca="1">VLOOKUP(E737,'IFRS only'!A:A,1,0)</f>
        <v>#N/A</v>
      </c>
      <c r="P737" s="89"/>
    </row>
    <row r="738" spans="1:16" s="29" customFormat="1">
      <c r="A738" s="17" t="s">
        <v>3</v>
      </c>
      <c r="B738" s="17">
        <v>6010000000</v>
      </c>
      <c r="C738" s="78" t="s">
        <v>4555</v>
      </c>
      <c r="D738" s="3" t="s">
        <v>466</v>
      </c>
      <c r="E738" s="17" t="s">
        <v>2843</v>
      </c>
      <c r="F738" s="17" t="s">
        <v>3533</v>
      </c>
      <c r="G738" s="17" t="s">
        <v>3533</v>
      </c>
      <c r="H738" s="17" t="s">
        <v>3534</v>
      </c>
      <c r="I738" s="17" t="s">
        <v>3545</v>
      </c>
      <c r="J738" s="17" t="s">
        <v>9</v>
      </c>
      <c r="K738" s="49" t="s">
        <v>1189</v>
      </c>
      <c r="L738" s="4" t="str">
        <f ca="1">IF(ISERROR(VLOOKUP(B738,'ETL Scope'!I:I,1,0)),"NA","ETL")</f>
        <v>NA</v>
      </c>
      <c r="M738" s="29">
        <f ca="1">COUNTIF('Data-WK'!A:A,'V1'!B:B)</f>
        <v>1</v>
      </c>
      <c r="N738" s="29" t="e">
        <f ca="1">VLOOKUP(E738,'IFRS only'!A:A,1,0)</f>
        <v>#N/A</v>
      </c>
      <c r="P738" s="89"/>
    </row>
    <row r="739" spans="1:16" s="29" customFormat="1">
      <c r="A739" s="17" t="s">
        <v>3</v>
      </c>
      <c r="B739" s="17">
        <v>6010000005</v>
      </c>
      <c r="C739" s="78" t="s">
        <v>4555</v>
      </c>
      <c r="D739" s="3" t="s">
        <v>470</v>
      </c>
      <c r="E739" s="17" t="s">
        <v>2846</v>
      </c>
      <c r="F739" s="17" t="s">
        <v>3533</v>
      </c>
      <c r="G739" s="17" t="s">
        <v>3533</v>
      </c>
      <c r="H739" s="17" t="s">
        <v>3534</v>
      </c>
      <c r="I739" s="17" t="s">
        <v>3545</v>
      </c>
      <c r="J739" s="17" t="s">
        <v>9</v>
      </c>
      <c r="K739" s="49" t="s">
        <v>1189</v>
      </c>
      <c r="L739" s="4" t="str">
        <f ca="1">IF(ISERROR(VLOOKUP(B739,'ETL Scope'!I:I,1,0)),"NA","ETL")</f>
        <v>NA</v>
      </c>
      <c r="M739" s="29">
        <f ca="1">COUNTIF('Data-WK'!A:A,'V1'!B:B)</f>
        <v>1</v>
      </c>
      <c r="N739" s="29" t="e">
        <f ca="1">VLOOKUP(E739,'IFRS only'!A:A,1,0)</f>
        <v>#N/A</v>
      </c>
      <c r="P739" s="89"/>
    </row>
    <row r="740" spans="1:16" s="29" customFormat="1">
      <c r="A740" s="17" t="s">
        <v>4</v>
      </c>
      <c r="B740" s="17">
        <v>6010000007</v>
      </c>
      <c r="C740" s="78" t="s">
        <v>4555</v>
      </c>
      <c r="D740" s="3" t="s">
        <v>5626</v>
      </c>
      <c r="E740" s="17" t="s">
        <v>3342</v>
      </c>
      <c r="F740" s="17" t="s">
        <v>3533</v>
      </c>
      <c r="G740" s="17" t="s">
        <v>3533</v>
      </c>
      <c r="H740" s="17" t="s">
        <v>3534</v>
      </c>
      <c r="I740" s="17" t="s">
        <v>3545</v>
      </c>
      <c r="J740" s="17" t="s">
        <v>9</v>
      </c>
      <c r="K740" s="49" t="s">
        <v>1189</v>
      </c>
      <c r="L740" s="4" t="str">
        <f ca="1">IF(ISERROR(VLOOKUP(B740,'ETL Scope'!I:I,1,0)),"NA","ETL")</f>
        <v>NA</v>
      </c>
      <c r="M740" s="29">
        <f ca="1">COUNTIF('Data-WK'!A:A,'V1'!B:B)</f>
        <v>1</v>
      </c>
      <c r="N740" s="29" t="e">
        <f ca="1">VLOOKUP(E740,'IFRS only'!A:A,1,0)</f>
        <v>#N/A</v>
      </c>
      <c r="P740" s="89"/>
    </row>
    <row r="741" spans="1:16" s="29" customFormat="1">
      <c r="A741" s="17" t="s">
        <v>3</v>
      </c>
      <c r="B741" s="17">
        <v>6010000011</v>
      </c>
      <c r="C741" s="78" t="s">
        <v>4555</v>
      </c>
      <c r="D741" s="3" t="s">
        <v>5830</v>
      </c>
      <c r="E741" s="52" t="s">
        <v>2847</v>
      </c>
      <c r="F741" s="17" t="s">
        <v>3533</v>
      </c>
      <c r="G741" s="17" t="s">
        <v>3533</v>
      </c>
      <c r="H741" s="17" t="s">
        <v>3534</v>
      </c>
      <c r="I741" s="17" t="s">
        <v>3545</v>
      </c>
      <c r="J741" s="17" t="s">
        <v>9</v>
      </c>
      <c r="K741" s="49" t="s">
        <v>1189</v>
      </c>
      <c r="L741" s="4" t="str">
        <f ca="1">IF(ISERROR(VLOOKUP(B741,'ETL Scope'!I:I,1,0)),"NA","ETL")</f>
        <v>NA</v>
      </c>
      <c r="M741" s="29">
        <f ca="1">COUNTIF('Data-WK'!A:A,'V1'!B:B)</f>
        <v>1</v>
      </c>
      <c r="N741" s="29" t="e">
        <f ca="1">VLOOKUP(E741,'IFRS only'!A:A,1,0)</f>
        <v>#N/A</v>
      </c>
      <c r="P741" s="89"/>
    </row>
    <row r="742" spans="1:16" s="29" customFormat="1" ht="12" customHeight="1">
      <c r="A742" s="17" t="s">
        <v>4</v>
      </c>
      <c r="B742" s="17">
        <v>6010000012</v>
      </c>
      <c r="C742" s="78" t="s">
        <v>4555</v>
      </c>
      <c r="D742" s="3" t="s">
        <v>741</v>
      </c>
      <c r="E742" s="52" t="s">
        <v>3191</v>
      </c>
      <c r="F742" s="17" t="s">
        <v>3535</v>
      </c>
      <c r="G742" s="17" t="s">
        <v>3535</v>
      </c>
      <c r="H742" s="17" t="s">
        <v>3536</v>
      </c>
      <c r="I742" s="17" t="s">
        <v>3545</v>
      </c>
      <c r="J742" s="17" t="s">
        <v>9</v>
      </c>
      <c r="K742" s="49" t="s">
        <v>1189</v>
      </c>
      <c r="L742" s="4" t="str">
        <f ca="1">IF(ISERROR(VLOOKUP(B742,'ETL Scope'!I:I,1,0)),"NA","ETL")</f>
        <v>NA</v>
      </c>
      <c r="M742" s="29">
        <f ca="1">COUNTIF('Data-WK'!A:A,'V1'!B:B)</f>
        <v>1</v>
      </c>
      <c r="N742" s="29" t="e">
        <f ca="1">VLOOKUP(E742,'IFRS only'!A:A,1,0)</f>
        <v>#N/A</v>
      </c>
      <c r="P742" s="89"/>
    </row>
    <row r="743" spans="1:16" s="29" customFormat="1">
      <c r="A743" s="17" t="s">
        <v>4</v>
      </c>
      <c r="B743" s="17">
        <v>6010000040</v>
      </c>
      <c r="C743" s="78" t="s">
        <v>4555</v>
      </c>
      <c r="D743" s="3" t="s">
        <v>3502</v>
      </c>
      <c r="E743" s="52" t="s">
        <v>2833</v>
      </c>
      <c r="F743" s="17" t="s">
        <v>3533</v>
      </c>
      <c r="G743" s="17" t="s">
        <v>3533</v>
      </c>
      <c r="H743" s="17" t="s">
        <v>3534</v>
      </c>
      <c r="I743" s="17" t="s">
        <v>3545</v>
      </c>
      <c r="J743" s="17" t="s">
        <v>9</v>
      </c>
      <c r="K743" s="49" t="s">
        <v>1189</v>
      </c>
      <c r="L743" s="4" t="str">
        <f ca="1">IF(ISERROR(VLOOKUP(B743,'ETL Scope'!I:I,1,0)),"NA","ETL")</f>
        <v>NA</v>
      </c>
      <c r="M743" s="29">
        <f ca="1">COUNTIF('Data-WK'!A:A,'V1'!B:B)</f>
        <v>1</v>
      </c>
      <c r="N743" s="29" t="e">
        <f ca="1">VLOOKUP(E743,'IFRS only'!A:A,1,0)</f>
        <v>#N/A</v>
      </c>
      <c r="P743" s="89"/>
    </row>
    <row r="744" spans="1:16" s="29" customFormat="1">
      <c r="A744" s="17" t="s">
        <v>4</v>
      </c>
      <c r="B744" s="17">
        <v>6010000051</v>
      </c>
      <c r="C744" s="78" t="s">
        <v>4555</v>
      </c>
      <c r="D744" s="3" t="s">
        <v>5627</v>
      </c>
      <c r="E744" s="52">
        <v>460003</v>
      </c>
      <c r="F744" s="17" t="s">
        <v>1544</v>
      </c>
      <c r="G744" s="17" t="s">
        <v>1544</v>
      </c>
      <c r="H744" s="17" t="s">
        <v>3525</v>
      </c>
      <c r="I744" s="17" t="s">
        <v>3525</v>
      </c>
      <c r="J744" s="17" t="s">
        <v>9</v>
      </c>
      <c r="K744" s="49" t="s">
        <v>1189</v>
      </c>
      <c r="L744" s="4"/>
      <c r="P744" s="89"/>
    </row>
    <row r="745" spans="1:16" s="29" customFormat="1" ht="12" customHeight="1">
      <c r="A745" s="17" t="s">
        <v>4</v>
      </c>
      <c r="B745" s="17">
        <v>6010000070</v>
      </c>
      <c r="C745" s="78" t="s">
        <v>4555</v>
      </c>
      <c r="D745" s="3" t="s">
        <v>5831</v>
      </c>
      <c r="E745" s="17" t="s">
        <v>3256</v>
      </c>
      <c r="F745" s="17" t="s">
        <v>3533</v>
      </c>
      <c r="G745" s="17" t="s">
        <v>3533</v>
      </c>
      <c r="H745" s="17" t="s">
        <v>3534</v>
      </c>
      <c r="I745" s="17" t="s">
        <v>3545</v>
      </c>
      <c r="J745" s="17" t="s">
        <v>9</v>
      </c>
      <c r="K745" s="49" t="s">
        <v>1189</v>
      </c>
      <c r="L745" s="4" t="str">
        <f ca="1">IF(ISERROR(VLOOKUP(B745,'ETL Scope'!I:I,1,0)),"NA","ETL")</f>
        <v>NA</v>
      </c>
      <c r="M745" s="29">
        <f ca="1">COUNTIF('Data-WK'!A:A,'V1'!B:B)</f>
        <v>1</v>
      </c>
      <c r="N745" s="29" t="e">
        <f ca="1">VLOOKUP(E745,'IFRS only'!A:A,1,0)</f>
        <v>#N/A</v>
      </c>
      <c r="P745" s="89"/>
    </row>
    <row r="746" spans="1:16" s="29" customFormat="1" ht="12" customHeight="1">
      <c r="A746" s="17" t="s">
        <v>4</v>
      </c>
      <c r="B746" s="17">
        <v>6010000080</v>
      </c>
      <c r="C746" s="78" t="s">
        <v>4555</v>
      </c>
      <c r="D746" s="3" t="s">
        <v>5628</v>
      </c>
      <c r="E746" s="17" t="s">
        <v>5835</v>
      </c>
      <c r="F746" s="17" t="s">
        <v>3533</v>
      </c>
      <c r="G746" s="17" t="s">
        <v>3533</v>
      </c>
      <c r="H746" s="17" t="s">
        <v>3534</v>
      </c>
      <c r="I746" s="17" t="s">
        <v>3545</v>
      </c>
      <c r="J746" s="17" t="s">
        <v>9</v>
      </c>
      <c r="K746" s="49" t="s">
        <v>1189</v>
      </c>
      <c r="L746" s="4" t="str">
        <f ca="1">IF(ISERROR(VLOOKUP(B746,'ETL Scope'!I:I,1,0)),"NA","ETL")</f>
        <v>NA</v>
      </c>
      <c r="M746" s="29">
        <f ca="1">COUNTIF('Data-WK'!A:A,'V1'!B:B)</f>
        <v>1</v>
      </c>
      <c r="N746" s="29" t="e">
        <f ca="1">VLOOKUP(E746,'IFRS only'!A:A,1,0)</f>
        <v>#N/A</v>
      </c>
      <c r="P746" s="89"/>
    </row>
    <row r="747" spans="1:16" s="29" customFormat="1" ht="12" customHeight="1">
      <c r="A747" s="17" t="s">
        <v>3</v>
      </c>
      <c r="B747" s="17">
        <v>6012000000</v>
      </c>
      <c r="C747" s="78" t="s">
        <v>4556</v>
      </c>
      <c r="D747" s="3" t="s">
        <v>472</v>
      </c>
      <c r="E747" s="17" t="s">
        <v>2848</v>
      </c>
      <c r="F747" s="17" t="s">
        <v>3533</v>
      </c>
      <c r="G747" s="17" t="s">
        <v>3533</v>
      </c>
      <c r="H747" s="17" t="s">
        <v>3534</v>
      </c>
      <c r="I747" s="17" t="s">
        <v>3545</v>
      </c>
      <c r="J747" s="17" t="s">
        <v>9</v>
      </c>
      <c r="K747" s="49" t="s">
        <v>1195</v>
      </c>
      <c r="L747" s="4" t="str">
        <f ca="1">IF(ISERROR(VLOOKUP(B747,'ETL Scope'!I:I,1,0)),"NA","ETL")</f>
        <v>NA</v>
      </c>
      <c r="M747" s="29">
        <f ca="1">COUNTIF('Data-WK'!A:A,'V1'!B:B)</f>
        <v>1</v>
      </c>
      <c r="N747" s="29" t="e">
        <f ca="1">VLOOKUP(E747,'IFRS only'!A:A,1,0)</f>
        <v>#N/A</v>
      </c>
      <c r="P747" s="89"/>
    </row>
    <row r="748" spans="1:16" s="29" customFormat="1" ht="12" customHeight="1">
      <c r="A748" s="17" t="s">
        <v>3</v>
      </c>
      <c r="B748" s="17">
        <v>6012000100</v>
      </c>
      <c r="C748" s="78" t="s">
        <v>4556</v>
      </c>
      <c r="D748" s="3" t="s">
        <v>473</v>
      </c>
      <c r="E748" s="17" t="s">
        <v>2849</v>
      </c>
      <c r="F748" s="17" t="s">
        <v>3533</v>
      </c>
      <c r="G748" s="17" t="s">
        <v>3533</v>
      </c>
      <c r="H748" s="17" t="s">
        <v>3534</v>
      </c>
      <c r="I748" s="17" t="s">
        <v>3545</v>
      </c>
      <c r="J748" s="17" t="s">
        <v>9</v>
      </c>
      <c r="K748" s="49" t="s">
        <v>1195</v>
      </c>
      <c r="L748" s="4" t="str">
        <f ca="1">IF(ISERROR(VLOOKUP(B748,'ETL Scope'!I:I,1,0)),"NA","ETL")</f>
        <v>NA</v>
      </c>
      <c r="M748" s="29">
        <f ca="1">COUNTIF('Data-WK'!A:A,'V1'!B:B)</f>
        <v>1</v>
      </c>
      <c r="N748" s="29" t="e">
        <f ca="1">VLOOKUP(E748,'IFRS only'!A:A,1,0)</f>
        <v>#N/A</v>
      </c>
      <c r="P748" s="89"/>
    </row>
    <row r="749" spans="1:16" s="29" customFormat="1" ht="12" customHeight="1">
      <c r="A749" s="17" t="s">
        <v>5</v>
      </c>
      <c r="B749" s="17">
        <v>6020000000</v>
      </c>
      <c r="C749" s="78" t="s">
        <v>4557</v>
      </c>
      <c r="D749" s="3" t="s">
        <v>4866</v>
      </c>
      <c r="E749" s="51" t="s">
        <v>2853</v>
      </c>
      <c r="F749" s="17" t="s">
        <v>3392</v>
      </c>
      <c r="G749" s="17" t="s">
        <v>3392</v>
      </c>
      <c r="H749" s="17" t="s">
        <v>3534</v>
      </c>
      <c r="I749" s="17" t="s">
        <v>3545</v>
      </c>
      <c r="J749" s="17" t="s">
        <v>9</v>
      </c>
      <c r="K749" s="49" t="s">
        <v>1198</v>
      </c>
      <c r="L749" s="4" t="str">
        <f ca="1">IF(ISERROR(VLOOKUP(B749,'ETL Scope'!I:I,1,0)),"NA","ETL")</f>
        <v>NA</v>
      </c>
      <c r="M749" s="29">
        <f ca="1">COUNTIF('Data-WK'!A:A,'V1'!B:B)</f>
        <v>1</v>
      </c>
      <c r="N749" s="29" t="e">
        <f ca="1">VLOOKUP(E749,'IFRS only'!A:A,1,0)</f>
        <v>#N/A</v>
      </c>
      <c r="P749" s="89"/>
    </row>
    <row r="750" spans="1:16" s="29" customFormat="1">
      <c r="A750" s="17" t="s">
        <v>5</v>
      </c>
      <c r="B750" s="17">
        <v>6020000001</v>
      </c>
      <c r="C750" s="78" t="s">
        <v>4557</v>
      </c>
      <c r="D750" s="3" t="s">
        <v>4867</v>
      </c>
      <c r="E750" s="51" t="s">
        <v>2856</v>
      </c>
      <c r="F750" s="17" t="s">
        <v>3392</v>
      </c>
      <c r="G750" s="17" t="s">
        <v>3392</v>
      </c>
      <c r="H750" s="17" t="s">
        <v>3534</v>
      </c>
      <c r="I750" s="17" t="s">
        <v>3545</v>
      </c>
      <c r="J750" s="17" t="s">
        <v>9</v>
      </c>
      <c r="K750" s="49" t="s">
        <v>1198</v>
      </c>
      <c r="L750" s="4" t="str">
        <f ca="1">IF(ISERROR(VLOOKUP(B750,'ETL Scope'!I:I,1,0)),"NA","ETL")</f>
        <v>NA</v>
      </c>
      <c r="M750" s="29">
        <f ca="1">COUNTIF('Data-WK'!A:A,'V1'!B:B)</f>
        <v>1</v>
      </c>
      <c r="N750" s="29" t="e">
        <f ca="1">VLOOKUP(E750,'IFRS only'!A:A,1,0)</f>
        <v>#N/A</v>
      </c>
      <c r="P750" s="89"/>
    </row>
    <row r="751" spans="1:16" s="29" customFormat="1">
      <c r="A751" s="17" t="s">
        <v>5</v>
      </c>
      <c r="B751" s="17">
        <v>6020000500</v>
      </c>
      <c r="C751" s="78" t="s">
        <v>4557</v>
      </c>
      <c r="D751" s="3" t="s">
        <v>478</v>
      </c>
      <c r="E751" s="51" t="s">
        <v>2855</v>
      </c>
      <c r="F751" s="17" t="s">
        <v>3392</v>
      </c>
      <c r="G751" s="17" t="s">
        <v>3392</v>
      </c>
      <c r="H751" s="17" t="s">
        <v>3534</v>
      </c>
      <c r="I751" s="17" t="s">
        <v>3545</v>
      </c>
      <c r="J751" s="17" t="s">
        <v>9</v>
      </c>
      <c r="K751" s="49" t="s">
        <v>1198</v>
      </c>
      <c r="L751" s="4" t="str">
        <f ca="1">IF(ISERROR(VLOOKUP(B751,'ETL Scope'!I:I,1,0)),"NA","ETL")</f>
        <v>NA</v>
      </c>
      <c r="M751" s="29">
        <f ca="1">COUNTIF('Data-WK'!A:A,'V1'!B:B)</f>
        <v>1</v>
      </c>
      <c r="N751" s="29" t="e">
        <f ca="1">VLOOKUP(E751,'IFRS only'!A:A,1,0)</f>
        <v>#N/A</v>
      </c>
      <c r="P751" s="89"/>
    </row>
    <row r="752" spans="1:16" s="29" customFormat="1">
      <c r="A752" s="17" t="s">
        <v>5</v>
      </c>
      <c r="B752" s="17">
        <v>6022000000</v>
      </c>
      <c r="C752" s="78" t="s">
        <v>4558</v>
      </c>
      <c r="D752" s="3" t="s">
        <v>493</v>
      </c>
      <c r="E752" s="51" t="s">
        <v>2871</v>
      </c>
      <c r="F752" s="17" t="s">
        <v>3392</v>
      </c>
      <c r="G752" s="17" t="s">
        <v>3392</v>
      </c>
      <c r="H752" s="17" t="s">
        <v>3534</v>
      </c>
      <c r="I752" s="17" t="s">
        <v>3545</v>
      </c>
      <c r="J752" s="17" t="s">
        <v>9</v>
      </c>
      <c r="K752" s="49" t="s">
        <v>1206</v>
      </c>
      <c r="L752" s="4" t="str">
        <f ca="1">IF(ISERROR(VLOOKUP(B752,'ETL Scope'!I:I,1,0)),"NA","ETL")</f>
        <v>NA</v>
      </c>
      <c r="M752" s="29">
        <f ca="1">COUNTIF('Data-WK'!A:A,'V1'!B:B)</f>
        <v>1</v>
      </c>
      <c r="N752" s="29" t="e">
        <f ca="1">VLOOKUP(E752,'IFRS only'!A:A,1,0)</f>
        <v>#N/A</v>
      </c>
      <c r="P752" s="89"/>
    </row>
    <row r="753" spans="1:16" s="29" customFormat="1">
      <c r="A753" s="17" t="s">
        <v>5</v>
      </c>
      <c r="B753" s="17">
        <v>6022000001</v>
      </c>
      <c r="C753" s="78" t="s">
        <v>4558</v>
      </c>
      <c r="D753" s="3" t="s">
        <v>4868</v>
      </c>
      <c r="E753" s="51" t="s">
        <v>2873</v>
      </c>
      <c r="F753" s="17" t="s">
        <v>3392</v>
      </c>
      <c r="G753" s="17" t="s">
        <v>3392</v>
      </c>
      <c r="H753" s="17" t="s">
        <v>3534</v>
      </c>
      <c r="I753" s="17" t="s">
        <v>3545</v>
      </c>
      <c r="J753" s="17" t="s">
        <v>9</v>
      </c>
      <c r="K753" s="49" t="s">
        <v>1206</v>
      </c>
      <c r="L753" s="4" t="str">
        <f ca="1">IF(ISERROR(VLOOKUP(B753,'ETL Scope'!I:I,1,0)),"NA","ETL")</f>
        <v>NA</v>
      </c>
      <c r="M753" s="29">
        <f ca="1">COUNTIF('Data-WK'!A:A,'V1'!B:B)</f>
        <v>1</v>
      </c>
      <c r="N753" s="29" t="e">
        <f ca="1">VLOOKUP(E753,'IFRS only'!A:A,1,0)</f>
        <v>#N/A</v>
      </c>
      <c r="P753" s="89"/>
    </row>
    <row r="754" spans="1:16" s="29" customFormat="1">
      <c r="A754" s="17" t="s">
        <v>5</v>
      </c>
      <c r="B754" s="17">
        <v>6030000000</v>
      </c>
      <c r="C754" s="78" t="s">
        <v>4559</v>
      </c>
      <c r="D754" s="3" t="s">
        <v>477</v>
      </c>
      <c r="E754" s="51" t="s">
        <v>2854</v>
      </c>
      <c r="F754" s="17" t="s">
        <v>3392</v>
      </c>
      <c r="G754" s="17" t="s">
        <v>3440</v>
      </c>
      <c r="H754" s="17" t="s">
        <v>3534</v>
      </c>
      <c r="I754" s="17" t="s">
        <v>3545</v>
      </c>
      <c r="J754" s="17" t="s">
        <v>9</v>
      </c>
      <c r="K754" s="49" t="s">
        <v>1199</v>
      </c>
      <c r="L754" s="4" t="str">
        <f ca="1">IF(ISERROR(VLOOKUP(B754,'ETL Scope'!I:I,1,0)),"NA","ETL")</f>
        <v>ETL</v>
      </c>
      <c r="M754" s="29">
        <f ca="1">COUNTIF('Data-WK'!A:A,'V1'!B:B)</f>
        <v>1</v>
      </c>
      <c r="N754" s="29" t="e">
        <f ca="1">VLOOKUP(E754,'IFRS only'!A:A,1,0)</f>
        <v>#N/A</v>
      </c>
      <c r="P754" s="89"/>
    </row>
    <row r="755" spans="1:16" s="29" customFormat="1">
      <c r="A755" s="17" t="s">
        <v>5</v>
      </c>
      <c r="B755" s="17">
        <v>6030000010</v>
      </c>
      <c r="C755" s="78" t="s">
        <v>4559</v>
      </c>
      <c r="D755" s="3" t="s">
        <v>4869</v>
      </c>
      <c r="E755" s="51" t="s">
        <v>2857</v>
      </c>
      <c r="F755" s="17" t="s">
        <v>3392</v>
      </c>
      <c r="G755" s="17" t="s">
        <v>3392</v>
      </c>
      <c r="H755" s="17" t="s">
        <v>3534</v>
      </c>
      <c r="I755" s="17" t="s">
        <v>3545</v>
      </c>
      <c r="J755" s="17" t="s">
        <v>9</v>
      </c>
      <c r="K755" s="49" t="s">
        <v>1199</v>
      </c>
      <c r="L755" s="4" t="str">
        <f ca="1">IF(ISERROR(VLOOKUP(B755,'ETL Scope'!I:I,1,0)),"NA","ETL")</f>
        <v>NA</v>
      </c>
      <c r="M755" s="29">
        <f ca="1">COUNTIF('Data-WK'!A:A,'V1'!B:B)</f>
        <v>1</v>
      </c>
      <c r="N755" s="29" t="e">
        <f ca="1">VLOOKUP(E755,'IFRS only'!A:A,1,0)</f>
        <v>#N/A</v>
      </c>
      <c r="P755" s="89"/>
    </row>
    <row r="756" spans="1:16" s="29" customFormat="1">
      <c r="A756" s="17" t="s">
        <v>5</v>
      </c>
      <c r="B756" s="17">
        <v>6032000000</v>
      </c>
      <c r="C756" s="78" t="s">
        <v>4560</v>
      </c>
      <c r="D756" s="3" t="s">
        <v>494</v>
      </c>
      <c r="E756" s="51" t="s">
        <v>2872</v>
      </c>
      <c r="F756" s="17" t="s">
        <v>3392</v>
      </c>
      <c r="G756" s="17" t="s">
        <v>3440</v>
      </c>
      <c r="H756" s="17" t="s">
        <v>3534</v>
      </c>
      <c r="I756" s="17" t="s">
        <v>3545</v>
      </c>
      <c r="J756" s="17" t="s">
        <v>9</v>
      </c>
      <c r="K756" s="49" t="s">
        <v>1207</v>
      </c>
      <c r="L756" s="4" t="str">
        <f ca="1">IF(ISERROR(VLOOKUP(B756,'ETL Scope'!I:I,1,0)),"NA","ETL")</f>
        <v>ETL</v>
      </c>
      <c r="M756" s="29">
        <f ca="1">COUNTIF('Data-WK'!A:A,'V1'!B:B)</f>
        <v>1</v>
      </c>
      <c r="N756" s="29" t="e">
        <f ca="1">VLOOKUP(E756,'IFRS only'!A:A,1,0)</f>
        <v>#N/A</v>
      </c>
      <c r="P756" s="89"/>
    </row>
    <row r="757" spans="1:16" s="29" customFormat="1">
      <c r="A757" s="17" t="s">
        <v>3</v>
      </c>
      <c r="B757" s="17">
        <v>6050000000</v>
      </c>
      <c r="C757" s="78" t="s">
        <v>4561</v>
      </c>
      <c r="D757" s="3" t="s">
        <v>467</v>
      </c>
      <c r="E757" s="17" t="s">
        <v>2844</v>
      </c>
      <c r="F757" s="17" t="s">
        <v>3533</v>
      </c>
      <c r="G757" s="17" t="s">
        <v>3533</v>
      </c>
      <c r="H757" s="17" t="s">
        <v>3534</v>
      </c>
      <c r="I757" s="17" t="s">
        <v>3545</v>
      </c>
      <c r="J757" s="17" t="s">
        <v>9</v>
      </c>
      <c r="K757" s="49" t="s">
        <v>1190</v>
      </c>
      <c r="L757" s="4" t="str">
        <f ca="1">IF(ISERROR(VLOOKUP(B757,'ETL Scope'!I:I,1,0)),"NA","ETL")</f>
        <v>NA</v>
      </c>
      <c r="M757" s="29">
        <f ca="1">COUNTIF('Data-WK'!A:A,'V1'!B:B)</f>
        <v>1</v>
      </c>
      <c r="N757" s="29" t="e">
        <f ca="1">VLOOKUP(E757,'IFRS only'!A:A,1,0)</f>
        <v>#N/A</v>
      </c>
      <c r="P757" s="89"/>
    </row>
    <row r="758" spans="1:16" s="29" customFormat="1">
      <c r="A758" s="17" t="s">
        <v>4</v>
      </c>
      <c r="B758" s="17">
        <v>6050000010</v>
      </c>
      <c r="C758" s="78" t="s">
        <v>4561</v>
      </c>
      <c r="D758" s="3" t="s">
        <v>3506</v>
      </c>
      <c r="E758" s="17" t="s">
        <v>2837</v>
      </c>
      <c r="F758" s="17" t="s">
        <v>3533</v>
      </c>
      <c r="G758" s="17" t="s">
        <v>3533</v>
      </c>
      <c r="H758" s="17" t="s">
        <v>3534</v>
      </c>
      <c r="I758" s="17" t="s">
        <v>3545</v>
      </c>
      <c r="J758" s="17" t="s">
        <v>9</v>
      </c>
      <c r="K758" s="49" t="s">
        <v>1190</v>
      </c>
      <c r="L758" s="4" t="str">
        <f ca="1">IF(ISERROR(VLOOKUP(B758,'ETL Scope'!I:I,1,0)),"NA","ETL")</f>
        <v>NA</v>
      </c>
      <c r="M758" s="29">
        <f ca="1">COUNTIF('Data-WK'!A:A,'V1'!B:B)</f>
        <v>1</v>
      </c>
      <c r="N758" s="29" t="e">
        <f ca="1">VLOOKUP(E758,'IFRS only'!A:A,1,0)</f>
        <v>#N/A</v>
      </c>
      <c r="P758" s="89"/>
    </row>
    <row r="759" spans="1:16" s="29" customFormat="1">
      <c r="A759" s="17" t="s">
        <v>3</v>
      </c>
      <c r="B759" s="17">
        <v>6050000020</v>
      </c>
      <c r="C759" s="78" t="s">
        <v>4561</v>
      </c>
      <c r="D759" s="3" t="s">
        <v>468</v>
      </c>
      <c r="E759" s="17" t="s">
        <v>2845</v>
      </c>
      <c r="F759" s="17" t="s">
        <v>3533</v>
      </c>
      <c r="G759" s="17" t="s">
        <v>3533</v>
      </c>
      <c r="H759" s="17" t="s">
        <v>3534</v>
      </c>
      <c r="I759" s="17" t="s">
        <v>3545</v>
      </c>
      <c r="J759" s="17" t="s">
        <v>9</v>
      </c>
      <c r="K759" s="49" t="s">
        <v>1190</v>
      </c>
      <c r="L759" s="4" t="str">
        <f ca="1">IF(ISERROR(VLOOKUP(B759,'ETL Scope'!I:I,1,0)),"NA","ETL")</f>
        <v>NA</v>
      </c>
      <c r="M759" s="29">
        <f ca="1">COUNTIF('Data-WK'!A:A,'V1'!B:B)</f>
        <v>1</v>
      </c>
      <c r="N759" s="29" t="e">
        <f ca="1">VLOOKUP(E759,'IFRS only'!A:A,1,0)</f>
        <v>#N/A</v>
      </c>
      <c r="P759" s="89"/>
    </row>
    <row r="760" spans="1:16" s="29" customFormat="1">
      <c r="A760" s="17" t="s">
        <v>4</v>
      </c>
      <c r="B760" s="17">
        <v>6050000040</v>
      </c>
      <c r="C760" s="78" t="s">
        <v>4561</v>
      </c>
      <c r="D760" s="3" t="s">
        <v>3503</v>
      </c>
      <c r="E760" s="17" t="s">
        <v>2834</v>
      </c>
      <c r="F760" s="17" t="s">
        <v>3533</v>
      </c>
      <c r="G760" s="17" t="s">
        <v>3533</v>
      </c>
      <c r="H760" s="17" t="s">
        <v>3534</v>
      </c>
      <c r="I760" s="17" t="s">
        <v>3545</v>
      </c>
      <c r="J760" s="17" t="s">
        <v>9</v>
      </c>
      <c r="K760" s="49" t="s">
        <v>1190</v>
      </c>
      <c r="L760" s="4" t="str">
        <f ca="1">IF(ISERROR(VLOOKUP(B760,'ETL Scope'!I:I,1,0)),"NA","ETL")</f>
        <v>NA</v>
      </c>
      <c r="M760" s="29">
        <f ca="1">COUNTIF('Data-WK'!A:A,'V1'!B:B)</f>
        <v>1</v>
      </c>
      <c r="N760" s="29" t="e">
        <f ca="1">VLOOKUP(E760,'IFRS only'!A:A,1,0)</f>
        <v>#N/A</v>
      </c>
      <c r="P760" s="89"/>
    </row>
    <row r="761" spans="1:16" s="29" customFormat="1">
      <c r="A761" s="17" t="s">
        <v>4</v>
      </c>
      <c r="B761" s="17">
        <v>6050000041</v>
      </c>
      <c r="C761" s="78" t="s">
        <v>4561</v>
      </c>
      <c r="D761" s="3" t="s">
        <v>5629</v>
      </c>
      <c r="E761" s="17" t="s">
        <v>3343</v>
      </c>
      <c r="F761" s="17" t="s">
        <v>3533</v>
      </c>
      <c r="G761" s="17" t="s">
        <v>3533</v>
      </c>
      <c r="H761" s="17" t="s">
        <v>3534</v>
      </c>
      <c r="I761" s="17" t="s">
        <v>3545</v>
      </c>
      <c r="J761" s="17" t="s">
        <v>9</v>
      </c>
      <c r="K761" s="49" t="s">
        <v>1190</v>
      </c>
      <c r="L761" s="4" t="str">
        <f ca="1">IF(ISERROR(VLOOKUP(B761,'ETL Scope'!I:I,1,0)),"NA","ETL")</f>
        <v>NA</v>
      </c>
      <c r="M761" s="29">
        <f ca="1">COUNTIF('Data-WK'!A:A,'V1'!B:B)</f>
        <v>1</v>
      </c>
      <c r="N761" s="29" t="e">
        <f ca="1">VLOOKUP(E761,'IFRS only'!A:A,1,0)</f>
        <v>#N/A</v>
      </c>
      <c r="P761" s="89"/>
    </row>
    <row r="762" spans="1:16" s="29" customFormat="1">
      <c r="A762" s="17" t="s">
        <v>4</v>
      </c>
      <c r="B762" s="17">
        <v>6050000042</v>
      </c>
      <c r="C762" s="78" t="s">
        <v>4561</v>
      </c>
      <c r="D762" s="3" t="s">
        <v>5630</v>
      </c>
      <c r="E762" s="17" t="s">
        <v>3346</v>
      </c>
      <c r="F762" s="17" t="s">
        <v>3533</v>
      </c>
      <c r="G762" s="17" t="s">
        <v>3533</v>
      </c>
      <c r="H762" s="17" t="s">
        <v>3534</v>
      </c>
      <c r="I762" s="17" t="s">
        <v>3545</v>
      </c>
      <c r="J762" s="17" t="s">
        <v>9</v>
      </c>
      <c r="K762" s="49" t="s">
        <v>1190</v>
      </c>
      <c r="L762" s="4" t="str">
        <f ca="1">IF(ISERROR(VLOOKUP(B762,'ETL Scope'!I:I,1,0)),"NA","ETL")</f>
        <v>NA</v>
      </c>
      <c r="M762" s="29">
        <f ca="1">COUNTIF('Data-WK'!A:A,'V1'!B:B)</f>
        <v>1</v>
      </c>
      <c r="N762" s="29" t="e">
        <f ca="1">VLOOKUP(E762,'IFRS only'!A:A,1,0)</f>
        <v>#N/A</v>
      </c>
      <c r="P762" s="89"/>
    </row>
    <row r="763" spans="1:16" s="29" customFormat="1">
      <c r="A763" s="17" t="s">
        <v>3</v>
      </c>
      <c r="B763" s="17">
        <v>6050100000</v>
      </c>
      <c r="C763" s="78" t="s">
        <v>4562</v>
      </c>
      <c r="D763" s="3" t="s">
        <v>464</v>
      </c>
      <c r="E763" s="17" t="s">
        <v>5377</v>
      </c>
      <c r="F763" s="17" t="s">
        <v>3533</v>
      </c>
      <c r="G763" s="17" t="s">
        <v>3533</v>
      </c>
      <c r="H763" s="17" t="s">
        <v>3534</v>
      </c>
      <c r="I763" s="17" t="s">
        <v>3545</v>
      </c>
      <c r="J763" s="17" t="s">
        <v>9</v>
      </c>
      <c r="K763" s="49" t="s">
        <v>1188</v>
      </c>
      <c r="L763" s="4" t="str">
        <f ca="1">IF(ISERROR(VLOOKUP(B763,'ETL Scope'!I:I,1,0)),"NA","ETL")</f>
        <v>NA</v>
      </c>
      <c r="M763" s="29">
        <f ca="1">COUNTIF('Data-WK'!A:A,'V1'!B:B)</f>
        <v>18</v>
      </c>
      <c r="N763" s="29" t="e">
        <f ca="1">VLOOKUP(E763,'IFRS only'!A:A,1,0)</f>
        <v>#N/A</v>
      </c>
      <c r="P763" s="89"/>
    </row>
    <row r="764" spans="1:16" s="29" customFormat="1">
      <c r="A764" s="17" t="s">
        <v>3</v>
      </c>
      <c r="B764" s="17">
        <v>6050100010</v>
      </c>
      <c r="C764" s="78" t="s">
        <v>4562</v>
      </c>
      <c r="D764" s="3" t="s">
        <v>463</v>
      </c>
      <c r="E764" s="17" t="s">
        <v>2840</v>
      </c>
      <c r="F764" s="17" t="s">
        <v>3533</v>
      </c>
      <c r="G764" s="17" t="s">
        <v>3533</v>
      </c>
      <c r="H764" s="17" t="s">
        <v>3534</v>
      </c>
      <c r="I764" s="17" t="s">
        <v>3545</v>
      </c>
      <c r="J764" s="17" t="s">
        <v>9</v>
      </c>
      <c r="K764" s="49" t="s">
        <v>1188</v>
      </c>
      <c r="L764" s="4" t="str">
        <f ca="1">IF(ISERROR(VLOOKUP(B764,'ETL Scope'!I:I,1,0)),"NA","ETL")</f>
        <v>NA</v>
      </c>
      <c r="M764" s="29">
        <f ca="1">COUNTIF('Data-WK'!A:A,'V1'!B:B)</f>
        <v>1</v>
      </c>
      <c r="N764" s="29" t="e">
        <f ca="1">VLOOKUP(E764,'IFRS only'!A:A,1,0)</f>
        <v>#N/A</v>
      </c>
      <c r="P764" s="89"/>
    </row>
    <row r="765" spans="1:16" s="29" customFormat="1">
      <c r="A765" s="17" t="s">
        <v>4</v>
      </c>
      <c r="B765" s="17">
        <v>6050100050</v>
      </c>
      <c r="C765" s="78" t="s">
        <v>4562</v>
      </c>
      <c r="D765" s="3" t="s">
        <v>3501</v>
      </c>
      <c r="E765" s="17" t="s">
        <v>2832</v>
      </c>
      <c r="F765" s="17" t="s">
        <v>3533</v>
      </c>
      <c r="G765" s="17" t="s">
        <v>3533</v>
      </c>
      <c r="H765" s="17" t="s">
        <v>3534</v>
      </c>
      <c r="I765" s="17" t="s">
        <v>3545</v>
      </c>
      <c r="J765" s="17" t="s">
        <v>9</v>
      </c>
      <c r="K765" s="49" t="s">
        <v>1188</v>
      </c>
      <c r="L765" s="4" t="str">
        <f ca="1">IF(ISERROR(VLOOKUP(B765,'ETL Scope'!I:I,1,0)),"NA","ETL")</f>
        <v>NA</v>
      </c>
      <c r="M765" s="29">
        <f ca="1">COUNTIF('Data-WK'!A:A,'V1'!B:B)</f>
        <v>1</v>
      </c>
      <c r="N765" s="29" t="e">
        <f ca="1">VLOOKUP(E765,'IFRS only'!A:A,1,0)</f>
        <v>#N/A</v>
      </c>
      <c r="P765" s="89"/>
    </row>
    <row r="766" spans="1:16" s="29" customFormat="1">
      <c r="A766" s="17" t="s">
        <v>4</v>
      </c>
      <c r="B766" s="17">
        <v>6050100051</v>
      </c>
      <c r="C766" s="78" t="s">
        <v>4562</v>
      </c>
      <c r="D766" s="3" t="s">
        <v>3504</v>
      </c>
      <c r="E766" s="17" t="s">
        <v>2835</v>
      </c>
      <c r="F766" s="17" t="s">
        <v>3533</v>
      </c>
      <c r="G766" s="17" t="s">
        <v>3533</v>
      </c>
      <c r="H766" s="17" t="s">
        <v>3534</v>
      </c>
      <c r="I766" s="17" t="s">
        <v>3545</v>
      </c>
      <c r="J766" s="17" t="s">
        <v>9</v>
      </c>
      <c r="K766" s="49" t="s">
        <v>1188</v>
      </c>
      <c r="L766" s="4" t="str">
        <f ca="1">IF(ISERROR(VLOOKUP(B766,'ETL Scope'!I:I,1,0)),"NA","ETL")</f>
        <v>NA</v>
      </c>
      <c r="M766" s="29">
        <f ca="1">COUNTIF('Data-WK'!A:A,'V1'!B:B)</f>
        <v>1</v>
      </c>
      <c r="N766" s="29" t="e">
        <f ca="1">VLOOKUP(E766,'IFRS only'!A:A,1,0)</f>
        <v>#N/A</v>
      </c>
      <c r="P766" s="89"/>
    </row>
    <row r="767" spans="1:16" s="29" customFormat="1">
      <c r="A767" s="17" t="s">
        <v>4</v>
      </c>
      <c r="B767" s="17">
        <v>6050100210</v>
      </c>
      <c r="C767" s="78" t="s">
        <v>4562</v>
      </c>
      <c r="D767" s="3" t="s">
        <v>5631</v>
      </c>
      <c r="E767" s="17" t="s">
        <v>3341</v>
      </c>
      <c r="F767" s="17" t="s">
        <v>3533</v>
      </c>
      <c r="G767" s="17" t="s">
        <v>3533</v>
      </c>
      <c r="H767" s="17" t="s">
        <v>3534</v>
      </c>
      <c r="I767" s="17" t="s">
        <v>3545</v>
      </c>
      <c r="J767" s="17" t="s">
        <v>9</v>
      </c>
      <c r="K767" s="49" t="s">
        <v>1188</v>
      </c>
      <c r="L767" s="4" t="str">
        <f ca="1">IF(ISERROR(VLOOKUP(B767,'ETL Scope'!I:I,1,0)),"NA","ETL")</f>
        <v>NA</v>
      </c>
      <c r="M767" s="29">
        <f ca="1">COUNTIF('Data-WK'!A:A,'V1'!B:B)</f>
        <v>1</v>
      </c>
      <c r="N767" s="29" t="e">
        <f ca="1">VLOOKUP(E767,'IFRS only'!A:A,1,0)</f>
        <v>#N/A</v>
      </c>
      <c r="P767" s="89"/>
    </row>
    <row r="768" spans="1:16" s="29" customFormat="1" ht="12" customHeight="1">
      <c r="A768" s="17" t="s">
        <v>4</v>
      </c>
      <c r="B768" s="17">
        <v>6050100211</v>
      </c>
      <c r="C768" s="78" t="s">
        <v>4562</v>
      </c>
      <c r="D768" s="3" t="s">
        <v>5632</v>
      </c>
      <c r="E768" s="17" t="s">
        <v>3344</v>
      </c>
      <c r="F768" s="17" t="s">
        <v>3533</v>
      </c>
      <c r="G768" s="17" t="s">
        <v>3533</v>
      </c>
      <c r="H768" s="17" t="s">
        <v>3534</v>
      </c>
      <c r="I768" s="17" t="s">
        <v>3545</v>
      </c>
      <c r="J768" s="17" t="s">
        <v>9</v>
      </c>
      <c r="K768" s="49" t="s">
        <v>1188</v>
      </c>
      <c r="L768" s="4" t="str">
        <f ca="1">IF(ISERROR(VLOOKUP(B768,'ETL Scope'!I:I,1,0)),"NA","ETL")</f>
        <v>NA</v>
      </c>
      <c r="M768" s="29">
        <f ca="1">COUNTIF('Data-WK'!A:A,'V1'!B:B)</f>
        <v>1</v>
      </c>
      <c r="N768" s="29" t="e">
        <f ca="1">VLOOKUP(E768,'IFRS only'!A:A,1,0)</f>
        <v>#N/A</v>
      </c>
      <c r="P768" s="89"/>
    </row>
    <row r="769" spans="1:16" s="29" customFormat="1" ht="12" customHeight="1">
      <c r="A769" s="17" t="s">
        <v>3</v>
      </c>
      <c r="B769" s="17">
        <v>6050200003</v>
      </c>
      <c r="C769" s="78" t="s">
        <v>4563</v>
      </c>
      <c r="D769" s="3" t="s">
        <v>4870</v>
      </c>
      <c r="E769" s="17" t="s">
        <v>3377</v>
      </c>
      <c r="F769" s="17" t="s">
        <v>3533</v>
      </c>
      <c r="G769" s="17" t="s">
        <v>3533</v>
      </c>
      <c r="H769" s="17" t="s">
        <v>3534</v>
      </c>
      <c r="I769" s="17" t="s">
        <v>3545</v>
      </c>
      <c r="J769" s="17" t="s">
        <v>9</v>
      </c>
      <c r="K769" s="49" t="s">
        <v>1209</v>
      </c>
      <c r="L769" s="4" t="str">
        <f ca="1">IF(ISERROR(VLOOKUP(B769,'ETL Scope'!I:I,1,0)),"NA","ETL")</f>
        <v>NA</v>
      </c>
      <c r="M769" s="29">
        <f ca="1">COUNTIF('Data-WK'!A:A,'V1'!B:B)</f>
        <v>2</v>
      </c>
      <c r="N769" s="29" t="e">
        <f ca="1">VLOOKUP(E769,'IFRS only'!A:A,1,0)</f>
        <v>#N/A</v>
      </c>
      <c r="P769" s="89"/>
    </row>
    <row r="770" spans="1:16" s="29" customFormat="1" ht="12" customHeight="1">
      <c r="A770" s="17" t="s">
        <v>3</v>
      </c>
      <c r="B770" s="17">
        <v>6050200005</v>
      </c>
      <c r="C770" s="78" t="s">
        <v>4563</v>
      </c>
      <c r="D770" s="3" t="s">
        <v>4871</v>
      </c>
      <c r="E770" s="17" t="s">
        <v>3376</v>
      </c>
      <c r="F770" s="17" t="s">
        <v>3533</v>
      </c>
      <c r="G770" s="17" t="s">
        <v>3533</v>
      </c>
      <c r="H770" s="17" t="s">
        <v>3534</v>
      </c>
      <c r="I770" s="17" t="s">
        <v>3545</v>
      </c>
      <c r="J770" s="17" t="s">
        <v>9</v>
      </c>
      <c r="K770" s="49" t="s">
        <v>1209</v>
      </c>
      <c r="L770" s="4" t="str">
        <f ca="1">IF(ISERROR(VLOOKUP(B770,'ETL Scope'!I:I,1,0)),"NA","ETL")</f>
        <v>NA</v>
      </c>
      <c r="M770" s="29">
        <f ca="1">COUNTIF('Data-WK'!A:A,'V1'!B:B)</f>
        <v>2</v>
      </c>
      <c r="N770" s="29" t="e">
        <f ca="1">VLOOKUP(E770,'IFRS only'!A:A,1,0)</f>
        <v>#N/A</v>
      </c>
      <c r="P770" s="89"/>
    </row>
    <row r="771" spans="1:16" s="29" customFormat="1" ht="12" customHeight="1">
      <c r="A771" s="17" t="s">
        <v>4</v>
      </c>
      <c r="B771" s="17">
        <v>6050200021</v>
      </c>
      <c r="C771" s="78" t="s">
        <v>4563</v>
      </c>
      <c r="D771" s="55" t="s">
        <v>5633</v>
      </c>
      <c r="E771" s="17" t="s">
        <v>3314</v>
      </c>
      <c r="F771" s="17" t="s">
        <v>3391</v>
      </c>
      <c r="G771" s="17" t="s">
        <v>3525</v>
      </c>
      <c r="H771" s="17" t="s">
        <v>9</v>
      </c>
      <c r="I771" s="17" t="s">
        <v>9</v>
      </c>
      <c r="J771" s="17" t="s">
        <v>9</v>
      </c>
      <c r="K771" s="49" t="s">
        <v>1209</v>
      </c>
      <c r="L771" s="4" t="s">
        <v>9</v>
      </c>
      <c r="M771" s="29">
        <v>1</v>
      </c>
      <c r="N771" s="29" t="e">
        <v>#N/A</v>
      </c>
      <c r="O771" s="29" t="s">
        <v>4761</v>
      </c>
      <c r="P771" s="89"/>
    </row>
    <row r="772" spans="1:16" s="29" customFormat="1">
      <c r="A772" s="17" t="s">
        <v>4</v>
      </c>
      <c r="B772" s="17">
        <v>6050200029</v>
      </c>
      <c r="C772" s="78" t="s">
        <v>4563</v>
      </c>
      <c r="D772" s="3" t="s">
        <v>5634</v>
      </c>
      <c r="E772" s="84" t="s">
        <v>4760</v>
      </c>
      <c r="F772" s="17" t="s">
        <v>3525</v>
      </c>
      <c r="G772" s="17" t="s">
        <v>4758</v>
      </c>
      <c r="H772" s="17" t="s">
        <v>4759</v>
      </c>
      <c r="I772" s="17" t="s">
        <v>4759</v>
      </c>
      <c r="J772" s="17" t="s">
        <v>9</v>
      </c>
      <c r="K772" s="49" t="s">
        <v>1209</v>
      </c>
      <c r="L772" s="4"/>
      <c r="O772" s="85" t="s">
        <v>4767</v>
      </c>
      <c r="P772" s="89"/>
    </row>
    <row r="773" spans="1:16" s="29" customFormat="1">
      <c r="A773" s="17" t="s">
        <v>4</v>
      </c>
      <c r="B773" s="17">
        <v>6050200028</v>
      </c>
      <c r="C773" s="78" t="s">
        <v>4563</v>
      </c>
      <c r="D773" s="55" t="s">
        <v>3492</v>
      </c>
      <c r="E773" s="17" t="s">
        <v>3315</v>
      </c>
      <c r="F773" s="17" t="s">
        <v>3391</v>
      </c>
      <c r="G773" s="17" t="s">
        <v>3391</v>
      </c>
      <c r="H773" s="17" t="s">
        <v>9</v>
      </c>
      <c r="I773" s="17" t="s">
        <v>9</v>
      </c>
      <c r="J773" s="17" t="s">
        <v>9</v>
      </c>
      <c r="K773" s="49" t="s">
        <v>1209</v>
      </c>
      <c r="L773" s="4" t="s">
        <v>9</v>
      </c>
      <c r="M773" s="29">
        <v>1</v>
      </c>
      <c r="N773" s="29" t="e">
        <v>#N/A</v>
      </c>
      <c r="O773" s="29" t="s">
        <v>4762</v>
      </c>
      <c r="P773" s="89"/>
    </row>
    <row r="774" spans="1:16" s="29" customFormat="1">
      <c r="A774" s="17" t="s">
        <v>4</v>
      </c>
      <c r="B774" s="17">
        <v>6050200030</v>
      </c>
      <c r="C774" s="78" t="s">
        <v>4563</v>
      </c>
      <c r="D774" s="3" t="s">
        <v>5635</v>
      </c>
      <c r="E774" s="17" t="s">
        <v>3345</v>
      </c>
      <c r="F774" s="17" t="s">
        <v>3533</v>
      </c>
      <c r="G774" s="17" t="s">
        <v>3533</v>
      </c>
      <c r="H774" s="17" t="s">
        <v>3534</v>
      </c>
      <c r="I774" s="17" t="s">
        <v>3545</v>
      </c>
      <c r="J774" s="17" t="s">
        <v>9</v>
      </c>
      <c r="K774" s="49" t="s">
        <v>1209</v>
      </c>
      <c r="L774" s="4" t="str">
        <f ca="1">IF(ISERROR(VLOOKUP(B774,'ETL Scope'!I:I,1,0)),"NA","ETL")</f>
        <v>NA</v>
      </c>
      <c r="M774" s="29">
        <f ca="1">COUNTIF('Data-WK'!A:A,'V1'!B:B)</f>
        <v>1</v>
      </c>
      <c r="N774" s="29" t="e">
        <f ca="1">VLOOKUP(E774,'IFRS only'!A:A,1,0)</f>
        <v>#N/A</v>
      </c>
      <c r="P774" s="89"/>
    </row>
    <row r="775" spans="1:16" s="29" customFormat="1">
      <c r="A775" s="17" t="s">
        <v>4</v>
      </c>
      <c r="B775" s="17">
        <v>6050200031</v>
      </c>
      <c r="C775" s="78" t="s">
        <v>4563</v>
      </c>
      <c r="D775" s="3" t="s">
        <v>3505</v>
      </c>
      <c r="E775" s="17" t="s">
        <v>2836</v>
      </c>
      <c r="F775" s="17" t="s">
        <v>3533</v>
      </c>
      <c r="G775" s="17" t="s">
        <v>3533</v>
      </c>
      <c r="H775" s="17" t="s">
        <v>3534</v>
      </c>
      <c r="I775" s="17" t="s">
        <v>3545</v>
      </c>
      <c r="J775" s="17" t="s">
        <v>9</v>
      </c>
      <c r="K775" s="49" t="s">
        <v>1209</v>
      </c>
      <c r="L775" s="4" t="str">
        <f ca="1">IF(ISERROR(VLOOKUP(B775,'ETL Scope'!I:I,1,0)),"NA","ETL")</f>
        <v>NA</v>
      </c>
      <c r="M775" s="29">
        <f ca="1">COUNTIF('Data-WK'!A:A,'V1'!B:B)</f>
        <v>1</v>
      </c>
      <c r="N775" s="29" t="e">
        <f ca="1">VLOOKUP(E775,'IFRS only'!A:A,1,0)</f>
        <v>#N/A</v>
      </c>
      <c r="P775" s="89"/>
    </row>
    <row r="776" spans="1:16" s="29" customFormat="1">
      <c r="A776" s="17" t="s">
        <v>3</v>
      </c>
      <c r="B776" s="17">
        <v>6050300000</v>
      </c>
      <c r="C776" s="78" t="s">
        <v>4564</v>
      </c>
      <c r="D776" s="3" t="s">
        <v>3462</v>
      </c>
      <c r="E776" s="17" t="s">
        <v>2845</v>
      </c>
      <c r="F776" s="17" t="s">
        <v>3533</v>
      </c>
      <c r="G776" s="17" t="s">
        <v>3533</v>
      </c>
      <c r="H776" s="17" t="s">
        <v>3534</v>
      </c>
      <c r="I776" s="17" t="s">
        <v>3545</v>
      </c>
      <c r="J776" s="17" t="s">
        <v>9</v>
      </c>
      <c r="K776" s="49" t="s">
        <v>1192</v>
      </c>
      <c r="L776" s="4" t="str">
        <f ca="1">IF(ISERROR(VLOOKUP(B776,'ETL Scope'!I:I,1,0)),"NA","ETL")</f>
        <v>NA</v>
      </c>
      <c r="M776" s="29">
        <f ca="1">COUNTIF('Data-WK'!A:A,'V1'!B:B)</f>
        <v>1</v>
      </c>
      <c r="N776" s="29" t="e">
        <f ca="1">VLOOKUP(E776,'IFRS only'!A:A,1,0)</f>
        <v>#N/A</v>
      </c>
      <c r="P776" s="89"/>
    </row>
    <row r="777" spans="1:16" s="29" customFormat="1">
      <c r="A777" s="17" t="s">
        <v>3</v>
      </c>
      <c r="B777" s="17">
        <v>6060010000</v>
      </c>
      <c r="C777" s="78" t="s">
        <v>4565</v>
      </c>
      <c r="D777" s="3" t="s">
        <v>5315</v>
      </c>
      <c r="E777" s="17" t="s">
        <v>2881</v>
      </c>
      <c r="F777" s="17" t="s">
        <v>9</v>
      </c>
      <c r="G777" s="17" t="s">
        <v>3533</v>
      </c>
      <c r="H777" s="17" t="s">
        <v>3534</v>
      </c>
      <c r="I777" s="17" t="s">
        <v>3545</v>
      </c>
      <c r="J777" s="17" t="s">
        <v>9</v>
      </c>
      <c r="K777" s="49" t="s">
        <v>5535</v>
      </c>
      <c r="L777" s="4" t="str">
        <f ca="1">IF(ISERROR(VLOOKUP(B777,'ETL Scope'!I:I,1,0)),"NA","ETL")</f>
        <v>ETL</v>
      </c>
      <c r="M777" s="29">
        <f ca="1">COUNTIF('Data-WK'!A:A,'V1'!B:B)</f>
        <v>0</v>
      </c>
      <c r="N777" s="29" t="str">
        <f ca="1">VLOOKUP(E777,'IFRS only'!A:A,1,0)</f>
        <v>51040203</v>
      </c>
      <c r="P777" s="89"/>
    </row>
    <row r="778" spans="1:16" s="29" customFormat="1">
      <c r="A778" s="17" t="s">
        <v>3</v>
      </c>
      <c r="B778" s="17">
        <v>6060110000</v>
      </c>
      <c r="C778" s="78" t="s">
        <v>4566</v>
      </c>
      <c r="D778" s="55" t="s">
        <v>3493</v>
      </c>
      <c r="E778" s="17" t="s">
        <v>3316</v>
      </c>
      <c r="F778" s="17" t="s">
        <v>9</v>
      </c>
      <c r="G778" s="17" t="s">
        <v>3440</v>
      </c>
      <c r="H778" s="17" t="s">
        <v>9</v>
      </c>
      <c r="I778" s="17" t="s">
        <v>9</v>
      </c>
      <c r="J778" s="17" t="s">
        <v>9</v>
      </c>
      <c r="K778" s="49" t="s">
        <v>1370</v>
      </c>
      <c r="L778" s="4" t="s">
        <v>4763</v>
      </c>
      <c r="M778" s="29">
        <v>1</v>
      </c>
      <c r="N778" s="29" t="s">
        <v>3316</v>
      </c>
      <c r="O778" s="29" t="s">
        <v>4762</v>
      </c>
      <c r="P778" s="89"/>
    </row>
    <row r="779" spans="1:16" s="29" customFormat="1">
      <c r="A779" s="17" t="s">
        <v>3</v>
      </c>
      <c r="B779" s="17">
        <v>6070100000</v>
      </c>
      <c r="C779" s="78" t="s">
        <v>4567</v>
      </c>
      <c r="D779" s="3" t="s">
        <v>503</v>
      </c>
      <c r="E779" s="17" t="s">
        <v>2884</v>
      </c>
      <c r="F779" s="17" t="s">
        <v>3533</v>
      </c>
      <c r="G779" s="17" t="s">
        <v>3533</v>
      </c>
      <c r="H779" s="17" t="s">
        <v>3534</v>
      </c>
      <c r="I779" s="17" t="s">
        <v>3545</v>
      </c>
      <c r="J779" s="17" t="s">
        <v>9</v>
      </c>
      <c r="K779" s="49" t="s">
        <v>1211</v>
      </c>
      <c r="L779" s="4" t="str">
        <f ca="1">IF(ISERROR(VLOOKUP(B779,'ETL Scope'!I:I,1,0)),"NA","ETL")</f>
        <v>NA</v>
      </c>
      <c r="M779" s="29">
        <f ca="1">COUNTIF('Data-WK'!A:A,'V1'!B:B)</f>
        <v>1</v>
      </c>
      <c r="N779" s="29" t="e">
        <f ca="1">VLOOKUP(E779,'IFRS only'!A:A,1,0)</f>
        <v>#N/A</v>
      </c>
      <c r="P779" s="89"/>
    </row>
    <row r="780" spans="1:16" s="29" customFormat="1">
      <c r="A780" s="17" t="s">
        <v>4</v>
      </c>
      <c r="B780" s="17">
        <v>6070100002</v>
      </c>
      <c r="C780" s="17" t="s">
        <v>4567</v>
      </c>
      <c r="D780" s="3" t="s">
        <v>5860</v>
      </c>
      <c r="E780" s="17" t="s">
        <v>3321</v>
      </c>
      <c r="F780" s="17" t="s">
        <v>3391</v>
      </c>
      <c r="G780" s="17" t="s">
        <v>3391</v>
      </c>
      <c r="H780" s="17" t="s">
        <v>9</v>
      </c>
      <c r="I780" s="17" t="s">
        <v>9</v>
      </c>
      <c r="J780" s="17" t="s">
        <v>9</v>
      </c>
      <c r="K780" s="49" t="s">
        <v>1211</v>
      </c>
      <c r="L780" s="98" t="s">
        <v>9</v>
      </c>
      <c r="M780" s="99">
        <v>1</v>
      </c>
      <c r="N780" s="99" t="e">
        <v>#N/A</v>
      </c>
      <c r="O780" s="99" t="s">
        <v>4764</v>
      </c>
      <c r="P780" s="89"/>
    </row>
    <row r="781" spans="1:16" s="56" customFormat="1">
      <c r="A781" s="3" t="s">
        <v>4</v>
      </c>
      <c r="B781" s="3">
        <v>6070100003</v>
      </c>
      <c r="C781" s="97" t="s">
        <v>4567</v>
      </c>
      <c r="D781" s="3" t="s">
        <v>5856</v>
      </c>
      <c r="E781" s="3" t="s">
        <v>3320</v>
      </c>
      <c r="F781" s="3" t="s">
        <v>3391</v>
      </c>
      <c r="G781" s="3" t="s">
        <v>9</v>
      </c>
      <c r="H781" s="3" t="s">
        <v>9</v>
      </c>
      <c r="I781" s="3" t="s">
        <v>3534</v>
      </c>
      <c r="J781" s="3" t="s">
        <v>9</v>
      </c>
      <c r="K781" s="4" t="s">
        <v>1211</v>
      </c>
      <c r="L781" s="4" t="s">
        <v>9</v>
      </c>
      <c r="M781" s="96"/>
      <c r="N781" s="96"/>
      <c r="O781" s="96"/>
      <c r="P781" s="100"/>
    </row>
    <row r="782" spans="1:16" s="29" customFormat="1">
      <c r="A782" s="17" t="s">
        <v>3</v>
      </c>
      <c r="B782" s="17">
        <v>6070200000</v>
      </c>
      <c r="C782" s="78" t="s">
        <v>4568</v>
      </c>
      <c r="D782" s="3" t="s">
        <v>5636</v>
      </c>
      <c r="E782" s="17" t="s">
        <v>2851</v>
      </c>
      <c r="F782" s="17" t="s">
        <v>3533</v>
      </c>
      <c r="G782" s="17" t="s">
        <v>3533</v>
      </c>
      <c r="H782" s="17" t="s">
        <v>3534</v>
      </c>
      <c r="I782" s="17" t="s">
        <v>3545</v>
      </c>
      <c r="J782" s="17" t="s">
        <v>9</v>
      </c>
      <c r="K782" s="49" t="s">
        <v>1197</v>
      </c>
      <c r="L782" s="4" t="str">
        <f ca="1">IF(ISERROR(VLOOKUP(B782,'ETL Scope'!I:I,1,0)),"NA","ETL")</f>
        <v>NA</v>
      </c>
      <c r="M782" s="29">
        <f ca="1">COUNTIF('Data-WK'!A:A,'V1'!B:B)</f>
        <v>3</v>
      </c>
      <c r="N782" s="29" t="e">
        <f ca="1">VLOOKUP(E782,'IFRS only'!A:A,1,0)</f>
        <v>#N/A</v>
      </c>
      <c r="P782" s="89"/>
    </row>
    <row r="783" spans="1:16" s="29" customFormat="1">
      <c r="A783" s="17" t="s">
        <v>4</v>
      </c>
      <c r="B783" s="17">
        <v>6070300000</v>
      </c>
      <c r="C783" s="78" t="s">
        <v>4569</v>
      </c>
      <c r="D783" s="55" t="s">
        <v>3495</v>
      </c>
      <c r="E783" s="17" t="s">
        <v>3319</v>
      </c>
      <c r="F783" s="17" t="s">
        <v>3391</v>
      </c>
      <c r="G783" s="17" t="s">
        <v>3391</v>
      </c>
      <c r="H783" s="17" t="s">
        <v>9</v>
      </c>
      <c r="I783" s="17" t="s">
        <v>9</v>
      </c>
      <c r="J783" s="17" t="s">
        <v>9</v>
      </c>
      <c r="K783" s="49" t="s">
        <v>1371</v>
      </c>
      <c r="L783" s="4" t="s">
        <v>9</v>
      </c>
      <c r="M783" s="29">
        <v>1</v>
      </c>
      <c r="N783" s="29" t="e">
        <v>#N/A</v>
      </c>
      <c r="P783" s="89"/>
    </row>
    <row r="784" spans="1:16" s="29" customFormat="1">
      <c r="A784" s="17" t="s">
        <v>4</v>
      </c>
      <c r="B784" s="17">
        <v>6070300004</v>
      </c>
      <c r="C784" s="78" t="s">
        <v>4569</v>
      </c>
      <c r="D784" s="55" t="s">
        <v>3496</v>
      </c>
      <c r="E784" s="17" t="s">
        <v>3324</v>
      </c>
      <c r="F784" s="17" t="s">
        <v>3391</v>
      </c>
      <c r="G784" s="17" t="s">
        <v>3391</v>
      </c>
      <c r="H784" s="17" t="s">
        <v>9</v>
      </c>
      <c r="I784" s="17" t="s">
        <v>9</v>
      </c>
      <c r="J784" s="17" t="s">
        <v>9</v>
      </c>
      <c r="K784" s="49" t="s">
        <v>1371</v>
      </c>
      <c r="L784" s="4" t="s">
        <v>9</v>
      </c>
      <c r="M784" s="29">
        <v>1</v>
      </c>
      <c r="N784" s="29" t="e">
        <v>#N/A</v>
      </c>
      <c r="P784" s="89"/>
    </row>
    <row r="785" spans="1:16" s="29" customFormat="1">
      <c r="A785" s="17" t="s">
        <v>4</v>
      </c>
      <c r="B785" s="17">
        <v>6070300005</v>
      </c>
      <c r="C785" s="78" t="s">
        <v>4569</v>
      </c>
      <c r="D785" s="3" t="s">
        <v>5819</v>
      </c>
      <c r="E785" s="17" t="s">
        <v>3331</v>
      </c>
      <c r="F785" s="17" t="s">
        <v>3391</v>
      </c>
      <c r="G785" s="17" t="s">
        <v>3391</v>
      </c>
      <c r="H785" s="17" t="s">
        <v>9</v>
      </c>
      <c r="I785" s="17" t="s">
        <v>9</v>
      </c>
      <c r="J785" s="17" t="s">
        <v>9</v>
      </c>
      <c r="K785" s="49" t="s">
        <v>1371</v>
      </c>
      <c r="L785" s="4" t="s">
        <v>9</v>
      </c>
      <c r="M785" s="29">
        <v>1</v>
      </c>
      <c r="N785" s="29" t="e">
        <v>#N/A</v>
      </c>
      <c r="P785" s="89"/>
    </row>
    <row r="786" spans="1:16" s="29" customFormat="1">
      <c r="A786" s="17" t="s">
        <v>5</v>
      </c>
      <c r="B786" s="17">
        <v>6100000000</v>
      </c>
      <c r="C786" s="78" t="s">
        <v>3911</v>
      </c>
      <c r="D786" s="3" t="s">
        <v>4872</v>
      </c>
      <c r="E786" s="51" t="s">
        <v>3372</v>
      </c>
      <c r="F786" s="17" t="s">
        <v>3392</v>
      </c>
      <c r="G786" s="17" t="s">
        <v>3440</v>
      </c>
      <c r="H786" s="17" t="s">
        <v>3531</v>
      </c>
      <c r="I786" s="17" t="s">
        <v>3545</v>
      </c>
      <c r="J786" s="17" t="s">
        <v>9</v>
      </c>
      <c r="K786" s="49" t="s">
        <v>1088</v>
      </c>
      <c r="L786" s="4" t="str">
        <f ca="1">IF(ISERROR(VLOOKUP(B786,'ETL Scope'!I:I,1,0)),"NA","ETL")</f>
        <v>ETL</v>
      </c>
      <c r="M786" s="29">
        <f ca="1">COUNTIF('Data-WK'!A:A,'V1'!B:B)</f>
        <v>3</v>
      </c>
      <c r="N786" s="29" t="e">
        <f ca="1">VLOOKUP(E786,'IFRS only'!A:A,1,0)</f>
        <v>#N/A</v>
      </c>
      <c r="P786" s="89"/>
    </row>
    <row r="787" spans="1:16" s="29" customFormat="1">
      <c r="A787" s="17" t="s">
        <v>5</v>
      </c>
      <c r="B787" s="17">
        <v>6100000002</v>
      </c>
      <c r="C787" s="78" t="s">
        <v>3911</v>
      </c>
      <c r="D787" s="3" t="s">
        <v>4873</v>
      </c>
      <c r="E787" s="51" t="s">
        <v>2859</v>
      </c>
      <c r="F787" s="17" t="s">
        <v>9</v>
      </c>
      <c r="G787" s="17" t="s">
        <v>3392</v>
      </c>
      <c r="H787" s="17" t="s">
        <v>3534</v>
      </c>
      <c r="I787" s="17" t="s">
        <v>3545</v>
      </c>
      <c r="J787" s="17" t="s">
        <v>9</v>
      </c>
      <c r="K787" s="49" t="s">
        <v>1088</v>
      </c>
      <c r="L787" s="4" t="str">
        <f ca="1">IF(ISERROR(VLOOKUP(B787,'ETL Scope'!I:I,1,0)),"NA","ETL")</f>
        <v>NA</v>
      </c>
      <c r="M787" s="29">
        <f ca="1">COUNTIF('Data-WK'!A:A,'V1'!B:B)</f>
        <v>1</v>
      </c>
      <c r="N787" s="29" t="e">
        <f ca="1">VLOOKUP(E787,'IFRS only'!A:A,1,0)</f>
        <v>#N/A</v>
      </c>
      <c r="P787" s="89"/>
    </row>
    <row r="788" spans="1:16" s="29" customFormat="1">
      <c r="A788" s="17" t="s">
        <v>5</v>
      </c>
      <c r="B788" s="17">
        <v>6100000003</v>
      </c>
      <c r="C788" s="78" t="s">
        <v>3911</v>
      </c>
      <c r="D788" s="3" t="s">
        <v>4874</v>
      </c>
      <c r="E788" s="51" t="s">
        <v>2867</v>
      </c>
      <c r="F788" s="17" t="s">
        <v>9</v>
      </c>
      <c r="G788" s="17" t="s">
        <v>3392</v>
      </c>
      <c r="H788" s="17" t="s">
        <v>3534</v>
      </c>
      <c r="I788" s="17" t="s">
        <v>3545</v>
      </c>
      <c r="J788" s="17" t="s">
        <v>9</v>
      </c>
      <c r="K788" s="49" t="s">
        <v>1088</v>
      </c>
      <c r="L788" s="4" t="str">
        <f ca="1">IF(ISERROR(VLOOKUP(B788,'ETL Scope'!I:I,1,0)),"NA","ETL")</f>
        <v>NA</v>
      </c>
      <c r="M788" s="29">
        <f ca="1">COUNTIF('Data-WK'!A:A,'V1'!B:B)</f>
        <v>1</v>
      </c>
      <c r="N788" s="29" t="e">
        <f ca="1">VLOOKUP(E788,'IFRS only'!A:A,1,0)</f>
        <v>#N/A</v>
      </c>
      <c r="P788" s="89"/>
    </row>
    <row r="789" spans="1:16" s="29" customFormat="1">
      <c r="A789" s="17" t="s">
        <v>5</v>
      </c>
      <c r="B789" s="17">
        <v>6100000020</v>
      </c>
      <c r="C789" s="78" t="s">
        <v>3911</v>
      </c>
      <c r="D789" s="3" t="s">
        <v>4875</v>
      </c>
      <c r="E789" s="51" t="s">
        <v>2860</v>
      </c>
      <c r="F789" s="17" t="s">
        <v>9</v>
      </c>
      <c r="G789" s="17" t="s">
        <v>3440</v>
      </c>
      <c r="H789" s="17" t="s">
        <v>3534</v>
      </c>
      <c r="I789" s="17" t="s">
        <v>3545</v>
      </c>
      <c r="J789" s="17" t="s">
        <v>9</v>
      </c>
      <c r="K789" s="49" t="s">
        <v>1200</v>
      </c>
      <c r="L789" s="4" t="str">
        <f ca="1">IF(ISERROR(VLOOKUP(B789,'ETL Scope'!I:I,1,0)),"NA","ETL")</f>
        <v>ETL</v>
      </c>
      <c r="M789" s="29">
        <f ca="1">COUNTIF('Data-WK'!A:A,'V1'!B:B)</f>
        <v>1</v>
      </c>
      <c r="N789" s="29" t="str">
        <f ca="1">VLOOKUP(E789,'IFRS only'!A:A,1,0)</f>
        <v>51030220</v>
      </c>
      <c r="P789" s="89"/>
    </row>
    <row r="790" spans="1:16" s="29" customFormat="1">
      <c r="A790" s="17" t="s">
        <v>5</v>
      </c>
      <c r="B790" s="17">
        <v>6100000090</v>
      </c>
      <c r="C790" s="78" t="s">
        <v>3911</v>
      </c>
      <c r="D790" s="86" t="s">
        <v>5714</v>
      </c>
      <c r="E790" s="51" t="s">
        <v>2863</v>
      </c>
      <c r="F790" s="17" t="s">
        <v>9</v>
      </c>
      <c r="G790" s="17" t="s">
        <v>3392</v>
      </c>
      <c r="H790" s="17" t="s">
        <v>3534</v>
      </c>
      <c r="I790" s="17" t="s">
        <v>3545</v>
      </c>
      <c r="J790" s="17" t="s">
        <v>9</v>
      </c>
      <c r="K790" s="49" t="s">
        <v>1088</v>
      </c>
      <c r="L790" s="4" t="str">
        <f ca="1">IF(ISERROR(VLOOKUP(B790,'ETL Scope'!I:I,1,0)),"NA","ETL")</f>
        <v>NA</v>
      </c>
      <c r="M790" s="29">
        <f ca="1">COUNTIF('Data-WK'!A:A,'V1'!B:B)</f>
        <v>1</v>
      </c>
      <c r="N790" s="29" t="str">
        <f ca="1">VLOOKUP(E790,'IFRS only'!A:A,1,0)</f>
        <v>5103022203</v>
      </c>
      <c r="P790" s="89"/>
    </row>
    <row r="791" spans="1:16" s="29" customFormat="1">
      <c r="A791" s="17" t="s">
        <v>5</v>
      </c>
      <c r="B791" s="17">
        <v>6100000140</v>
      </c>
      <c r="C791" s="78" t="s">
        <v>3911</v>
      </c>
      <c r="D791" s="3" t="s">
        <v>492</v>
      </c>
      <c r="E791" s="51" t="s">
        <v>2870</v>
      </c>
      <c r="F791" s="17" t="s">
        <v>3392</v>
      </c>
      <c r="G791" s="17" t="s">
        <v>3534</v>
      </c>
      <c r="H791" s="17" t="s">
        <v>3534</v>
      </c>
      <c r="I791" s="17" t="s">
        <v>3545</v>
      </c>
      <c r="J791" s="17" t="s">
        <v>9</v>
      </c>
      <c r="K791" s="49" t="s">
        <v>1088</v>
      </c>
      <c r="L791" s="4" t="str">
        <f ca="1">IF(ISERROR(VLOOKUP(B791,'ETL Scope'!I:I,1,0)),"NA","ETL")</f>
        <v>NA</v>
      </c>
      <c r="M791" s="29">
        <f ca="1">COUNTIF('Data-WK'!A:A,'V1'!B:B)</f>
        <v>1</v>
      </c>
      <c r="N791" s="29" t="e">
        <f ca="1">VLOOKUP(E791,'IFRS only'!A:A,1,0)</f>
        <v>#N/A</v>
      </c>
      <c r="P791" s="89"/>
    </row>
    <row r="792" spans="1:16" s="29" customFormat="1">
      <c r="A792" s="17" t="s">
        <v>5</v>
      </c>
      <c r="B792" s="17">
        <v>6100100000</v>
      </c>
      <c r="C792" s="78" t="s">
        <v>4570</v>
      </c>
      <c r="D792" s="3" t="s">
        <v>3459</v>
      </c>
      <c r="E792" s="51" t="s">
        <v>2730</v>
      </c>
      <c r="F792" s="17" t="s">
        <v>3392</v>
      </c>
      <c r="G792" s="17" t="s">
        <v>3531</v>
      </c>
      <c r="H792" s="17" t="s">
        <v>3531</v>
      </c>
      <c r="I792" s="17" t="s">
        <v>3545</v>
      </c>
      <c r="J792" s="17" t="s">
        <v>9</v>
      </c>
      <c r="K792" s="49" t="s">
        <v>1089</v>
      </c>
      <c r="L792" s="4" t="str">
        <f ca="1">IF(ISERROR(VLOOKUP(B792,'ETL Scope'!I:I,1,0)),"NA","ETL")</f>
        <v>NA</v>
      </c>
      <c r="M792" s="29">
        <f ca="1">COUNTIF('Data-WK'!A:A,'V1'!B:B)</f>
        <v>1</v>
      </c>
      <c r="N792" s="29" t="e">
        <f ca="1">VLOOKUP(E792,'IFRS only'!A:A,1,0)</f>
        <v>#N/A</v>
      </c>
      <c r="P792" s="89"/>
    </row>
    <row r="793" spans="1:16" s="29" customFormat="1">
      <c r="A793" s="17" t="s">
        <v>5</v>
      </c>
      <c r="B793" s="17">
        <v>6102000000</v>
      </c>
      <c r="C793" s="78" t="s">
        <v>4571</v>
      </c>
      <c r="D793" s="3" t="s">
        <v>391</v>
      </c>
      <c r="E793" s="51" t="s">
        <v>3373</v>
      </c>
      <c r="F793" s="17" t="s">
        <v>3392</v>
      </c>
      <c r="G793" s="17" t="s">
        <v>3440</v>
      </c>
      <c r="H793" s="17" t="s">
        <v>3531</v>
      </c>
      <c r="I793" s="17" t="s">
        <v>3545</v>
      </c>
      <c r="J793" s="17" t="s">
        <v>9</v>
      </c>
      <c r="K793" s="49" t="s">
        <v>1090</v>
      </c>
      <c r="L793" s="4" t="str">
        <f ca="1">IF(ISERROR(VLOOKUP(B793,'ETL Scope'!I:I,1,0)),"NA","ETL")</f>
        <v>ETL</v>
      </c>
      <c r="M793" s="29">
        <f ca="1">COUNTIF('Data-WK'!A:A,'V1'!B:B)</f>
        <v>3</v>
      </c>
      <c r="N793" s="29" t="e">
        <f ca="1">VLOOKUP(E793,'IFRS only'!A:A,1,0)</f>
        <v>#N/A</v>
      </c>
      <c r="P793" s="89"/>
    </row>
    <row r="794" spans="1:16" s="29" customFormat="1">
      <c r="A794" s="17" t="s">
        <v>5</v>
      </c>
      <c r="B794" s="17">
        <v>6102000020</v>
      </c>
      <c r="C794" s="78" t="s">
        <v>4571</v>
      </c>
      <c r="D794" s="3" t="s">
        <v>4877</v>
      </c>
      <c r="E794" s="51" t="s">
        <v>1484</v>
      </c>
      <c r="F794" s="17" t="s">
        <v>3392</v>
      </c>
      <c r="G794" s="17" t="s">
        <v>3440</v>
      </c>
      <c r="H794" s="17" t="s">
        <v>3531</v>
      </c>
      <c r="I794" s="17" t="s">
        <v>3545</v>
      </c>
      <c r="J794" s="17" t="s">
        <v>9</v>
      </c>
      <c r="K794" s="49" t="s">
        <v>1385</v>
      </c>
      <c r="L794" s="4" t="str">
        <f ca="1">IF(ISERROR(VLOOKUP(B794,'ETL Scope'!I:I,1,0)),"NA","ETL")</f>
        <v>ETL</v>
      </c>
      <c r="M794" s="29">
        <f ca="1">COUNTIF('Data-WK'!A:A,'V1'!B:B)</f>
        <v>1</v>
      </c>
      <c r="N794" s="29" t="e">
        <f ca="1">VLOOKUP(E794,'IFRS only'!A:A,1,0)</f>
        <v>#N/A</v>
      </c>
      <c r="P794" s="89"/>
    </row>
    <row r="795" spans="1:16" s="29" customFormat="1">
      <c r="A795" s="17" t="s">
        <v>5</v>
      </c>
      <c r="B795" s="17">
        <v>6102000140</v>
      </c>
      <c r="C795" s="78" t="s">
        <v>4571</v>
      </c>
      <c r="D795" s="3" t="s">
        <v>496</v>
      </c>
      <c r="E795" s="51" t="s">
        <v>2875</v>
      </c>
      <c r="F795" s="17" t="s">
        <v>3392</v>
      </c>
      <c r="G795" s="17" t="s">
        <v>3534</v>
      </c>
      <c r="H795" s="17" t="s">
        <v>3534</v>
      </c>
      <c r="I795" s="17" t="s">
        <v>3545</v>
      </c>
      <c r="J795" s="17" t="s">
        <v>9</v>
      </c>
      <c r="K795" s="49" t="s">
        <v>1090</v>
      </c>
      <c r="L795" s="4" t="str">
        <f ca="1">IF(ISERROR(VLOOKUP(B795,'ETL Scope'!I:I,1,0)),"NA","ETL")</f>
        <v>NA</v>
      </c>
      <c r="M795" s="29">
        <f ca="1">COUNTIF('Data-WK'!A:A,'V1'!B:B)</f>
        <v>1</v>
      </c>
      <c r="N795" s="29" t="e">
        <f ca="1">VLOOKUP(E795,'IFRS only'!A:A,1,0)</f>
        <v>#N/A</v>
      </c>
      <c r="P795" s="89"/>
    </row>
    <row r="796" spans="1:16" s="29" customFormat="1">
      <c r="A796" s="17" t="s">
        <v>5</v>
      </c>
      <c r="B796" s="17">
        <v>6102100000</v>
      </c>
      <c r="C796" s="78" t="s">
        <v>4572</v>
      </c>
      <c r="D796" s="3" t="s">
        <v>3460</v>
      </c>
      <c r="E796" s="51" t="s">
        <v>2731</v>
      </c>
      <c r="F796" s="17" t="s">
        <v>3392</v>
      </c>
      <c r="G796" s="17" t="s">
        <v>3531</v>
      </c>
      <c r="H796" s="17" t="s">
        <v>3531</v>
      </c>
      <c r="I796" s="17" t="s">
        <v>3545</v>
      </c>
      <c r="J796" s="17" t="s">
        <v>9</v>
      </c>
      <c r="K796" s="49" t="s">
        <v>1091</v>
      </c>
      <c r="L796" s="4" t="str">
        <f ca="1">IF(ISERROR(VLOOKUP(B796,'ETL Scope'!I:I,1,0)),"NA","ETL")</f>
        <v>NA</v>
      </c>
      <c r="M796" s="29">
        <f ca="1">COUNTIF('Data-WK'!A:A,'V1'!B:B)</f>
        <v>1</v>
      </c>
      <c r="N796" s="29" t="e">
        <f ca="1">VLOOKUP(E796,'IFRS only'!A:A,1,0)</f>
        <v>#N/A</v>
      </c>
      <c r="P796" s="89"/>
    </row>
    <row r="797" spans="1:16" s="29" customFormat="1">
      <c r="A797" s="17" t="s">
        <v>5</v>
      </c>
      <c r="B797" s="17">
        <v>6104000000</v>
      </c>
      <c r="C797" s="78" t="s">
        <v>4573</v>
      </c>
      <c r="D797" s="3" t="s">
        <v>4878</v>
      </c>
      <c r="E797" s="51" t="s">
        <v>2868</v>
      </c>
      <c r="F797" s="17" t="s">
        <v>3534</v>
      </c>
      <c r="G797" s="17" t="s">
        <v>3440</v>
      </c>
      <c r="H797" s="17" t="s">
        <v>3534</v>
      </c>
      <c r="I797" s="17" t="s">
        <v>3545</v>
      </c>
      <c r="J797" s="17" t="s">
        <v>9</v>
      </c>
      <c r="K797" s="49" t="s">
        <v>1204</v>
      </c>
      <c r="L797" s="4" t="str">
        <f ca="1">IF(ISERROR(VLOOKUP(B797,'ETL Scope'!I:I,1,0)),"NA","ETL")</f>
        <v>ETL</v>
      </c>
      <c r="M797" s="29">
        <f ca="1">COUNTIF('Data-WK'!A:A,'V1'!B:B)</f>
        <v>1</v>
      </c>
      <c r="N797" s="29" t="str">
        <f ca="1">VLOOKUP(E797,'IFRS only'!A:A,1,0)</f>
        <v>51030226</v>
      </c>
      <c r="P797" s="89"/>
    </row>
    <row r="798" spans="1:16" s="29" customFormat="1">
      <c r="A798" s="17" t="s">
        <v>5</v>
      </c>
      <c r="B798" s="17">
        <v>6104001000</v>
      </c>
      <c r="C798" s="78" t="s">
        <v>4573</v>
      </c>
      <c r="D798" s="3" t="s">
        <v>4879</v>
      </c>
      <c r="E798" s="51" t="s">
        <v>2869</v>
      </c>
      <c r="F798" s="17" t="s">
        <v>3534</v>
      </c>
      <c r="G798" s="17" t="s">
        <v>3440</v>
      </c>
      <c r="H798" s="17" t="s">
        <v>3534</v>
      </c>
      <c r="I798" s="17" t="s">
        <v>3545</v>
      </c>
      <c r="J798" s="17" t="s">
        <v>9</v>
      </c>
      <c r="K798" s="49" t="s">
        <v>1205</v>
      </c>
      <c r="L798" s="4" t="str">
        <f ca="1">IF(ISERROR(VLOOKUP(B798,'ETL Scope'!I:I,1,0)),"NA","ETL")</f>
        <v>ETL</v>
      </c>
      <c r="M798" s="29">
        <f ca="1">COUNTIF('Data-WK'!A:A,'V1'!B:B)</f>
        <v>1</v>
      </c>
      <c r="N798" s="29" t="str">
        <f ca="1">VLOOKUP(E798,'IFRS only'!A:A,1,0)</f>
        <v>51030227</v>
      </c>
      <c r="P798" s="89"/>
    </row>
    <row r="799" spans="1:16" s="29" customFormat="1">
      <c r="A799" s="17" t="s">
        <v>3</v>
      </c>
      <c r="B799" s="17">
        <v>6120000010</v>
      </c>
      <c r="C799" s="78" t="s">
        <v>4574</v>
      </c>
      <c r="D799" s="3" t="s">
        <v>4880</v>
      </c>
      <c r="E799" s="17" t="s">
        <v>2886</v>
      </c>
      <c r="F799" s="17" t="s">
        <v>3533</v>
      </c>
      <c r="G799" s="17" t="s">
        <v>3533</v>
      </c>
      <c r="H799" s="17" t="s">
        <v>3534</v>
      </c>
      <c r="I799" s="17" t="s">
        <v>3545</v>
      </c>
      <c r="J799" s="17" t="s">
        <v>9</v>
      </c>
      <c r="K799" s="49" t="s">
        <v>1212</v>
      </c>
      <c r="L799" s="4" t="str">
        <f ca="1">IF(ISERROR(VLOOKUP(B799,'ETL Scope'!I:I,1,0)),"NA","ETL")</f>
        <v>NA</v>
      </c>
      <c r="M799" s="29">
        <f ca="1">COUNTIF('Data-WK'!A:A,'V1'!B:B)</f>
        <v>1</v>
      </c>
      <c r="N799" s="29" t="e">
        <f ca="1">VLOOKUP(E799,'IFRS only'!A:A,1,0)</f>
        <v>#N/A</v>
      </c>
      <c r="P799" s="89"/>
    </row>
    <row r="800" spans="1:16" s="29" customFormat="1">
      <c r="A800" s="17" t="s">
        <v>3</v>
      </c>
      <c r="B800" s="17">
        <v>6120001500</v>
      </c>
      <c r="C800" s="78" t="s">
        <v>4574</v>
      </c>
      <c r="D800" s="3" t="s">
        <v>4881</v>
      </c>
      <c r="E800" s="17" t="s">
        <v>2887</v>
      </c>
      <c r="F800" s="17" t="s">
        <v>9</v>
      </c>
      <c r="G800" s="17" t="s">
        <v>3533</v>
      </c>
      <c r="H800" s="17" t="s">
        <v>3534</v>
      </c>
      <c r="I800" s="17" t="s">
        <v>3545</v>
      </c>
      <c r="J800" s="17" t="s">
        <v>9</v>
      </c>
      <c r="K800" s="49" t="s">
        <v>1212</v>
      </c>
      <c r="L800" s="4" t="str">
        <f ca="1">IF(ISERROR(VLOOKUP(B800,'ETL Scope'!I:I,1,0)),"NA","ETL")</f>
        <v>NA</v>
      </c>
      <c r="M800" s="29">
        <f ca="1">COUNTIF('Data-WK'!A:A,'V1'!B:B)</f>
        <v>1</v>
      </c>
      <c r="N800" s="29" t="str">
        <f ca="1">VLOOKUP(E800,'IFRS only'!A:A,1,0)</f>
        <v>51040503</v>
      </c>
      <c r="P800" s="89"/>
    </row>
    <row r="801" spans="1:16" s="29" customFormat="1">
      <c r="A801" s="17" t="s">
        <v>4</v>
      </c>
      <c r="B801" s="18">
        <v>6120010000</v>
      </c>
      <c r="C801" s="78" t="s">
        <v>4575</v>
      </c>
      <c r="D801" s="3" t="s">
        <v>5637</v>
      </c>
      <c r="E801" s="17" t="s">
        <v>1485</v>
      </c>
      <c r="F801" s="17" t="s">
        <v>3531</v>
      </c>
      <c r="G801" s="17" t="s">
        <v>3532</v>
      </c>
      <c r="H801" s="17" t="s">
        <v>3531</v>
      </c>
      <c r="I801" s="17" t="s">
        <v>3545</v>
      </c>
      <c r="J801" s="17" t="s">
        <v>9</v>
      </c>
      <c r="K801" s="49" t="s">
        <v>1391</v>
      </c>
      <c r="L801" s="4" t="str">
        <f ca="1">IF(ISERROR(VLOOKUP(B801,'ETL Scope'!I:I,1,0)),"NA","ETL")</f>
        <v>NA</v>
      </c>
      <c r="M801" s="29">
        <f ca="1">COUNTIF('Data-WK'!A:A,'V1'!B:B)</f>
        <v>1</v>
      </c>
      <c r="N801" s="29" t="e">
        <f ca="1">VLOOKUP(E801,'IFRS only'!A:A,1,0)</f>
        <v>#N/A</v>
      </c>
      <c r="P801" s="89"/>
    </row>
    <row r="802" spans="1:16" s="29" customFormat="1">
      <c r="A802" s="17" t="s">
        <v>4</v>
      </c>
      <c r="B802" s="18">
        <v>6120050000</v>
      </c>
      <c r="C802" s="78" t="s">
        <v>4576</v>
      </c>
      <c r="D802" s="3" t="s">
        <v>5571</v>
      </c>
      <c r="E802" s="17" t="s">
        <v>1485</v>
      </c>
      <c r="F802" s="17" t="s">
        <v>3531</v>
      </c>
      <c r="G802" s="17" t="s">
        <v>3532</v>
      </c>
      <c r="H802" s="17" t="s">
        <v>3531</v>
      </c>
      <c r="I802" s="17" t="s">
        <v>3545</v>
      </c>
      <c r="J802" s="17" t="s">
        <v>9</v>
      </c>
      <c r="K802" s="49" t="s">
        <v>1392</v>
      </c>
      <c r="L802" s="4" t="str">
        <f ca="1">IF(ISERROR(VLOOKUP(B802,'ETL Scope'!I:I,1,0)),"NA","ETL")</f>
        <v>NA</v>
      </c>
      <c r="M802" s="29">
        <f ca="1">COUNTIF('Data-WK'!A:A,'V1'!B:B)</f>
        <v>1</v>
      </c>
      <c r="N802" s="29" t="e">
        <f ca="1">VLOOKUP(E802,'IFRS only'!A:A,1,0)</f>
        <v>#N/A</v>
      </c>
      <c r="P802" s="89"/>
    </row>
    <row r="803" spans="1:16" s="29" customFormat="1">
      <c r="A803" s="17" t="s">
        <v>2</v>
      </c>
      <c r="B803" s="17">
        <v>6121001500</v>
      </c>
      <c r="C803" s="78" t="s">
        <v>4577</v>
      </c>
      <c r="D803" s="3" t="s">
        <v>5566</v>
      </c>
      <c r="E803" s="17" t="s">
        <v>2790</v>
      </c>
      <c r="F803" s="17" t="s">
        <v>9</v>
      </c>
      <c r="G803" s="17" t="s">
        <v>3532</v>
      </c>
      <c r="H803" s="17" t="s">
        <v>3531</v>
      </c>
      <c r="I803" s="17" t="s">
        <v>3545</v>
      </c>
      <c r="J803" s="17" t="s">
        <v>9</v>
      </c>
      <c r="K803" s="49" t="s">
        <v>1158</v>
      </c>
      <c r="L803" s="4" t="str">
        <f ca="1">IF(ISERROR(VLOOKUP(B803,'ETL Scope'!I:I,1,0)),"NA","ETL")</f>
        <v>NA</v>
      </c>
      <c r="M803" s="29">
        <f ca="1">COUNTIF('Data-WK'!A:A,'V1'!B:B)</f>
        <v>1</v>
      </c>
      <c r="N803" s="29" t="str">
        <f ca="1">VLOOKUP(E803,'IFRS only'!A:A,1,0)</f>
        <v>430401</v>
      </c>
      <c r="P803" s="89"/>
    </row>
    <row r="804" spans="1:16" s="29" customFormat="1">
      <c r="A804" s="17" t="s">
        <v>4</v>
      </c>
      <c r="B804" s="18">
        <v>6121200000</v>
      </c>
      <c r="C804" s="78" t="s">
        <v>4578</v>
      </c>
      <c r="D804" s="3" t="s">
        <v>5572</v>
      </c>
      <c r="E804" s="17" t="s">
        <v>1485</v>
      </c>
      <c r="F804" s="17" t="s">
        <v>3531</v>
      </c>
      <c r="G804" s="17" t="s">
        <v>3532</v>
      </c>
      <c r="H804" s="17" t="s">
        <v>3531</v>
      </c>
      <c r="I804" s="17" t="s">
        <v>3545</v>
      </c>
      <c r="J804" s="17" t="s">
        <v>9</v>
      </c>
      <c r="K804" s="49" t="s">
        <v>1393</v>
      </c>
      <c r="L804" s="4" t="str">
        <f ca="1">IF(ISERROR(VLOOKUP(B804,'ETL Scope'!I:I,1,0)),"NA","ETL")</f>
        <v>NA</v>
      </c>
      <c r="M804" s="29">
        <f ca="1">COUNTIF('Data-WK'!A:A,'V1'!B:B)</f>
        <v>1</v>
      </c>
      <c r="N804" s="29" t="e">
        <f ca="1">VLOOKUP(E804,'IFRS only'!A:A,1,0)</f>
        <v>#N/A</v>
      </c>
      <c r="P804" s="89"/>
    </row>
    <row r="805" spans="1:16" s="29" customFormat="1">
      <c r="A805" s="17" t="s">
        <v>3</v>
      </c>
      <c r="B805" s="17">
        <v>6122100000</v>
      </c>
      <c r="C805" s="78" t="s">
        <v>4579</v>
      </c>
      <c r="D805" s="3" t="s">
        <v>5567</v>
      </c>
      <c r="E805" s="17" t="s">
        <v>2888</v>
      </c>
      <c r="F805" s="17" t="s">
        <v>3533</v>
      </c>
      <c r="G805" s="17" t="s">
        <v>3533</v>
      </c>
      <c r="H805" s="17" t="s">
        <v>3534</v>
      </c>
      <c r="I805" s="17" t="s">
        <v>3545</v>
      </c>
      <c r="J805" s="17" t="s">
        <v>9</v>
      </c>
      <c r="K805" s="49" t="s">
        <v>1213</v>
      </c>
      <c r="L805" s="4" t="str">
        <f ca="1">IF(ISERROR(VLOOKUP(B805,'ETL Scope'!I:I,1,0)),"NA","ETL")</f>
        <v>NA</v>
      </c>
      <c r="M805" s="29">
        <f ca="1">COUNTIF('Data-WK'!A:A,'V1'!B:B)</f>
        <v>1</v>
      </c>
      <c r="N805" s="29" t="e">
        <f ca="1">VLOOKUP(E805,'IFRS only'!A:A,1,0)</f>
        <v>#N/A</v>
      </c>
      <c r="P805" s="89"/>
    </row>
    <row r="806" spans="1:16" s="29" customFormat="1">
      <c r="A806" s="17" t="s">
        <v>3</v>
      </c>
      <c r="B806" s="17">
        <v>6150000000</v>
      </c>
      <c r="C806" s="78" t="s">
        <v>4580</v>
      </c>
      <c r="D806" s="55" t="s">
        <v>5638</v>
      </c>
      <c r="E806" s="17" t="s">
        <v>3325</v>
      </c>
      <c r="F806" s="17" t="s">
        <v>3391</v>
      </c>
      <c r="G806" s="17" t="s">
        <v>3440</v>
      </c>
      <c r="H806" s="17" t="s">
        <v>9</v>
      </c>
      <c r="I806" s="17" t="s">
        <v>9</v>
      </c>
      <c r="J806" s="17" t="s">
        <v>9</v>
      </c>
      <c r="K806" s="49" t="s">
        <v>1372</v>
      </c>
      <c r="L806" s="4" t="s">
        <v>4763</v>
      </c>
      <c r="M806" s="29">
        <v>1</v>
      </c>
      <c r="N806" s="29" t="e">
        <v>#N/A</v>
      </c>
      <c r="O806" s="29" t="s">
        <v>4765</v>
      </c>
      <c r="P806" s="89"/>
    </row>
    <row r="807" spans="1:16" s="29" customFormat="1">
      <c r="A807" s="17" t="s">
        <v>5</v>
      </c>
      <c r="B807" s="17">
        <v>6180000000</v>
      </c>
      <c r="C807" s="78" t="s">
        <v>4581</v>
      </c>
      <c r="D807" s="3" t="s">
        <v>4876</v>
      </c>
      <c r="E807" s="51" t="s">
        <v>2865</v>
      </c>
      <c r="F807" s="17" t="s">
        <v>9</v>
      </c>
      <c r="G807" s="17" t="s">
        <v>3392</v>
      </c>
      <c r="H807" s="17" t="s">
        <v>3534</v>
      </c>
      <c r="I807" s="17" t="s">
        <v>3545</v>
      </c>
      <c r="J807" s="17" t="s">
        <v>9</v>
      </c>
      <c r="K807" s="49" t="s">
        <v>1203</v>
      </c>
      <c r="L807" s="4" t="str">
        <f ca="1">IF(ISERROR(VLOOKUP(B807,'ETL Scope'!I:I,1,0)),"NA","ETL")</f>
        <v>NA</v>
      </c>
      <c r="M807" s="29">
        <f ca="1">COUNTIF('Data-WK'!A:A,'V1'!B:B)</f>
        <v>1</v>
      </c>
      <c r="N807" s="29" t="str">
        <f ca="1">VLOOKUP(E807,'IFRS only'!A:A,1,0)</f>
        <v>5103022205</v>
      </c>
      <c r="P807" s="89"/>
    </row>
    <row r="808" spans="1:16" s="29" customFormat="1">
      <c r="A808" s="17" t="s">
        <v>5</v>
      </c>
      <c r="B808" s="17">
        <v>6180000010</v>
      </c>
      <c r="C808" s="78" t="s">
        <v>4581</v>
      </c>
      <c r="D808" s="86" t="s">
        <v>5820</v>
      </c>
      <c r="E808" s="51" t="s">
        <v>2866</v>
      </c>
      <c r="F808" s="17" t="s">
        <v>9</v>
      </c>
      <c r="G808" s="17" t="s">
        <v>3392</v>
      </c>
      <c r="H808" s="17" t="s">
        <v>3534</v>
      </c>
      <c r="I808" s="17" t="s">
        <v>3545</v>
      </c>
      <c r="J808" s="17" t="s">
        <v>9</v>
      </c>
      <c r="K808" s="49" t="s">
        <v>1203</v>
      </c>
      <c r="L808" s="4" t="str">
        <f ca="1">IF(ISERROR(VLOOKUP(B808,'ETL Scope'!I:I,1,0)),"NA","ETL")</f>
        <v>NA</v>
      </c>
      <c r="M808" s="29">
        <f ca="1">COUNTIF('Data-WK'!A:A,'V1'!B:B)</f>
        <v>1</v>
      </c>
      <c r="N808" s="29" t="str">
        <f ca="1">VLOOKUP(E808,'IFRS only'!A:A,1,0)</f>
        <v>5103022206</v>
      </c>
      <c r="P808" s="89"/>
    </row>
    <row r="809" spans="1:16" s="29" customFormat="1">
      <c r="A809" s="17" t="s">
        <v>3</v>
      </c>
      <c r="B809" s="17">
        <v>6180000020</v>
      </c>
      <c r="C809" s="78" t="s">
        <v>4581</v>
      </c>
      <c r="D809" s="3" t="s">
        <v>5639</v>
      </c>
      <c r="E809" s="17" t="s">
        <v>3333</v>
      </c>
      <c r="F809" s="17" t="s">
        <v>3391</v>
      </c>
      <c r="G809" s="17" t="s">
        <v>3440</v>
      </c>
      <c r="H809" s="17" t="s">
        <v>9</v>
      </c>
      <c r="I809" s="17" t="s">
        <v>9</v>
      </c>
      <c r="J809" s="17" t="s">
        <v>9</v>
      </c>
      <c r="K809" s="49" t="s">
        <v>1203</v>
      </c>
      <c r="L809" s="25" t="s">
        <v>9</v>
      </c>
      <c r="M809" s="44">
        <v>1</v>
      </c>
      <c r="N809" s="44" t="s">
        <v>3333</v>
      </c>
      <c r="O809" s="29" t="s">
        <v>4766</v>
      </c>
      <c r="P809" s="89"/>
    </row>
    <row r="810" spans="1:16" s="29" customFormat="1">
      <c r="A810" s="17" t="s">
        <v>5</v>
      </c>
      <c r="B810" s="17">
        <v>6200000000</v>
      </c>
      <c r="C810" s="78" t="s">
        <v>4582</v>
      </c>
      <c r="D810" s="86" t="s">
        <v>5821</v>
      </c>
      <c r="E810" s="51" t="s">
        <v>2862</v>
      </c>
      <c r="F810" s="17" t="s">
        <v>9</v>
      </c>
      <c r="G810" s="17" t="s">
        <v>3392</v>
      </c>
      <c r="H810" s="17" t="s">
        <v>3534</v>
      </c>
      <c r="I810" s="17" t="s">
        <v>3545</v>
      </c>
      <c r="J810" s="17" t="s">
        <v>9</v>
      </c>
      <c r="K810" s="49" t="s">
        <v>1201</v>
      </c>
      <c r="L810" s="4" t="str">
        <f ca="1">IF(ISERROR(VLOOKUP(B810,'ETL Scope'!I:I,1,0)),"NA","ETL")</f>
        <v>NA</v>
      </c>
      <c r="M810" s="29">
        <f ca="1">COUNTIF('Data-WK'!A:A,'V1'!B:B)</f>
        <v>1</v>
      </c>
      <c r="N810" s="29" t="str">
        <f ca="1">VLOOKUP(E810,'IFRS only'!A:A,1,0)</f>
        <v>5103022202</v>
      </c>
      <c r="P810" s="89"/>
    </row>
    <row r="811" spans="1:16" s="29" customFormat="1">
      <c r="A811" s="17" t="s">
        <v>2</v>
      </c>
      <c r="B811" s="17">
        <v>6200000010</v>
      </c>
      <c r="C811" s="78" t="s">
        <v>4582</v>
      </c>
      <c r="D811" s="3" t="s">
        <v>5792</v>
      </c>
      <c r="E811" s="17" t="s">
        <v>2778</v>
      </c>
      <c r="F811" s="17" t="s">
        <v>3532</v>
      </c>
      <c r="G811" s="17" t="s">
        <v>3532</v>
      </c>
      <c r="H811" s="17" t="s">
        <v>3531</v>
      </c>
      <c r="I811" s="17" t="s">
        <v>3545</v>
      </c>
      <c r="J811" s="17" t="s">
        <v>5392</v>
      </c>
      <c r="K811" s="49" t="s">
        <v>1201</v>
      </c>
      <c r="L811" s="4" t="str">
        <f ca="1">IF(ISERROR(VLOOKUP(B811,'ETL Scope'!I:I,1,0)),"NA","ETL")</f>
        <v>NA</v>
      </c>
      <c r="M811" s="29">
        <f ca="1">COUNTIF('Data-WK'!A:A,'V1'!B:B)</f>
        <v>1</v>
      </c>
      <c r="N811" s="29" t="e">
        <f ca="1">VLOOKUP(E811,'IFRS only'!A:A,1,0)</f>
        <v>#N/A</v>
      </c>
      <c r="P811" s="89"/>
    </row>
    <row r="812" spans="1:16" s="29" customFormat="1">
      <c r="A812" s="17" t="s">
        <v>5</v>
      </c>
      <c r="B812" s="17">
        <v>6200100000</v>
      </c>
      <c r="C812" s="78" t="s">
        <v>4583</v>
      </c>
      <c r="D812" s="3" t="s">
        <v>5822</v>
      </c>
      <c r="E812" s="51" t="s">
        <v>2864</v>
      </c>
      <c r="F812" s="17" t="s">
        <v>9</v>
      </c>
      <c r="G812" s="17" t="s">
        <v>3392</v>
      </c>
      <c r="H812" s="17" t="s">
        <v>3534</v>
      </c>
      <c r="I812" s="17" t="s">
        <v>3545</v>
      </c>
      <c r="J812" s="17" t="s">
        <v>9</v>
      </c>
      <c r="K812" s="49" t="s">
        <v>1202</v>
      </c>
      <c r="L812" s="4" t="str">
        <f ca="1">IF(ISERROR(VLOOKUP(B812,'ETL Scope'!I:I,1,0)),"NA","ETL")</f>
        <v>NA</v>
      </c>
      <c r="M812" s="29">
        <f ca="1">COUNTIF('Data-WK'!A:A,'V1'!B:B)</f>
        <v>1</v>
      </c>
      <c r="N812" s="29" t="str">
        <f ca="1">VLOOKUP(E812,'IFRS only'!A:A,1,0)</f>
        <v>5103022204</v>
      </c>
      <c r="P812" s="89"/>
    </row>
    <row r="813" spans="1:16" s="112" customFormat="1">
      <c r="A813" s="108" t="s">
        <v>10</v>
      </c>
      <c r="B813" s="108">
        <v>6600000000</v>
      </c>
      <c r="C813" s="108" t="s">
        <v>3919</v>
      </c>
      <c r="D813" s="113" t="s">
        <v>5884</v>
      </c>
      <c r="E813" s="108" t="s">
        <v>2934</v>
      </c>
      <c r="F813" s="108" t="s">
        <v>3535</v>
      </c>
      <c r="G813" s="108" t="s">
        <v>3535</v>
      </c>
      <c r="H813" s="108" t="s">
        <v>3536</v>
      </c>
      <c r="I813" s="108" t="s">
        <v>3545</v>
      </c>
      <c r="J813" s="108" t="s">
        <v>9</v>
      </c>
      <c r="K813" s="110" t="s">
        <v>1219</v>
      </c>
      <c r="L813" s="114" t="str">
        <f ca="1">IF(ISERROR(VLOOKUP(B813,'ETL Scope'!I:I,1,0)),"NA","ETL")</f>
        <v>NA</v>
      </c>
      <c r="M813" s="112">
        <f ca="1">COUNTIF('Data-WK'!A:A,'V1'!B:B)</f>
        <v>1</v>
      </c>
      <c r="N813" s="112" t="e">
        <f ca="1">VLOOKUP(E813,'IFRS only'!A:A,1,0)</f>
        <v>#N/A</v>
      </c>
      <c r="P813" s="111"/>
    </row>
    <row r="814" spans="1:16" s="112" customFormat="1">
      <c r="A814" s="108" t="s">
        <v>4</v>
      </c>
      <c r="B814" s="109">
        <v>6600000003</v>
      </c>
      <c r="C814" s="108">
        <v>660000</v>
      </c>
      <c r="D814" s="109" t="s">
        <v>5624</v>
      </c>
      <c r="E814" s="108" t="s">
        <v>5316</v>
      </c>
      <c r="F814" s="108" t="s">
        <v>3533</v>
      </c>
      <c r="G814" s="108" t="s">
        <v>3533</v>
      </c>
      <c r="H814" s="108" t="s">
        <v>3534</v>
      </c>
      <c r="I814" s="108" t="s">
        <v>3545</v>
      </c>
      <c r="J814" s="108" t="s">
        <v>9</v>
      </c>
      <c r="K814" s="110" t="s">
        <v>1219</v>
      </c>
      <c r="L814" s="4" t="str">
        <f ca="1">IF(ISERROR(VLOOKUP(B814,'ETL Scope'!I:I,1,0)),"NA","ETL")</f>
        <v>NA</v>
      </c>
      <c r="M814" s="29">
        <f ca="1">COUNTIF('Data-WK'!A:A,'V1'!B:B)</f>
        <v>1</v>
      </c>
      <c r="N814" s="29" t="e">
        <f ca="1">VLOOKUP(E814,'IFRS only'!A:A,1,0)</f>
        <v>#N/A</v>
      </c>
      <c r="O814" s="29"/>
      <c r="P814" s="111"/>
    </row>
    <row r="815" spans="1:16" s="29" customFormat="1">
      <c r="A815" s="17" t="s">
        <v>10</v>
      </c>
      <c r="B815" s="17">
        <v>6600000030</v>
      </c>
      <c r="C815" s="78" t="s">
        <v>3919</v>
      </c>
      <c r="D815" s="3" t="s">
        <v>4882</v>
      </c>
      <c r="E815" s="17" t="s">
        <v>3296</v>
      </c>
      <c r="F815" s="17" t="s">
        <v>3535</v>
      </c>
      <c r="G815" s="17" t="s">
        <v>3535</v>
      </c>
      <c r="H815" s="17" t="s">
        <v>3536</v>
      </c>
      <c r="I815" s="17" t="s">
        <v>3545</v>
      </c>
      <c r="J815" s="17" t="s">
        <v>9</v>
      </c>
      <c r="K815" s="49" t="s">
        <v>1219</v>
      </c>
      <c r="L815" s="4" t="str">
        <f ca="1">IF(ISERROR(VLOOKUP(B815,'ETL Scope'!I:I,1,0)),"NA","ETL")</f>
        <v>NA</v>
      </c>
      <c r="M815" s="29">
        <f ca="1">COUNTIF('Data-WK'!A:A,'V1'!B:B)</f>
        <v>1</v>
      </c>
      <c r="N815" s="29" t="e">
        <f ca="1">VLOOKUP(E815,'IFRS only'!A:A,1,0)</f>
        <v>#N/A</v>
      </c>
      <c r="P815" s="89"/>
    </row>
    <row r="816" spans="1:16" s="29" customFormat="1">
      <c r="A816" s="17" t="s">
        <v>10</v>
      </c>
      <c r="B816" s="17">
        <v>6600000060</v>
      </c>
      <c r="C816" s="78" t="s">
        <v>3919</v>
      </c>
      <c r="D816" s="3" t="s">
        <v>5640</v>
      </c>
      <c r="E816" s="17" t="s">
        <v>3107</v>
      </c>
      <c r="F816" s="17" t="s">
        <v>3535</v>
      </c>
      <c r="G816" s="17" t="s">
        <v>3535</v>
      </c>
      <c r="H816" s="17" t="s">
        <v>3536</v>
      </c>
      <c r="I816" s="17" t="s">
        <v>3545</v>
      </c>
      <c r="J816" s="17" t="s">
        <v>9</v>
      </c>
      <c r="K816" s="49" t="s">
        <v>1219</v>
      </c>
      <c r="L816" s="4" t="str">
        <f ca="1">IF(ISERROR(VLOOKUP(B816,'ETL Scope'!I:I,1,0)),"NA","ETL")</f>
        <v>NA</v>
      </c>
      <c r="M816" s="29">
        <f ca="1">COUNTIF('Data-WK'!A:A,'V1'!B:B)</f>
        <v>1</v>
      </c>
      <c r="N816" s="29" t="e">
        <f ca="1">VLOOKUP(E816,'IFRS only'!A:A,1,0)</f>
        <v>#N/A</v>
      </c>
      <c r="P816" s="89"/>
    </row>
    <row r="817" spans="1:16" s="29" customFormat="1">
      <c r="A817" s="17" t="s">
        <v>10</v>
      </c>
      <c r="B817" s="17">
        <v>6600000070</v>
      </c>
      <c r="C817" s="78" t="s">
        <v>3919</v>
      </c>
      <c r="D817" s="3" t="s">
        <v>528</v>
      </c>
      <c r="E817" s="17" t="s">
        <v>2931</v>
      </c>
      <c r="F817" s="17" t="s">
        <v>3535</v>
      </c>
      <c r="G817" s="17" t="s">
        <v>3535</v>
      </c>
      <c r="H817" s="17" t="s">
        <v>3536</v>
      </c>
      <c r="I817" s="17" t="s">
        <v>3545</v>
      </c>
      <c r="J817" s="17" t="s">
        <v>9</v>
      </c>
      <c r="K817" s="49" t="s">
        <v>1219</v>
      </c>
      <c r="L817" s="4" t="str">
        <f ca="1">IF(ISERROR(VLOOKUP(B817,'ETL Scope'!I:I,1,0)),"NA","ETL")</f>
        <v>NA</v>
      </c>
      <c r="M817" s="29">
        <f ca="1">COUNTIF('Data-WK'!A:A,'V1'!B:B)</f>
        <v>1</v>
      </c>
      <c r="N817" s="29" t="e">
        <f ca="1">VLOOKUP(E817,'IFRS only'!A:A,1,0)</f>
        <v>#N/A</v>
      </c>
      <c r="P817" s="89"/>
    </row>
    <row r="818" spans="1:16" s="29" customFormat="1">
      <c r="A818" s="17" t="s">
        <v>10</v>
      </c>
      <c r="B818" s="17">
        <v>6600100000</v>
      </c>
      <c r="C818" s="78" t="s">
        <v>4584</v>
      </c>
      <c r="D818" s="3" t="s">
        <v>5641</v>
      </c>
      <c r="E818" s="17" t="s">
        <v>2937</v>
      </c>
      <c r="F818" s="17" t="s">
        <v>3535</v>
      </c>
      <c r="G818" s="17" t="s">
        <v>3535</v>
      </c>
      <c r="H818" s="17" t="s">
        <v>3536</v>
      </c>
      <c r="I818" s="17" t="s">
        <v>3545</v>
      </c>
      <c r="J818" s="17" t="s">
        <v>9</v>
      </c>
      <c r="K818" s="49" t="s">
        <v>1222</v>
      </c>
      <c r="L818" s="4" t="str">
        <f ca="1">IF(ISERROR(VLOOKUP(B818,'ETL Scope'!I:I,1,0)),"NA","ETL")</f>
        <v>NA</v>
      </c>
      <c r="M818" s="29">
        <f ca="1">COUNTIF('Data-WK'!A:A,'V1'!B:B)</f>
        <v>1</v>
      </c>
      <c r="N818" s="29" t="e">
        <f ca="1">VLOOKUP(E818,'IFRS only'!A:A,1,0)</f>
        <v>#N/A</v>
      </c>
      <c r="P818" s="89"/>
    </row>
    <row r="819" spans="1:16" s="29" customFormat="1">
      <c r="A819" s="17" t="s">
        <v>10</v>
      </c>
      <c r="B819" s="17">
        <v>6600100040</v>
      </c>
      <c r="C819" s="78" t="s">
        <v>4584</v>
      </c>
      <c r="D819" s="3" t="s">
        <v>4883</v>
      </c>
      <c r="E819" s="17" t="s">
        <v>3297</v>
      </c>
      <c r="F819" s="17" t="s">
        <v>3535</v>
      </c>
      <c r="G819" s="17" t="s">
        <v>3535</v>
      </c>
      <c r="H819" s="17" t="s">
        <v>3536</v>
      </c>
      <c r="I819" s="17" t="s">
        <v>3545</v>
      </c>
      <c r="J819" s="17" t="s">
        <v>9</v>
      </c>
      <c r="K819" s="49" t="s">
        <v>1222</v>
      </c>
      <c r="L819" s="4" t="str">
        <f ca="1">IF(ISERROR(VLOOKUP(B819,'ETL Scope'!I:I,1,0)),"NA","ETL")</f>
        <v>NA</v>
      </c>
      <c r="M819" s="29">
        <f ca="1">COUNTIF('Data-WK'!A:A,'V1'!B:B)</f>
        <v>1</v>
      </c>
      <c r="N819" s="29" t="e">
        <f ca="1">VLOOKUP(E819,'IFRS only'!A:A,1,0)</f>
        <v>#N/A</v>
      </c>
      <c r="P819" s="89"/>
    </row>
    <row r="820" spans="1:16" s="29" customFormat="1">
      <c r="A820" s="17" t="s">
        <v>10</v>
      </c>
      <c r="B820" s="17">
        <v>6600100050</v>
      </c>
      <c r="C820" s="78" t="s">
        <v>4584</v>
      </c>
      <c r="D820" s="3" t="s">
        <v>4884</v>
      </c>
      <c r="E820" s="17" t="s">
        <v>3300</v>
      </c>
      <c r="F820" s="17" t="s">
        <v>3535</v>
      </c>
      <c r="G820" s="17" t="s">
        <v>3535</v>
      </c>
      <c r="H820" s="17" t="s">
        <v>3536</v>
      </c>
      <c r="I820" s="17" t="s">
        <v>3545</v>
      </c>
      <c r="J820" s="17" t="s">
        <v>9</v>
      </c>
      <c r="K820" s="49" t="s">
        <v>1222</v>
      </c>
      <c r="L820" s="4" t="str">
        <f ca="1">IF(ISERROR(VLOOKUP(B820,'ETL Scope'!I:I,1,0)),"NA","ETL")</f>
        <v>NA</v>
      </c>
      <c r="M820" s="29">
        <f ca="1">COUNTIF('Data-WK'!A:A,'V1'!B:B)</f>
        <v>1</v>
      </c>
      <c r="N820" s="29" t="e">
        <f ca="1">VLOOKUP(E820,'IFRS only'!A:A,1,0)</f>
        <v>#N/A</v>
      </c>
      <c r="P820" s="89"/>
    </row>
    <row r="821" spans="1:16" s="29" customFormat="1">
      <c r="A821" s="17" t="s">
        <v>10</v>
      </c>
      <c r="B821" s="17">
        <v>6600100070</v>
      </c>
      <c r="C821" s="78" t="s">
        <v>4584</v>
      </c>
      <c r="D821" s="3" t="s">
        <v>529</v>
      </c>
      <c r="E821" s="17" t="s">
        <v>2932</v>
      </c>
      <c r="F821" s="17" t="s">
        <v>3535</v>
      </c>
      <c r="G821" s="17" t="s">
        <v>3535</v>
      </c>
      <c r="H821" s="17" t="s">
        <v>3536</v>
      </c>
      <c r="I821" s="17" t="s">
        <v>3545</v>
      </c>
      <c r="J821" s="17" t="s">
        <v>9</v>
      </c>
      <c r="K821" s="49" t="s">
        <v>1222</v>
      </c>
      <c r="L821" s="4" t="str">
        <f ca="1">IF(ISERROR(VLOOKUP(B821,'ETL Scope'!I:I,1,0)),"NA","ETL")</f>
        <v>NA</v>
      </c>
      <c r="M821" s="29">
        <f ca="1">COUNTIF('Data-WK'!A:A,'V1'!B:B)</f>
        <v>1</v>
      </c>
      <c r="N821" s="29" t="e">
        <f ca="1">VLOOKUP(E821,'IFRS only'!A:A,1,0)</f>
        <v>#N/A</v>
      </c>
      <c r="P821" s="89"/>
    </row>
    <row r="822" spans="1:16" s="29" customFormat="1">
      <c r="A822" s="17" t="s">
        <v>10</v>
      </c>
      <c r="B822" s="17">
        <v>6600100090</v>
      </c>
      <c r="C822" s="78" t="s">
        <v>4584</v>
      </c>
      <c r="D822" s="3" t="s">
        <v>5642</v>
      </c>
      <c r="E822" s="17" t="s">
        <v>3108</v>
      </c>
      <c r="F822" s="17" t="s">
        <v>3535</v>
      </c>
      <c r="G822" s="17" t="s">
        <v>3535</v>
      </c>
      <c r="H822" s="17" t="s">
        <v>3536</v>
      </c>
      <c r="I822" s="17" t="s">
        <v>3545</v>
      </c>
      <c r="J822" s="17" t="s">
        <v>9</v>
      </c>
      <c r="K822" s="49" t="s">
        <v>1222</v>
      </c>
      <c r="L822" s="4" t="str">
        <f ca="1">IF(ISERROR(VLOOKUP(B822,'ETL Scope'!I:I,1,0)),"NA","ETL")</f>
        <v>NA</v>
      </c>
      <c r="M822" s="29">
        <f ca="1">COUNTIF('Data-WK'!A:A,'V1'!B:B)</f>
        <v>1</v>
      </c>
      <c r="N822" s="29" t="e">
        <f ca="1">VLOOKUP(E822,'IFRS only'!A:A,1,0)</f>
        <v>#N/A</v>
      </c>
      <c r="P822" s="89"/>
    </row>
    <row r="823" spans="1:16" s="29" customFormat="1">
      <c r="A823" s="17" t="s">
        <v>4</v>
      </c>
      <c r="B823" s="17">
        <v>6600100730</v>
      </c>
      <c r="C823" s="78" t="s">
        <v>4584</v>
      </c>
      <c r="D823" s="3" t="s">
        <v>5643</v>
      </c>
      <c r="E823" s="17" t="s">
        <v>2838</v>
      </c>
      <c r="F823" s="17" t="s">
        <v>3533</v>
      </c>
      <c r="G823" s="17" t="s">
        <v>3533</v>
      </c>
      <c r="H823" s="17" t="s">
        <v>3534</v>
      </c>
      <c r="I823" s="17" t="s">
        <v>3545</v>
      </c>
      <c r="J823" s="17" t="s">
        <v>9</v>
      </c>
      <c r="K823" s="49" t="s">
        <v>1222</v>
      </c>
      <c r="L823" s="4" t="str">
        <f ca="1">IF(ISERROR(VLOOKUP(B823,'ETL Scope'!I:I,1,0)),"NA","ETL")</f>
        <v>NA</v>
      </c>
      <c r="M823" s="29">
        <f ca="1">COUNTIF('Data-WK'!A:A,'V1'!B:B)</f>
        <v>1</v>
      </c>
      <c r="N823" s="29" t="e">
        <f ca="1">VLOOKUP(E823,'IFRS only'!A:A,1,0)</f>
        <v>#N/A</v>
      </c>
      <c r="P823" s="89"/>
    </row>
    <row r="824" spans="1:16" s="29" customFormat="1">
      <c r="A824" s="17" t="s">
        <v>4</v>
      </c>
      <c r="B824" s="17">
        <v>6600100740</v>
      </c>
      <c r="C824" s="78" t="s">
        <v>4584</v>
      </c>
      <c r="D824" s="3" t="s">
        <v>5644</v>
      </c>
      <c r="E824" s="17" t="s">
        <v>3340</v>
      </c>
      <c r="F824" s="17" t="s">
        <v>3533</v>
      </c>
      <c r="G824" s="17" t="s">
        <v>3533</v>
      </c>
      <c r="H824" s="17" t="s">
        <v>3534</v>
      </c>
      <c r="I824" s="17" t="s">
        <v>3545</v>
      </c>
      <c r="J824" s="17" t="s">
        <v>9</v>
      </c>
      <c r="K824" s="49" t="s">
        <v>1222</v>
      </c>
      <c r="L824" s="4" t="str">
        <f ca="1">IF(ISERROR(VLOOKUP(B824,'ETL Scope'!I:I,1,0)),"NA","ETL")</f>
        <v>NA</v>
      </c>
      <c r="M824" s="29">
        <f ca="1">COUNTIF('Data-WK'!A:A,'V1'!B:B)</f>
        <v>1</v>
      </c>
      <c r="N824" s="29" t="e">
        <f ca="1">VLOOKUP(E824,'IFRS only'!A:A,1,0)</f>
        <v>#N/A</v>
      </c>
      <c r="P824" s="89"/>
    </row>
    <row r="825" spans="1:16" s="29" customFormat="1">
      <c r="A825" s="17" t="s">
        <v>10</v>
      </c>
      <c r="B825" s="17">
        <v>6600200000</v>
      </c>
      <c r="C825" s="78" t="s">
        <v>4585</v>
      </c>
      <c r="D825" s="3" t="s">
        <v>537</v>
      </c>
      <c r="E825" s="17" t="s">
        <v>2940</v>
      </c>
      <c r="F825" s="17" t="s">
        <v>3535</v>
      </c>
      <c r="G825" s="17" t="s">
        <v>3535</v>
      </c>
      <c r="H825" s="17" t="s">
        <v>3536</v>
      </c>
      <c r="I825" s="17" t="s">
        <v>3545</v>
      </c>
      <c r="J825" s="17" t="s">
        <v>9</v>
      </c>
      <c r="K825" s="49" t="s">
        <v>1225</v>
      </c>
      <c r="L825" s="4" t="str">
        <f ca="1">IF(ISERROR(VLOOKUP(B825,'ETL Scope'!I:I,1,0)),"NA","ETL")</f>
        <v>NA</v>
      </c>
      <c r="M825" s="29">
        <f ca="1">COUNTIF('Data-WK'!A:A,'V1'!B:B)</f>
        <v>1</v>
      </c>
      <c r="N825" s="29" t="e">
        <f ca="1">VLOOKUP(E825,'IFRS only'!A:A,1,0)</f>
        <v>#N/A</v>
      </c>
      <c r="P825" s="89"/>
    </row>
    <row r="826" spans="1:16" s="29" customFormat="1">
      <c r="A826" s="17" t="s">
        <v>10</v>
      </c>
      <c r="B826" s="17">
        <v>6600200030</v>
      </c>
      <c r="C826" s="78" t="s">
        <v>4585</v>
      </c>
      <c r="D826" s="3" t="s">
        <v>4885</v>
      </c>
      <c r="E826" s="17" t="s">
        <v>3298</v>
      </c>
      <c r="F826" s="17" t="s">
        <v>3535</v>
      </c>
      <c r="G826" s="17" t="s">
        <v>3535</v>
      </c>
      <c r="H826" s="17" t="s">
        <v>3536</v>
      </c>
      <c r="I826" s="17" t="s">
        <v>3545</v>
      </c>
      <c r="J826" s="17" t="s">
        <v>9</v>
      </c>
      <c r="K826" s="49" t="s">
        <v>1225</v>
      </c>
      <c r="L826" s="4" t="str">
        <f ca="1">IF(ISERROR(VLOOKUP(B826,'ETL Scope'!I:I,1,0)),"NA","ETL")</f>
        <v>NA</v>
      </c>
      <c r="M826" s="29">
        <f ca="1">COUNTIF('Data-WK'!A:A,'V1'!B:B)</f>
        <v>1</v>
      </c>
      <c r="N826" s="29" t="e">
        <f ca="1">VLOOKUP(E826,'IFRS only'!A:A,1,0)</f>
        <v>#N/A</v>
      </c>
      <c r="P826" s="89"/>
    </row>
    <row r="827" spans="1:16" s="29" customFormat="1">
      <c r="A827" s="17" t="s">
        <v>10</v>
      </c>
      <c r="B827" s="17">
        <v>6600200060</v>
      </c>
      <c r="C827" s="78" t="s">
        <v>4585</v>
      </c>
      <c r="D827" s="3" t="s">
        <v>5645</v>
      </c>
      <c r="E827" s="17" t="s">
        <v>3109</v>
      </c>
      <c r="F827" s="17" t="s">
        <v>3535</v>
      </c>
      <c r="G827" s="17" t="s">
        <v>3535</v>
      </c>
      <c r="H827" s="17" t="s">
        <v>3536</v>
      </c>
      <c r="I827" s="17" t="s">
        <v>3545</v>
      </c>
      <c r="J827" s="17" t="s">
        <v>9</v>
      </c>
      <c r="K827" s="49" t="s">
        <v>1225</v>
      </c>
      <c r="L827" s="4" t="str">
        <f ca="1">IF(ISERROR(VLOOKUP(B827,'ETL Scope'!I:I,1,0)),"NA","ETL")</f>
        <v>NA</v>
      </c>
      <c r="M827" s="29">
        <f ca="1">COUNTIF('Data-WK'!A:A,'V1'!B:B)</f>
        <v>1</v>
      </c>
      <c r="N827" s="29" t="e">
        <f ca="1">VLOOKUP(E827,'IFRS only'!A:A,1,0)</f>
        <v>#N/A</v>
      </c>
      <c r="P827" s="89"/>
    </row>
    <row r="828" spans="1:16" s="29" customFormat="1">
      <c r="A828" s="17" t="s">
        <v>10</v>
      </c>
      <c r="B828" s="17">
        <v>6600200070</v>
      </c>
      <c r="C828" s="78" t="s">
        <v>4585</v>
      </c>
      <c r="D828" s="3" t="s">
        <v>530</v>
      </c>
      <c r="E828" s="17" t="s">
        <v>2933</v>
      </c>
      <c r="F828" s="17" t="s">
        <v>3535</v>
      </c>
      <c r="G828" s="17" t="s">
        <v>3535</v>
      </c>
      <c r="H828" s="17" t="s">
        <v>3536</v>
      </c>
      <c r="I828" s="17" t="s">
        <v>3545</v>
      </c>
      <c r="J828" s="17" t="s">
        <v>9</v>
      </c>
      <c r="K828" s="49" t="s">
        <v>1225</v>
      </c>
      <c r="L828" s="4" t="str">
        <f ca="1">IF(ISERROR(VLOOKUP(B828,'ETL Scope'!I:I,1,0)),"NA","ETL")</f>
        <v>NA</v>
      </c>
      <c r="M828" s="29">
        <f ca="1">COUNTIF('Data-WK'!A:A,'V1'!B:B)</f>
        <v>1</v>
      </c>
      <c r="N828" s="29" t="e">
        <f ca="1">VLOOKUP(E828,'IFRS only'!A:A,1,0)</f>
        <v>#N/A</v>
      </c>
      <c r="P828" s="89"/>
    </row>
    <row r="829" spans="1:16" s="29" customFormat="1">
      <c r="A829" s="17" t="s">
        <v>3</v>
      </c>
      <c r="B829" s="17">
        <v>6602100000</v>
      </c>
      <c r="C829" s="78" t="s">
        <v>4586</v>
      </c>
      <c r="D829" s="3" t="s">
        <v>808</v>
      </c>
      <c r="E829" s="17" t="s">
        <v>3275</v>
      </c>
      <c r="F829" s="17" t="s">
        <v>3533</v>
      </c>
      <c r="G829" s="17" t="s">
        <v>3533</v>
      </c>
      <c r="H829" s="17" t="s">
        <v>3534</v>
      </c>
      <c r="I829" s="17" t="s">
        <v>3545</v>
      </c>
      <c r="J829" s="17" t="s">
        <v>9</v>
      </c>
      <c r="K829" s="49" t="s">
        <v>1357</v>
      </c>
      <c r="L829" s="4" t="str">
        <f ca="1">IF(ISERROR(VLOOKUP(B829,'ETL Scope'!I:I,1,0)),"NA","ETL")</f>
        <v>NA</v>
      </c>
      <c r="M829" s="29">
        <f ca="1">COUNTIF('Data-WK'!A:A,'V1'!B:B)</f>
        <v>1</v>
      </c>
      <c r="N829" s="29" t="e">
        <f ca="1">VLOOKUP(E829,'IFRS only'!A:A,1,0)</f>
        <v>#N/A</v>
      </c>
      <c r="P829" s="89"/>
    </row>
    <row r="830" spans="1:16" s="29" customFormat="1">
      <c r="A830" s="17" t="s">
        <v>3</v>
      </c>
      <c r="B830" s="17">
        <v>6610000000</v>
      </c>
      <c r="C830" s="78" t="s">
        <v>4587</v>
      </c>
      <c r="D830" s="3" t="s">
        <v>532</v>
      </c>
      <c r="E830" s="17" t="s">
        <v>2935</v>
      </c>
      <c r="F830" s="17" t="s">
        <v>3535</v>
      </c>
      <c r="G830" s="17" t="s">
        <v>3440</v>
      </c>
      <c r="H830" s="17" t="s">
        <v>3536</v>
      </c>
      <c r="I830" s="17" t="s">
        <v>3545</v>
      </c>
      <c r="J830" s="17" t="s">
        <v>9</v>
      </c>
      <c r="K830" s="49" t="s">
        <v>1220</v>
      </c>
      <c r="L830" s="4" t="str">
        <f ca="1">IF(ISERROR(VLOOKUP(B830,'ETL Scope'!I:I,1,0)),"NA","ETL")</f>
        <v>ETL</v>
      </c>
      <c r="M830" s="29">
        <f ca="1">COUNTIF('Data-WK'!A:A,'V1'!B:B)</f>
        <v>1</v>
      </c>
      <c r="N830" s="29" t="e">
        <f ca="1">VLOOKUP(E830,'IFRS only'!A:A,1,0)</f>
        <v>#N/A</v>
      </c>
      <c r="P830" s="89"/>
    </row>
    <row r="831" spans="1:16" s="29" customFormat="1">
      <c r="A831" s="17" t="s">
        <v>3</v>
      </c>
      <c r="B831" s="17">
        <v>6610000100</v>
      </c>
      <c r="C831" s="78" t="s">
        <v>4587</v>
      </c>
      <c r="D831" s="3" t="s">
        <v>533</v>
      </c>
      <c r="E831" s="17" t="s">
        <v>2936</v>
      </c>
      <c r="F831" s="17" t="s">
        <v>3535</v>
      </c>
      <c r="G831" s="17" t="s">
        <v>3440</v>
      </c>
      <c r="H831" s="17" t="s">
        <v>3536</v>
      </c>
      <c r="I831" s="17" t="s">
        <v>3545</v>
      </c>
      <c r="J831" s="17" t="s">
        <v>9</v>
      </c>
      <c r="K831" s="49" t="s">
        <v>1221</v>
      </c>
      <c r="L831" s="4" t="str">
        <f ca="1">IF(ISERROR(VLOOKUP(B831,'ETL Scope'!I:I,1,0)),"NA","ETL")</f>
        <v>ETL</v>
      </c>
      <c r="M831" s="29">
        <f ca="1">COUNTIF('Data-WK'!A:A,'V1'!B:B)</f>
        <v>1</v>
      </c>
      <c r="N831" s="29" t="e">
        <f ca="1">VLOOKUP(E831,'IFRS only'!A:A,1,0)</f>
        <v>#N/A</v>
      </c>
      <c r="P831" s="89"/>
    </row>
    <row r="832" spans="1:16" s="29" customFormat="1">
      <c r="A832" s="17" t="s">
        <v>3</v>
      </c>
      <c r="B832" s="17">
        <v>6610100000</v>
      </c>
      <c r="C832" s="78" t="s">
        <v>4588</v>
      </c>
      <c r="D832" s="3" t="s">
        <v>535</v>
      </c>
      <c r="E832" s="17" t="s">
        <v>2938</v>
      </c>
      <c r="F832" s="17" t="s">
        <v>3535</v>
      </c>
      <c r="G832" s="17" t="s">
        <v>3440</v>
      </c>
      <c r="H832" s="17" t="s">
        <v>3536</v>
      </c>
      <c r="I832" s="17" t="s">
        <v>3545</v>
      </c>
      <c r="J832" s="17" t="s">
        <v>9</v>
      </c>
      <c r="K832" s="49" t="s">
        <v>1223</v>
      </c>
      <c r="L832" s="4" t="str">
        <f ca="1">IF(ISERROR(VLOOKUP(B832,'ETL Scope'!I:I,1,0)),"NA","ETL")</f>
        <v>ETL</v>
      </c>
      <c r="M832" s="29">
        <f ca="1">COUNTIF('Data-WK'!A:A,'V1'!B:B)</f>
        <v>1</v>
      </c>
      <c r="N832" s="29" t="e">
        <f ca="1">VLOOKUP(E832,'IFRS only'!A:A,1,0)</f>
        <v>#N/A</v>
      </c>
      <c r="P832" s="89"/>
    </row>
    <row r="833" spans="1:16" s="29" customFormat="1">
      <c r="A833" s="17" t="s">
        <v>3</v>
      </c>
      <c r="B833" s="17">
        <v>6610100100</v>
      </c>
      <c r="C833" s="78" t="s">
        <v>4588</v>
      </c>
      <c r="D833" s="3" t="s">
        <v>536</v>
      </c>
      <c r="E833" s="17" t="s">
        <v>2939</v>
      </c>
      <c r="F833" s="17" t="s">
        <v>3535</v>
      </c>
      <c r="G833" s="17" t="s">
        <v>3440</v>
      </c>
      <c r="H833" s="17" t="s">
        <v>3536</v>
      </c>
      <c r="I833" s="17" t="s">
        <v>3545</v>
      </c>
      <c r="J833" s="17" t="s">
        <v>9</v>
      </c>
      <c r="K833" s="49" t="s">
        <v>1224</v>
      </c>
      <c r="L833" s="4" t="str">
        <f ca="1">IF(ISERROR(VLOOKUP(B833,'ETL Scope'!I:I,1,0)),"NA","ETL")</f>
        <v>ETL</v>
      </c>
      <c r="M833" s="29">
        <f ca="1">COUNTIF('Data-WK'!A:A,'V1'!B:B)</f>
        <v>1</v>
      </c>
      <c r="N833" s="29" t="e">
        <f ca="1">VLOOKUP(E833,'IFRS only'!A:A,1,0)</f>
        <v>#N/A</v>
      </c>
      <c r="P833" s="89"/>
    </row>
    <row r="834" spans="1:16" s="29" customFormat="1">
      <c r="A834" s="17" t="s">
        <v>10</v>
      </c>
      <c r="B834" s="17">
        <v>6700000000</v>
      </c>
      <c r="C834" s="78" t="s">
        <v>3927</v>
      </c>
      <c r="D834" s="3" t="s">
        <v>3472</v>
      </c>
      <c r="E834" s="17" t="s">
        <v>3053</v>
      </c>
      <c r="F834" s="17" t="s">
        <v>9</v>
      </c>
      <c r="G834" s="17" t="s">
        <v>3440</v>
      </c>
      <c r="H834" s="17" t="s">
        <v>3536</v>
      </c>
      <c r="I834" s="17" t="s">
        <v>3545</v>
      </c>
      <c r="J834" s="17" t="s">
        <v>9</v>
      </c>
      <c r="K834" s="49" t="s">
        <v>1237</v>
      </c>
      <c r="L834" s="4" t="str">
        <f ca="1">IF(ISERROR(VLOOKUP(B834,'ETL Scope'!I:I,1,0)),"NA","ETL")</f>
        <v>ETL</v>
      </c>
      <c r="M834" s="29">
        <f ca="1">COUNTIF('Data-WK'!A:A,'V1'!B:B)</f>
        <v>1</v>
      </c>
      <c r="N834" s="29" t="str">
        <f ca="1">VLOOKUP(E834,'IFRS only'!A:A,1,0)</f>
        <v>5106050501</v>
      </c>
      <c r="P834" s="89"/>
    </row>
    <row r="835" spans="1:16" s="29" customFormat="1">
      <c r="A835" s="17" t="s">
        <v>10</v>
      </c>
      <c r="B835" s="17">
        <v>6700100000</v>
      </c>
      <c r="C835" s="78" t="s">
        <v>4589</v>
      </c>
      <c r="D835" s="3" t="s">
        <v>3473</v>
      </c>
      <c r="E835" s="17" t="s">
        <v>3054</v>
      </c>
      <c r="F835" s="17" t="s">
        <v>9</v>
      </c>
      <c r="G835" s="17" t="s">
        <v>3440</v>
      </c>
      <c r="H835" s="17" t="s">
        <v>3536</v>
      </c>
      <c r="I835" s="17" t="s">
        <v>3545</v>
      </c>
      <c r="J835" s="17" t="s">
        <v>9</v>
      </c>
      <c r="K835" s="49" t="s">
        <v>1238</v>
      </c>
      <c r="L835" s="4" t="str">
        <f ca="1">IF(ISERROR(VLOOKUP(B835,'ETL Scope'!I:I,1,0)),"NA","ETL")</f>
        <v>ETL</v>
      </c>
      <c r="M835" s="29">
        <f ca="1">COUNTIF('Data-WK'!A:A,'V1'!B:B)</f>
        <v>1</v>
      </c>
      <c r="N835" s="29" t="str">
        <f ca="1">VLOOKUP(E835,'IFRS only'!A:A,1,0)</f>
        <v>5106050502</v>
      </c>
      <c r="P835" s="89"/>
    </row>
    <row r="836" spans="1:16" s="29" customFormat="1">
      <c r="A836" s="17" t="s">
        <v>10</v>
      </c>
      <c r="B836" s="17">
        <v>6700200000</v>
      </c>
      <c r="C836" s="78" t="s">
        <v>4590</v>
      </c>
      <c r="D836" s="3" t="s">
        <v>3474</v>
      </c>
      <c r="E836" s="17" t="s">
        <v>3055</v>
      </c>
      <c r="F836" s="17" t="s">
        <v>9</v>
      </c>
      <c r="G836" s="17" t="s">
        <v>3440</v>
      </c>
      <c r="H836" s="17" t="s">
        <v>3536</v>
      </c>
      <c r="I836" s="17" t="s">
        <v>3545</v>
      </c>
      <c r="J836" s="17" t="s">
        <v>9</v>
      </c>
      <c r="K836" s="49" t="s">
        <v>1239</v>
      </c>
      <c r="L836" s="4" t="str">
        <f ca="1">IF(ISERROR(VLOOKUP(B836,'ETL Scope'!I:I,1,0)),"NA","ETL")</f>
        <v>ETL</v>
      </c>
      <c r="M836" s="29">
        <f ca="1">COUNTIF('Data-WK'!A:A,'V1'!B:B)</f>
        <v>1</v>
      </c>
      <c r="N836" s="29" t="str">
        <f ca="1">VLOOKUP(E836,'IFRS only'!A:A,1,0)</f>
        <v>5106050503</v>
      </c>
      <c r="P836" s="89"/>
    </row>
    <row r="837" spans="1:16" s="29" customFormat="1">
      <c r="A837" s="17" t="s">
        <v>10</v>
      </c>
      <c r="B837" s="17">
        <v>6700200010</v>
      </c>
      <c r="C837" s="78" t="s">
        <v>4590</v>
      </c>
      <c r="D837" s="3" t="s">
        <v>3475</v>
      </c>
      <c r="E837" s="17" t="s">
        <v>3057</v>
      </c>
      <c r="F837" s="17" t="s">
        <v>9</v>
      </c>
      <c r="G837" s="17" t="s">
        <v>3535</v>
      </c>
      <c r="H837" s="17" t="s">
        <v>3536</v>
      </c>
      <c r="I837" s="17" t="s">
        <v>3545</v>
      </c>
      <c r="J837" s="17" t="s">
        <v>9</v>
      </c>
      <c r="K837" s="49" t="s">
        <v>1239</v>
      </c>
      <c r="L837" s="4" t="str">
        <f ca="1">IF(ISERROR(VLOOKUP(B837,'ETL Scope'!I:I,1,0)),"NA","ETL")</f>
        <v>NA</v>
      </c>
      <c r="M837" s="29">
        <f ca="1">COUNTIF('Data-WK'!A:A,'V1'!B:B)</f>
        <v>1</v>
      </c>
      <c r="N837" s="29" t="str">
        <f ca="1">VLOOKUP(E837,'IFRS only'!A:A,1,0)</f>
        <v>5106050505</v>
      </c>
      <c r="P837" s="89"/>
    </row>
    <row r="838" spans="1:16" s="29" customFormat="1">
      <c r="A838" s="17" t="s">
        <v>10</v>
      </c>
      <c r="B838" s="17">
        <v>6700200020</v>
      </c>
      <c r="C838" s="78" t="s">
        <v>4590</v>
      </c>
      <c r="D838" s="3" t="s">
        <v>3476</v>
      </c>
      <c r="E838" s="17" t="s">
        <v>3058</v>
      </c>
      <c r="F838" s="17" t="s">
        <v>9</v>
      </c>
      <c r="G838" s="17" t="s">
        <v>3535</v>
      </c>
      <c r="H838" s="17" t="s">
        <v>3536</v>
      </c>
      <c r="I838" s="17" t="s">
        <v>3545</v>
      </c>
      <c r="J838" s="17" t="s">
        <v>9</v>
      </c>
      <c r="K838" s="49" t="s">
        <v>1239</v>
      </c>
      <c r="L838" s="4" t="str">
        <f ca="1">IF(ISERROR(VLOOKUP(B838,'ETL Scope'!I:I,1,0)),"NA","ETL")</f>
        <v>NA</v>
      </c>
      <c r="M838" s="29">
        <f ca="1">COUNTIF('Data-WK'!A:A,'V1'!B:B)</f>
        <v>1</v>
      </c>
      <c r="N838" s="29" t="str">
        <f ca="1">VLOOKUP(E838,'IFRS only'!A:A,1,0)</f>
        <v>5106050506</v>
      </c>
      <c r="P838" s="89"/>
    </row>
    <row r="839" spans="1:16" s="29" customFormat="1">
      <c r="A839" s="17" t="s">
        <v>10</v>
      </c>
      <c r="B839" s="17">
        <v>6700400000</v>
      </c>
      <c r="C839" s="78" t="s">
        <v>4591</v>
      </c>
      <c r="D839" s="3" t="s">
        <v>3477</v>
      </c>
      <c r="E839" s="17" t="s">
        <v>3059</v>
      </c>
      <c r="F839" s="17" t="s">
        <v>9</v>
      </c>
      <c r="G839" s="17" t="s">
        <v>3440</v>
      </c>
      <c r="H839" s="17" t="s">
        <v>3536</v>
      </c>
      <c r="I839" s="17" t="s">
        <v>3545</v>
      </c>
      <c r="J839" s="17" t="s">
        <v>9</v>
      </c>
      <c r="K839" s="49" t="s">
        <v>1241</v>
      </c>
      <c r="L839" s="4" t="str">
        <f ca="1">IF(ISERROR(VLOOKUP(B839,'ETL Scope'!I:I,1,0)),"NA","ETL")</f>
        <v>ETL</v>
      </c>
      <c r="M839" s="29">
        <f ca="1">COUNTIF('Data-WK'!A:A,'V1'!B:B)</f>
        <v>1</v>
      </c>
      <c r="N839" s="29" t="str">
        <f ca="1">VLOOKUP(E839,'IFRS only'!A:A,1,0)</f>
        <v>5106050507</v>
      </c>
      <c r="P839" s="89"/>
    </row>
    <row r="840" spans="1:16" s="29" customFormat="1">
      <c r="A840" s="17" t="s">
        <v>10</v>
      </c>
      <c r="B840" s="17">
        <v>6700500000</v>
      </c>
      <c r="C840" s="78" t="s">
        <v>4592</v>
      </c>
      <c r="D840" s="3" t="s">
        <v>3478</v>
      </c>
      <c r="E840" s="17" t="s">
        <v>3060</v>
      </c>
      <c r="F840" s="17" t="s">
        <v>9</v>
      </c>
      <c r="G840" s="17" t="s">
        <v>3440</v>
      </c>
      <c r="H840" s="17" t="s">
        <v>3536</v>
      </c>
      <c r="I840" s="17" t="s">
        <v>3545</v>
      </c>
      <c r="J840" s="17" t="s">
        <v>9</v>
      </c>
      <c r="K840" s="49" t="s">
        <v>1242</v>
      </c>
      <c r="L840" s="4" t="str">
        <f ca="1">IF(ISERROR(VLOOKUP(B840,'ETL Scope'!I:I,1,0)),"NA","ETL")</f>
        <v>ETL</v>
      </c>
      <c r="M840" s="29">
        <f ca="1">COUNTIF('Data-WK'!A:A,'V1'!B:B)</f>
        <v>1</v>
      </c>
      <c r="N840" s="29" t="str">
        <f ca="1">VLOOKUP(E840,'IFRS only'!A:A,1,0)</f>
        <v>5106050508</v>
      </c>
      <c r="P840" s="89"/>
    </row>
    <row r="841" spans="1:16" s="29" customFormat="1">
      <c r="A841" s="17" t="s">
        <v>10</v>
      </c>
      <c r="B841" s="17">
        <v>6700600000</v>
      </c>
      <c r="C841" s="78" t="s">
        <v>4593</v>
      </c>
      <c r="D841" s="3" t="s">
        <v>3479</v>
      </c>
      <c r="E841" s="17" t="s">
        <v>3061</v>
      </c>
      <c r="F841" s="17" t="s">
        <v>9</v>
      </c>
      <c r="G841" s="17" t="s">
        <v>3440</v>
      </c>
      <c r="H841" s="17" t="s">
        <v>3536</v>
      </c>
      <c r="I841" s="17" t="s">
        <v>3545</v>
      </c>
      <c r="J841" s="17" t="s">
        <v>9</v>
      </c>
      <c r="K841" s="49" t="s">
        <v>1243</v>
      </c>
      <c r="L841" s="4" t="str">
        <f ca="1">IF(ISERROR(VLOOKUP(B841,'ETL Scope'!I:I,1,0)),"NA","ETL")</f>
        <v>ETL</v>
      </c>
      <c r="M841" s="29">
        <f ca="1">COUNTIF('Data-WK'!A:A,'V1'!B:B)</f>
        <v>1</v>
      </c>
      <c r="N841" s="29" t="str">
        <f ca="1">VLOOKUP(E841,'IFRS only'!A:A,1,0)</f>
        <v>5106050509</v>
      </c>
      <c r="P841" s="89"/>
    </row>
    <row r="842" spans="1:16" s="29" customFormat="1">
      <c r="A842" s="17" t="s">
        <v>10</v>
      </c>
      <c r="B842" s="17">
        <v>6700700000</v>
      </c>
      <c r="C842" s="78" t="s">
        <v>4594</v>
      </c>
      <c r="D842" s="3" t="s">
        <v>3480</v>
      </c>
      <c r="E842" s="17" t="s">
        <v>3062</v>
      </c>
      <c r="F842" s="17" t="s">
        <v>9</v>
      </c>
      <c r="G842" s="17" t="s">
        <v>3440</v>
      </c>
      <c r="H842" s="17" t="s">
        <v>3536</v>
      </c>
      <c r="I842" s="17" t="s">
        <v>3545</v>
      </c>
      <c r="J842" s="17" t="s">
        <v>9</v>
      </c>
      <c r="K842" s="49" t="s">
        <v>1244</v>
      </c>
      <c r="L842" s="26" t="str">
        <f ca="1">IF(ISERROR(VLOOKUP(B842,'ETL Scope'!I:I,1,0)),"NA","ETL")</f>
        <v>ETL</v>
      </c>
      <c r="M842" s="44">
        <f ca="1">COUNTIF('Data-WK'!A:A,'V1'!B:B)</f>
        <v>1</v>
      </c>
      <c r="N842" s="44" t="str">
        <f ca="1">VLOOKUP(E842,'IFRS only'!A:A,1,0)</f>
        <v>5106050510</v>
      </c>
      <c r="O842" s="11"/>
      <c r="P842" s="89"/>
    </row>
    <row r="843" spans="1:16" s="29" customFormat="1">
      <c r="A843" s="17" t="s">
        <v>10</v>
      </c>
      <c r="B843" s="17">
        <v>6900000030</v>
      </c>
      <c r="C843" s="78" t="s">
        <v>3937</v>
      </c>
      <c r="D843" s="3" t="s">
        <v>547</v>
      </c>
      <c r="E843" s="17" t="s">
        <v>2950</v>
      </c>
      <c r="F843" s="17" t="s">
        <v>3535</v>
      </c>
      <c r="G843" s="17" t="s">
        <v>3535</v>
      </c>
      <c r="H843" s="17" t="s">
        <v>3536</v>
      </c>
      <c r="I843" s="17" t="s">
        <v>3545</v>
      </c>
      <c r="J843" s="17" t="s">
        <v>9</v>
      </c>
      <c r="K843" s="49" t="s">
        <v>5536</v>
      </c>
      <c r="L843" s="4" t="str">
        <f ca="1">IF(ISERROR(VLOOKUP(B843,'ETL Scope'!I:I,1,0)),"NA","ETL")</f>
        <v>NA</v>
      </c>
      <c r="M843" s="29">
        <f ca="1">COUNTIF('Data-WK'!A:A,'V1'!B:B)</f>
        <v>1</v>
      </c>
      <c r="N843" s="29" t="e">
        <f ca="1">VLOOKUP(E843,'IFRS only'!A:A,1,0)</f>
        <v>#N/A</v>
      </c>
      <c r="P843" s="89"/>
    </row>
    <row r="844" spans="1:16" s="29" customFormat="1">
      <c r="A844" s="17" t="s">
        <v>10</v>
      </c>
      <c r="B844" s="17">
        <v>6900000110</v>
      </c>
      <c r="C844" s="78" t="s">
        <v>3937</v>
      </c>
      <c r="D844" s="3" t="s">
        <v>610</v>
      </c>
      <c r="E844" s="17" t="s">
        <v>3034</v>
      </c>
      <c r="F844" s="17" t="s">
        <v>3535</v>
      </c>
      <c r="G844" s="17" t="s">
        <v>3535</v>
      </c>
      <c r="H844" s="17" t="s">
        <v>3536</v>
      </c>
      <c r="I844" s="17" t="s">
        <v>3545</v>
      </c>
      <c r="J844" s="17" t="s">
        <v>9</v>
      </c>
      <c r="K844" s="49" t="s">
        <v>5536</v>
      </c>
      <c r="L844" s="4" t="str">
        <f ca="1">IF(ISERROR(VLOOKUP(B844,'ETL Scope'!I:I,1,0)),"NA","ETL")</f>
        <v>NA</v>
      </c>
      <c r="M844" s="29">
        <f ca="1">COUNTIF('Data-WK'!A:A,'V1'!B:B)</f>
        <v>1</v>
      </c>
      <c r="N844" s="29" t="e">
        <f ca="1">VLOOKUP(E844,'IFRS only'!A:A,1,0)</f>
        <v>#N/A</v>
      </c>
      <c r="P844" s="89"/>
    </row>
    <row r="845" spans="1:16" s="29" customFormat="1">
      <c r="A845" s="17" t="s">
        <v>10</v>
      </c>
      <c r="B845" s="17">
        <v>6900000400</v>
      </c>
      <c r="C845" s="78" t="s">
        <v>3937</v>
      </c>
      <c r="D845" s="3" t="s">
        <v>545</v>
      </c>
      <c r="E845" s="17" t="s">
        <v>2948</v>
      </c>
      <c r="F845" s="17" t="s">
        <v>3535</v>
      </c>
      <c r="G845" s="17" t="s">
        <v>3535</v>
      </c>
      <c r="H845" s="17" t="s">
        <v>3536</v>
      </c>
      <c r="I845" s="17" t="s">
        <v>3545</v>
      </c>
      <c r="J845" s="17" t="s">
        <v>9</v>
      </c>
      <c r="K845" s="49" t="s">
        <v>5536</v>
      </c>
      <c r="L845" s="4" t="str">
        <f ca="1">IF(ISERROR(VLOOKUP(B845,'ETL Scope'!I:I,1,0)),"NA","ETL")</f>
        <v>NA</v>
      </c>
      <c r="M845" s="29">
        <f ca="1">COUNTIF('Data-WK'!A:A,'V1'!B:B)</f>
        <v>1</v>
      </c>
      <c r="N845" s="29" t="e">
        <f ca="1">VLOOKUP(E845,'IFRS only'!A:A,1,0)</f>
        <v>#N/A</v>
      </c>
      <c r="P845" s="89"/>
    </row>
    <row r="846" spans="1:16" s="29" customFormat="1">
      <c r="A846" s="17" t="s">
        <v>10</v>
      </c>
      <c r="B846" s="17">
        <v>6900000730</v>
      </c>
      <c r="C846" s="78" t="s">
        <v>3937</v>
      </c>
      <c r="D846" s="3" t="s">
        <v>3465</v>
      </c>
      <c r="E846" s="17" t="s">
        <v>2942</v>
      </c>
      <c r="F846" s="17" t="s">
        <v>3535</v>
      </c>
      <c r="G846" s="17" t="s">
        <v>3535</v>
      </c>
      <c r="H846" s="17" t="s">
        <v>3536</v>
      </c>
      <c r="I846" s="17" t="s">
        <v>3545</v>
      </c>
      <c r="J846" s="17" t="s">
        <v>9</v>
      </c>
      <c r="K846" s="49" t="s">
        <v>5536</v>
      </c>
      <c r="L846" s="4" t="str">
        <f ca="1">IF(ISERROR(VLOOKUP(B846,'ETL Scope'!I:I,1,0)),"NA","ETL")</f>
        <v>NA</v>
      </c>
      <c r="M846" s="29">
        <f ca="1">COUNTIF('Data-WK'!A:A,'V1'!B:B)</f>
        <v>1</v>
      </c>
      <c r="N846" s="29" t="e">
        <f ca="1">VLOOKUP(E846,'IFRS only'!A:A,1,0)</f>
        <v>#N/A</v>
      </c>
      <c r="P846" s="89"/>
    </row>
    <row r="847" spans="1:16" s="29" customFormat="1">
      <c r="A847" s="17" t="s">
        <v>10</v>
      </c>
      <c r="B847" s="17">
        <v>6900000731</v>
      </c>
      <c r="C847" s="78" t="s">
        <v>3937</v>
      </c>
      <c r="D847" s="3" t="s">
        <v>3466</v>
      </c>
      <c r="E847" s="17" t="s">
        <v>2944</v>
      </c>
      <c r="F847" s="17" t="s">
        <v>3535</v>
      </c>
      <c r="G847" s="17" t="s">
        <v>3535</v>
      </c>
      <c r="H847" s="17" t="s">
        <v>3536</v>
      </c>
      <c r="I847" s="17" t="s">
        <v>3545</v>
      </c>
      <c r="J847" s="17" t="s">
        <v>9</v>
      </c>
      <c r="K847" s="49" t="s">
        <v>5536</v>
      </c>
      <c r="L847" s="4" t="str">
        <f ca="1">IF(ISERROR(VLOOKUP(B847,'ETL Scope'!I:I,1,0)),"NA","ETL")</f>
        <v>NA</v>
      </c>
      <c r="M847" s="29">
        <f ca="1">COUNTIF('Data-WK'!A:A,'V1'!B:B)</f>
        <v>1</v>
      </c>
      <c r="N847" s="29" t="e">
        <f ca="1">VLOOKUP(E847,'IFRS only'!A:A,1,0)</f>
        <v>#N/A</v>
      </c>
      <c r="P847" s="89"/>
    </row>
    <row r="848" spans="1:16" s="29" customFormat="1">
      <c r="A848" s="17" t="s">
        <v>10</v>
      </c>
      <c r="B848" s="17">
        <v>6900000732</v>
      </c>
      <c r="C848" s="78" t="s">
        <v>3937</v>
      </c>
      <c r="D848" s="3" t="s">
        <v>542</v>
      </c>
      <c r="E848" s="17" t="s">
        <v>2945</v>
      </c>
      <c r="F848" s="17" t="s">
        <v>3535</v>
      </c>
      <c r="G848" s="17" t="s">
        <v>3535</v>
      </c>
      <c r="H848" s="17" t="s">
        <v>3536</v>
      </c>
      <c r="I848" s="17" t="s">
        <v>3545</v>
      </c>
      <c r="J848" s="17" t="s">
        <v>9</v>
      </c>
      <c r="K848" s="49" t="s">
        <v>5536</v>
      </c>
      <c r="L848" s="4" t="str">
        <f ca="1">IF(ISERROR(VLOOKUP(B848,'ETL Scope'!I:I,1,0)),"NA","ETL")</f>
        <v>NA</v>
      </c>
      <c r="M848" s="29">
        <f ca="1">COUNTIF('Data-WK'!A:A,'V1'!B:B)</f>
        <v>1</v>
      </c>
      <c r="N848" s="29" t="e">
        <f ca="1">VLOOKUP(E848,'IFRS only'!A:A,1,0)</f>
        <v>#N/A</v>
      </c>
      <c r="P848" s="89"/>
    </row>
    <row r="849" spans="1:16" s="29" customFormat="1">
      <c r="A849" s="17" t="s">
        <v>10</v>
      </c>
      <c r="B849" s="17">
        <v>6900000733</v>
      </c>
      <c r="C849" s="78" t="s">
        <v>3937</v>
      </c>
      <c r="D849" s="3" t="s">
        <v>548</v>
      </c>
      <c r="E849" s="17" t="s">
        <v>2952</v>
      </c>
      <c r="F849" s="17" t="s">
        <v>3535</v>
      </c>
      <c r="G849" s="17" t="s">
        <v>3535</v>
      </c>
      <c r="H849" s="17" t="s">
        <v>3536</v>
      </c>
      <c r="I849" s="17" t="s">
        <v>3545</v>
      </c>
      <c r="J849" s="17" t="s">
        <v>9</v>
      </c>
      <c r="K849" s="49" t="s">
        <v>5536</v>
      </c>
      <c r="L849" s="4" t="str">
        <f ca="1">IF(ISERROR(VLOOKUP(B849,'ETL Scope'!I:I,1,0)),"NA","ETL")</f>
        <v>NA</v>
      </c>
      <c r="M849" s="29">
        <f ca="1">COUNTIF('Data-WK'!A:A,'V1'!B:B)</f>
        <v>1</v>
      </c>
      <c r="N849" s="29" t="e">
        <f ca="1">VLOOKUP(E849,'IFRS only'!A:A,1,0)</f>
        <v>#N/A</v>
      </c>
      <c r="P849" s="89"/>
    </row>
    <row r="850" spans="1:16" s="29" customFormat="1">
      <c r="A850" s="17" t="s">
        <v>10</v>
      </c>
      <c r="B850" s="17">
        <v>6900000734</v>
      </c>
      <c r="C850" s="78" t="s">
        <v>3937</v>
      </c>
      <c r="D850" s="3" t="s">
        <v>3467</v>
      </c>
      <c r="E850" s="17" t="s">
        <v>2953</v>
      </c>
      <c r="F850" s="17" t="s">
        <v>3535</v>
      </c>
      <c r="G850" s="17" t="s">
        <v>3535</v>
      </c>
      <c r="H850" s="17" t="s">
        <v>3536</v>
      </c>
      <c r="I850" s="17" t="s">
        <v>3545</v>
      </c>
      <c r="J850" s="17" t="s">
        <v>9</v>
      </c>
      <c r="K850" s="49" t="s">
        <v>5536</v>
      </c>
      <c r="L850" s="4" t="str">
        <f ca="1">IF(ISERROR(VLOOKUP(B850,'ETL Scope'!I:I,1,0)),"NA","ETL")</f>
        <v>NA</v>
      </c>
      <c r="M850" s="29">
        <f ca="1">COUNTIF('Data-WK'!A:A,'V1'!B:B)</f>
        <v>1</v>
      </c>
      <c r="N850" s="29" t="e">
        <f ca="1">VLOOKUP(E850,'IFRS only'!A:A,1,0)</f>
        <v>#N/A</v>
      </c>
      <c r="P850" s="89"/>
    </row>
    <row r="851" spans="1:16" s="29" customFormat="1">
      <c r="A851" s="17" t="s">
        <v>10</v>
      </c>
      <c r="B851" s="17">
        <v>6900000735</v>
      </c>
      <c r="C851" s="78" t="s">
        <v>3937</v>
      </c>
      <c r="D851" s="3" t="s">
        <v>3468</v>
      </c>
      <c r="E851" s="17" t="s">
        <v>2954</v>
      </c>
      <c r="F851" s="17" t="s">
        <v>3535</v>
      </c>
      <c r="G851" s="17" t="s">
        <v>3535</v>
      </c>
      <c r="H851" s="17" t="s">
        <v>3536</v>
      </c>
      <c r="I851" s="17" t="s">
        <v>3545</v>
      </c>
      <c r="J851" s="17" t="s">
        <v>9</v>
      </c>
      <c r="K851" s="49" t="s">
        <v>5536</v>
      </c>
      <c r="L851" s="4" t="str">
        <f ca="1">IF(ISERROR(VLOOKUP(B851,'ETL Scope'!I:I,1,0)),"NA","ETL")</f>
        <v>NA</v>
      </c>
      <c r="M851" s="29">
        <f ca="1">COUNTIF('Data-WK'!A:A,'V1'!B:B)</f>
        <v>1</v>
      </c>
      <c r="N851" s="29" t="e">
        <f ca="1">VLOOKUP(E851,'IFRS only'!A:A,1,0)</f>
        <v>#N/A</v>
      </c>
      <c r="P851" s="89"/>
    </row>
    <row r="852" spans="1:16" s="29" customFormat="1">
      <c r="A852" s="17" t="s">
        <v>10</v>
      </c>
      <c r="B852" s="17">
        <v>6900000736</v>
      </c>
      <c r="C852" s="78" t="s">
        <v>3937</v>
      </c>
      <c r="D852" s="3" t="s">
        <v>4886</v>
      </c>
      <c r="E852" s="17" t="s">
        <v>3037</v>
      </c>
      <c r="F852" s="17" t="s">
        <v>3535</v>
      </c>
      <c r="G852" s="17" t="s">
        <v>3535</v>
      </c>
      <c r="H852" s="17" t="s">
        <v>3536</v>
      </c>
      <c r="I852" s="17" t="s">
        <v>3545</v>
      </c>
      <c r="J852" s="17" t="s">
        <v>9</v>
      </c>
      <c r="K852" s="49" t="s">
        <v>5536</v>
      </c>
      <c r="L852" s="4" t="str">
        <f ca="1">IF(ISERROR(VLOOKUP(B852,'ETL Scope'!I:I,1,0)),"NA","ETL")</f>
        <v>NA</v>
      </c>
      <c r="M852" s="29">
        <f ca="1">COUNTIF('Data-WK'!A:A,'V1'!B:B)</f>
        <v>1</v>
      </c>
      <c r="N852" s="29" t="e">
        <f ca="1">VLOOKUP(E852,'IFRS only'!A:A,1,0)</f>
        <v>#N/A</v>
      </c>
      <c r="P852" s="89"/>
    </row>
    <row r="853" spans="1:16" s="29" customFormat="1">
      <c r="A853" s="17" t="s">
        <v>10</v>
      </c>
      <c r="B853" s="17">
        <v>6900000737</v>
      </c>
      <c r="C853" s="78" t="s">
        <v>3937</v>
      </c>
      <c r="D853" s="3" t="s">
        <v>4887</v>
      </c>
      <c r="E853" s="17" t="s">
        <v>3038</v>
      </c>
      <c r="F853" s="17" t="s">
        <v>3535</v>
      </c>
      <c r="G853" s="17" t="s">
        <v>3535</v>
      </c>
      <c r="H853" s="17" t="s">
        <v>3536</v>
      </c>
      <c r="I853" s="17" t="s">
        <v>3545</v>
      </c>
      <c r="J853" s="17" t="s">
        <v>9</v>
      </c>
      <c r="K853" s="49" t="s">
        <v>5536</v>
      </c>
      <c r="L853" s="4" t="str">
        <f ca="1">IF(ISERROR(VLOOKUP(B853,'ETL Scope'!I:I,1,0)),"NA","ETL")</f>
        <v>NA</v>
      </c>
      <c r="M853" s="29">
        <f ca="1">COUNTIF('Data-WK'!A:A,'V1'!B:B)</f>
        <v>1</v>
      </c>
      <c r="N853" s="29" t="e">
        <f ca="1">VLOOKUP(E853,'IFRS only'!A:A,1,0)</f>
        <v>#N/A</v>
      </c>
      <c r="P853" s="89"/>
    </row>
    <row r="854" spans="1:16" s="29" customFormat="1">
      <c r="A854" s="17" t="s">
        <v>10</v>
      </c>
      <c r="B854" s="17">
        <v>6900000738</v>
      </c>
      <c r="C854" s="78" t="s">
        <v>3937</v>
      </c>
      <c r="D854" s="3" t="s">
        <v>4888</v>
      </c>
      <c r="E854" s="17" t="s">
        <v>3039</v>
      </c>
      <c r="F854" s="17" t="s">
        <v>3535</v>
      </c>
      <c r="G854" s="17" t="s">
        <v>3535</v>
      </c>
      <c r="H854" s="17" t="s">
        <v>3536</v>
      </c>
      <c r="I854" s="17" t="s">
        <v>3545</v>
      </c>
      <c r="J854" s="17" t="s">
        <v>9</v>
      </c>
      <c r="K854" s="49" t="s">
        <v>5536</v>
      </c>
      <c r="L854" s="4" t="str">
        <f ca="1">IF(ISERROR(VLOOKUP(B854,'ETL Scope'!I:I,1,0)),"NA","ETL")</f>
        <v>NA</v>
      </c>
      <c r="M854" s="29">
        <f ca="1">COUNTIF('Data-WK'!A:A,'V1'!B:B)</f>
        <v>1</v>
      </c>
      <c r="N854" s="29" t="e">
        <f ca="1">VLOOKUP(E854,'IFRS only'!A:A,1,0)</f>
        <v>#N/A</v>
      </c>
      <c r="P854" s="89"/>
    </row>
    <row r="855" spans="1:16" s="29" customFormat="1">
      <c r="A855" s="17" t="s">
        <v>10</v>
      </c>
      <c r="B855" s="17">
        <v>6900000739</v>
      </c>
      <c r="C855" s="78" t="s">
        <v>3937</v>
      </c>
      <c r="D855" s="3" t="s">
        <v>4889</v>
      </c>
      <c r="E855" s="17" t="s">
        <v>3040</v>
      </c>
      <c r="F855" s="17" t="s">
        <v>3535</v>
      </c>
      <c r="G855" s="17" t="s">
        <v>3535</v>
      </c>
      <c r="H855" s="17" t="s">
        <v>3536</v>
      </c>
      <c r="I855" s="17" t="s">
        <v>3545</v>
      </c>
      <c r="J855" s="17" t="s">
        <v>9</v>
      </c>
      <c r="K855" s="49" t="s">
        <v>5536</v>
      </c>
      <c r="L855" s="4" t="str">
        <f ca="1">IF(ISERROR(VLOOKUP(B855,'ETL Scope'!I:I,1,0)),"NA","ETL")</f>
        <v>NA</v>
      </c>
      <c r="M855" s="29">
        <f ca="1">COUNTIF('Data-WK'!A:A,'V1'!B:B)</f>
        <v>1</v>
      </c>
      <c r="N855" s="29" t="e">
        <f ca="1">VLOOKUP(E855,'IFRS only'!A:A,1,0)</f>
        <v>#N/A</v>
      </c>
      <c r="P855" s="89"/>
    </row>
    <row r="856" spans="1:16" s="29" customFormat="1">
      <c r="A856" s="17" t="s">
        <v>10</v>
      </c>
      <c r="B856" s="17">
        <v>6900000740</v>
      </c>
      <c r="C856" s="78" t="s">
        <v>3937</v>
      </c>
      <c r="D856" s="3" t="s">
        <v>4890</v>
      </c>
      <c r="E856" s="17" t="s">
        <v>3041</v>
      </c>
      <c r="F856" s="17" t="s">
        <v>3535</v>
      </c>
      <c r="G856" s="17" t="s">
        <v>3535</v>
      </c>
      <c r="H856" s="17" t="s">
        <v>3536</v>
      </c>
      <c r="I856" s="17" t="s">
        <v>3545</v>
      </c>
      <c r="J856" s="17" t="s">
        <v>9</v>
      </c>
      <c r="K856" s="49" t="s">
        <v>5536</v>
      </c>
      <c r="L856" s="4" t="str">
        <f ca="1">IF(ISERROR(VLOOKUP(B856,'ETL Scope'!I:I,1,0)),"NA","ETL")</f>
        <v>NA</v>
      </c>
      <c r="M856" s="29">
        <f ca="1">COUNTIF('Data-WK'!A:A,'V1'!B:B)</f>
        <v>1</v>
      </c>
      <c r="N856" s="29" t="e">
        <f ca="1">VLOOKUP(E856,'IFRS only'!A:A,1,0)</f>
        <v>#N/A</v>
      </c>
      <c r="P856" s="89"/>
    </row>
    <row r="857" spans="1:16" s="29" customFormat="1">
      <c r="A857" s="17" t="s">
        <v>10</v>
      </c>
      <c r="B857" s="17">
        <v>6900100120</v>
      </c>
      <c r="C857" s="78" t="s">
        <v>4595</v>
      </c>
      <c r="D857" s="3" t="s">
        <v>546</v>
      </c>
      <c r="E857" s="17" t="s">
        <v>2949</v>
      </c>
      <c r="F857" s="17" t="s">
        <v>3535</v>
      </c>
      <c r="G857" s="17" t="s">
        <v>3535</v>
      </c>
      <c r="H857" s="17" t="s">
        <v>3536</v>
      </c>
      <c r="I857" s="17" t="s">
        <v>3545</v>
      </c>
      <c r="J857" s="17" t="s">
        <v>9</v>
      </c>
      <c r="K857" s="49" t="s">
        <v>1228</v>
      </c>
      <c r="L857" s="25" t="str">
        <f ca="1">IF(ISERROR(VLOOKUP(B857,'ETL Scope'!I:I,1,0)),"NA","ETL")</f>
        <v>NA</v>
      </c>
      <c r="M857" s="44">
        <f ca="1">COUNTIF('Data-WK'!A:A,'V1'!B:B)</f>
        <v>1</v>
      </c>
      <c r="N857" s="44" t="e">
        <f ca="1">VLOOKUP(E857,'IFRS only'!A:A,1,0)</f>
        <v>#N/A</v>
      </c>
      <c r="O857" s="48"/>
      <c r="P857" s="89"/>
    </row>
    <row r="858" spans="1:16" s="29" customFormat="1">
      <c r="A858" s="17" t="s">
        <v>10</v>
      </c>
      <c r="B858" s="17">
        <v>6900100360</v>
      </c>
      <c r="C858" s="78" t="s">
        <v>4595</v>
      </c>
      <c r="D858" s="3" t="s">
        <v>540</v>
      </c>
      <c r="E858" s="17" t="s">
        <v>2943</v>
      </c>
      <c r="F858" s="17" t="s">
        <v>3535</v>
      </c>
      <c r="G858" s="17" t="s">
        <v>3535</v>
      </c>
      <c r="H858" s="17" t="s">
        <v>3536</v>
      </c>
      <c r="I858" s="17" t="s">
        <v>3545</v>
      </c>
      <c r="J858" s="17" t="s">
        <v>9</v>
      </c>
      <c r="K858" s="49" t="s">
        <v>5537</v>
      </c>
      <c r="L858" s="4" t="str">
        <f ca="1">IF(ISERROR(VLOOKUP(B858,'ETL Scope'!I:I,1,0)),"NA","ETL")</f>
        <v>NA</v>
      </c>
      <c r="M858" s="29">
        <f ca="1">COUNTIF('Data-WK'!A:A,'V1'!B:B)</f>
        <v>1</v>
      </c>
      <c r="N858" s="29" t="e">
        <f ca="1">VLOOKUP(E858,'IFRS only'!A:A,1,0)</f>
        <v>#N/A</v>
      </c>
      <c r="P858" s="89"/>
    </row>
    <row r="859" spans="1:16" s="29" customFormat="1">
      <c r="A859" s="17" t="s">
        <v>10</v>
      </c>
      <c r="B859" s="17">
        <v>6900100361</v>
      </c>
      <c r="C859" s="78" t="s">
        <v>4595</v>
      </c>
      <c r="D859" s="3" t="s">
        <v>543</v>
      </c>
      <c r="E859" s="17" t="s">
        <v>2946</v>
      </c>
      <c r="F859" s="17" t="s">
        <v>3535</v>
      </c>
      <c r="G859" s="17" t="s">
        <v>3535</v>
      </c>
      <c r="H859" s="17" t="s">
        <v>3536</v>
      </c>
      <c r="I859" s="17" t="s">
        <v>3545</v>
      </c>
      <c r="J859" s="17" t="s">
        <v>9</v>
      </c>
      <c r="K859" s="49" t="s">
        <v>5537</v>
      </c>
      <c r="L859" s="4" t="str">
        <f ca="1">IF(ISERROR(VLOOKUP(B859,'ETL Scope'!I:I,1,0)),"NA","ETL")</f>
        <v>NA</v>
      </c>
      <c r="M859" s="29">
        <f ca="1">COUNTIF('Data-WK'!A:A,'V1'!B:B)</f>
        <v>1</v>
      </c>
      <c r="N859" s="29" t="e">
        <f ca="1">VLOOKUP(E859,'IFRS only'!A:A,1,0)</f>
        <v>#N/A</v>
      </c>
      <c r="P859" s="89"/>
    </row>
    <row r="860" spans="1:16" s="29" customFormat="1">
      <c r="A860" s="17" t="s">
        <v>10</v>
      </c>
      <c r="B860" s="17">
        <v>6900200000</v>
      </c>
      <c r="C860" s="78" t="s">
        <v>4596</v>
      </c>
      <c r="D860" s="3" t="s">
        <v>553</v>
      </c>
      <c r="E860" s="17" t="s">
        <v>2957</v>
      </c>
      <c r="F860" s="17" t="s">
        <v>3535</v>
      </c>
      <c r="G860" s="17" t="s">
        <v>3535</v>
      </c>
      <c r="H860" s="17" t="s">
        <v>3536</v>
      </c>
      <c r="I860" s="17" t="s">
        <v>3545</v>
      </c>
      <c r="J860" s="17" t="s">
        <v>9</v>
      </c>
      <c r="K860" s="49" t="s">
        <v>5538</v>
      </c>
      <c r="L860" s="4" t="str">
        <f ca="1">IF(ISERROR(VLOOKUP(B860,'ETL Scope'!I:I,1,0)),"NA","ETL")</f>
        <v>NA</v>
      </c>
      <c r="M860" s="29">
        <f ca="1">COUNTIF('Data-WK'!A:A,'V1'!B:B)</f>
        <v>1</v>
      </c>
      <c r="N860" s="29" t="e">
        <f ca="1">VLOOKUP(E860,'IFRS only'!A:A,1,0)</f>
        <v>#N/A</v>
      </c>
      <c r="P860" s="89"/>
    </row>
    <row r="861" spans="1:16" s="29" customFormat="1">
      <c r="A861" s="17" t="s">
        <v>10</v>
      </c>
      <c r="B861" s="17">
        <v>6900200001</v>
      </c>
      <c r="C861" s="78" t="s">
        <v>4596</v>
      </c>
      <c r="D861" s="3" t="s">
        <v>554</v>
      </c>
      <c r="E861" s="17" t="s">
        <v>2958</v>
      </c>
      <c r="F861" s="17" t="s">
        <v>3535</v>
      </c>
      <c r="G861" s="17" t="s">
        <v>3535</v>
      </c>
      <c r="H861" s="17" t="s">
        <v>3536</v>
      </c>
      <c r="I861" s="17" t="s">
        <v>3545</v>
      </c>
      <c r="J861" s="17" t="s">
        <v>9</v>
      </c>
      <c r="K861" s="49" t="s">
        <v>5538</v>
      </c>
      <c r="L861" s="4" t="str">
        <f ca="1">IF(ISERROR(VLOOKUP(B861,'ETL Scope'!I:I,1,0)),"NA","ETL")</f>
        <v>NA</v>
      </c>
      <c r="M861" s="29">
        <f ca="1">COUNTIF('Data-WK'!A:A,'V1'!B:B)</f>
        <v>1</v>
      </c>
      <c r="N861" s="29" t="e">
        <f ca="1">VLOOKUP(E861,'IFRS only'!A:A,1,0)</f>
        <v>#N/A</v>
      </c>
      <c r="P861" s="89"/>
    </row>
    <row r="862" spans="1:16" s="29" customFormat="1">
      <c r="A862" s="17" t="s">
        <v>10</v>
      </c>
      <c r="B862" s="17">
        <v>6900200002</v>
      </c>
      <c r="C862" s="78" t="s">
        <v>4596</v>
      </c>
      <c r="D862" s="3" t="s">
        <v>555</v>
      </c>
      <c r="E862" s="17" t="s">
        <v>2959</v>
      </c>
      <c r="F862" s="17" t="s">
        <v>3535</v>
      </c>
      <c r="G862" s="17" t="s">
        <v>3535</v>
      </c>
      <c r="H862" s="17" t="s">
        <v>3536</v>
      </c>
      <c r="I862" s="17" t="s">
        <v>3545</v>
      </c>
      <c r="J862" s="17" t="s">
        <v>9</v>
      </c>
      <c r="K862" s="49" t="s">
        <v>5538</v>
      </c>
      <c r="L862" s="4" t="str">
        <f ca="1">IF(ISERROR(VLOOKUP(B862,'ETL Scope'!I:I,1,0)),"NA","ETL")</f>
        <v>NA</v>
      </c>
      <c r="M862" s="29">
        <f ca="1">COUNTIF('Data-WK'!A:A,'V1'!B:B)</f>
        <v>1</v>
      </c>
      <c r="N862" s="29" t="e">
        <f ca="1">VLOOKUP(E862,'IFRS only'!A:A,1,0)</f>
        <v>#N/A</v>
      </c>
      <c r="P862" s="89"/>
    </row>
    <row r="863" spans="1:16" s="29" customFormat="1">
      <c r="A863" s="17" t="s">
        <v>10</v>
      </c>
      <c r="B863" s="17">
        <v>6900200003</v>
      </c>
      <c r="C863" s="78" t="s">
        <v>4596</v>
      </c>
      <c r="D863" s="3" t="s">
        <v>557</v>
      </c>
      <c r="E863" s="17" t="s">
        <v>2966</v>
      </c>
      <c r="F863" s="17" t="s">
        <v>3535</v>
      </c>
      <c r="G863" s="17" t="s">
        <v>3535</v>
      </c>
      <c r="H863" s="17" t="s">
        <v>3536</v>
      </c>
      <c r="I863" s="17" t="s">
        <v>3545</v>
      </c>
      <c r="J863" s="17" t="s">
        <v>9</v>
      </c>
      <c r="K863" s="49" t="s">
        <v>5538</v>
      </c>
      <c r="L863" s="4" t="str">
        <f ca="1">IF(ISERROR(VLOOKUP(B863,'ETL Scope'!I:I,1,0)),"NA","ETL")</f>
        <v>NA</v>
      </c>
      <c r="M863" s="29">
        <f ca="1">COUNTIF('Data-WK'!A:A,'V1'!B:B)</f>
        <v>1</v>
      </c>
      <c r="N863" s="29" t="e">
        <f ca="1">VLOOKUP(E863,'IFRS only'!A:A,1,0)</f>
        <v>#N/A</v>
      </c>
      <c r="P863" s="89"/>
    </row>
    <row r="864" spans="1:16" s="29" customFormat="1">
      <c r="A864" s="17" t="s">
        <v>10</v>
      </c>
      <c r="B864" s="17">
        <v>6900200004</v>
      </c>
      <c r="C864" s="78" t="s">
        <v>4596</v>
      </c>
      <c r="D864" s="3" t="s">
        <v>558</v>
      </c>
      <c r="E864" s="17" t="s">
        <v>2967</v>
      </c>
      <c r="F864" s="17" t="s">
        <v>3535</v>
      </c>
      <c r="G864" s="17" t="s">
        <v>3535</v>
      </c>
      <c r="H864" s="17" t="s">
        <v>3536</v>
      </c>
      <c r="I864" s="17" t="s">
        <v>3545</v>
      </c>
      <c r="J864" s="17" t="s">
        <v>9</v>
      </c>
      <c r="K864" s="49" t="s">
        <v>5538</v>
      </c>
      <c r="L864" s="4" t="str">
        <f ca="1">IF(ISERROR(VLOOKUP(B864,'ETL Scope'!I:I,1,0)),"NA","ETL")</f>
        <v>NA</v>
      </c>
      <c r="M864" s="29">
        <f ca="1">COUNTIF('Data-WK'!A:A,'V1'!B:B)</f>
        <v>1</v>
      </c>
      <c r="N864" s="29" t="e">
        <f ca="1">VLOOKUP(E864,'IFRS only'!A:A,1,0)</f>
        <v>#N/A</v>
      </c>
      <c r="P864" s="89"/>
    </row>
    <row r="865" spans="1:16" s="29" customFormat="1">
      <c r="A865" s="17" t="s">
        <v>10</v>
      </c>
      <c r="B865" s="17">
        <v>6900200005</v>
      </c>
      <c r="C865" s="78" t="s">
        <v>4596</v>
      </c>
      <c r="D865" s="3" t="s">
        <v>4891</v>
      </c>
      <c r="E865" s="17" t="s">
        <v>3045</v>
      </c>
      <c r="F865" s="17" t="s">
        <v>3535</v>
      </c>
      <c r="G865" s="17" t="s">
        <v>3535</v>
      </c>
      <c r="H865" s="17" t="s">
        <v>3536</v>
      </c>
      <c r="I865" s="17" t="s">
        <v>3545</v>
      </c>
      <c r="J865" s="17" t="s">
        <v>9</v>
      </c>
      <c r="K865" s="49" t="s">
        <v>5538</v>
      </c>
      <c r="L865" s="4" t="str">
        <f ca="1">IF(ISERROR(VLOOKUP(B865,'ETL Scope'!I:I,1,0)),"NA","ETL")</f>
        <v>NA</v>
      </c>
      <c r="M865" s="29">
        <f ca="1">COUNTIF('Data-WK'!A:A,'V1'!B:B)</f>
        <v>1</v>
      </c>
      <c r="N865" s="29" t="e">
        <f ca="1">VLOOKUP(E865,'IFRS only'!A:A,1,0)</f>
        <v>#N/A</v>
      </c>
      <c r="P865" s="89"/>
    </row>
    <row r="866" spans="1:16" s="29" customFormat="1">
      <c r="A866" s="17" t="s">
        <v>10</v>
      </c>
      <c r="B866" s="17">
        <v>6900200052</v>
      </c>
      <c r="C866" s="78" t="s">
        <v>4596</v>
      </c>
      <c r="D866" s="55" t="s">
        <v>3486</v>
      </c>
      <c r="E866" s="17" t="s">
        <v>3303</v>
      </c>
      <c r="F866" s="17" t="s">
        <v>3535</v>
      </c>
      <c r="G866" s="17" t="s">
        <v>3535</v>
      </c>
      <c r="H866" s="17" t="s">
        <v>3536</v>
      </c>
      <c r="I866" s="17" t="s">
        <v>3545</v>
      </c>
      <c r="J866" s="17" t="s">
        <v>9</v>
      </c>
      <c r="K866" s="49" t="s">
        <v>5538</v>
      </c>
      <c r="L866" s="4" t="str">
        <f ca="1">IF(ISERROR(VLOOKUP(B866,'ETL Scope'!I:I,1,0)),"NA","ETL")</f>
        <v>NA</v>
      </c>
      <c r="M866" s="29">
        <f ca="1">COUNTIF('Data-WK'!A:A,'V1'!B:B)</f>
        <v>1</v>
      </c>
      <c r="N866" s="29" t="e">
        <f ca="1">VLOOKUP(E866,'IFRS only'!A:A,1,0)</f>
        <v>#N/A</v>
      </c>
      <c r="P866" s="89"/>
    </row>
    <row r="867" spans="1:16" s="29" customFormat="1">
      <c r="A867" s="17" t="s">
        <v>10</v>
      </c>
      <c r="B867" s="17">
        <v>6900200107</v>
      </c>
      <c r="C867" s="78" t="s">
        <v>4596</v>
      </c>
      <c r="D867" s="3" t="s">
        <v>618</v>
      </c>
      <c r="E867" s="17" t="s">
        <v>3042</v>
      </c>
      <c r="F867" s="17" t="s">
        <v>3535</v>
      </c>
      <c r="G867" s="17" t="s">
        <v>3535</v>
      </c>
      <c r="H867" s="17" t="s">
        <v>3536</v>
      </c>
      <c r="I867" s="17" t="s">
        <v>3545</v>
      </c>
      <c r="J867" s="17" t="s">
        <v>9</v>
      </c>
      <c r="K867" s="49" t="s">
        <v>5538</v>
      </c>
      <c r="L867" s="4" t="str">
        <f ca="1">IF(ISERROR(VLOOKUP(B867,'ETL Scope'!I:I,1,0)),"NA","ETL")</f>
        <v>NA</v>
      </c>
      <c r="M867" s="29">
        <f ca="1">COUNTIF('Data-WK'!A:A,'V1'!B:B)</f>
        <v>1</v>
      </c>
      <c r="N867" s="29" t="e">
        <f ca="1">VLOOKUP(E867,'IFRS only'!A:A,1,0)</f>
        <v>#N/A</v>
      </c>
      <c r="P867" s="89"/>
    </row>
    <row r="868" spans="1:16" s="29" customFormat="1">
      <c r="A868" s="17" t="s">
        <v>10</v>
      </c>
      <c r="B868" s="17">
        <v>6901020010</v>
      </c>
      <c r="C868" s="78" t="s">
        <v>4597</v>
      </c>
      <c r="D868" s="3" t="s">
        <v>551</v>
      </c>
      <c r="E868" s="17" t="s">
        <v>2955</v>
      </c>
      <c r="F868" s="17" t="s">
        <v>3535</v>
      </c>
      <c r="G868" s="17" t="s">
        <v>3535</v>
      </c>
      <c r="H868" s="17" t="s">
        <v>3536</v>
      </c>
      <c r="I868" s="17" t="s">
        <v>3545</v>
      </c>
      <c r="J868" s="17" t="s">
        <v>9</v>
      </c>
      <c r="K868" s="49" t="s">
        <v>5539</v>
      </c>
      <c r="L868" s="4" t="str">
        <f ca="1">IF(ISERROR(VLOOKUP(B868,'ETL Scope'!I:I,1,0)),"NA","ETL")</f>
        <v>NA</v>
      </c>
      <c r="M868" s="29">
        <f ca="1">COUNTIF('Data-WK'!A:A,'V1'!B:B)</f>
        <v>1</v>
      </c>
      <c r="N868" s="29" t="e">
        <f ca="1">VLOOKUP(E868,'IFRS only'!A:A,1,0)</f>
        <v>#N/A</v>
      </c>
      <c r="P868" s="89"/>
    </row>
    <row r="869" spans="1:16" s="29" customFormat="1">
      <c r="A869" s="17" t="s">
        <v>10</v>
      </c>
      <c r="B869" s="17">
        <v>6901020011</v>
      </c>
      <c r="C869" s="78" t="s">
        <v>4597</v>
      </c>
      <c r="D869" s="3" t="s">
        <v>559</v>
      </c>
      <c r="E869" s="17" t="s">
        <v>2968</v>
      </c>
      <c r="F869" s="17" t="s">
        <v>3535</v>
      </c>
      <c r="G869" s="17" t="s">
        <v>3535</v>
      </c>
      <c r="H869" s="17" t="s">
        <v>3536</v>
      </c>
      <c r="I869" s="17" t="s">
        <v>3545</v>
      </c>
      <c r="J869" s="17" t="s">
        <v>9</v>
      </c>
      <c r="K869" s="49" t="s">
        <v>5539</v>
      </c>
      <c r="L869" s="4" t="str">
        <f ca="1">IF(ISERROR(VLOOKUP(B869,'ETL Scope'!I:I,1,0)),"NA","ETL")</f>
        <v>NA</v>
      </c>
      <c r="M869" s="29">
        <f ca="1">COUNTIF('Data-WK'!A:A,'V1'!B:B)</f>
        <v>1</v>
      </c>
      <c r="N869" s="29" t="e">
        <f ca="1">VLOOKUP(E869,'IFRS only'!A:A,1,0)</f>
        <v>#N/A</v>
      </c>
      <c r="P869" s="89"/>
    </row>
    <row r="870" spans="1:16" s="29" customFormat="1">
      <c r="A870" s="17" t="s">
        <v>10</v>
      </c>
      <c r="B870" s="17">
        <v>6901020012</v>
      </c>
      <c r="C870" s="78" t="s">
        <v>4597</v>
      </c>
      <c r="D870" s="3" t="s">
        <v>562</v>
      </c>
      <c r="E870" s="17" t="s">
        <v>2975</v>
      </c>
      <c r="F870" s="17" t="s">
        <v>3535</v>
      </c>
      <c r="G870" s="17" t="s">
        <v>3535</v>
      </c>
      <c r="H870" s="17" t="s">
        <v>3536</v>
      </c>
      <c r="I870" s="17" t="s">
        <v>3545</v>
      </c>
      <c r="J870" s="17" t="s">
        <v>9</v>
      </c>
      <c r="K870" s="49" t="s">
        <v>5539</v>
      </c>
      <c r="L870" s="4" t="str">
        <f ca="1">IF(ISERROR(VLOOKUP(B870,'ETL Scope'!I:I,1,0)),"NA","ETL")</f>
        <v>NA</v>
      </c>
      <c r="M870" s="29">
        <f ca="1">COUNTIF('Data-WK'!A:A,'V1'!B:B)</f>
        <v>1</v>
      </c>
      <c r="N870" s="29" t="e">
        <f ca="1">VLOOKUP(E870,'IFRS only'!A:A,1,0)</f>
        <v>#N/A</v>
      </c>
      <c r="P870" s="89"/>
    </row>
    <row r="871" spans="1:16" s="29" customFormat="1">
      <c r="A871" s="17" t="s">
        <v>10</v>
      </c>
      <c r="B871" s="17">
        <v>6901020013</v>
      </c>
      <c r="C871" s="78" t="s">
        <v>4597</v>
      </c>
      <c r="D871" s="3" t="s">
        <v>563</v>
      </c>
      <c r="E871" s="17" t="s">
        <v>2976</v>
      </c>
      <c r="F871" s="17" t="s">
        <v>3535</v>
      </c>
      <c r="G871" s="17" t="s">
        <v>3535</v>
      </c>
      <c r="H871" s="17" t="s">
        <v>3536</v>
      </c>
      <c r="I871" s="17" t="s">
        <v>3545</v>
      </c>
      <c r="J871" s="17" t="s">
        <v>9</v>
      </c>
      <c r="K871" s="49" t="s">
        <v>5539</v>
      </c>
      <c r="L871" s="4" t="str">
        <f ca="1">IF(ISERROR(VLOOKUP(B871,'ETL Scope'!I:I,1,0)),"NA","ETL")</f>
        <v>NA</v>
      </c>
      <c r="M871" s="29">
        <f ca="1">COUNTIF('Data-WK'!A:A,'V1'!B:B)</f>
        <v>1</v>
      </c>
      <c r="N871" s="29" t="e">
        <f ca="1">VLOOKUP(E871,'IFRS only'!A:A,1,0)</f>
        <v>#N/A</v>
      </c>
      <c r="P871" s="89"/>
    </row>
    <row r="872" spans="1:16" s="29" customFormat="1">
      <c r="A872" s="17" t="s">
        <v>10</v>
      </c>
      <c r="B872" s="17">
        <v>6901020014</v>
      </c>
      <c r="C872" s="78" t="s">
        <v>4597</v>
      </c>
      <c r="D872" s="3" t="s">
        <v>584</v>
      </c>
      <c r="E872" s="17" t="s">
        <v>3001</v>
      </c>
      <c r="F872" s="17" t="s">
        <v>3535</v>
      </c>
      <c r="G872" s="17" t="s">
        <v>3535</v>
      </c>
      <c r="H872" s="17" t="s">
        <v>3536</v>
      </c>
      <c r="I872" s="17" t="s">
        <v>3545</v>
      </c>
      <c r="J872" s="17" t="s">
        <v>9</v>
      </c>
      <c r="K872" s="49" t="s">
        <v>5539</v>
      </c>
      <c r="L872" s="4" t="str">
        <f ca="1">IF(ISERROR(VLOOKUP(B872,'ETL Scope'!I:I,1,0)),"NA","ETL")</f>
        <v>NA</v>
      </c>
      <c r="M872" s="29">
        <f ca="1">COUNTIF('Data-WK'!A:A,'V1'!B:B)</f>
        <v>1</v>
      </c>
      <c r="N872" s="29" t="e">
        <f ca="1">VLOOKUP(E872,'IFRS only'!A:A,1,0)</f>
        <v>#N/A</v>
      </c>
      <c r="P872" s="89"/>
    </row>
    <row r="873" spans="1:16" s="29" customFormat="1">
      <c r="A873" s="17" t="s">
        <v>10</v>
      </c>
      <c r="B873" s="17">
        <v>6901020015</v>
      </c>
      <c r="C873" s="78" t="s">
        <v>4597</v>
      </c>
      <c r="D873" s="3" t="s">
        <v>585</v>
      </c>
      <c r="E873" s="17" t="s">
        <v>3002</v>
      </c>
      <c r="F873" s="17" t="s">
        <v>3535</v>
      </c>
      <c r="G873" s="17" t="s">
        <v>3535</v>
      </c>
      <c r="H873" s="17" t="s">
        <v>3536</v>
      </c>
      <c r="I873" s="17" t="s">
        <v>3545</v>
      </c>
      <c r="J873" s="17" t="s">
        <v>9</v>
      </c>
      <c r="K873" s="49" t="s">
        <v>5539</v>
      </c>
      <c r="L873" s="4" t="str">
        <f ca="1">IF(ISERROR(VLOOKUP(B873,'ETL Scope'!I:I,1,0)),"NA","ETL")</f>
        <v>NA</v>
      </c>
      <c r="M873" s="29">
        <f ca="1">COUNTIF('Data-WK'!A:A,'V1'!B:B)</f>
        <v>1</v>
      </c>
      <c r="N873" s="29" t="e">
        <f ca="1">VLOOKUP(E873,'IFRS only'!A:A,1,0)</f>
        <v>#N/A</v>
      </c>
      <c r="P873" s="89"/>
    </row>
    <row r="874" spans="1:16" s="29" customFormat="1">
      <c r="A874" s="17" t="s">
        <v>10</v>
      </c>
      <c r="B874" s="17">
        <v>6901020016</v>
      </c>
      <c r="C874" s="78" t="s">
        <v>4597</v>
      </c>
      <c r="D874" s="3" t="s">
        <v>604</v>
      </c>
      <c r="E874" s="17" t="s">
        <v>3024</v>
      </c>
      <c r="F874" s="17" t="s">
        <v>3535</v>
      </c>
      <c r="G874" s="17" t="s">
        <v>3535</v>
      </c>
      <c r="H874" s="17" t="s">
        <v>3536</v>
      </c>
      <c r="I874" s="17" t="s">
        <v>3545</v>
      </c>
      <c r="J874" s="17" t="s">
        <v>9</v>
      </c>
      <c r="K874" s="49" t="s">
        <v>5539</v>
      </c>
      <c r="L874" s="4" t="str">
        <f ca="1">IF(ISERROR(VLOOKUP(B874,'ETL Scope'!I:I,1,0)),"NA","ETL")</f>
        <v>NA</v>
      </c>
      <c r="M874" s="29">
        <f ca="1">COUNTIF('Data-WK'!A:A,'V1'!B:B)</f>
        <v>1</v>
      </c>
      <c r="N874" s="29" t="e">
        <f ca="1">VLOOKUP(E874,'IFRS only'!A:A,1,0)</f>
        <v>#N/A</v>
      </c>
      <c r="P874" s="89"/>
    </row>
    <row r="875" spans="1:16" s="29" customFormat="1">
      <c r="A875" s="17" t="s">
        <v>10</v>
      </c>
      <c r="B875" s="17">
        <v>6901020017</v>
      </c>
      <c r="C875" s="78" t="s">
        <v>4597</v>
      </c>
      <c r="D875" s="3" t="s">
        <v>605</v>
      </c>
      <c r="E875" s="17" t="s">
        <v>3025</v>
      </c>
      <c r="F875" s="17" t="s">
        <v>3535</v>
      </c>
      <c r="G875" s="17" t="s">
        <v>3535</v>
      </c>
      <c r="H875" s="17" t="s">
        <v>3536</v>
      </c>
      <c r="I875" s="17" t="s">
        <v>3545</v>
      </c>
      <c r="J875" s="17" t="s">
        <v>9</v>
      </c>
      <c r="K875" s="49" t="s">
        <v>5539</v>
      </c>
      <c r="L875" s="4" t="str">
        <f ca="1">IF(ISERROR(VLOOKUP(B875,'ETL Scope'!I:I,1,0)),"NA","ETL")</f>
        <v>NA</v>
      </c>
      <c r="M875" s="29">
        <f ca="1">COUNTIF('Data-WK'!A:A,'V1'!B:B)</f>
        <v>1</v>
      </c>
      <c r="N875" s="29" t="e">
        <f ca="1">VLOOKUP(E875,'IFRS only'!A:A,1,0)</f>
        <v>#N/A</v>
      </c>
      <c r="P875" s="89"/>
    </row>
    <row r="876" spans="1:16" s="29" customFormat="1">
      <c r="A876" s="17" t="s">
        <v>10</v>
      </c>
      <c r="B876" s="17">
        <v>6901020018</v>
      </c>
      <c r="C876" s="78" t="s">
        <v>4597</v>
      </c>
      <c r="D876" s="3" t="s">
        <v>3469</v>
      </c>
      <c r="E876" s="17" t="s">
        <v>2977</v>
      </c>
      <c r="F876" s="17" t="s">
        <v>3535</v>
      </c>
      <c r="G876" s="17" t="s">
        <v>3535</v>
      </c>
      <c r="H876" s="17" t="s">
        <v>3536</v>
      </c>
      <c r="I876" s="17" t="s">
        <v>3545</v>
      </c>
      <c r="J876" s="17" t="s">
        <v>9</v>
      </c>
      <c r="K876" s="49" t="s">
        <v>5539</v>
      </c>
      <c r="L876" s="4" t="str">
        <f ca="1">IF(ISERROR(VLOOKUP(B876,'ETL Scope'!I:I,1,0)),"NA","ETL")</f>
        <v>NA</v>
      </c>
      <c r="M876" s="29">
        <f ca="1">COUNTIF('Data-WK'!A:A,'V1'!B:B)</f>
        <v>1</v>
      </c>
      <c r="N876" s="29" t="e">
        <f ca="1">VLOOKUP(E876,'IFRS only'!A:A,1,0)</f>
        <v>#N/A</v>
      </c>
      <c r="P876" s="89"/>
    </row>
    <row r="877" spans="1:16" s="29" customFormat="1">
      <c r="A877" s="17" t="s">
        <v>10</v>
      </c>
      <c r="B877" s="17">
        <v>6901020019</v>
      </c>
      <c r="C877" s="78" t="s">
        <v>4597</v>
      </c>
      <c r="D877" s="3" t="s">
        <v>565</v>
      </c>
      <c r="E877" s="17" t="s">
        <v>2978</v>
      </c>
      <c r="F877" s="17" t="s">
        <v>3535</v>
      </c>
      <c r="G877" s="17" t="s">
        <v>3535</v>
      </c>
      <c r="H877" s="17" t="s">
        <v>3536</v>
      </c>
      <c r="I877" s="17" t="s">
        <v>3545</v>
      </c>
      <c r="J877" s="17" t="s">
        <v>9</v>
      </c>
      <c r="K877" s="49" t="s">
        <v>5539</v>
      </c>
      <c r="L877" s="4" t="str">
        <f ca="1">IF(ISERROR(VLOOKUP(B877,'ETL Scope'!I:I,1,0)),"NA","ETL")</f>
        <v>NA</v>
      </c>
      <c r="M877" s="29">
        <f ca="1">COUNTIF('Data-WK'!A:A,'V1'!B:B)</f>
        <v>1</v>
      </c>
      <c r="N877" s="29" t="e">
        <f ca="1">VLOOKUP(E877,'IFRS only'!A:A,1,0)</f>
        <v>#N/A</v>
      </c>
      <c r="P877" s="89"/>
    </row>
    <row r="878" spans="1:16" s="29" customFormat="1">
      <c r="A878" s="17" t="s">
        <v>8</v>
      </c>
      <c r="B878" s="17">
        <v>6901030000</v>
      </c>
      <c r="C878" s="78" t="s">
        <v>4598</v>
      </c>
      <c r="D878" s="3" t="s">
        <v>806</v>
      </c>
      <c r="E878" s="17" t="s">
        <v>3273</v>
      </c>
      <c r="F878" s="17" t="s">
        <v>3533</v>
      </c>
      <c r="G878" s="17" t="s">
        <v>3533</v>
      </c>
      <c r="H878" s="17" t="s">
        <v>3534</v>
      </c>
      <c r="I878" s="17" t="s">
        <v>3545</v>
      </c>
      <c r="J878" s="17" t="s">
        <v>9</v>
      </c>
      <c r="K878" s="49" t="s">
        <v>1356</v>
      </c>
      <c r="L878" s="4" t="str">
        <f ca="1">IF(ISERROR(VLOOKUP(B878,'ETL Scope'!I:I,1,0)),"NA","ETL")</f>
        <v>NA</v>
      </c>
      <c r="M878" s="29">
        <f ca="1">COUNTIF('Data-WK'!A:A,'V1'!B:B)</f>
        <v>1</v>
      </c>
      <c r="N878" s="29" t="e">
        <f ca="1">VLOOKUP(E878,'IFRS only'!A:A,1,0)</f>
        <v>#N/A</v>
      </c>
      <c r="P878" s="89"/>
    </row>
    <row r="879" spans="1:16" s="29" customFormat="1">
      <c r="A879" s="17" t="s">
        <v>10</v>
      </c>
      <c r="B879" s="17">
        <v>6901030160</v>
      </c>
      <c r="C879" s="78" t="s">
        <v>4598</v>
      </c>
      <c r="D879" s="3" t="s">
        <v>3464</v>
      </c>
      <c r="E879" s="17" t="s">
        <v>2941</v>
      </c>
      <c r="F879" s="17" t="s">
        <v>3535</v>
      </c>
      <c r="G879" s="17" t="s">
        <v>3535</v>
      </c>
      <c r="H879" s="17" t="s">
        <v>3536</v>
      </c>
      <c r="I879" s="17" t="s">
        <v>3545</v>
      </c>
      <c r="J879" s="17" t="s">
        <v>9</v>
      </c>
      <c r="K879" s="49" t="s">
        <v>1356</v>
      </c>
      <c r="L879" s="4" t="str">
        <f ca="1">IF(ISERROR(VLOOKUP(B879,'ETL Scope'!I:I,1,0)),"NA","ETL")</f>
        <v>NA</v>
      </c>
      <c r="M879" s="29">
        <f ca="1">COUNTIF('Data-WK'!A:A,'V1'!B:B)</f>
        <v>1</v>
      </c>
      <c r="N879" s="29" t="e">
        <f ca="1">VLOOKUP(E879,'IFRS only'!A:A,1,0)</f>
        <v>#N/A</v>
      </c>
      <c r="P879" s="89"/>
    </row>
    <row r="880" spans="1:16" s="29" customFormat="1">
      <c r="A880" s="17" t="s">
        <v>10</v>
      </c>
      <c r="B880" s="17">
        <v>6901030161</v>
      </c>
      <c r="C880" s="78" t="s">
        <v>4598</v>
      </c>
      <c r="D880" s="3" t="s">
        <v>544</v>
      </c>
      <c r="E880" s="17" t="s">
        <v>2947</v>
      </c>
      <c r="F880" s="17" t="s">
        <v>3535</v>
      </c>
      <c r="G880" s="17" t="s">
        <v>3535</v>
      </c>
      <c r="H880" s="17" t="s">
        <v>3536</v>
      </c>
      <c r="I880" s="17" t="s">
        <v>3545</v>
      </c>
      <c r="J880" s="17" t="s">
        <v>9</v>
      </c>
      <c r="K880" s="49" t="s">
        <v>1356</v>
      </c>
      <c r="L880" s="4" t="str">
        <f ca="1">IF(ISERROR(VLOOKUP(B880,'ETL Scope'!I:I,1,0)),"NA","ETL")</f>
        <v>NA</v>
      </c>
      <c r="M880" s="29">
        <f ca="1">COUNTIF('Data-WK'!A:A,'V1'!B:B)</f>
        <v>1</v>
      </c>
      <c r="N880" s="29" t="e">
        <f ca="1">VLOOKUP(E880,'IFRS only'!A:A,1,0)</f>
        <v>#N/A</v>
      </c>
      <c r="P880" s="89"/>
    </row>
    <row r="881" spans="1:16" s="29" customFormat="1">
      <c r="A881" s="17" t="s">
        <v>10</v>
      </c>
      <c r="B881" s="17">
        <v>6901030162</v>
      </c>
      <c r="C881" s="78" t="s">
        <v>4598</v>
      </c>
      <c r="D881" s="3" t="s">
        <v>560</v>
      </c>
      <c r="E881" s="17" t="s">
        <v>2969</v>
      </c>
      <c r="F881" s="17" t="s">
        <v>3535</v>
      </c>
      <c r="G881" s="17" t="s">
        <v>3535</v>
      </c>
      <c r="H881" s="17" t="s">
        <v>3536</v>
      </c>
      <c r="I881" s="17" t="s">
        <v>3545</v>
      </c>
      <c r="J881" s="17" t="s">
        <v>9</v>
      </c>
      <c r="K881" s="49" t="s">
        <v>1356</v>
      </c>
      <c r="L881" s="4" t="str">
        <f ca="1">IF(ISERROR(VLOOKUP(B881,'ETL Scope'!I:I,1,0)),"NA","ETL")</f>
        <v>NA</v>
      </c>
      <c r="M881" s="29">
        <f ca="1">COUNTIF('Data-WK'!A:A,'V1'!B:B)</f>
        <v>1</v>
      </c>
      <c r="N881" s="29" t="e">
        <f ca="1">VLOOKUP(E881,'IFRS only'!A:A,1,0)</f>
        <v>#N/A</v>
      </c>
      <c r="P881" s="89"/>
    </row>
    <row r="882" spans="1:16" s="29" customFormat="1">
      <c r="A882" s="17" t="s">
        <v>10</v>
      </c>
      <c r="B882" s="17">
        <v>6901030163</v>
      </c>
      <c r="C882" s="78" t="s">
        <v>4598</v>
      </c>
      <c r="D882" s="3" t="s">
        <v>569</v>
      </c>
      <c r="E882" s="17" t="s">
        <v>2985</v>
      </c>
      <c r="F882" s="17" t="s">
        <v>3535</v>
      </c>
      <c r="G882" s="17" t="s">
        <v>3535</v>
      </c>
      <c r="H882" s="17" t="s">
        <v>3536</v>
      </c>
      <c r="I882" s="17" t="s">
        <v>3545</v>
      </c>
      <c r="J882" s="17" t="s">
        <v>9</v>
      </c>
      <c r="K882" s="49" t="s">
        <v>1356</v>
      </c>
      <c r="L882" s="4" t="str">
        <f ca="1">IF(ISERROR(VLOOKUP(B882,'ETL Scope'!I:I,1,0)),"NA","ETL")</f>
        <v>NA</v>
      </c>
      <c r="M882" s="29">
        <f ca="1">COUNTIF('Data-WK'!A:A,'V1'!B:B)</f>
        <v>1</v>
      </c>
      <c r="N882" s="29" t="e">
        <f ca="1">VLOOKUP(E882,'IFRS only'!A:A,1,0)</f>
        <v>#N/A</v>
      </c>
      <c r="P882" s="89"/>
    </row>
    <row r="883" spans="1:16" s="29" customFormat="1">
      <c r="A883" s="17" t="s">
        <v>10</v>
      </c>
      <c r="B883" s="17">
        <v>6901030164</v>
      </c>
      <c r="C883" s="78" t="s">
        <v>4598</v>
      </c>
      <c r="D883" s="3" t="s">
        <v>611</v>
      </c>
      <c r="E883" s="17" t="s">
        <v>3035</v>
      </c>
      <c r="F883" s="17" t="s">
        <v>3535</v>
      </c>
      <c r="G883" s="17" t="s">
        <v>3535</v>
      </c>
      <c r="H883" s="17" t="s">
        <v>3536</v>
      </c>
      <c r="I883" s="17" t="s">
        <v>3545</v>
      </c>
      <c r="J883" s="17" t="s">
        <v>9</v>
      </c>
      <c r="K883" s="49" t="s">
        <v>1356</v>
      </c>
      <c r="L883" s="4" t="str">
        <f ca="1">IF(ISERROR(VLOOKUP(B883,'ETL Scope'!I:I,1,0)),"NA","ETL")</f>
        <v>NA</v>
      </c>
      <c r="M883" s="29">
        <f ca="1">COUNTIF('Data-WK'!A:A,'V1'!B:B)</f>
        <v>1</v>
      </c>
      <c r="N883" s="29" t="e">
        <f ca="1">VLOOKUP(E883,'IFRS only'!A:A,1,0)</f>
        <v>#N/A</v>
      </c>
      <c r="P883" s="89"/>
    </row>
    <row r="884" spans="1:16" s="29" customFormat="1">
      <c r="A884" s="17" t="s">
        <v>10</v>
      </c>
      <c r="B884" s="17">
        <v>6901230001</v>
      </c>
      <c r="C884" s="78" t="s">
        <v>4599</v>
      </c>
      <c r="D884" s="3" t="s">
        <v>552</v>
      </c>
      <c r="E884" s="17" t="s">
        <v>2956</v>
      </c>
      <c r="F884" s="17" t="s">
        <v>3535</v>
      </c>
      <c r="G884" s="17" t="s">
        <v>3535</v>
      </c>
      <c r="H884" s="17" t="s">
        <v>3536</v>
      </c>
      <c r="I884" s="17" t="s">
        <v>3545</v>
      </c>
      <c r="J884" s="17" t="s">
        <v>9</v>
      </c>
      <c r="K884" s="49" t="s">
        <v>5540</v>
      </c>
      <c r="L884" s="4" t="str">
        <f ca="1">IF(ISERROR(VLOOKUP(B884,'ETL Scope'!I:I,1,0)),"NA","ETL")</f>
        <v>NA</v>
      </c>
      <c r="M884" s="29">
        <f ca="1">COUNTIF('Data-WK'!A:A,'V1'!B:B)</f>
        <v>1</v>
      </c>
      <c r="N884" s="29" t="e">
        <f ca="1">VLOOKUP(E884,'IFRS only'!A:A,1,0)</f>
        <v>#N/A</v>
      </c>
      <c r="P884" s="89"/>
    </row>
    <row r="885" spans="1:16" s="29" customFormat="1">
      <c r="A885" s="17" t="s">
        <v>10</v>
      </c>
      <c r="B885" s="17">
        <v>6901230002</v>
      </c>
      <c r="C885" s="78" t="s">
        <v>4599</v>
      </c>
      <c r="D885" s="3" t="s">
        <v>556</v>
      </c>
      <c r="E885" s="17" t="s">
        <v>2960</v>
      </c>
      <c r="F885" s="17" t="s">
        <v>3535</v>
      </c>
      <c r="G885" s="17" t="s">
        <v>3535</v>
      </c>
      <c r="H885" s="17" t="s">
        <v>3536</v>
      </c>
      <c r="I885" s="17" t="s">
        <v>3545</v>
      </c>
      <c r="J885" s="17" t="s">
        <v>9</v>
      </c>
      <c r="K885" s="49" t="s">
        <v>5540</v>
      </c>
      <c r="L885" s="4" t="str">
        <f ca="1">IF(ISERROR(VLOOKUP(B885,'ETL Scope'!I:I,1,0)),"NA","ETL")</f>
        <v>NA</v>
      </c>
      <c r="M885" s="29">
        <f ca="1">COUNTIF('Data-WK'!A:A,'V1'!B:B)</f>
        <v>1</v>
      </c>
      <c r="N885" s="29" t="e">
        <f ca="1">VLOOKUP(E885,'IFRS only'!A:A,1,0)</f>
        <v>#N/A</v>
      </c>
      <c r="P885" s="89"/>
    </row>
    <row r="886" spans="1:16" s="29" customFormat="1">
      <c r="A886" s="17" t="s">
        <v>10</v>
      </c>
      <c r="B886" s="17">
        <v>6901230003</v>
      </c>
      <c r="C886" s="78" t="s">
        <v>4599</v>
      </c>
      <c r="D886" s="3" t="s">
        <v>589</v>
      </c>
      <c r="E886" s="17" t="s">
        <v>3009</v>
      </c>
      <c r="F886" s="17" t="s">
        <v>3535</v>
      </c>
      <c r="G886" s="17" t="s">
        <v>3535</v>
      </c>
      <c r="H886" s="17" t="s">
        <v>3536</v>
      </c>
      <c r="I886" s="17" t="s">
        <v>3545</v>
      </c>
      <c r="J886" s="17" t="s">
        <v>9</v>
      </c>
      <c r="K886" s="49" t="s">
        <v>5540</v>
      </c>
      <c r="L886" s="4" t="str">
        <f ca="1">IF(ISERROR(VLOOKUP(B886,'ETL Scope'!I:I,1,0)),"NA","ETL")</f>
        <v>NA</v>
      </c>
      <c r="M886" s="29">
        <f ca="1">COUNTIF('Data-WK'!A:A,'V1'!B:B)</f>
        <v>1</v>
      </c>
      <c r="N886" s="29" t="e">
        <f ca="1">VLOOKUP(E886,'IFRS only'!A:A,1,0)</f>
        <v>#N/A</v>
      </c>
      <c r="P886" s="89"/>
    </row>
    <row r="887" spans="1:16" s="29" customFormat="1">
      <c r="A887" s="17" t="s">
        <v>10</v>
      </c>
      <c r="B887" s="17">
        <v>6901230004</v>
      </c>
      <c r="C887" s="78" t="s">
        <v>4599</v>
      </c>
      <c r="D887" s="3" t="s">
        <v>619</v>
      </c>
      <c r="E887" s="17" t="s">
        <v>3043</v>
      </c>
      <c r="F887" s="17" t="s">
        <v>3535</v>
      </c>
      <c r="G887" s="17" t="s">
        <v>3535</v>
      </c>
      <c r="H887" s="17" t="s">
        <v>3536</v>
      </c>
      <c r="I887" s="17" t="s">
        <v>3545</v>
      </c>
      <c r="J887" s="17" t="s">
        <v>9</v>
      </c>
      <c r="K887" s="49" t="s">
        <v>5540</v>
      </c>
      <c r="L887" s="4" t="str">
        <f ca="1">IF(ISERROR(VLOOKUP(B887,'ETL Scope'!I:I,1,0)),"NA","ETL")</f>
        <v>NA</v>
      </c>
      <c r="M887" s="29">
        <f ca="1">COUNTIF('Data-WK'!A:A,'V1'!B:B)</f>
        <v>1</v>
      </c>
      <c r="N887" s="29" t="e">
        <f ca="1">VLOOKUP(E887,'IFRS only'!A:A,1,0)</f>
        <v>#N/A</v>
      </c>
      <c r="P887" s="89"/>
    </row>
    <row r="888" spans="1:16" s="29" customFormat="1">
      <c r="A888" s="17" t="s">
        <v>10</v>
      </c>
      <c r="B888" s="17">
        <v>6901230005</v>
      </c>
      <c r="C888" s="78" t="s">
        <v>4599</v>
      </c>
      <c r="D888" s="3" t="s">
        <v>561</v>
      </c>
      <c r="E888" s="17" t="s">
        <v>2970</v>
      </c>
      <c r="F888" s="17" t="s">
        <v>3535</v>
      </c>
      <c r="G888" s="17" t="s">
        <v>3535</v>
      </c>
      <c r="H888" s="17" t="s">
        <v>3536</v>
      </c>
      <c r="I888" s="17" t="s">
        <v>3545</v>
      </c>
      <c r="J888" s="17" t="s">
        <v>9</v>
      </c>
      <c r="K888" s="49" t="s">
        <v>5540</v>
      </c>
      <c r="L888" s="4" t="str">
        <f ca="1">IF(ISERROR(VLOOKUP(B888,'ETL Scope'!I:I,1,0)),"NA","ETL")</f>
        <v>NA</v>
      </c>
      <c r="M888" s="29">
        <f ca="1">COUNTIF('Data-WK'!A:A,'V1'!B:B)</f>
        <v>1</v>
      </c>
      <c r="N888" s="29" t="e">
        <f ca="1">VLOOKUP(E888,'IFRS only'!A:A,1,0)</f>
        <v>#N/A</v>
      </c>
      <c r="P888" s="89"/>
    </row>
    <row r="889" spans="1:16" s="29" customFormat="1">
      <c r="A889" s="17" t="s">
        <v>10</v>
      </c>
      <c r="B889" s="17">
        <v>6910000000</v>
      </c>
      <c r="C889" s="78" t="s">
        <v>4600</v>
      </c>
      <c r="D889" s="3" t="s">
        <v>566</v>
      </c>
      <c r="E889" s="17" t="s">
        <v>2980</v>
      </c>
      <c r="F889" s="17" t="s">
        <v>3535</v>
      </c>
      <c r="G889" s="17" t="s">
        <v>3535</v>
      </c>
      <c r="H889" s="17" t="s">
        <v>3536</v>
      </c>
      <c r="I889" s="17" t="s">
        <v>3545</v>
      </c>
      <c r="J889" s="17" t="s">
        <v>9</v>
      </c>
      <c r="K889" s="49" t="s">
        <v>1341</v>
      </c>
      <c r="L889" s="4" t="str">
        <f ca="1">IF(ISERROR(VLOOKUP(B889,'ETL Scope'!I:I,1,0)),"NA","ETL")</f>
        <v>NA</v>
      </c>
      <c r="M889" s="29">
        <f ca="1">COUNTIF('Data-WK'!A:A,'V1'!B:B)</f>
        <v>1</v>
      </c>
      <c r="N889" s="29" t="e">
        <f ca="1">VLOOKUP(E889,'IFRS only'!A:A,1,0)</f>
        <v>#N/A</v>
      </c>
      <c r="P889" s="89"/>
    </row>
    <row r="890" spans="1:16" s="29" customFormat="1">
      <c r="A890" s="17" t="s">
        <v>10</v>
      </c>
      <c r="B890" s="17">
        <v>6910000001</v>
      </c>
      <c r="C890" s="78" t="s">
        <v>4600</v>
      </c>
      <c r="D890" s="3" t="s">
        <v>567</v>
      </c>
      <c r="E890" s="17" t="s">
        <v>2981</v>
      </c>
      <c r="F890" s="17" t="s">
        <v>3535</v>
      </c>
      <c r="G890" s="17" t="s">
        <v>3535</v>
      </c>
      <c r="H890" s="17" t="s">
        <v>3536</v>
      </c>
      <c r="I890" s="17" t="s">
        <v>3545</v>
      </c>
      <c r="J890" s="17" t="s">
        <v>9</v>
      </c>
      <c r="K890" s="49" t="s">
        <v>1341</v>
      </c>
      <c r="L890" s="4" t="str">
        <f ca="1">IF(ISERROR(VLOOKUP(B890,'ETL Scope'!I:I,1,0)),"NA","ETL")</f>
        <v>NA</v>
      </c>
      <c r="M890" s="29">
        <f ca="1">COUNTIF('Data-WK'!A:A,'V1'!B:B)</f>
        <v>1</v>
      </c>
      <c r="N890" s="29" t="e">
        <f ca="1">VLOOKUP(E890,'IFRS only'!A:A,1,0)</f>
        <v>#N/A</v>
      </c>
      <c r="P890" s="89"/>
    </row>
    <row r="891" spans="1:16" s="29" customFormat="1">
      <c r="A891" s="17" t="s">
        <v>10</v>
      </c>
      <c r="B891" s="17">
        <v>6910000002</v>
      </c>
      <c r="C891" s="78" t="s">
        <v>4600</v>
      </c>
      <c r="D891" s="3" t="s">
        <v>568</v>
      </c>
      <c r="E891" s="17" t="s">
        <v>2984</v>
      </c>
      <c r="F891" s="17" t="s">
        <v>3535</v>
      </c>
      <c r="G891" s="17" t="s">
        <v>3535</v>
      </c>
      <c r="H891" s="17" t="s">
        <v>3536</v>
      </c>
      <c r="I891" s="17" t="s">
        <v>3545</v>
      </c>
      <c r="J891" s="17" t="s">
        <v>9</v>
      </c>
      <c r="K891" s="49" t="s">
        <v>1341</v>
      </c>
      <c r="L891" s="4" t="str">
        <f ca="1">IF(ISERROR(VLOOKUP(B891,'ETL Scope'!I:I,1,0)),"NA","ETL")</f>
        <v>NA</v>
      </c>
      <c r="M891" s="29">
        <f ca="1">COUNTIF('Data-WK'!A:A,'V1'!B:B)</f>
        <v>1</v>
      </c>
      <c r="N891" s="29" t="e">
        <f ca="1">VLOOKUP(E891,'IFRS only'!A:A,1,0)</f>
        <v>#N/A</v>
      </c>
      <c r="P891" s="89"/>
    </row>
    <row r="892" spans="1:16" s="29" customFormat="1">
      <c r="A892" s="17" t="s">
        <v>10</v>
      </c>
      <c r="B892" s="17">
        <v>6910000003</v>
      </c>
      <c r="C892" s="78" t="s">
        <v>4600</v>
      </c>
      <c r="D892" s="3" t="s">
        <v>570</v>
      </c>
      <c r="E892" s="17" t="s">
        <v>2986</v>
      </c>
      <c r="F892" s="17" t="s">
        <v>3535</v>
      </c>
      <c r="G892" s="17" t="s">
        <v>3535</v>
      </c>
      <c r="H892" s="17" t="s">
        <v>3536</v>
      </c>
      <c r="I892" s="17" t="s">
        <v>3545</v>
      </c>
      <c r="J892" s="17" t="s">
        <v>9</v>
      </c>
      <c r="K892" s="49" t="s">
        <v>1341</v>
      </c>
      <c r="L892" s="4" t="str">
        <f ca="1">IF(ISERROR(VLOOKUP(B892,'ETL Scope'!I:I,1,0)),"NA","ETL")</f>
        <v>NA</v>
      </c>
      <c r="M892" s="29">
        <f ca="1">COUNTIF('Data-WK'!A:A,'V1'!B:B)</f>
        <v>1</v>
      </c>
      <c r="N892" s="29" t="e">
        <f ca="1">VLOOKUP(E892,'IFRS only'!A:A,1,0)</f>
        <v>#N/A</v>
      </c>
      <c r="P892" s="89"/>
    </row>
    <row r="893" spans="1:16" s="29" customFormat="1">
      <c r="A893" s="17" t="s">
        <v>10</v>
      </c>
      <c r="B893" s="17">
        <v>6910000004</v>
      </c>
      <c r="C893" s="78" t="s">
        <v>4600</v>
      </c>
      <c r="D893" s="3" t="s">
        <v>571</v>
      </c>
      <c r="E893" s="17" t="s">
        <v>2987</v>
      </c>
      <c r="F893" s="17" t="s">
        <v>3535</v>
      </c>
      <c r="G893" s="17" t="s">
        <v>3535</v>
      </c>
      <c r="H893" s="17" t="s">
        <v>3536</v>
      </c>
      <c r="I893" s="17" t="s">
        <v>3545</v>
      </c>
      <c r="J893" s="17" t="s">
        <v>9</v>
      </c>
      <c r="K893" s="49" t="s">
        <v>1341</v>
      </c>
      <c r="L893" s="4" t="str">
        <f ca="1">IF(ISERROR(VLOOKUP(B893,'ETL Scope'!I:I,1,0)),"NA","ETL")</f>
        <v>NA</v>
      </c>
      <c r="M893" s="29">
        <f ca="1">COUNTIF('Data-WK'!A:A,'V1'!B:B)</f>
        <v>1</v>
      </c>
      <c r="N893" s="29" t="e">
        <f ca="1">VLOOKUP(E893,'IFRS only'!A:A,1,0)</f>
        <v>#N/A</v>
      </c>
      <c r="P893" s="89"/>
    </row>
    <row r="894" spans="1:16" s="29" customFormat="1">
      <c r="A894" s="17" t="s">
        <v>10</v>
      </c>
      <c r="B894" s="17">
        <v>6910000005</v>
      </c>
      <c r="C894" s="78" t="s">
        <v>4600</v>
      </c>
      <c r="D894" s="3" t="s">
        <v>572</v>
      </c>
      <c r="E894" s="17" t="s">
        <v>2988</v>
      </c>
      <c r="F894" s="17" t="s">
        <v>3535</v>
      </c>
      <c r="G894" s="17" t="s">
        <v>3535</v>
      </c>
      <c r="H894" s="17" t="s">
        <v>3536</v>
      </c>
      <c r="I894" s="17" t="s">
        <v>3545</v>
      </c>
      <c r="J894" s="17" t="s">
        <v>9</v>
      </c>
      <c r="K894" s="49" t="s">
        <v>1341</v>
      </c>
      <c r="L894" s="4" t="str">
        <f ca="1">IF(ISERROR(VLOOKUP(B894,'ETL Scope'!I:I,1,0)),"NA","ETL")</f>
        <v>NA</v>
      </c>
      <c r="M894" s="29">
        <f ca="1">COUNTIF('Data-WK'!A:A,'V1'!B:B)</f>
        <v>1</v>
      </c>
      <c r="N894" s="29" t="e">
        <f ca="1">VLOOKUP(E894,'IFRS only'!A:A,1,0)</f>
        <v>#N/A</v>
      </c>
      <c r="P894" s="89"/>
    </row>
    <row r="895" spans="1:16" s="29" customFormat="1">
      <c r="A895" s="17" t="s">
        <v>10</v>
      </c>
      <c r="B895" s="17">
        <v>6910000006</v>
      </c>
      <c r="C895" s="78" t="s">
        <v>4600</v>
      </c>
      <c r="D895" s="3" t="s">
        <v>573</v>
      </c>
      <c r="E895" s="17" t="s">
        <v>2989</v>
      </c>
      <c r="F895" s="17" t="s">
        <v>3535</v>
      </c>
      <c r="G895" s="17" t="s">
        <v>3535</v>
      </c>
      <c r="H895" s="17" t="s">
        <v>3536</v>
      </c>
      <c r="I895" s="17" t="s">
        <v>3545</v>
      </c>
      <c r="J895" s="17" t="s">
        <v>9</v>
      </c>
      <c r="K895" s="49" t="s">
        <v>1341</v>
      </c>
      <c r="L895" s="4" t="str">
        <f ca="1">IF(ISERROR(VLOOKUP(B895,'ETL Scope'!I:I,1,0)),"NA","ETL")</f>
        <v>NA</v>
      </c>
      <c r="M895" s="29">
        <f ca="1">COUNTIF('Data-WK'!A:A,'V1'!B:B)</f>
        <v>1</v>
      </c>
      <c r="N895" s="29" t="e">
        <f ca="1">VLOOKUP(E895,'IFRS only'!A:A,1,0)</f>
        <v>#N/A</v>
      </c>
      <c r="P895" s="89"/>
    </row>
    <row r="896" spans="1:16" s="29" customFormat="1">
      <c r="A896" s="17" t="s">
        <v>10</v>
      </c>
      <c r="B896" s="17">
        <v>6910000007</v>
      </c>
      <c r="C896" s="78" t="s">
        <v>4600</v>
      </c>
      <c r="D896" s="3" t="s">
        <v>574</v>
      </c>
      <c r="E896" s="17" t="s">
        <v>2990</v>
      </c>
      <c r="F896" s="17" t="s">
        <v>3535</v>
      </c>
      <c r="G896" s="17" t="s">
        <v>3535</v>
      </c>
      <c r="H896" s="17" t="s">
        <v>3536</v>
      </c>
      <c r="I896" s="17" t="s">
        <v>3545</v>
      </c>
      <c r="J896" s="17" t="s">
        <v>9</v>
      </c>
      <c r="K896" s="49" t="s">
        <v>1341</v>
      </c>
      <c r="L896" s="4" t="str">
        <f ca="1">IF(ISERROR(VLOOKUP(B896,'ETL Scope'!I:I,1,0)),"NA","ETL")</f>
        <v>NA</v>
      </c>
      <c r="M896" s="29">
        <f ca="1">COUNTIF('Data-WK'!A:A,'V1'!B:B)</f>
        <v>1</v>
      </c>
      <c r="N896" s="29" t="e">
        <f ca="1">VLOOKUP(E896,'IFRS only'!A:A,1,0)</f>
        <v>#N/A</v>
      </c>
      <c r="P896" s="89"/>
    </row>
    <row r="897" spans="1:16" s="29" customFormat="1">
      <c r="A897" s="17" t="s">
        <v>10</v>
      </c>
      <c r="B897" s="17">
        <v>6910000008</v>
      </c>
      <c r="C897" s="78" t="s">
        <v>4600</v>
      </c>
      <c r="D897" s="3" t="s">
        <v>575</v>
      </c>
      <c r="E897" s="17" t="s">
        <v>2991</v>
      </c>
      <c r="F897" s="17" t="s">
        <v>3535</v>
      </c>
      <c r="G897" s="17" t="s">
        <v>3535</v>
      </c>
      <c r="H897" s="17" t="s">
        <v>3536</v>
      </c>
      <c r="I897" s="17" t="s">
        <v>3545</v>
      </c>
      <c r="J897" s="17" t="s">
        <v>9</v>
      </c>
      <c r="K897" s="49" t="s">
        <v>1341</v>
      </c>
      <c r="L897" s="4" t="str">
        <f ca="1">IF(ISERROR(VLOOKUP(B897,'ETL Scope'!I:I,1,0)),"NA","ETL")</f>
        <v>NA</v>
      </c>
      <c r="M897" s="29">
        <f ca="1">COUNTIF('Data-WK'!A:A,'V1'!B:B)</f>
        <v>1</v>
      </c>
      <c r="N897" s="29" t="e">
        <f ca="1">VLOOKUP(E897,'IFRS only'!A:A,1,0)</f>
        <v>#N/A</v>
      </c>
      <c r="P897" s="89"/>
    </row>
    <row r="898" spans="1:16" s="29" customFormat="1">
      <c r="A898" s="17" t="s">
        <v>10</v>
      </c>
      <c r="B898" s="17">
        <v>6910000009</v>
      </c>
      <c r="C898" s="78" t="s">
        <v>4600</v>
      </c>
      <c r="D898" s="3" t="s">
        <v>576</v>
      </c>
      <c r="E898" s="17" t="s">
        <v>2992</v>
      </c>
      <c r="F898" s="17" t="s">
        <v>3535</v>
      </c>
      <c r="G898" s="17" t="s">
        <v>3535</v>
      </c>
      <c r="H898" s="17" t="s">
        <v>3536</v>
      </c>
      <c r="I898" s="17" t="s">
        <v>3545</v>
      </c>
      <c r="J898" s="17" t="s">
        <v>9</v>
      </c>
      <c r="K898" s="49" t="s">
        <v>1341</v>
      </c>
      <c r="L898" s="4" t="str">
        <f ca="1">IF(ISERROR(VLOOKUP(B898,'ETL Scope'!I:I,1,0)),"NA","ETL")</f>
        <v>NA</v>
      </c>
      <c r="M898" s="29">
        <f ca="1">COUNTIF('Data-WK'!A:A,'V1'!B:B)</f>
        <v>1</v>
      </c>
      <c r="N898" s="29" t="e">
        <f ca="1">VLOOKUP(E898,'IFRS only'!A:A,1,0)</f>
        <v>#N/A</v>
      </c>
      <c r="P898" s="89"/>
    </row>
    <row r="899" spans="1:16" s="29" customFormat="1">
      <c r="A899" s="17" t="s">
        <v>10</v>
      </c>
      <c r="B899" s="17">
        <v>6910000010</v>
      </c>
      <c r="C899" s="78" t="s">
        <v>4600</v>
      </c>
      <c r="D899" s="3" t="s">
        <v>577</v>
      </c>
      <c r="E899" s="17" t="s">
        <v>2993</v>
      </c>
      <c r="F899" s="17" t="s">
        <v>3535</v>
      </c>
      <c r="G899" s="17" t="s">
        <v>3535</v>
      </c>
      <c r="H899" s="17" t="s">
        <v>3536</v>
      </c>
      <c r="I899" s="17" t="s">
        <v>3545</v>
      </c>
      <c r="J899" s="17" t="s">
        <v>9</v>
      </c>
      <c r="K899" s="49" t="s">
        <v>1341</v>
      </c>
      <c r="L899" s="4" t="str">
        <f ca="1">IF(ISERROR(VLOOKUP(B899,'ETL Scope'!I:I,1,0)),"NA","ETL")</f>
        <v>NA</v>
      </c>
      <c r="M899" s="29">
        <f ca="1">COUNTIF('Data-WK'!A:A,'V1'!B:B)</f>
        <v>1</v>
      </c>
      <c r="N899" s="29" t="e">
        <f ca="1">VLOOKUP(E899,'IFRS only'!A:A,1,0)</f>
        <v>#N/A</v>
      </c>
      <c r="P899" s="89"/>
    </row>
    <row r="900" spans="1:16" s="29" customFormat="1">
      <c r="A900" s="17" t="s">
        <v>10</v>
      </c>
      <c r="B900" s="17">
        <v>6910000011</v>
      </c>
      <c r="C900" s="78" t="s">
        <v>4600</v>
      </c>
      <c r="D900" s="3" t="s">
        <v>578</v>
      </c>
      <c r="E900" s="17" t="s">
        <v>2994</v>
      </c>
      <c r="F900" s="17" t="s">
        <v>3535</v>
      </c>
      <c r="G900" s="17" t="s">
        <v>3535</v>
      </c>
      <c r="H900" s="17" t="s">
        <v>3536</v>
      </c>
      <c r="I900" s="17" t="s">
        <v>3545</v>
      </c>
      <c r="J900" s="17" t="s">
        <v>9</v>
      </c>
      <c r="K900" s="49" t="s">
        <v>1341</v>
      </c>
      <c r="L900" s="4" t="str">
        <f ca="1">IF(ISERROR(VLOOKUP(B900,'ETL Scope'!I:I,1,0)),"NA","ETL")</f>
        <v>NA</v>
      </c>
      <c r="M900" s="29">
        <f ca="1">COUNTIF('Data-WK'!A:A,'V1'!B:B)</f>
        <v>1</v>
      </c>
      <c r="N900" s="29" t="e">
        <f ca="1">VLOOKUP(E900,'IFRS only'!A:A,1,0)</f>
        <v>#N/A</v>
      </c>
      <c r="P900" s="89"/>
    </row>
    <row r="901" spans="1:16" s="29" customFormat="1">
      <c r="A901" s="17" t="s">
        <v>10</v>
      </c>
      <c r="B901" s="17">
        <v>6910000012</v>
      </c>
      <c r="C901" s="78" t="s">
        <v>4600</v>
      </c>
      <c r="D901" s="3" t="s">
        <v>3470</v>
      </c>
      <c r="E901" s="17" t="s">
        <v>2995</v>
      </c>
      <c r="F901" s="17" t="s">
        <v>3535</v>
      </c>
      <c r="G901" s="17" t="s">
        <v>3535</v>
      </c>
      <c r="H901" s="17" t="s">
        <v>3536</v>
      </c>
      <c r="I901" s="17" t="s">
        <v>3545</v>
      </c>
      <c r="J901" s="17" t="s">
        <v>9</v>
      </c>
      <c r="K901" s="49" t="s">
        <v>1341</v>
      </c>
      <c r="L901" s="4" t="str">
        <f ca="1">IF(ISERROR(VLOOKUP(B901,'ETL Scope'!I:I,1,0)),"NA","ETL")</f>
        <v>NA</v>
      </c>
      <c r="M901" s="29">
        <f ca="1">COUNTIF('Data-WK'!A:A,'V1'!B:B)</f>
        <v>1</v>
      </c>
      <c r="N901" s="29" t="e">
        <f ca="1">VLOOKUP(E901,'IFRS only'!A:A,1,0)</f>
        <v>#N/A</v>
      </c>
      <c r="P901" s="89"/>
    </row>
    <row r="902" spans="1:16" s="29" customFormat="1">
      <c r="A902" s="17" t="s">
        <v>10</v>
      </c>
      <c r="B902" s="17">
        <v>6910000013</v>
      </c>
      <c r="C902" s="78" t="s">
        <v>4600</v>
      </c>
      <c r="D902" s="3" t="s">
        <v>580</v>
      </c>
      <c r="E902" s="17" t="s">
        <v>2996</v>
      </c>
      <c r="F902" s="17" t="s">
        <v>3535</v>
      </c>
      <c r="G902" s="17" t="s">
        <v>3535</v>
      </c>
      <c r="H902" s="17" t="s">
        <v>3536</v>
      </c>
      <c r="I902" s="17" t="s">
        <v>3545</v>
      </c>
      <c r="J902" s="17" t="s">
        <v>9</v>
      </c>
      <c r="K902" s="49" t="s">
        <v>1341</v>
      </c>
      <c r="L902" s="4" t="str">
        <f ca="1">IF(ISERROR(VLOOKUP(B902,'ETL Scope'!I:I,1,0)),"NA","ETL")</f>
        <v>NA</v>
      </c>
      <c r="M902" s="29">
        <f ca="1">COUNTIF('Data-WK'!A:A,'V1'!B:B)</f>
        <v>1</v>
      </c>
      <c r="N902" s="29" t="e">
        <f ca="1">VLOOKUP(E902,'IFRS only'!A:A,1,0)</f>
        <v>#N/A</v>
      </c>
      <c r="P902" s="89"/>
    </row>
    <row r="903" spans="1:16" s="29" customFormat="1">
      <c r="A903" s="17" t="s">
        <v>10</v>
      </c>
      <c r="B903" s="17">
        <v>6910000014</v>
      </c>
      <c r="C903" s="78" t="s">
        <v>4600</v>
      </c>
      <c r="D903" s="3" t="s">
        <v>3471</v>
      </c>
      <c r="E903" s="17" t="s">
        <v>2997</v>
      </c>
      <c r="F903" s="17" t="s">
        <v>3535</v>
      </c>
      <c r="G903" s="17" t="s">
        <v>3535</v>
      </c>
      <c r="H903" s="17" t="s">
        <v>3536</v>
      </c>
      <c r="I903" s="17" t="s">
        <v>3545</v>
      </c>
      <c r="J903" s="17" t="s">
        <v>9</v>
      </c>
      <c r="K903" s="49" t="s">
        <v>1341</v>
      </c>
      <c r="L903" s="4" t="str">
        <f ca="1">IF(ISERROR(VLOOKUP(B903,'ETL Scope'!I:I,1,0)),"NA","ETL")</f>
        <v>NA</v>
      </c>
      <c r="M903" s="29">
        <f ca="1">COUNTIF('Data-WK'!A:A,'V1'!B:B)</f>
        <v>1</v>
      </c>
      <c r="N903" s="29" t="e">
        <f ca="1">VLOOKUP(E903,'IFRS only'!A:A,1,0)</f>
        <v>#N/A</v>
      </c>
      <c r="P903" s="89"/>
    </row>
    <row r="904" spans="1:16" s="29" customFormat="1">
      <c r="A904" s="17" t="s">
        <v>10</v>
      </c>
      <c r="B904" s="17">
        <v>6910000015</v>
      </c>
      <c r="C904" s="78" t="s">
        <v>4600</v>
      </c>
      <c r="D904" s="3" t="s">
        <v>582</v>
      </c>
      <c r="E904" s="17" t="s">
        <v>2998</v>
      </c>
      <c r="F904" s="17" t="s">
        <v>3535</v>
      </c>
      <c r="G904" s="17" t="s">
        <v>3535</v>
      </c>
      <c r="H904" s="17" t="s">
        <v>3536</v>
      </c>
      <c r="I904" s="17" t="s">
        <v>3545</v>
      </c>
      <c r="J904" s="17" t="s">
        <v>9</v>
      </c>
      <c r="K904" s="49" t="s">
        <v>1341</v>
      </c>
      <c r="L904" s="4" t="str">
        <f ca="1">IF(ISERROR(VLOOKUP(B904,'ETL Scope'!I:I,1,0)),"NA","ETL")</f>
        <v>NA</v>
      </c>
      <c r="M904" s="29">
        <f ca="1">COUNTIF('Data-WK'!A:A,'V1'!B:B)</f>
        <v>1</v>
      </c>
      <c r="N904" s="29" t="e">
        <f ca="1">VLOOKUP(E904,'IFRS only'!A:A,1,0)</f>
        <v>#N/A</v>
      </c>
      <c r="P904" s="89"/>
    </row>
    <row r="905" spans="1:16" s="29" customFormat="1">
      <c r="A905" s="17" t="s">
        <v>10</v>
      </c>
      <c r="B905" s="17">
        <v>6910000016</v>
      </c>
      <c r="C905" s="78" t="s">
        <v>4600</v>
      </c>
      <c r="D905" s="3" t="s">
        <v>583</v>
      </c>
      <c r="E905" s="17" t="s">
        <v>2999</v>
      </c>
      <c r="F905" s="17" t="s">
        <v>3535</v>
      </c>
      <c r="G905" s="17" t="s">
        <v>3535</v>
      </c>
      <c r="H905" s="17" t="s">
        <v>3536</v>
      </c>
      <c r="I905" s="17" t="s">
        <v>3545</v>
      </c>
      <c r="J905" s="17" t="s">
        <v>9</v>
      </c>
      <c r="K905" s="49" t="s">
        <v>1341</v>
      </c>
      <c r="L905" s="4" t="str">
        <f ca="1">IF(ISERROR(VLOOKUP(B905,'ETL Scope'!I:I,1,0)),"NA","ETL")</f>
        <v>NA</v>
      </c>
      <c r="M905" s="29">
        <f ca="1">COUNTIF('Data-WK'!A:A,'V1'!B:B)</f>
        <v>1</v>
      </c>
      <c r="N905" s="29" t="e">
        <f ca="1">VLOOKUP(E905,'IFRS only'!A:A,1,0)</f>
        <v>#N/A</v>
      </c>
      <c r="P905" s="89"/>
    </row>
    <row r="906" spans="1:16" s="29" customFormat="1">
      <c r="A906" s="17" t="s">
        <v>10</v>
      </c>
      <c r="B906" s="17">
        <v>6910000017</v>
      </c>
      <c r="C906" s="78" t="s">
        <v>4600</v>
      </c>
      <c r="D906" s="3" t="s">
        <v>606</v>
      </c>
      <c r="E906" s="17" t="s">
        <v>3026</v>
      </c>
      <c r="F906" s="17" t="s">
        <v>3535</v>
      </c>
      <c r="G906" s="17" t="s">
        <v>3535</v>
      </c>
      <c r="H906" s="17" t="s">
        <v>3536</v>
      </c>
      <c r="I906" s="17" t="s">
        <v>3545</v>
      </c>
      <c r="J906" s="17" t="s">
        <v>9</v>
      </c>
      <c r="K906" s="49" t="s">
        <v>1341</v>
      </c>
      <c r="L906" s="4" t="str">
        <f ca="1">IF(ISERROR(VLOOKUP(B906,'ETL Scope'!I:I,1,0)),"NA","ETL")</f>
        <v>NA</v>
      </c>
      <c r="M906" s="29">
        <f ca="1">COUNTIF('Data-WK'!A:A,'V1'!B:B)</f>
        <v>1</v>
      </c>
      <c r="N906" s="29" t="e">
        <f ca="1">VLOOKUP(E906,'IFRS only'!A:A,1,0)</f>
        <v>#N/A</v>
      </c>
      <c r="P906" s="89"/>
    </row>
    <row r="907" spans="1:16" s="29" customFormat="1">
      <c r="A907" s="17" t="s">
        <v>10</v>
      </c>
      <c r="B907" s="17">
        <v>6910000018</v>
      </c>
      <c r="C907" s="78" t="s">
        <v>4600</v>
      </c>
      <c r="D907" s="3" t="s">
        <v>608</v>
      </c>
      <c r="E907" s="17" t="s">
        <v>3032</v>
      </c>
      <c r="F907" s="17" t="s">
        <v>3535</v>
      </c>
      <c r="G907" s="17" t="s">
        <v>3535</v>
      </c>
      <c r="H907" s="17" t="s">
        <v>3536</v>
      </c>
      <c r="I907" s="17" t="s">
        <v>3545</v>
      </c>
      <c r="J907" s="17" t="s">
        <v>9</v>
      </c>
      <c r="K907" s="49" t="s">
        <v>1341</v>
      </c>
      <c r="L907" s="4" t="str">
        <f ca="1">IF(ISERROR(VLOOKUP(B907,'ETL Scope'!I:I,1,0)),"NA","ETL")</f>
        <v>NA</v>
      </c>
      <c r="M907" s="29">
        <f ca="1">COUNTIF('Data-WK'!A:A,'V1'!B:B)</f>
        <v>1</v>
      </c>
      <c r="N907" s="29" t="e">
        <f ca="1">VLOOKUP(E907,'IFRS only'!A:A,1,0)</f>
        <v>#N/A</v>
      </c>
      <c r="P907" s="89"/>
    </row>
    <row r="908" spans="1:16" s="29" customFormat="1">
      <c r="A908" s="17" t="s">
        <v>10</v>
      </c>
      <c r="B908" s="17">
        <v>6910000019</v>
      </c>
      <c r="C908" s="78" t="s">
        <v>4600</v>
      </c>
      <c r="D908" s="3" t="s">
        <v>612</v>
      </c>
      <c r="E908" s="17" t="s">
        <v>3036</v>
      </c>
      <c r="F908" s="17" t="s">
        <v>3535</v>
      </c>
      <c r="G908" s="17" t="s">
        <v>3535</v>
      </c>
      <c r="H908" s="17" t="s">
        <v>3536</v>
      </c>
      <c r="I908" s="17" t="s">
        <v>3545</v>
      </c>
      <c r="J908" s="17" t="s">
        <v>9</v>
      </c>
      <c r="K908" s="49" t="s">
        <v>1341</v>
      </c>
      <c r="L908" s="4" t="str">
        <f ca="1">IF(ISERROR(VLOOKUP(B908,'ETL Scope'!I:I,1,0)),"NA","ETL")</f>
        <v>NA</v>
      </c>
      <c r="M908" s="29">
        <f ca="1">COUNTIF('Data-WK'!A:A,'V1'!B:B)</f>
        <v>1</v>
      </c>
      <c r="N908" s="29" t="e">
        <f ca="1">VLOOKUP(E908,'IFRS only'!A:A,1,0)</f>
        <v>#N/A</v>
      </c>
      <c r="P908" s="89"/>
    </row>
    <row r="909" spans="1:16" s="29" customFormat="1">
      <c r="A909" s="17" t="s">
        <v>10</v>
      </c>
      <c r="B909" s="17">
        <v>6910200000</v>
      </c>
      <c r="C909" s="78" t="s">
        <v>4601</v>
      </c>
      <c r="D909" s="3" t="s">
        <v>586</v>
      </c>
      <c r="E909" s="17" t="s">
        <v>3004</v>
      </c>
      <c r="F909" s="17" t="s">
        <v>3535</v>
      </c>
      <c r="G909" s="17" t="s">
        <v>3535</v>
      </c>
      <c r="H909" s="17" t="s">
        <v>3536</v>
      </c>
      <c r="I909" s="17" t="s">
        <v>3545</v>
      </c>
      <c r="J909" s="17" t="s">
        <v>9</v>
      </c>
      <c r="K909" s="49" t="s">
        <v>1348</v>
      </c>
      <c r="L909" s="4" t="str">
        <f ca="1">IF(ISERROR(VLOOKUP(B909,'ETL Scope'!I:I,1,0)),"NA","ETL")</f>
        <v>NA</v>
      </c>
      <c r="M909" s="29">
        <f ca="1">COUNTIF('Data-WK'!A:A,'V1'!B:B)</f>
        <v>1</v>
      </c>
      <c r="N909" s="29" t="e">
        <f ca="1">VLOOKUP(E909,'IFRS only'!A:A,1,0)</f>
        <v>#N/A</v>
      </c>
      <c r="P909" s="89"/>
    </row>
    <row r="910" spans="1:16" s="29" customFormat="1">
      <c r="A910" s="17" t="s">
        <v>10</v>
      </c>
      <c r="B910" s="17">
        <v>6910200001</v>
      </c>
      <c r="C910" s="78" t="s">
        <v>4601</v>
      </c>
      <c r="D910" s="3" t="s">
        <v>587</v>
      </c>
      <c r="E910" s="17" t="s">
        <v>3005</v>
      </c>
      <c r="F910" s="17" t="s">
        <v>3535</v>
      </c>
      <c r="G910" s="17" t="s">
        <v>3535</v>
      </c>
      <c r="H910" s="17" t="s">
        <v>3536</v>
      </c>
      <c r="I910" s="17" t="s">
        <v>3545</v>
      </c>
      <c r="J910" s="17" t="s">
        <v>9</v>
      </c>
      <c r="K910" s="49" t="s">
        <v>1348</v>
      </c>
      <c r="L910" s="4" t="str">
        <f ca="1">IF(ISERROR(VLOOKUP(B910,'ETL Scope'!I:I,1,0)),"NA","ETL")</f>
        <v>NA</v>
      </c>
      <c r="M910" s="29">
        <f ca="1">COUNTIF('Data-WK'!A:A,'V1'!B:B)</f>
        <v>1</v>
      </c>
      <c r="N910" s="29" t="e">
        <f ca="1">VLOOKUP(E910,'IFRS only'!A:A,1,0)</f>
        <v>#N/A</v>
      </c>
      <c r="P910" s="89"/>
    </row>
    <row r="911" spans="1:16" s="29" customFormat="1">
      <c r="A911" s="17" t="s">
        <v>10</v>
      </c>
      <c r="B911" s="17">
        <v>6910200002</v>
      </c>
      <c r="C911" s="78" t="s">
        <v>4601</v>
      </c>
      <c r="D911" s="3" t="s">
        <v>588</v>
      </c>
      <c r="E911" s="17" t="s">
        <v>3008</v>
      </c>
      <c r="F911" s="17" t="s">
        <v>3535</v>
      </c>
      <c r="G911" s="17" t="s">
        <v>3535</v>
      </c>
      <c r="H911" s="17" t="s">
        <v>3536</v>
      </c>
      <c r="I911" s="17" t="s">
        <v>3545</v>
      </c>
      <c r="J911" s="17" t="s">
        <v>9</v>
      </c>
      <c r="K911" s="49" t="s">
        <v>1348</v>
      </c>
      <c r="L911" s="4" t="str">
        <f ca="1">IF(ISERROR(VLOOKUP(B911,'ETL Scope'!I:I,1,0)),"NA","ETL")</f>
        <v>NA</v>
      </c>
      <c r="M911" s="29">
        <f ca="1">COUNTIF('Data-WK'!A:A,'V1'!B:B)</f>
        <v>1</v>
      </c>
      <c r="N911" s="29" t="e">
        <f ca="1">VLOOKUP(E911,'IFRS only'!A:A,1,0)</f>
        <v>#N/A</v>
      </c>
      <c r="P911" s="89"/>
    </row>
    <row r="912" spans="1:16" s="29" customFormat="1">
      <c r="A912" s="17" t="s">
        <v>10</v>
      </c>
      <c r="B912" s="17">
        <v>6910200003</v>
      </c>
      <c r="C912" s="78" t="s">
        <v>4601</v>
      </c>
      <c r="D912" s="3" t="s">
        <v>590</v>
      </c>
      <c r="E912" s="17" t="s">
        <v>3010</v>
      </c>
      <c r="F912" s="17" t="s">
        <v>3535</v>
      </c>
      <c r="G912" s="17" t="s">
        <v>3535</v>
      </c>
      <c r="H912" s="17" t="s">
        <v>3536</v>
      </c>
      <c r="I912" s="17" t="s">
        <v>3545</v>
      </c>
      <c r="J912" s="17" t="s">
        <v>9</v>
      </c>
      <c r="K912" s="49" t="s">
        <v>1348</v>
      </c>
      <c r="L912" s="4" t="str">
        <f ca="1">IF(ISERROR(VLOOKUP(B912,'ETL Scope'!I:I,1,0)),"NA","ETL")</f>
        <v>NA</v>
      </c>
      <c r="M912" s="29">
        <f ca="1">COUNTIF('Data-WK'!A:A,'V1'!B:B)</f>
        <v>1</v>
      </c>
      <c r="N912" s="29" t="e">
        <f ca="1">VLOOKUP(E912,'IFRS only'!A:A,1,0)</f>
        <v>#N/A</v>
      </c>
      <c r="P912" s="89"/>
    </row>
    <row r="913" spans="1:16" s="29" customFormat="1">
      <c r="A913" s="17" t="s">
        <v>10</v>
      </c>
      <c r="B913" s="17">
        <v>6910200004</v>
      </c>
      <c r="C913" s="78" t="s">
        <v>4601</v>
      </c>
      <c r="D913" s="3" t="s">
        <v>591</v>
      </c>
      <c r="E913" s="17" t="s">
        <v>3011</v>
      </c>
      <c r="F913" s="17" t="s">
        <v>3535</v>
      </c>
      <c r="G913" s="17" t="s">
        <v>3535</v>
      </c>
      <c r="H913" s="17" t="s">
        <v>3536</v>
      </c>
      <c r="I913" s="17" t="s">
        <v>3545</v>
      </c>
      <c r="J913" s="17" t="s">
        <v>9</v>
      </c>
      <c r="K913" s="49" t="s">
        <v>1348</v>
      </c>
      <c r="L913" s="4" t="str">
        <f ca="1">IF(ISERROR(VLOOKUP(B913,'ETL Scope'!I:I,1,0)),"NA","ETL")</f>
        <v>NA</v>
      </c>
      <c r="M913" s="29">
        <f ca="1">COUNTIF('Data-WK'!A:A,'V1'!B:B)</f>
        <v>1</v>
      </c>
      <c r="N913" s="29" t="e">
        <f ca="1">VLOOKUP(E913,'IFRS only'!A:A,1,0)</f>
        <v>#N/A</v>
      </c>
      <c r="P913" s="89"/>
    </row>
    <row r="914" spans="1:16" s="29" customFormat="1">
      <c r="A914" s="17" t="s">
        <v>10</v>
      </c>
      <c r="B914" s="17">
        <v>6910200005</v>
      </c>
      <c r="C914" s="78" t="s">
        <v>4601</v>
      </c>
      <c r="D914" s="3" t="s">
        <v>592</v>
      </c>
      <c r="E914" s="17" t="s">
        <v>3012</v>
      </c>
      <c r="F914" s="17" t="s">
        <v>3535</v>
      </c>
      <c r="G914" s="17" t="s">
        <v>3535</v>
      </c>
      <c r="H914" s="17" t="s">
        <v>3536</v>
      </c>
      <c r="I914" s="17" t="s">
        <v>3545</v>
      </c>
      <c r="J914" s="17" t="s">
        <v>9</v>
      </c>
      <c r="K914" s="49" t="s">
        <v>1348</v>
      </c>
      <c r="L914" s="4" t="str">
        <f ca="1">IF(ISERROR(VLOOKUP(B914,'ETL Scope'!I:I,1,0)),"NA","ETL")</f>
        <v>NA</v>
      </c>
      <c r="M914" s="29">
        <f ca="1">COUNTIF('Data-WK'!A:A,'V1'!B:B)</f>
        <v>1</v>
      </c>
      <c r="N914" s="29" t="e">
        <f ca="1">VLOOKUP(E914,'IFRS only'!A:A,1,0)</f>
        <v>#N/A</v>
      </c>
      <c r="P914" s="89"/>
    </row>
    <row r="915" spans="1:16" s="29" customFormat="1">
      <c r="A915" s="17" t="s">
        <v>10</v>
      </c>
      <c r="B915" s="17">
        <v>6910200006</v>
      </c>
      <c r="C915" s="78" t="s">
        <v>4601</v>
      </c>
      <c r="D915" s="3" t="s">
        <v>593</v>
      </c>
      <c r="E915" s="17" t="s">
        <v>3013</v>
      </c>
      <c r="F915" s="17" t="s">
        <v>3535</v>
      </c>
      <c r="G915" s="17" t="s">
        <v>3535</v>
      </c>
      <c r="H915" s="17" t="s">
        <v>3536</v>
      </c>
      <c r="I915" s="17" t="s">
        <v>3545</v>
      </c>
      <c r="J915" s="17" t="s">
        <v>9</v>
      </c>
      <c r="K915" s="49" t="s">
        <v>1348</v>
      </c>
      <c r="L915" s="4" t="str">
        <f ca="1">IF(ISERROR(VLOOKUP(B915,'ETL Scope'!I:I,1,0)),"NA","ETL")</f>
        <v>NA</v>
      </c>
      <c r="M915" s="29">
        <f ca="1">COUNTIF('Data-WK'!A:A,'V1'!B:B)</f>
        <v>1</v>
      </c>
      <c r="N915" s="29" t="e">
        <f ca="1">VLOOKUP(E915,'IFRS only'!A:A,1,0)</f>
        <v>#N/A</v>
      </c>
      <c r="P915" s="89"/>
    </row>
    <row r="916" spans="1:16" s="29" customFormat="1">
      <c r="A916" s="17" t="s">
        <v>10</v>
      </c>
      <c r="B916" s="17">
        <v>6910200007</v>
      </c>
      <c r="C916" s="78" t="s">
        <v>4601</v>
      </c>
      <c r="D916" s="3" t="s">
        <v>594</v>
      </c>
      <c r="E916" s="17" t="s">
        <v>3014</v>
      </c>
      <c r="F916" s="17" t="s">
        <v>3535</v>
      </c>
      <c r="G916" s="17" t="s">
        <v>3535</v>
      </c>
      <c r="H916" s="17" t="s">
        <v>3536</v>
      </c>
      <c r="I916" s="17" t="s">
        <v>3545</v>
      </c>
      <c r="J916" s="17" t="s">
        <v>9</v>
      </c>
      <c r="K916" s="49" t="s">
        <v>1348</v>
      </c>
      <c r="L916" s="4" t="str">
        <f ca="1">IF(ISERROR(VLOOKUP(B916,'ETL Scope'!I:I,1,0)),"NA","ETL")</f>
        <v>NA</v>
      </c>
      <c r="M916" s="29">
        <f ca="1">COUNTIF('Data-WK'!A:A,'V1'!B:B)</f>
        <v>1</v>
      </c>
      <c r="N916" s="29" t="e">
        <f ca="1">VLOOKUP(E916,'IFRS only'!A:A,1,0)</f>
        <v>#N/A</v>
      </c>
      <c r="P916" s="89"/>
    </row>
    <row r="917" spans="1:16" s="29" customFormat="1">
      <c r="A917" s="17" t="s">
        <v>10</v>
      </c>
      <c r="B917" s="17">
        <v>6910200008</v>
      </c>
      <c r="C917" s="78" t="s">
        <v>4601</v>
      </c>
      <c r="D917" s="3" t="s">
        <v>595</v>
      </c>
      <c r="E917" s="17" t="s">
        <v>3015</v>
      </c>
      <c r="F917" s="17" t="s">
        <v>3535</v>
      </c>
      <c r="G917" s="17" t="s">
        <v>3535</v>
      </c>
      <c r="H917" s="17" t="s">
        <v>3536</v>
      </c>
      <c r="I917" s="17" t="s">
        <v>3545</v>
      </c>
      <c r="J917" s="17" t="s">
        <v>9</v>
      </c>
      <c r="K917" s="49" t="s">
        <v>1348</v>
      </c>
      <c r="L917" s="4" t="str">
        <f ca="1">IF(ISERROR(VLOOKUP(B917,'ETL Scope'!I:I,1,0)),"NA","ETL")</f>
        <v>NA</v>
      </c>
      <c r="M917" s="29">
        <f ca="1">COUNTIF('Data-WK'!A:A,'V1'!B:B)</f>
        <v>1</v>
      </c>
      <c r="N917" s="29" t="e">
        <f ca="1">VLOOKUP(E917,'IFRS only'!A:A,1,0)</f>
        <v>#N/A</v>
      </c>
      <c r="P917" s="89"/>
    </row>
    <row r="918" spans="1:16" s="29" customFormat="1">
      <c r="A918" s="17" t="s">
        <v>10</v>
      </c>
      <c r="B918" s="17">
        <v>6910200009</v>
      </c>
      <c r="C918" s="78" t="s">
        <v>4601</v>
      </c>
      <c r="D918" s="3" t="s">
        <v>596</v>
      </c>
      <c r="E918" s="17" t="s">
        <v>3016</v>
      </c>
      <c r="F918" s="17" t="s">
        <v>3535</v>
      </c>
      <c r="G918" s="17" t="s">
        <v>3535</v>
      </c>
      <c r="H918" s="17" t="s">
        <v>3536</v>
      </c>
      <c r="I918" s="17" t="s">
        <v>3545</v>
      </c>
      <c r="J918" s="17" t="s">
        <v>9</v>
      </c>
      <c r="K918" s="49" t="s">
        <v>1348</v>
      </c>
      <c r="L918" s="4" t="str">
        <f ca="1">IF(ISERROR(VLOOKUP(B918,'ETL Scope'!I:I,1,0)),"NA","ETL")</f>
        <v>NA</v>
      </c>
      <c r="M918" s="29">
        <f ca="1">COUNTIF('Data-WK'!A:A,'V1'!B:B)</f>
        <v>1</v>
      </c>
      <c r="N918" s="29" t="e">
        <f ca="1">VLOOKUP(E918,'IFRS only'!A:A,1,0)</f>
        <v>#N/A</v>
      </c>
      <c r="P918" s="89"/>
    </row>
    <row r="919" spans="1:16" s="29" customFormat="1">
      <c r="A919" s="17" t="s">
        <v>10</v>
      </c>
      <c r="B919" s="17">
        <v>6910200010</v>
      </c>
      <c r="C919" s="78" t="s">
        <v>4601</v>
      </c>
      <c r="D919" s="3" t="s">
        <v>597</v>
      </c>
      <c r="E919" s="17" t="s">
        <v>3017</v>
      </c>
      <c r="F919" s="17" t="s">
        <v>3535</v>
      </c>
      <c r="G919" s="17" t="s">
        <v>3535</v>
      </c>
      <c r="H919" s="17" t="s">
        <v>3536</v>
      </c>
      <c r="I919" s="17" t="s">
        <v>3545</v>
      </c>
      <c r="J919" s="17" t="s">
        <v>9</v>
      </c>
      <c r="K919" s="49" t="s">
        <v>1348</v>
      </c>
      <c r="L919" s="4" t="str">
        <f ca="1">IF(ISERROR(VLOOKUP(B919,'ETL Scope'!I:I,1,0)),"NA","ETL")</f>
        <v>NA</v>
      </c>
      <c r="M919" s="29">
        <f ca="1">COUNTIF('Data-WK'!A:A,'V1'!B:B)</f>
        <v>1</v>
      </c>
      <c r="N919" s="29" t="e">
        <f ca="1">VLOOKUP(E919,'IFRS only'!A:A,1,0)</f>
        <v>#N/A</v>
      </c>
      <c r="P919" s="89"/>
    </row>
    <row r="920" spans="1:16" s="29" customFormat="1">
      <c r="A920" s="17" t="s">
        <v>10</v>
      </c>
      <c r="B920" s="17">
        <v>6910200011</v>
      </c>
      <c r="C920" s="78" t="s">
        <v>4601</v>
      </c>
      <c r="D920" s="3" t="s">
        <v>598</v>
      </c>
      <c r="E920" s="17" t="s">
        <v>3018</v>
      </c>
      <c r="F920" s="17" t="s">
        <v>3535</v>
      </c>
      <c r="G920" s="17" t="s">
        <v>3535</v>
      </c>
      <c r="H920" s="17" t="s">
        <v>3536</v>
      </c>
      <c r="I920" s="17" t="s">
        <v>3545</v>
      </c>
      <c r="J920" s="17" t="s">
        <v>9</v>
      </c>
      <c r="K920" s="49" t="s">
        <v>1348</v>
      </c>
      <c r="L920" s="4" t="str">
        <f ca="1">IF(ISERROR(VLOOKUP(B920,'ETL Scope'!I:I,1,0)),"NA","ETL")</f>
        <v>NA</v>
      </c>
      <c r="M920" s="29">
        <f ca="1">COUNTIF('Data-WK'!A:A,'V1'!B:B)</f>
        <v>1</v>
      </c>
      <c r="N920" s="29" t="e">
        <f ca="1">VLOOKUP(E920,'IFRS only'!A:A,1,0)</f>
        <v>#N/A</v>
      </c>
      <c r="P920" s="89"/>
    </row>
    <row r="921" spans="1:16" s="29" customFormat="1">
      <c r="A921" s="17" t="s">
        <v>10</v>
      </c>
      <c r="B921" s="17">
        <v>6910200012</v>
      </c>
      <c r="C921" s="78" t="s">
        <v>4601</v>
      </c>
      <c r="D921" s="3" t="s">
        <v>599</v>
      </c>
      <c r="E921" s="17" t="s">
        <v>3019</v>
      </c>
      <c r="F921" s="17" t="s">
        <v>3535</v>
      </c>
      <c r="G921" s="17" t="s">
        <v>3535</v>
      </c>
      <c r="H921" s="17" t="s">
        <v>3536</v>
      </c>
      <c r="I921" s="17" t="s">
        <v>3545</v>
      </c>
      <c r="J921" s="17" t="s">
        <v>9</v>
      </c>
      <c r="K921" s="49" t="s">
        <v>1348</v>
      </c>
      <c r="L921" s="4" t="str">
        <f ca="1">IF(ISERROR(VLOOKUP(B921,'ETL Scope'!I:I,1,0)),"NA","ETL")</f>
        <v>NA</v>
      </c>
      <c r="M921" s="29">
        <f ca="1">COUNTIF('Data-WK'!A:A,'V1'!B:B)</f>
        <v>1</v>
      </c>
      <c r="N921" s="29" t="e">
        <f ca="1">VLOOKUP(E921,'IFRS only'!A:A,1,0)</f>
        <v>#N/A</v>
      </c>
      <c r="P921" s="89"/>
    </row>
    <row r="922" spans="1:16" s="29" customFormat="1">
      <c r="A922" s="17" t="s">
        <v>10</v>
      </c>
      <c r="B922" s="17">
        <v>6910200013</v>
      </c>
      <c r="C922" s="78" t="s">
        <v>4601</v>
      </c>
      <c r="D922" s="3" t="s">
        <v>600</v>
      </c>
      <c r="E922" s="17" t="s">
        <v>3020</v>
      </c>
      <c r="F922" s="17" t="s">
        <v>3535</v>
      </c>
      <c r="G922" s="17" t="s">
        <v>3535</v>
      </c>
      <c r="H922" s="17" t="s">
        <v>3536</v>
      </c>
      <c r="I922" s="17" t="s">
        <v>3545</v>
      </c>
      <c r="J922" s="17" t="s">
        <v>9</v>
      </c>
      <c r="K922" s="49" t="s">
        <v>1348</v>
      </c>
      <c r="L922" s="4" t="str">
        <f ca="1">IF(ISERROR(VLOOKUP(B922,'ETL Scope'!I:I,1,0)),"NA","ETL")</f>
        <v>NA</v>
      </c>
      <c r="M922" s="29">
        <f ca="1">COUNTIF('Data-WK'!A:A,'V1'!B:B)</f>
        <v>1</v>
      </c>
      <c r="N922" s="29" t="e">
        <f ca="1">VLOOKUP(E922,'IFRS only'!A:A,1,0)</f>
        <v>#N/A</v>
      </c>
      <c r="P922" s="89"/>
    </row>
    <row r="923" spans="1:16" s="29" customFormat="1">
      <c r="A923" s="17" t="s">
        <v>10</v>
      </c>
      <c r="B923" s="17">
        <v>6910200014</v>
      </c>
      <c r="C923" s="78" t="s">
        <v>4601</v>
      </c>
      <c r="D923" s="3" t="s">
        <v>601</v>
      </c>
      <c r="E923" s="17" t="s">
        <v>3021</v>
      </c>
      <c r="F923" s="17" t="s">
        <v>3535</v>
      </c>
      <c r="G923" s="17" t="s">
        <v>3535</v>
      </c>
      <c r="H923" s="17" t="s">
        <v>3536</v>
      </c>
      <c r="I923" s="17" t="s">
        <v>3545</v>
      </c>
      <c r="J923" s="17" t="s">
        <v>9</v>
      </c>
      <c r="K923" s="49" t="s">
        <v>1348</v>
      </c>
      <c r="L923" s="4" t="str">
        <f ca="1">IF(ISERROR(VLOOKUP(B923,'ETL Scope'!I:I,1,0)),"NA","ETL")</f>
        <v>NA</v>
      </c>
      <c r="M923" s="29">
        <f ca="1">COUNTIF('Data-WK'!A:A,'V1'!B:B)</f>
        <v>1</v>
      </c>
      <c r="N923" s="29" t="e">
        <f ca="1">VLOOKUP(E923,'IFRS only'!A:A,1,0)</f>
        <v>#N/A</v>
      </c>
      <c r="P923" s="89"/>
    </row>
    <row r="924" spans="1:16" s="29" customFormat="1">
      <c r="A924" s="17" t="s">
        <v>10</v>
      </c>
      <c r="B924" s="17">
        <v>6910200015</v>
      </c>
      <c r="C924" s="78" t="s">
        <v>4601</v>
      </c>
      <c r="D924" s="3" t="s">
        <v>602</v>
      </c>
      <c r="E924" s="17" t="s">
        <v>3022</v>
      </c>
      <c r="F924" s="17" t="s">
        <v>3535</v>
      </c>
      <c r="G924" s="17" t="s">
        <v>3535</v>
      </c>
      <c r="H924" s="17" t="s">
        <v>3536</v>
      </c>
      <c r="I924" s="17" t="s">
        <v>3545</v>
      </c>
      <c r="J924" s="17" t="s">
        <v>9</v>
      </c>
      <c r="K924" s="49" t="s">
        <v>1348</v>
      </c>
      <c r="L924" s="4" t="str">
        <f ca="1">IF(ISERROR(VLOOKUP(B924,'ETL Scope'!I:I,1,0)),"NA","ETL")</f>
        <v>NA</v>
      </c>
      <c r="M924" s="29">
        <f ca="1">COUNTIF('Data-WK'!A:A,'V1'!B:B)</f>
        <v>1</v>
      </c>
      <c r="N924" s="29" t="e">
        <f ca="1">VLOOKUP(E924,'IFRS only'!A:A,1,0)</f>
        <v>#N/A</v>
      </c>
      <c r="P924" s="89"/>
    </row>
    <row r="925" spans="1:16" s="29" customFormat="1">
      <c r="A925" s="17" t="s">
        <v>10</v>
      </c>
      <c r="B925" s="17">
        <v>6910200016</v>
      </c>
      <c r="C925" s="78" t="s">
        <v>4601</v>
      </c>
      <c r="D925" s="3" t="s">
        <v>603</v>
      </c>
      <c r="E925" s="17" t="s">
        <v>3023</v>
      </c>
      <c r="F925" s="17" t="s">
        <v>3535</v>
      </c>
      <c r="G925" s="17" t="s">
        <v>3535</v>
      </c>
      <c r="H925" s="17" t="s">
        <v>3536</v>
      </c>
      <c r="I925" s="17" t="s">
        <v>3545</v>
      </c>
      <c r="J925" s="17" t="s">
        <v>9</v>
      </c>
      <c r="K925" s="49" t="s">
        <v>1348</v>
      </c>
      <c r="L925" s="4" t="str">
        <f ca="1">IF(ISERROR(VLOOKUP(B925,'ETL Scope'!I:I,1,0)),"NA","ETL")</f>
        <v>NA</v>
      </c>
      <c r="M925" s="29">
        <f ca="1">COUNTIF('Data-WK'!A:A,'V1'!B:B)</f>
        <v>1</v>
      </c>
      <c r="N925" s="29" t="e">
        <f ca="1">VLOOKUP(E925,'IFRS only'!A:A,1,0)</f>
        <v>#N/A</v>
      </c>
      <c r="P925" s="89"/>
    </row>
    <row r="926" spans="1:16" s="29" customFormat="1">
      <c r="A926" s="17" t="s">
        <v>10</v>
      </c>
      <c r="B926" s="17">
        <v>6910200017</v>
      </c>
      <c r="C926" s="78" t="s">
        <v>4601</v>
      </c>
      <c r="D926" s="3" t="s">
        <v>607</v>
      </c>
      <c r="E926" s="17" t="s">
        <v>3027</v>
      </c>
      <c r="F926" s="17" t="s">
        <v>3535</v>
      </c>
      <c r="G926" s="17" t="s">
        <v>3535</v>
      </c>
      <c r="H926" s="17" t="s">
        <v>3536</v>
      </c>
      <c r="I926" s="17" t="s">
        <v>3545</v>
      </c>
      <c r="J926" s="17" t="s">
        <v>9</v>
      </c>
      <c r="K926" s="49" t="s">
        <v>1348</v>
      </c>
      <c r="L926" s="4" t="str">
        <f ca="1">IF(ISERROR(VLOOKUP(B926,'ETL Scope'!I:I,1,0)),"NA","ETL")</f>
        <v>NA</v>
      </c>
      <c r="M926" s="29">
        <f ca="1">COUNTIF('Data-WK'!A:A,'V1'!B:B)</f>
        <v>1</v>
      </c>
      <c r="N926" s="29" t="e">
        <f ca="1">VLOOKUP(E926,'IFRS only'!A:A,1,0)</f>
        <v>#N/A</v>
      </c>
      <c r="P926" s="89"/>
    </row>
    <row r="927" spans="1:16" s="29" customFormat="1">
      <c r="A927" s="17" t="s">
        <v>10</v>
      </c>
      <c r="B927" s="17">
        <v>6910200018</v>
      </c>
      <c r="C927" s="78" t="s">
        <v>4601</v>
      </c>
      <c r="D927" s="3" t="s">
        <v>609</v>
      </c>
      <c r="E927" s="17" t="s">
        <v>3033</v>
      </c>
      <c r="F927" s="17" t="s">
        <v>3535</v>
      </c>
      <c r="G927" s="17" t="s">
        <v>3535</v>
      </c>
      <c r="H927" s="17" t="s">
        <v>3536</v>
      </c>
      <c r="I927" s="17" t="s">
        <v>3545</v>
      </c>
      <c r="J927" s="17" t="s">
        <v>9</v>
      </c>
      <c r="K927" s="49" t="s">
        <v>1348</v>
      </c>
      <c r="L927" s="4" t="str">
        <f ca="1">IF(ISERROR(VLOOKUP(B927,'ETL Scope'!I:I,1,0)),"NA","ETL")</f>
        <v>NA</v>
      </c>
      <c r="M927" s="29">
        <f ca="1">COUNTIF('Data-WK'!A:A,'V1'!B:B)</f>
        <v>1</v>
      </c>
      <c r="N927" s="29" t="e">
        <f ca="1">VLOOKUP(E927,'IFRS only'!A:A,1,0)</f>
        <v>#N/A</v>
      </c>
      <c r="P927" s="89"/>
    </row>
    <row r="928" spans="1:16" s="29" customFormat="1">
      <c r="A928" s="17" t="s">
        <v>10</v>
      </c>
      <c r="B928" s="17">
        <v>6910200107</v>
      </c>
      <c r="C928" s="78" t="s">
        <v>4601</v>
      </c>
      <c r="D928" s="3" t="s">
        <v>620</v>
      </c>
      <c r="E928" s="17" t="s">
        <v>3044</v>
      </c>
      <c r="F928" s="17" t="s">
        <v>3535</v>
      </c>
      <c r="G928" s="17" t="s">
        <v>3535</v>
      </c>
      <c r="H928" s="17" t="s">
        <v>3536</v>
      </c>
      <c r="I928" s="17" t="s">
        <v>3545</v>
      </c>
      <c r="J928" s="17" t="s">
        <v>9</v>
      </c>
      <c r="K928" s="49" t="s">
        <v>1348</v>
      </c>
      <c r="L928" s="4" t="str">
        <f ca="1">IF(ISERROR(VLOOKUP(B928,'ETL Scope'!I:I,1,0)),"NA","ETL")</f>
        <v>NA</v>
      </c>
      <c r="M928" s="29">
        <f ca="1">COUNTIF('Data-WK'!A:A,'V1'!B:B)</f>
        <v>1</v>
      </c>
      <c r="N928" s="29" t="e">
        <f ca="1">VLOOKUP(E928,'IFRS only'!A:A,1,0)</f>
        <v>#N/A</v>
      </c>
      <c r="P928" s="89"/>
    </row>
    <row r="929" spans="1:16" s="29" customFormat="1">
      <c r="A929" s="17" t="s">
        <v>10</v>
      </c>
      <c r="B929" s="17">
        <v>6930101500</v>
      </c>
      <c r="C929" s="78" t="s">
        <v>4602</v>
      </c>
      <c r="D929" s="3" t="s">
        <v>4892</v>
      </c>
      <c r="E929" s="17" t="s">
        <v>4768</v>
      </c>
      <c r="F929" s="17" t="s">
        <v>3526</v>
      </c>
      <c r="G929" s="17" t="s">
        <v>3535</v>
      </c>
      <c r="H929" s="17" t="s">
        <v>3536</v>
      </c>
      <c r="I929" s="17" t="s">
        <v>3545</v>
      </c>
      <c r="J929" s="17" t="s">
        <v>9</v>
      </c>
      <c r="K929" s="49" t="s">
        <v>1297</v>
      </c>
      <c r="L929" s="4" t="str">
        <f ca="1">IF(ISERROR(VLOOKUP(B929,'ETL Scope'!I:I,1,0)),"NA","ETL")</f>
        <v>NA</v>
      </c>
      <c r="M929" s="29">
        <f ca="1">COUNTIF('Data-WK'!A:A,'V1'!B:B)</f>
        <v>1</v>
      </c>
      <c r="N929" s="29" t="e">
        <f ca="1">VLOOKUP(E929,'IFRS only'!A:A,1,0)</f>
        <v>#N/A</v>
      </c>
      <c r="P929" s="89"/>
    </row>
    <row r="930" spans="1:16" s="29" customFormat="1">
      <c r="A930" s="17" t="s">
        <v>10</v>
      </c>
      <c r="B930" s="17">
        <v>6951000000</v>
      </c>
      <c r="C930" s="78" t="s">
        <v>4603</v>
      </c>
      <c r="D930" s="3" t="s">
        <v>622</v>
      </c>
      <c r="E930" s="17" t="s">
        <v>3046</v>
      </c>
      <c r="F930" s="17" t="s">
        <v>3535</v>
      </c>
      <c r="G930" s="17" t="s">
        <v>3535</v>
      </c>
      <c r="H930" s="17" t="s">
        <v>3536</v>
      </c>
      <c r="I930" s="17" t="s">
        <v>3545</v>
      </c>
      <c r="J930" s="17" t="s">
        <v>9</v>
      </c>
      <c r="K930" s="49" t="s">
        <v>1233</v>
      </c>
      <c r="L930" s="4" t="str">
        <f ca="1">IF(ISERROR(VLOOKUP(B930,'ETL Scope'!I:I,1,0)),"NA","ETL")</f>
        <v>NA</v>
      </c>
      <c r="M930" s="29">
        <f ca="1">COUNTIF('Data-WK'!A:A,'V1'!B:B)</f>
        <v>1</v>
      </c>
      <c r="N930" s="29" t="e">
        <f ca="1">VLOOKUP(E930,'IFRS only'!A:A,1,0)</f>
        <v>#N/A</v>
      </c>
      <c r="P930" s="89"/>
    </row>
    <row r="931" spans="1:16" s="29" customFormat="1">
      <c r="A931" s="17" t="s">
        <v>10</v>
      </c>
      <c r="B931" s="17">
        <v>6951000001</v>
      </c>
      <c r="C931" s="78" t="s">
        <v>4603</v>
      </c>
      <c r="D931" s="3" t="s">
        <v>4893</v>
      </c>
      <c r="E931" s="17" t="s">
        <v>3146</v>
      </c>
      <c r="F931" s="17" t="s">
        <v>3535</v>
      </c>
      <c r="G931" s="17" t="s">
        <v>3535</v>
      </c>
      <c r="H931" s="17" t="s">
        <v>3536</v>
      </c>
      <c r="I931" s="17" t="s">
        <v>3545</v>
      </c>
      <c r="J931" s="17" t="s">
        <v>9</v>
      </c>
      <c r="K931" s="49" t="s">
        <v>1233</v>
      </c>
      <c r="L931" s="4" t="str">
        <f ca="1">IF(ISERROR(VLOOKUP(B931,'ETL Scope'!I:I,1,0)),"NA","ETL")</f>
        <v>NA</v>
      </c>
      <c r="M931" s="29">
        <f ca="1">COUNTIF('Data-WK'!A:A,'V1'!B:B)</f>
        <v>1</v>
      </c>
      <c r="N931" s="29" t="e">
        <f ca="1">VLOOKUP(E931,'IFRS only'!A:A,1,0)</f>
        <v>#N/A</v>
      </c>
      <c r="P931" s="89"/>
    </row>
    <row r="932" spans="1:16" s="29" customFormat="1">
      <c r="A932" s="17" t="s">
        <v>10</v>
      </c>
      <c r="B932" s="17">
        <v>6951200000</v>
      </c>
      <c r="C932" s="78" t="s">
        <v>4604</v>
      </c>
      <c r="D932" s="3" t="s">
        <v>624</v>
      </c>
      <c r="E932" s="17" t="s">
        <v>3048</v>
      </c>
      <c r="F932" s="17" t="s">
        <v>3535</v>
      </c>
      <c r="G932" s="17" t="s">
        <v>3535</v>
      </c>
      <c r="H932" s="17" t="s">
        <v>3536</v>
      </c>
      <c r="I932" s="17" t="s">
        <v>3545</v>
      </c>
      <c r="J932" s="17" t="s">
        <v>9</v>
      </c>
      <c r="K932" s="49" t="s">
        <v>1235</v>
      </c>
      <c r="L932" s="4" t="str">
        <f ca="1">IF(ISERROR(VLOOKUP(B932,'ETL Scope'!I:I,1,0)),"NA","ETL")</f>
        <v>NA</v>
      </c>
      <c r="M932" s="29">
        <f ca="1">COUNTIF('Data-WK'!A:A,'V1'!B:B)</f>
        <v>1</v>
      </c>
      <c r="N932" s="29" t="e">
        <f ca="1">VLOOKUP(E932,'IFRS only'!A:A,1,0)</f>
        <v>#N/A</v>
      </c>
      <c r="P932" s="89"/>
    </row>
    <row r="933" spans="1:16" s="29" customFormat="1">
      <c r="A933" s="17" t="s">
        <v>10</v>
      </c>
      <c r="B933" s="17">
        <v>6951200001</v>
      </c>
      <c r="C933" s="78" t="s">
        <v>4604</v>
      </c>
      <c r="D933" s="3" t="s">
        <v>4894</v>
      </c>
      <c r="E933" s="17" t="s">
        <v>3151</v>
      </c>
      <c r="F933" s="17" t="s">
        <v>3535</v>
      </c>
      <c r="G933" s="17" t="s">
        <v>3535</v>
      </c>
      <c r="H933" s="17" t="s">
        <v>3536</v>
      </c>
      <c r="I933" s="17" t="s">
        <v>3545</v>
      </c>
      <c r="J933" s="17" t="s">
        <v>9</v>
      </c>
      <c r="K933" s="49" t="s">
        <v>1235</v>
      </c>
      <c r="L933" s="4" t="str">
        <f ca="1">IF(ISERROR(VLOOKUP(B933,'ETL Scope'!I:I,1,0)),"NA","ETL")</f>
        <v>NA</v>
      </c>
      <c r="M933" s="29">
        <f ca="1">COUNTIF('Data-WK'!A:A,'V1'!B:B)</f>
        <v>1</v>
      </c>
      <c r="N933" s="29" t="e">
        <f ca="1">VLOOKUP(E933,'IFRS only'!A:A,1,0)</f>
        <v>#N/A</v>
      </c>
      <c r="P933" s="89"/>
    </row>
    <row r="934" spans="1:16" s="29" customFormat="1">
      <c r="A934" s="17" t="s">
        <v>10</v>
      </c>
      <c r="B934" s="17">
        <v>6952000000</v>
      </c>
      <c r="C934" s="78" t="s">
        <v>4605</v>
      </c>
      <c r="D934" s="3" t="s">
        <v>623</v>
      </c>
      <c r="E934" s="17" t="s">
        <v>3047</v>
      </c>
      <c r="F934" s="17" t="s">
        <v>3535</v>
      </c>
      <c r="G934" s="17" t="s">
        <v>3535</v>
      </c>
      <c r="H934" s="17" t="s">
        <v>3536</v>
      </c>
      <c r="I934" s="17" t="s">
        <v>3545</v>
      </c>
      <c r="J934" s="17" t="s">
        <v>9</v>
      </c>
      <c r="K934" s="49" t="s">
        <v>1234</v>
      </c>
      <c r="L934" s="4" t="str">
        <f ca="1">IF(ISERROR(VLOOKUP(B934,'ETL Scope'!I:I,1,0)),"NA","ETL")</f>
        <v>NA</v>
      </c>
      <c r="M934" s="29">
        <f ca="1">COUNTIF('Data-WK'!A:A,'V1'!B:B)</f>
        <v>1</v>
      </c>
      <c r="N934" s="29" t="e">
        <f ca="1">VLOOKUP(E934,'IFRS only'!A:A,1,0)</f>
        <v>#N/A</v>
      </c>
      <c r="P934" s="89"/>
    </row>
    <row r="935" spans="1:16" s="29" customFormat="1">
      <c r="A935" s="17" t="s">
        <v>10</v>
      </c>
      <c r="B935" s="17">
        <v>6952000001</v>
      </c>
      <c r="C935" s="78" t="s">
        <v>4605</v>
      </c>
      <c r="D935" s="3" t="s">
        <v>4895</v>
      </c>
      <c r="E935" s="17" t="s">
        <v>3141</v>
      </c>
      <c r="F935" s="17" t="s">
        <v>3535</v>
      </c>
      <c r="G935" s="17" t="s">
        <v>3535</v>
      </c>
      <c r="H935" s="17" t="s">
        <v>3536</v>
      </c>
      <c r="I935" s="17" t="s">
        <v>3545</v>
      </c>
      <c r="J935" s="17" t="s">
        <v>9</v>
      </c>
      <c r="K935" s="49" t="s">
        <v>1234</v>
      </c>
      <c r="L935" s="4" t="str">
        <f ca="1">IF(ISERROR(VLOOKUP(B935,'ETL Scope'!I:I,1,0)),"NA","ETL")</f>
        <v>NA</v>
      </c>
      <c r="M935" s="29">
        <f ca="1">COUNTIF('Data-WK'!A:A,'V1'!B:B)</f>
        <v>1</v>
      </c>
      <c r="N935" s="29" t="e">
        <f ca="1">VLOOKUP(E935,'IFRS only'!A:A,1,0)</f>
        <v>#N/A</v>
      </c>
      <c r="P935" s="89"/>
    </row>
    <row r="936" spans="1:16" s="29" customFormat="1">
      <c r="A936" s="17" t="s">
        <v>10</v>
      </c>
      <c r="B936" s="17">
        <v>6952000002</v>
      </c>
      <c r="C936" s="78" t="s">
        <v>4605</v>
      </c>
      <c r="D936" s="3" t="s">
        <v>4896</v>
      </c>
      <c r="E936" s="17" t="s">
        <v>3134</v>
      </c>
      <c r="F936" s="17" t="s">
        <v>3535</v>
      </c>
      <c r="G936" s="17" t="s">
        <v>3535</v>
      </c>
      <c r="H936" s="17" t="s">
        <v>3536</v>
      </c>
      <c r="I936" s="17" t="s">
        <v>3545</v>
      </c>
      <c r="J936" s="17" t="s">
        <v>9</v>
      </c>
      <c r="K936" s="49" t="s">
        <v>1234</v>
      </c>
      <c r="L936" s="4" t="str">
        <f ca="1">IF(ISERROR(VLOOKUP(B936,'ETL Scope'!I:I,1,0)),"NA","ETL")</f>
        <v>NA</v>
      </c>
      <c r="M936" s="29">
        <f ca="1">COUNTIF('Data-WK'!A:A,'V1'!B:B)</f>
        <v>1</v>
      </c>
      <c r="N936" s="29" t="e">
        <f ca="1">VLOOKUP(E936,'IFRS only'!A:A,1,0)</f>
        <v>#N/A</v>
      </c>
      <c r="P936" s="89"/>
    </row>
    <row r="937" spans="1:16" s="29" customFormat="1">
      <c r="A937" s="17" t="s">
        <v>10</v>
      </c>
      <c r="B937" s="17">
        <v>6952200000</v>
      </c>
      <c r="C937" s="78" t="s">
        <v>4606</v>
      </c>
      <c r="D937" s="3" t="s">
        <v>625</v>
      </c>
      <c r="E937" s="17" t="s">
        <v>3049</v>
      </c>
      <c r="F937" s="17" t="s">
        <v>3535</v>
      </c>
      <c r="G937" s="17" t="s">
        <v>3535</v>
      </c>
      <c r="H937" s="17" t="s">
        <v>3536</v>
      </c>
      <c r="I937" s="17" t="s">
        <v>3545</v>
      </c>
      <c r="J937" s="17" t="s">
        <v>9</v>
      </c>
      <c r="K937" s="49" t="s">
        <v>1236</v>
      </c>
      <c r="L937" s="4" t="str">
        <f ca="1">IF(ISERROR(VLOOKUP(B937,'ETL Scope'!I:I,1,0)),"NA","ETL")</f>
        <v>NA</v>
      </c>
      <c r="M937" s="29">
        <f ca="1">COUNTIF('Data-WK'!A:A,'V1'!B:B)</f>
        <v>1</v>
      </c>
      <c r="N937" s="29" t="e">
        <f ca="1">VLOOKUP(E937,'IFRS only'!A:A,1,0)</f>
        <v>#N/A</v>
      </c>
      <c r="P937" s="89"/>
    </row>
    <row r="938" spans="1:16" s="29" customFormat="1">
      <c r="A938" s="17" t="s">
        <v>10</v>
      </c>
      <c r="B938" s="17">
        <v>6952200001</v>
      </c>
      <c r="C938" s="78" t="s">
        <v>4606</v>
      </c>
      <c r="D938" s="3" t="s">
        <v>4897</v>
      </c>
      <c r="E938" s="17" t="s">
        <v>3150</v>
      </c>
      <c r="F938" s="17" t="s">
        <v>3535</v>
      </c>
      <c r="G938" s="17" t="s">
        <v>3535</v>
      </c>
      <c r="H938" s="17" t="s">
        <v>3536</v>
      </c>
      <c r="I938" s="17" t="s">
        <v>3545</v>
      </c>
      <c r="J938" s="17" t="s">
        <v>9</v>
      </c>
      <c r="K938" s="49" t="s">
        <v>1236</v>
      </c>
      <c r="L938" s="4" t="str">
        <f ca="1">IF(ISERROR(VLOOKUP(B938,'ETL Scope'!I:I,1,0)),"NA","ETL")</f>
        <v>NA</v>
      </c>
      <c r="M938" s="29">
        <f ca="1">COUNTIF('Data-WK'!A:A,'V1'!B:B)</f>
        <v>1</v>
      </c>
      <c r="N938" s="29" t="e">
        <f ca="1">VLOOKUP(E938,'IFRS only'!A:A,1,0)</f>
        <v>#N/A</v>
      </c>
      <c r="P938" s="89"/>
    </row>
    <row r="939" spans="1:16" s="29" customFormat="1">
      <c r="A939" s="17" t="s">
        <v>10</v>
      </c>
      <c r="B939" s="17">
        <v>6952200002</v>
      </c>
      <c r="C939" s="78" t="s">
        <v>4606</v>
      </c>
      <c r="D939" s="3" t="s">
        <v>4898</v>
      </c>
      <c r="E939" s="17" t="s">
        <v>3148</v>
      </c>
      <c r="F939" s="17" t="s">
        <v>3535</v>
      </c>
      <c r="G939" s="17" t="s">
        <v>3535</v>
      </c>
      <c r="H939" s="17" t="s">
        <v>3536</v>
      </c>
      <c r="I939" s="17" t="s">
        <v>3545</v>
      </c>
      <c r="J939" s="17" t="s">
        <v>9</v>
      </c>
      <c r="K939" s="49" t="s">
        <v>1236</v>
      </c>
      <c r="L939" s="4" t="str">
        <f ca="1">IF(ISERROR(VLOOKUP(B939,'ETL Scope'!I:I,1,0)),"NA","ETL")</f>
        <v>NA</v>
      </c>
      <c r="M939" s="29">
        <f ca="1">COUNTIF('Data-WK'!A:A,'V1'!B:B)</f>
        <v>1</v>
      </c>
      <c r="N939" s="29" t="e">
        <f ca="1">VLOOKUP(E939,'IFRS only'!A:A,1,0)</f>
        <v>#N/A</v>
      </c>
      <c r="P939" s="89"/>
    </row>
    <row r="940" spans="1:16" s="29" customFormat="1">
      <c r="A940" s="17" t="s">
        <v>10</v>
      </c>
      <c r="B940" s="17">
        <v>6953000000</v>
      </c>
      <c r="C940" s="78" t="s">
        <v>4607</v>
      </c>
      <c r="D940" s="3" t="s">
        <v>4899</v>
      </c>
      <c r="E940" s="17" t="s">
        <v>4769</v>
      </c>
      <c r="F940" s="17" t="s">
        <v>3535</v>
      </c>
      <c r="G940" s="17" t="s">
        <v>3535</v>
      </c>
      <c r="H940" s="17" t="s">
        <v>3536</v>
      </c>
      <c r="I940" s="17" t="s">
        <v>3545</v>
      </c>
      <c r="J940" s="17" t="s">
        <v>9</v>
      </c>
      <c r="K940" s="49" t="s">
        <v>1284</v>
      </c>
      <c r="L940" s="4" t="str">
        <f ca="1">IF(ISERROR(VLOOKUP(B940,'ETL Scope'!I:I,1,0)),"NA","ETL")</f>
        <v>NA</v>
      </c>
      <c r="M940" s="29">
        <f ca="1">COUNTIF('Data-WK'!A:A,'V1'!B:B)</f>
        <v>3</v>
      </c>
      <c r="N940" s="29" t="e">
        <f ca="1">VLOOKUP(E940,'IFRS only'!A:A,1,0)</f>
        <v>#N/A</v>
      </c>
      <c r="P940" s="89"/>
    </row>
    <row r="941" spans="1:16" s="29" customFormat="1">
      <c r="A941" s="17" t="s">
        <v>10</v>
      </c>
      <c r="B941" s="17">
        <v>6953000010</v>
      </c>
      <c r="C941" s="78" t="s">
        <v>4607</v>
      </c>
      <c r="D941" s="3" t="s">
        <v>4900</v>
      </c>
      <c r="E941" s="17" t="s">
        <v>3159</v>
      </c>
      <c r="F941" s="17" t="s">
        <v>3535</v>
      </c>
      <c r="G941" s="17" t="s">
        <v>3535</v>
      </c>
      <c r="H941" s="17" t="s">
        <v>3536</v>
      </c>
      <c r="I941" s="17" t="s">
        <v>3545</v>
      </c>
      <c r="J941" s="17" t="s">
        <v>9</v>
      </c>
      <c r="K941" s="49" t="s">
        <v>1284</v>
      </c>
      <c r="L941" s="4" t="str">
        <f ca="1">IF(ISERROR(VLOOKUP(B941,'ETL Scope'!I:I,1,0)),"NA","ETL")</f>
        <v>NA</v>
      </c>
      <c r="M941" s="29">
        <f ca="1">COUNTIF('Data-WK'!A:A,'V1'!B:B)</f>
        <v>1</v>
      </c>
      <c r="N941" s="29" t="e">
        <f ca="1">VLOOKUP(E941,'IFRS only'!A:A,1,0)</f>
        <v>#N/A</v>
      </c>
      <c r="P941" s="89"/>
    </row>
    <row r="942" spans="1:16" s="29" customFormat="1">
      <c r="A942" s="17" t="s">
        <v>10</v>
      </c>
      <c r="B942" s="17">
        <v>6953200000</v>
      </c>
      <c r="C942" s="78" t="s">
        <v>4608</v>
      </c>
      <c r="D942" s="3" t="s">
        <v>4901</v>
      </c>
      <c r="E942" s="17" t="s">
        <v>3138</v>
      </c>
      <c r="F942" s="17" t="s">
        <v>3535</v>
      </c>
      <c r="G942" s="17" t="s">
        <v>3535</v>
      </c>
      <c r="H942" s="17" t="s">
        <v>3536</v>
      </c>
      <c r="I942" s="17" t="s">
        <v>3545</v>
      </c>
      <c r="J942" s="17" t="s">
        <v>9</v>
      </c>
      <c r="K942" s="49" t="s">
        <v>1287</v>
      </c>
      <c r="L942" s="4" t="str">
        <f ca="1">IF(ISERROR(VLOOKUP(B942,'ETL Scope'!I:I,1,0)),"NA","ETL")</f>
        <v>NA</v>
      </c>
      <c r="M942" s="29">
        <f ca="1">COUNTIF('Data-WK'!A:A,'V1'!B:B)</f>
        <v>1</v>
      </c>
      <c r="N942" s="29" t="e">
        <f ca="1">VLOOKUP(E942,'IFRS only'!A:A,1,0)</f>
        <v>#N/A</v>
      </c>
      <c r="P942" s="89"/>
    </row>
    <row r="943" spans="1:16" s="29" customFormat="1">
      <c r="A943" s="17" t="s">
        <v>10</v>
      </c>
      <c r="B943" s="17">
        <v>6953200007</v>
      </c>
      <c r="C943" s="78" t="s">
        <v>4608</v>
      </c>
      <c r="D943" s="3" t="s">
        <v>4902</v>
      </c>
      <c r="E943" s="17" t="s">
        <v>3147</v>
      </c>
      <c r="F943" s="17" t="s">
        <v>3535</v>
      </c>
      <c r="G943" s="17" t="s">
        <v>3535</v>
      </c>
      <c r="H943" s="17" t="s">
        <v>3536</v>
      </c>
      <c r="I943" s="17" t="s">
        <v>3545</v>
      </c>
      <c r="J943" s="17" t="s">
        <v>9</v>
      </c>
      <c r="K943" s="49" t="s">
        <v>1287</v>
      </c>
      <c r="L943" s="4" t="str">
        <f ca="1">IF(ISERROR(VLOOKUP(B943,'ETL Scope'!I:I,1,0)),"NA","ETL")</f>
        <v>NA</v>
      </c>
      <c r="M943" s="29">
        <f ca="1">COUNTIF('Data-WK'!A:A,'V1'!B:B)</f>
        <v>1</v>
      </c>
      <c r="N943" s="29" t="e">
        <f ca="1">VLOOKUP(E943,'IFRS only'!A:A,1,0)</f>
        <v>#N/A</v>
      </c>
      <c r="P943" s="89"/>
    </row>
    <row r="944" spans="1:16" s="29" customFormat="1">
      <c r="A944" s="17" t="s">
        <v>10</v>
      </c>
      <c r="B944" s="17">
        <v>6953200010</v>
      </c>
      <c r="C944" s="78" t="s">
        <v>4608</v>
      </c>
      <c r="D944" s="3" t="s">
        <v>4903</v>
      </c>
      <c r="E944" s="17" t="s">
        <v>3161</v>
      </c>
      <c r="F944" s="17" t="s">
        <v>3535</v>
      </c>
      <c r="G944" s="17" t="s">
        <v>3535</v>
      </c>
      <c r="H944" s="17" t="s">
        <v>3536</v>
      </c>
      <c r="I944" s="17" t="s">
        <v>3545</v>
      </c>
      <c r="J944" s="17" t="s">
        <v>9</v>
      </c>
      <c r="K944" s="49" t="s">
        <v>1287</v>
      </c>
      <c r="L944" s="4" t="str">
        <f ca="1">IF(ISERROR(VLOOKUP(B944,'ETL Scope'!I:I,1,0)),"NA","ETL")</f>
        <v>NA</v>
      </c>
      <c r="M944" s="29">
        <f ca="1">COUNTIF('Data-WK'!A:A,'V1'!B:B)</f>
        <v>1</v>
      </c>
      <c r="N944" s="29" t="e">
        <f ca="1">VLOOKUP(E944,'IFRS only'!A:A,1,0)</f>
        <v>#N/A</v>
      </c>
      <c r="P944" s="89"/>
    </row>
    <row r="945" spans="1:16" s="29" customFormat="1">
      <c r="A945" s="17" t="s">
        <v>10</v>
      </c>
      <c r="B945" s="17">
        <v>6955020010</v>
      </c>
      <c r="C945" s="78" t="s">
        <v>4609</v>
      </c>
      <c r="D945" s="3" t="s">
        <v>4904</v>
      </c>
      <c r="E945" s="17" t="s">
        <v>2929</v>
      </c>
      <c r="F945" s="17" t="s">
        <v>9</v>
      </c>
      <c r="G945" s="17" t="s">
        <v>3535</v>
      </c>
      <c r="H945" s="17" t="s">
        <v>3536</v>
      </c>
      <c r="I945" s="17" t="s">
        <v>3545</v>
      </c>
      <c r="J945" s="17" t="s">
        <v>9</v>
      </c>
      <c r="K945" s="49" t="s">
        <v>1217</v>
      </c>
      <c r="L945" s="4" t="str">
        <f ca="1">IF(ISERROR(VLOOKUP(B945,'ETL Scope'!I:I,1,0)),"NA","ETL")</f>
        <v>NA</v>
      </c>
      <c r="M945" s="29">
        <f ca="1">COUNTIF('Data-WK'!A:A,'V1'!B:B)</f>
        <v>1</v>
      </c>
      <c r="N945" s="29" t="str">
        <f ca="1">VLOOKUP(E945,'IFRS only'!A:A,1,0)</f>
        <v>51060001</v>
      </c>
      <c r="P945" s="89"/>
    </row>
    <row r="946" spans="1:16" s="29" customFormat="1">
      <c r="A946" s="17" t="s">
        <v>10</v>
      </c>
      <c r="B946" s="17">
        <v>6955030010</v>
      </c>
      <c r="C946" s="78" t="s">
        <v>4610</v>
      </c>
      <c r="D946" s="3" t="s">
        <v>4905</v>
      </c>
      <c r="E946" s="17" t="s">
        <v>2930</v>
      </c>
      <c r="F946" s="17" t="s">
        <v>9</v>
      </c>
      <c r="G946" s="17" t="s">
        <v>3535</v>
      </c>
      <c r="H946" s="17" t="s">
        <v>3536</v>
      </c>
      <c r="I946" s="17" t="s">
        <v>3545</v>
      </c>
      <c r="J946" s="17" t="s">
        <v>9</v>
      </c>
      <c r="K946" s="49" t="s">
        <v>1218</v>
      </c>
      <c r="L946" s="4" t="str">
        <f ca="1">IF(ISERROR(VLOOKUP(B946,'ETL Scope'!I:I,1,0)),"NA","ETL")</f>
        <v>NA</v>
      </c>
      <c r="M946" s="29">
        <f ca="1">COUNTIF('Data-WK'!A:A,'V1'!B:B)</f>
        <v>1</v>
      </c>
      <c r="N946" s="29" t="str">
        <f ca="1">VLOOKUP(E946,'IFRS only'!A:A,1,0)</f>
        <v>51060002</v>
      </c>
      <c r="P946" s="89"/>
    </row>
    <row r="947" spans="1:16" s="29" customFormat="1">
      <c r="A947" s="17" t="s">
        <v>10</v>
      </c>
      <c r="B947" s="17">
        <v>6956010001</v>
      </c>
      <c r="C947" s="78" t="s">
        <v>4611</v>
      </c>
      <c r="D947" s="3" t="s">
        <v>626</v>
      </c>
      <c r="E947" s="17" t="s">
        <v>3050</v>
      </c>
      <c r="F947" s="17" t="s">
        <v>3535</v>
      </c>
      <c r="G947" s="17" t="s">
        <v>3535</v>
      </c>
      <c r="H947" s="17" t="s">
        <v>3536</v>
      </c>
      <c r="I947" s="17" t="s">
        <v>3545</v>
      </c>
      <c r="J947" s="17" t="s">
        <v>9</v>
      </c>
      <c r="K947" s="49" t="s">
        <v>5541</v>
      </c>
      <c r="L947" s="4" t="str">
        <f ca="1">IF(ISERROR(VLOOKUP(B947,'ETL Scope'!I:I,1,0)),"NA","ETL")</f>
        <v>NA</v>
      </c>
      <c r="M947" s="29">
        <f ca="1">COUNTIF('Data-WK'!A:A,'V1'!B:B)</f>
        <v>1</v>
      </c>
      <c r="N947" s="29" t="e">
        <f ca="1">VLOOKUP(E947,'IFRS only'!A:A,1,0)</f>
        <v>#N/A</v>
      </c>
      <c r="P947" s="89"/>
    </row>
    <row r="948" spans="1:16" s="29" customFormat="1">
      <c r="A948" s="17" t="s">
        <v>10</v>
      </c>
      <c r="B948" s="17">
        <v>6956010002</v>
      </c>
      <c r="C948" s="78" t="s">
        <v>4611</v>
      </c>
      <c r="D948" s="3" t="s">
        <v>627</v>
      </c>
      <c r="E948" s="17" t="s">
        <v>3051</v>
      </c>
      <c r="F948" s="17" t="s">
        <v>3535</v>
      </c>
      <c r="G948" s="17" t="s">
        <v>3535</v>
      </c>
      <c r="H948" s="17" t="s">
        <v>3536</v>
      </c>
      <c r="I948" s="17" t="s">
        <v>3545</v>
      </c>
      <c r="J948" s="17" t="s">
        <v>9</v>
      </c>
      <c r="K948" s="49" t="s">
        <v>5542</v>
      </c>
      <c r="L948" s="4" t="str">
        <f ca="1">IF(ISERROR(VLOOKUP(B948,'ETL Scope'!I:I,1,0)),"NA","ETL")</f>
        <v>NA</v>
      </c>
      <c r="M948" s="29">
        <f ca="1">COUNTIF('Data-WK'!A:A,'V1'!B:B)</f>
        <v>1</v>
      </c>
      <c r="N948" s="29" t="e">
        <f ca="1">VLOOKUP(E948,'IFRS only'!A:A,1,0)</f>
        <v>#N/A</v>
      </c>
      <c r="P948" s="89"/>
    </row>
    <row r="949" spans="1:16" s="29" customFormat="1">
      <c r="A949" s="17" t="s">
        <v>10</v>
      </c>
      <c r="B949" s="17">
        <v>6956010003</v>
      </c>
      <c r="C949" s="78" t="s">
        <v>4611</v>
      </c>
      <c r="D949" s="3" t="s">
        <v>628</v>
      </c>
      <c r="E949" s="17" t="s">
        <v>3052</v>
      </c>
      <c r="F949" s="17" t="s">
        <v>3535</v>
      </c>
      <c r="G949" s="17" t="s">
        <v>3535</v>
      </c>
      <c r="H949" s="17" t="s">
        <v>3536</v>
      </c>
      <c r="I949" s="17" t="s">
        <v>3545</v>
      </c>
      <c r="J949" s="17" t="s">
        <v>9</v>
      </c>
      <c r="K949" s="49" t="s">
        <v>5543</v>
      </c>
      <c r="L949" s="4" t="str">
        <f ca="1">IF(ISERROR(VLOOKUP(B949,'ETL Scope'!I:I,1,0)),"NA","ETL")</f>
        <v>NA</v>
      </c>
      <c r="M949" s="29">
        <f ca="1">COUNTIF('Data-WK'!A:A,'V1'!B:B)</f>
        <v>1</v>
      </c>
      <c r="N949" s="29" t="e">
        <f ca="1">VLOOKUP(E949,'IFRS only'!A:A,1,0)</f>
        <v>#N/A</v>
      </c>
      <c r="P949" s="89"/>
    </row>
    <row r="950" spans="1:16" s="29" customFormat="1">
      <c r="A950" s="17" t="s">
        <v>10</v>
      </c>
      <c r="B950" s="17">
        <v>6956020000</v>
      </c>
      <c r="C950" s="78" t="s">
        <v>4612</v>
      </c>
      <c r="D950" s="3" t="s">
        <v>4906</v>
      </c>
      <c r="E950" s="17" t="s">
        <v>3084</v>
      </c>
      <c r="F950" s="17" t="s">
        <v>3535</v>
      </c>
      <c r="G950" s="17" t="s">
        <v>3535</v>
      </c>
      <c r="H950" s="17" t="s">
        <v>3536</v>
      </c>
      <c r="I950" s="17" t="s">
        <v>3545</v>
      </c>
      <c r="J950" s="17" t="s">
        <v>9</v>
      </c>
      <c r="K950" s="49" t="s">
        <v>1254</v>
      </c>
      <c r="L950" s="4" t="str">
        <f ca="1">IF(ISERROR(VLOOKUP(B950,'ETL Scope'!I:I,1,0)),"NA","ETL")</f>
        <v>NA</v>
      </c>
      <c r="M950" s="29">
        <f ca="1">COUNTIF('Data-WK'!A:A,'V1'!B:B)</f>
        <v>1</v>
      </c>
      <c r="N950" s="29" t="e">
        <f ca="1">VLOOKUP(E950,'IFRS only'!A:A,1,0)</f>
        <v>#N/A</v>
      </c>
      <c r="P950" s="89"/>
    </row>
    <row r="951" spans="1:16" s="29" customFormat="1">
      <c r="A951" s="17" t="s">
        <v>10</v>
      </c>
      <c r="B951" s="17">
        <v>6956020010</v>
      </c>
      <c r="C951" s="78" t="s">
        <v>4612</v>
      </c>
      <c r="D951" s="3" t="s">
        <v>4907</v>
      </c>
      <c r="E951" s="17" t="s">
        <v>3088</v>
      </c>
      <c r="F951" s="17" t="s">
        <v>3535</v>
      </c>
      <c r="G951" s="17" t="s">
        <v>3535</v>
      </c>
      <c r="H951" s="17" t="s">
        <v>3536</v>
      </c>
      <c r="I951" s="17" t="s">
        <v>3545</v>
      </c>
      <c r="J951" s="17" t="s">
        <v>9</v>
      </c>
      <c r="K951" s="49" t="s">
        <v>1254</v>
      </c>
      <c r="L951" s="4" t="str">
        <f ca="1">IF(ISERROR(VLOOKUP(B951,'ETL Scope'!I:I,1,0)),"NA","ETL")</f>
        <v>NA</v>
      </c>
      <c r="M951" s="29">
        <f ca="1">COUNTIF('Data-WK'!A:A,'V1'!B:B)</f>
        <v>1</v>
      </c>
      <c r="N951" s="29" t="e">
        <f ca="1">VLOOKUP(E951,'IFRS only'!A:A,1,0)</f>
        <v>#N/A</v>
      </c>
      <c r="P951" s="89"/>
    </row>
    <row r="952" spans="1:16" s="29" customFormat="1">
      <c r="A952" s="17" t="s">
        <v>10</v>
      </c>
      <c r="B952" s="17">
        <v>6956020020</v>
      </c>
      <c r="C952" s="78" t="s">
        <v>4612</v>
      </c>
      <c r="D952" s="86" t="s">
        <v>5715</v>
      </c>
      <c r="E952" s="17" t="s">
        <v>3235</v>
      </c>
      <c r="F952" s="17" t="s">
        <v>3535</v>
      </c>
      <c r="G952" s="17" t="s">
        <v>3535</v>
      </c>
      <c r="H952" s="17" t="s">
        <v>3536</v>
      </c>
      <c r="I952" s="17" t="s">
        <v>3545</v>
      </c>
      <c r="J952" s="17" t="s">
        <v>9</v>
      </c>
      <c r="K952" s="49" t="s">
        <v>1254</v>
      </c>
      <c r="L952" s="4" t="str">
        <f ca="1">IF(ISERROR(VLOOKUP(B952,'ETL Scope'!I:I,1,0)),"NA","ETL")</f>
        <v>NA</v>
      </c>
      <c r="M952" s="29">
        <f ca="1">COUNTIF('Data-WK'!A:A,'V1'!B:B)</f>
        <v>1</v>
      </c>
      <c r="N952" s="29" t="e">
        <f ca="1">VLOOKUP(E952,'IFRS only'!A:A,1,0)</f>
        <v>#N/A</v>
      </c>
      <c r="P952" s="89"/>
    </row>
    <row r="953" spans="1:16" s="29" customFormat="1">
      <c r="A953" s="17" t="s">
        <v>10</v>
      </c>
      <c r="B953" s="17">
        <v>6956220000</v>
      </c>
      <c r="C953" s="78" t="s">
        <v>4613</v>
      </c>
      <c r="D953" s="3" t="s">
        <v>4908</v>
      </c>
      <c r="E953" s="17" t="s">
        <v>3085</v>
      </c>
      <c r="F953" s="17" t="s">
        <v>3535</v>
      </c>
      <c r="G953" s="17" t="s">
        <v>3535</v>
      </c>
      <c r="H953" s="17" t="s">
        <v>3536</v>
      </c>
      <c r="I953" s="17" t="s">
        <v>3545</v>
      </c>
      <c r="J953" s="17" t="s">
        <v>9</v>
      </c>
      <c r="K953" s="49" t="s">
        <v>1255</v>
      </c>
      <c r="L953" s="4" t="str">
        <f ca="1">IF(ISERROR(VLOOKUP(B953,'ETL Scope'!I:I,1,0)),"NA","ETL")</f>
        <v>NA</v>
      </c>
      <c r="M953" s="29">
        <f ca="1">COUNTIF('Data-WK'!A:A,'V1'!B:B)</f>
        <v>1</v>
      </c>
      <c r="N953" s="29" t="e">
        <f ca="1">VLOOKUP(E953,'IFRS only'!A:A,1,0)</f>
        <v>#N/A</v>
      </c>
      <c r="P953" s="89"/>
    </row>
    <row r="954" spans="1:16" s="29" customFormat="1">
      <c r="A954" s="17" t="s">
        <v>10</v>
      </c>
      <c r="B954" s="17">
        <v>6956220010</v>
      </c>
      <c r="C954" s="78" t="s">
        <v>4613</v>
      </c>
      <c r="D954" s="3" t="s">
        <v>4909</v>
      </c>
      <c r="E954" s="17" t="s">
        <v>3089</v>
      </c>
      <c r="F954" s="17" t="s">
        <v>3535</v>
      </c>
      <c r="G954" s="17" t="s">
        <v>3535</v>
      </c>
      <c r="H954" s="17" t="s">
        <v>3536</v>
      </c>
      <c r="I954" s="17" t="s">
        <v>3545</v>
      </c>
      <c r="J954" s="17" t="s">
        <v>9</v>
      </c>
      <c r="K954" s="49" t="s">
        <v>1255</v>
      </c>
      <c r="L954" s="4" t="str">
        <f ca="1">IF(ISERROR(VLOOKUP(B954,'ETL Scope'!I:I,1,0)),"NA","ETL")</f>
        <v>NA</v>
      </c>
      <c r="M954" s="29">
        <f ca="1">COUNTIF('Data-WK'!A:A,'V1'!B:B)</f>
        <v>1</v>
      </c>
      <c r="N954" s="29" t="e">
        <f ca="1">VLOOKUP(E954,'IFRS only'!A:A,1,0)</f>
        <v>#N/A</v>
      </c>
      <c r="P954" s="89"/>
    </row>
    <row r="955" spans="1:16" s="29" customFormat="1">
      <c r="A955" s="17" t="s">
        <v>10</v>
      </c>
      <c r="B955" s="17">
        <v>6956220020</v>
      </c>
      <c r="C955" s="78" t="s">
        <v>4613</v>
      </c>
      <c r="D955" s="86" t="s">
        <v>5716</v>
      </c>
      <c r="E955" s="17" t="s">
        <v>3243</v>
      </c>
      <c r="F955" s="17" t="s">
        <v>3535</v>
      </c>
      <c r="G955" s="17" t="s">
        <v>3535</v>
      </c>
      <c r="H955" s="17" t="s">
        <v>3536</v>
      </c>
      <c r="I955" s="17" t="s">
        <v>3545</v>
      </c>
      <c r="J955" s="17" t="s">
        <v>9</v>
      </c>
      <c r="K955" s="49" t="s">
        <v>1255</v>
      </c>
      <c r="L955" s="4" t="str">
        <f ca="1">IF(ISERROR(VLOOKUP(B955,'ETL Scope'!I:I,1,0)),"NA","ETL")</f>
        <v>NA</v>
      </c>
      <c r="M955" s="29">
        <f ca="1">COUNTIF('Data-WK'!A:A,'V1'!B:B)</f>
        <v>1</v>
      </c>
      <c r="N955" s="29" t="e">
        <f ca="1">VLOOKUP(E955,'IFRS only'!A:A,1,0)</f>
        <v>#N/A</v>
      </c>
      <c r="P955" s="89"/>
    </row>
    <row r="956" spans="1:16" s="29" customFormat="1">
      <c r="A956" s="17" t="s">
        <v>7</v>
      </c>
      <c r="B956" s="17">
        <v>6970000000</v>
      </c>
      <c r="C956" s="78" t="s">
        <v>4614</v>
      </c>
      <c r="D956" s="3" t="s">
        <v>5646</v>
      </c>
      <c r="E956" s="17" t="s">
        <v>3541</v>
      </c>
      <c r="F956" s="17" t="s">
        <v>3532</v>
      </c>
      <c r="G956" s="17" t="s">
        <v>3532</v>
      </c>
      <c r="H956" s="17" t="s">
        <v>3531</v>
      </c>
      <c r="I956" s="17" t="s">
        <v>3545</v>
      </c>
      <c r="J956" s="17" t="s">
        <v>9</v>
      </c>
      <c r="K956" s="49" t="s">
        <v>5544</v>
      </c>
      <c r="L956" s="4" t="str">
        <f ca="1">IF(ISERROR(VLOOKUP(B956,'ETL Scope'!I:I,1,0)),"NA","ETL")</f>
        <v>NA</v>
      </c>
      <c r="M956" s="29">
        <f ca="1">COUNTIF('Data-WK'!A:A,'V1'!B:B)</f>
        <v>0</v>
      </c>
      <c r="N956" s="29" t="e">
        <f ca="1">VLOOKUP(E956,'IFRS only'!A:A,1,0)</f>
        <v>#N/A</v>
      </c>
      <c r="P956" s="89"/>
    </row>
    <row r="957" spans="1:16" s="29" customFormat="1">
      <c r="A957" s="17" t="s">
        <v>10</v>
      </c>
      <c r="B957" s="17">
        <v>6970000010</v>
      </c>
      <c r="C957" s="78" t="s">
        <v>4614</v>
      </c>
      <c r="D957" s="3" t="s">
        <v>4910</v>
      </c>
      <c r="E957" s="17" t="s">
        <v>3229</v>
      </c>
      <c r="F957" s="17" t="s">
        <v>3535</v>
      </c>
      <c r="G957" s="17" t="s">
        <v>3535</v>
      </c>
      <c r="H957" s="17" t="s">
        <v>3536</v>
      </c>
      <c r="I957" s="17" t="s">
        <v>3545</v>
      </c>
      <c r="J957" s="17" t="s">
        <v>9</v>
      </c>
      <c r="K957" s="49" t="s">
        <v>1342</v>
      </c>
      <c r="L957" s="4" t="str">
        <f ca="1">IF(ISERROR(VLOOKUP(B957,'ETL Scope'!I:I,1,0)),"NA","ETL")</f>
        <v>NA</v>
      </c>
      <c r="M957" s="29">
        <f ca="1">COUNTIF('Data-WK'!A:A,'V1'!B:B)</f>
        <v>1</v>
      </c>
      <c r="N957" s="29" t="e">
        <f ca="1">VLOOKUP(E957,'IFRS only'!A:A,1,0)</f>
        <v>#N/A</v>
      </c>
      <c r="P957" s="89"/>
    </row>
    <row r="958" spans="1:16" s="29" customFormat="1">
      <c r="A958" s="17" t="s">
        <v>10</v>
      </c>
      <c r="B958" s="17">
        <v>6970000200</v>
      </c>
      <c r="C958" s="78" t="s">
        <v>4614</v>
      </c>
      <c r="D958" s="3" t="s">
        <v>4911</v>
      </c>
      <c r="E958" s="17" t="s">
        <v>3261</v>
      </c>
      <c r="F958" s="17" t="s">
        <v>3535</v>
      </c>
      <c r="G958" s="17" t="s">
        <v>3535</v>
      </c>
      <c r="H958" s="17" t="s">
        <v>3536</v>
      </c>
      <c r="I958" s="17" t="s">
        <v>3545</v>
      </c>
      <c r="J958" s="17" t="s">
        <v>9</v>
      </c>
      <c r="K958" s="49" t="s">
        <v>5544</v>
      </c>
      <c r="L958" s="4" t="str">
        <f ca="1">IF(ISERROR(VLOOKUP(B958,'ETL Scope'!I:I,1,0)),"NA","ETL")</f>
        <v>NA</v>
      </c>
      <c r="M958" s="29">
        <f ca="1">COUNTIF('Data-WK'!A:A,'V1'!B:B)</f>
        <v>1</v>
      </c>
      <c r="N958" s="29" t="e">
        <f ca="1">VLOOKUP(E958,'IFRS only'!A:A,1,0)</f>
        <v>#N/A</v>
      </c>
      <c r="P958" s="89"/>
    </row>
    <row r="959" spans="1:16" s="29" customFormat="1">
      <c r="A959" s="17" t="s">
        <v>10</v>
      </c>
      <c r="B959" s="17">
        <v>6970000202</v>
      </c>
      <c r="C959" s="78" t="s">
        <v>4614</v>
      </c>
      <c r="D959" s="3" t="s">
        <v>738</v>
      </c>
      <c r="E959" s="17" t="s">
        <v>3188</v>
      </c>
      <c r="F959" s="17" t="s">
        <v>3535</v>
      </c>
      <c r="G959" s="17" t="s">
        <v>3535</v>
      </c>
      <c r="H959" s="17" t="s">
        <v>3536</v>
      </c>
      <c r="I959" s="17" t="s">
        <v>3545</v>
      </c>
      <c r="J959" s="17" t="s">
        <v>9</v>
      </c>
      <c r="K959" s="49" t="s">
        <v>5544</v>
      </c>
      <c r="L959" s="4" t="str">
        <f ca="1">IF(ISERROR(VLOOKUP(B959,'ETL Scope'!I:I,1,0)),"NA","ETL")</f>
        <v>NA</v>
      </c>
      <c r="M959" s="29">
        <f ca="1">COUNTIF('Data-WK'!A:A,'V1'!B:B)</f>
        <v>1</v>
      </c>
      <c r="N959" s="29" t="e">
        <f ca="1">VLOOKUP(E959,'IFRS only'!A:A,1,0)</f>
        <v>#N/A</v>
      </c>
      <c r="P959" s="89"/>
    </row>
    <row r="960" spans="1:16" s="29" customFormat="1">
      <c r="A960" s="17" t="s">
        <v>10</v>
      </c>
      <c r="B960" s="17">
        <v>6970000203</v>
      </c>
      <c r="C960" s="78" t="s">
        <v>4614</v>
      </c>
      <c r="D960" s="3" t="s">
        <v>4912</v>
      </c>
      <c r="E960" s="17" t="s">
        <v>3212</v>
      </c>
      <c r="F960" s="17" t="s">
        <v>3535</v>
      </c>
      <c r="G960" s="17" t="s">
        <v>3535</v>
      </c>
      <c r="H960" s="17" t="s">
        <v>3536</v>
      </c>
      <c r="I960" s="17" t="s">
        <v>3545</v>
      </c>
      <c r="J960" s="17" t="s">
        <v>9</v>
      </c>
      <c r="K960" s="49" t="s">
        <v>5544</v>
      </c>
      <c r="L960" s="4" t="str">
        <f ca="1">IF(ISERROR(VLOOKUP(B960,'ETL Scope'!I:I,1,0)),"NA","ETL")</f>
        <v>NA</v>
      </c>
      <c r="M960" s="29">
        <f ca="1">COUNTIF('Data-WK'!A:A,'V1'!B:B)</f>
        <v>1</v>
      </c>
      <c r="N960" s="29" t="e">
        <f ca="1">VLOOKUP(E960,'IFRS only'!A:A,1,0)</f>
        <v>#N/A</v>
      </c>
      <c r="P960" s="89"/>
    </row>
    <row r="961" spans="1:16" s="29" customFormat="1">
      <c r="A961" s="17" t="s">
        <v>10</v>
      </c>
      <c r="B961" s="17">
        <v>6970000206</v>
      </c>
      <c r="C961" s="78" t="s">
        <v>4614</v>
      </c>
      <c r="D961" s="3" t="s">
        <v>863</v>
      </c>
      <c r="E961" s="17" t="s">
        <v>3348</v>
      </c>
      <c r="F961" s="17" t="s">
        <v>3535</v>
      </c>
      <c r="G961" s="17" t="s">
        <v>3535</v>
      </c>
      <c r="H961" s="17" t="s">
        <v>3536</v>
      </c>
      <c r="I961" s="17" t="s">
        <v>3545</v>
      </c>
      <c r="J961" s="17" t="s">
        <v>9</v>
      </c>
      <c r="K961" s="49" t="s">
        <v>5544</v>
      </c>
      <c r="L961" s="4" t="str">
        <f ca="1">IF(ISERROR(VLOOKUP(B961,'ETL Scope'!I:I,1,0)),"NA","ETL")</f>
        <v>NA</v>
      </c>
      <c r="M961" s="29">
        <f ca="1">COUNTIF('Data-WK'!A:A,'V1'!B:B)</f>
        <v>1</v>
      </c>
      <c r="N961" s="29" t="e">
        <f ca="1">VLOOKUP(E961,'IFRS only'!A:A,1,0)</f>
        <v>#N/A</v>
      </c>
      <c r="P961" s="89"/>
    </row>
    <row r="962" spans="1:16" s="29" customFormat="1">
      <c r="A962" s="17" t="s">
        <v>7</v>
      </c>
      <c r="B962" s="17">
        <v>6970000208</v>
      </c>
      <c r="C962" s="78" t="s">
        <v>4614</v>
      </c>
      <c r="D962" s="3" t="s">
        <v>4913</v>
      </c>
      <c r="E962" s="17" t="s">
        <v>2896</v>
      </c>
      <c r="F962" s="17" t="s">
        <v>3532</v>
      </c>
      <c r="G962" s="17" t="s">
        <v>3532</v>
      </c>
      <c r="H962" s="17" t="s">
        <v>3531</v>
      </c>
      <c r="I962" s="17" t="s">
        <v>3545</v>
      </c>
      <c r="J962" s="17" t="s">
        <v>9</v>
      </c>
      <c r="K962" s="49" t="s">
        <v>5544</v>
      </c>
      <c r="L962" s="4" t="str">
        <f ca="1">IF(ISERROR(VLOOKUP(B962,'ETL Scope'!I:I,1,0)),"NA","ETL")</f>
        <v>NA</v>
      </c>
      <c r="M962" s="29">
        <f ca="1">COUNTIF('Data-WK'!A:A,'V1'!B:B)</f>
        <v>1</v>
      </c>
      <c r="N962" s="29" t="e">
        <f ca="1">VLOOKUP(E962,'IFRS only'!A:A,1,0)</f>
        <v>#N/A</v>
      </c>
      <c r="P962" s="89"/>
    </row>
    <row r="963" spans="1:16" s="29" customFormat="1">
      <c r="A963" s="17" t="s">
        <v>7</v>
      </c>
      <c r="B963" s="17">
        <v>6970000218</v>
      </c>
      <c r="C963" s="78" t="s">
        <v>4614</v>
      </c>
      <c r="D963" s="3" t="s">
        <v>4914</v>
      </c>
      <c r="E963" s="84" t="s">
        <v>4757</v>
      </c>
      <c r="F963" s="17" t="s">
        <v>1544</v>
      </c>
      <c r="G963" s="17" t="s">
        <v>1544</v>
      </c>
      <c r="H963" s="17" t="s">
        <v>3525</v>
      </c>
      <c r="I963" s="17" t="s">
        <v>3525</v>
      </c>
      <c r="J963" s="17" t="s">
        <v>9</v>
      </c>
      <c r="K963" s="49" t="s">
        <v>5544</v>
      </c>
      <c r="L963" s="4"/>
      <c r="P963" s="89"/>
    </row>
    <row r="964" spans="1:16" s="29" customFormat="1">
      <c r="A964" s="17" t="s">
        <v>7</v>
      </c>
      <c r="B964" s="17">
        <v>6970000228</v>
      </c>
      <c r="C964" s="78" t="s">
        <v>4614</v>
      </c>
      <c r="D964" s="3" t="s">
        <v>4915</v>
      </c>
      <c r="E964" s="84" t="s">
        <v>4757</v>
      </c>
      <c r="F964" s="17" t="s">
        <v>1544</v>
      </c>
      <c r="G964" s="17" t="s">
        <v>1544</v>
      </c>
      <c r="H964" s="17" t="s">
        <v>3525</v>
      </c>
      <c r="I964" s="17" t="s">
        <v>3525</v>
      </c>
      <c r="J964" s="17" t="s">
        <v>9</v>
      </c>
      <c r="K964" s="49" t="s">
        <v>5544</v>
      </c>
      <c r="L964" s="4"/>
      <c r="P964" s="89"/>
    </row>
    <row r="965" spans="1:16" s="29" customFormat="1">
      <c r="A965" s="17" t="s">
        <v>7</v>
      </c>
      <c r="B965" s="17">
        <v>6970000210</v>
      </c>
      <c r="C965" s="78" t="s">
        <v>4614</v>
      </c>
      <c r="D965" s="3" t="s">
        <v>4916</v>
      </c>
      <c r="E965" s="17" t="s">
        <v>2903</v>
      </c>
      <c r="F965" s="17" t="s">
        <v>1544</v>
      </c>
      <c r="G965" s="17" t="s">
        <v>1544</v>
      </c>
      <c r="H965" s="17" t="s">
        <v>3525</v>
      </c>
      <c r="I965" s="17" t="s">
        <v>3525</v>
      </c>
      <c r="J965" s="17" t="s">
        <v>9</v>
      </c>
      <c r="K965" s="49" t="s">
        <v>5544</v>
      </c>
      <c r="L965" s="4" t="str">
        <f ca="1">IF(ISERROR(VLOOKUP(B965,'ETL Scope'!I:I,1,0)),"NA","ETL")</f>
        <v>NA</v>
      </c>
      <c r="M965" s="29">
        <f ca="1">COUNTIF('Data-WK'!A:A,'V1'!B:B)</f>
        <v>1</v>
      </c>
      <c r="N965" s="29" t="e">
        <f ca="1">VLOOKUP(E965,'IFRS only'!A:A,1,0)</f>
        <v>#N/A</v>
      </c>
      <c r="P965" s="89"/>
    </row>
    <row r="966" spans="1:16" s="29" customFormat="1">
      <c r="A966" s="17" t="s">
        <v>7</v>
      </c>
      <c r="B966" s="17">
        <v>6970000220</v>
      </c>
      <c r="C966" s="78" t="s">
        <v>4614</v>
      </c>
      <c r="D966" s="3" t="s">
        <v>4917</v>
      </c>
      <c r="E966" s="84" t="s">
        <v>4757</v>
      </c>
      <c r="F966" s="17" t="s">
        <v>1544</v>
      </c>
      <c r="G966" s="17" t="s">
        <v>1544</v>
      </c>
      <c r="H966" s="17" t="s">
        <v>3525</v>
      </c>
      <c r="I966" s="17" t="s">
        <v>3525</v>
      </c>
      <c r="J966" s="17" t="s">
        <v>9</v>
      </c>
      <c r="K966" s="49" t="s">
        <v>5544</v>
      </c>
      <c r="L966" s="4"/>
      <c r="P966" s="89"/>
    </row>
    <row r="967" spans="1:16" s="29" customFormat="1">
      <c r="A967" s="17" t="s">
        <v>7</v>
      </c>
      <c r="B967" s="17">
        <v>6970000230</v>
      </c>
      <c r="C967" s="78" t="s">
        <v>4614</v>
      </c>
      <c r="D967" s="3" t="s">
        <v>4918</v>
      </c>
      <c r="E967" s="84" t="s">
        <v>4757</v>
      </c>
      <c r="F967" s="17" t="s">
        <v>1544</v>
      </c>
      <c r="G967" s="17" t="s">
        <v>1544</v>
      </c>
      <c r="H967" s="17" t="s">
        <v>3525</v>
      </c>
      <c r="I967" s="17" t="s">
        <v>3525</v>
      </c>
      <c r="J967" s="17" t="s">
        <v>9</v>
      </c>
      <c r="K967" s="49" t="s">
        <v>5544</v>
      </c>
      <c r="L967" s="4"/>
      <c r="P967" s="89"/>
    </row>
    <row r="968" spans="1:16" s="29" customFormat="1">
      <c r="A968" s="17" t="s">
        <v>7</v>
      </c>
      <c r="B968" s="17">
        <v>6970000212</v>
      </c>
      <c r="C968" s="78" t="s">
        <v>4614</v>
      </c>
      <c r="D968" s="3" t="s">
        <v>4919</v>
      </c>
      <c r="E968" s="17" t="s">
        <v>2917</v>
      </c>
      <c r="F968" s="17" t="s">
        <v>1544</v>
      </c>
      <c r="G968" s="17" t="s">
        <v>1544</v>
      </c>
      <c r="H968" s="17" t="s">
        <v>3525</v>
      </c>
      <c r="I968" s="17" t="s">
        <v>3525</v>
      </c>
      <c r="J968" s="17" t="s">
        <v>9</v>
      </c>
      <c r="K968" s="49" t="s">
        <v>5544</v>
      </c>
      <c r="L968" s="4" t="str">
        <f ca="1">IF(ISERROR(VLOOKUP(B968,'ETL Scope'!I:I,1,0)),"NA","ETL")</f>
        <v>NA</v>
      </c>
      <c r="M968" s="29">
        <f ca="1">COUNTIF('Data-WK'!A:A,'V1'!B:B)</f>
        <v>1</v>
      </c>
      <c r="N968" s="29" t="e">
        <f ca="1">VLOOKUP(E968,'IFRS only'!A:A,1,0)</f>
        <v>#N/A</v>
      </c>
      <c r="P968" s="89"/>
    </row>
    <row r="969" spans="1:16" s="29" customFormat="1">
      <c r="A969" s="17" t="s">
        <v>7</v>
      </c>
      <c r="B969" s="17">
        <v>6970000222</v>
      </c>
      <c r="C969" s="78" t="s">
        <v>4614</v>
      </c>
      <c r="D969" s="3" t="s">
        <v>4920</v>
      </c>
      <c r="E969" s="84" t="s">
        <v>4757</v>
      </c>
      <c r="F969" s="17" t="s">
        <v>1544</v>
      </c>
      <c r="G969" s="17" t="s">
        <v>1544</v>
      </c>
      <c r="H969" s="17" t="s">
        <v>3525</v>
      </c>
      <c r="I969" s="17" t="s">
        <v>3525</v>
      </c>
      <c r="J969" s="17" t="s">
        <v>9</v>
      </c>
      <c r="K969" s="49" t="s">
        <v>5544</v>
      </c>
      <c r="L969" s="4"/>
      <c r="P969" s="89"/>
    </row>
    <row r="970" spans="1:16" s="29" customFormat="1">
      <c r="A970" s="17" t="s">
        <v>7</v>
      </c>
      <c r="B970" s="17">
        <v>6970000232</v>
      </c>
      <c r="C970" s="78" t="s">
        <v>4614</v>
      </c>
      <c r="D970" s="3" t="s">
        <v>4921</v>
      </c>
      <c r="E970" s="84" t="s">
        <v>4757</v>
      </c>
      <c r="F970" s="17" t="s">
        <v>1544</v>
      </c>
      <c r="G970" s="17" t="s">
        <v>1544</v>
      </c>
      <c r="H970" s="17" t="s">
        <v>3525</v>
      </c>
      <c r="I970" s="17" t="s">
        <v>3525</v>
      </c>
      <c r="J970" s="17" t="s">
        <v>9</v>
      </c>
      <c r="K970" s="49" t="s">
        <v>5544</v>
      </c>
      <c r="L970" s="4"/>
      <c r="P970" s="89"/>
    </row>
    <row r="971" spans="1:16" s="29" customFormat="1">
      <c r="A971" s="17" t="s">
        <v>10</v>
      </c>
      <c r="B971" s="17">
        <v>6970000600</v>
      </c>
      <c r="C971" s="78" t="s">
        <v>4614</v>
      </c>
      <c r="D971" s="3" t="s">
        <v>4922</v>
      </c>
      <c r="E971" s="17" t="s">
        <v>3266</v>
      </c>
      <c r="F971" s="17" t="s">
        <v>3535</v>
      </c>
      <c r="G971" s="17" t="s">
        <v>3535</v>
      </c>
      <c r="H971" s="17" t="s">
        <v>3536</v>
      </c>
      <c r="I971" s="17" t="s">
        <v>3545</v>
      </c>
      <c r="J971" s="17" t="s">
        <v>9</v>
      </c>
      <c r="K971" s="49" t="s">
        <v>5544</v>
      </c>
      <c r="L971" s="4" t="str">
        <f ca="1">IF(ISERROR(VLOOKUP(B971,'ETL Scope'!I:I,1,0)),"NA","ETL")</f>
        <v>NA</v>
      </c>
      <c r="M971" s="29">
        <f ca="1">COUNTIF('Data-WK'!A:A,'V1'!B:B)</f>
        <v>1</v>
      </c>
      <c r="N971" s="29" t="e">
        <f ca="1">VLOOKUP(E971,'IFRS only'!A:A,1,0)</f>
        <v>#N/A</v>
      </c>
      <c r="P971" s="89"/>
    </row>
    <row r="972" spans="1:16" s="29" customFormat="1">
      <c r="A972" s="17" t="s">
        <v>10</v>
      </c>
      <c r="B972" s="17">
        <v>6970100020</v>
      </c>
      <c r="C972" s="78" t="s">
        <v>4615</v>
      </c>
      <c r="D972" s="3" t="s">
        <v>740</v>
      </c>
      <c r="E972" s="17" t="s">
        <v>3190</v>
      </c>
      <c r="F972" s="17" t="s">
        <v>3535</v>
      </c>
      <c r="G972" s="17" t="s">
        <v>3535</v>
      </c>
      <c r="H972" s="17" t="s">
        <v>3536</v>
      </c>
      <c r="I972" s="17" t="s">
        <v>3545</v>
      </c>
      <c r="J972" s="17" t="s">
        <v>9</v>
      </c>
      <c r="K972" s="49" t="s">
        <v>5545</v>
      </c>
      <c r="L972" s="4" t="str">
        <f ca="1">IF(ISERROR(VLOOKUP(B972,'ETL Scope'!I:I,1,0)),"NA","ETL")</f>
        <v>NA</v>
      </c>
      <c r="M972" s="29">
        <f ca="1">COUNTIF('Data-WK'!A:A,'V1'!B:B)</f>
        <v>1</v>
      </c>
      <c r="N972" s="29" t="e">
        <f ca="1">VLOOKUP(E972,'IFRS only'!A:A,1,0)</f>
        <v>#N/A</v>
      </c>
      <c r="P972" s="89"/>
    </row>
    <row r="973" spans="1:16" s="29" customFormat="1">
      <c r="A973" s="17" t="s">
        <v>10</v>
      </c>
      <c r="B973" s="17">
        <v>6970100200</v>
      </c>
      <c r="C973" s="78" t="s">
        <v>4615</v>
      </c>
      <c r="D973" s="3" t="s">
        <v>4923</v>
      </c>
      <c r="E973" s="17" t="s">
        <v>3262</v>
      </c>
      <c r="F973" s="17" t="s">
        <v>3535</v>
      </c>
      <c r="G973" s="17" t="s">
        <v>3535</v>
      </c>
      <c r="H973" s="17" t="s">
        <v>3536</v>
      </c>
      <c r="I973" s="17" t="s">
        <v>3545</v>
      </c>
      <c r="J973" s="17" t="s">
        <v>9</v>
      </c>
      <c r="K973" s="49" t="s">
        <v>5545</v>
      </c>
      <c r="L973" s="4" t="str">
        <f ca="1">IF(ISERROR(VLOOKUP(B973,'ETL Scope'!I:I,1,0)),"NA","ETL")</f>
        <v>NA</v>
      </c>
      <c r="M973" s="29">
        <f ca="1">COUNTIF('Data-WK'!A:A,'V1'!B:B)</f>
        <v>1</v>
      </c>
      <c r="N973" s="29" t="e">
        <f ca="1">VLOOKUP(E973,'IFRS only'!A:A,1,0)</f>
        <v>#N/A</v>
      </c>
      <c r="P973" s="89"/>
    </row>
    <row r="974" spans="1:16" s="29" customFormat="1">
      <c r="A974" s="17" t="s">
        <v>10</v>
      </c>
      <c r="B974" s="17">
        <v>6970100600</v>
      </c>
      <c r="C974" s="78" t="s">
        <v>4615</v>
      </c>
      <c r="D974" s="3" t="s">
        <v>4924</v>
      </c>
      <c r="E974" s="17" t="s">
        <v>3267</v>
      </c>
      <c r="F974" s="17" t="s">
        <v>3535</v>
      </c>
      <c r="G974" s="17" t="s">
        <v>3535</v>
      </c>
      <c r="H974" s="17" t="s">
        <v>3536</v>
      </c>
      <c r="I974" s="17" t="s">
        <v>3545</v>
      </c>
      <c r="J974" s="17" t="s">
        <v>9</v>
      </c>
      <c r="K974" s="49" t="s">
        <v>5545</v>
      </c>
      <c r="L974" s="4" t="str">
        <f ca="1">IF(ISERROR(VLOOKUP(B974,'ETL Scope'!I:I,1,0)),"NA","ETL")</f>
        <v>NA</v>
      </c>
      <c r="M974" s="29">
        <f ca="1">COUNTIF('Data-WK'!A:A,'V1'!B:B)</f>
        <v>1</v>
      </c>
      <c r="N974" s="29" t="e">
        <f ca="1">VLOOKUP(E974,'IFRS only'!A:A,1,0)</f>
        <v>#N/A</v>
      </c>
      <c r="P974" s="89"/>
    </row>
    <row r="975" spans="1:16" s="29" customFormat="1">
      <c r="A975" s="17" t="s">
        <v>10</v>
      </c>
      <c r="B975" s="17">
        <v>6970200003</v>
      </c>
      <c r="C975" s="78" t="s">
        <v>4616</v>
      </c>
      <c r="D975" s="3" t="s">
        <v>4925</v>
      </c>
      <c r="E975" s="17" t="s">
        <v>3213</v>
      </c>
      <c r="F975" s="17" t="s">
        <v>3535</v>
      </c>
      <c r="G975" s="17" t="s">
        <v>3535</v>
      </c>
      <c r="H975" s="17" t="s">
        <v>3536</v>
      </c>
      <c r="I975" s="17" t="s">
        <v>3545</v>
      </c>
      <c r="J975" s="17" t="s">
        <v>9</v>
      </c>
      <c r="K975" s="49" t="s">
        <v>1351</v>
      </c>
      <c r="L975" s="4" t="str">
        <f ca="1">IF(ISERROR(VLOOKUP(B975,'ETL Scope'!I:I,1,0)),"NA","ETL")</f>
        <v>NA</v>
      </c>
      <c r="M975" s="29">
        <f ca="1">COUNTIF('Data-WK'!A:A,'V1'!B:B)</f>
        <v>1</v>
      </c>
      <c r="N975" s="29" t="e">
        <f ca="1">VLOOKUP(E975,'IFRS only'!A:A,1,0)</f>
        <v>#N/A</v>
      </c>
      <c r="P975" s="89"/>
    </row>
    <row r="976" spans="1:16" s="29" customFormat="1">
      <c r="A976" s="17" t="s">
        <v>10</v>
      </c>
      <c r="B976" s="17">
        <v>6970200020</v>
      </c>
      <c r="C976" s="78" t="s">
        <v>4616</v>
      </c>
      <c r="D976" s="3" t="s">
        <v>4926</v>
      </c>
      <c r="E976" s="17" t="s">
        <v>3251</v>
      </c>
      <c r="F976" s="17" t="s">
        <v>3535</v>
      </c>
      <c r="G976" s="17" t="s">
        <v>3535</v>
      </c>
      <c r="H976" s="17" t="s">
        <v>3536</v>
      </c>
      <c r="I976" s="17" t="s">
        <v>3545</v>
      </c>
      <c r="J976" s="17" t="s">
        <v>9</v>
      </c>
      <c r="K976" s="49" t="s">
        <v>1351</v>
      </c>
      <c r="L976" s="4" t="str">
        <f ca="1">IF(ISERROR(VLOOKUP(B976,'ETL Scope'!I:I,1,0)),"NA","ETL")</f>
        <v>NA</v>
      </c>
      <c r="M976" s="29">
        <f ca="1">COUNTIF('Data-WK'!A:A,'V1'!B:B)</f>
        <v>1</v>
      </c>
      <c r="N976" s="29" t="e">
        <f ca="1">VLOOKUP(E976,'IFRS only'!A:A,1,0)</f>
        <v>#N/A</v>
      </c>
      <c r="P976" s="89"/>
    </row>
    <row r="977" spans="1:16" s="29" customFormat="1">
      <c r="A977" s="17" t="s">
        <v>10</v>
      </c>
      <c r="B977" s="17">
        <v>6970200050</v>
      </c>
      <c r="C977" s="78" t="s">
        <v>4616</v>
      </c>
      <c r="D977" s="3" t="s">
        <v>739</v>
      </c>
      <c r="E977" s="17" t="s">
        <v>3189</v>
      </c>
      <c r="F977" s="17" t="s">
        <v>3535</v>
      </c>
      <c r="G977" s="17" t="s">
        <v>3535</v>
      </c>
      <c r="H977" s="17" t="s">
        <v>3536</v>
      </c>
      <c r="I977" s="17" t="s">
        <v>3545</v>
      </c>
      <c r="J977" s="17" t="s">
        <v>9</v>
      </c>
      <c r="K977" s="49" t="s">
        <v>1216</v>
      </c>
      <c r="L977" s="4" t="str">
        <f ca="1">IF(ISERROR(VLOOKUP(B977,'ETL Scope'!I:I,1,0)),"NA","ETL")</f>
        <v>NA</v>
      </c>
      <c r="M977" s="29">
        <f ca="1">COUNTIF('Data-WK'!A:A,'V1'!B:B)</f>
        <v>1</v>
      </c>
      <c r="N977" s="29" t="e">
        <f ca="1">VLOOKUP(E977,'IFRS only'!A:A,1,0)</f>
        <v>#N/A</v>
      </c>
      <c r="P977" s="89"/>
    </row>
    <row r="978" spans="1:16" s="29" customFormat="1">
      <c r="A978" s="17" t="s">
        <v>10</v>
      </c>
      <c r="B978" s="17">
        <v>6970200080</v>
      </c>
      <c r="C978" s="78" t="s">
        <v>4616</v>
      </c>
      <c r="D978" s="3" t="s">
        <v>4927</v>
      </c>
      <c r="E978" s="17" t="s">
        <v>3264</v>
      </c>
      <c r="F978" s="17" t="s">
        <v>3535</v>
      </c>
      <c r="G978" s="17" t="s">
        <v>3535</v>
      </c>
      <c r="H978" s="17" t="s">
        <v>3536</v>
      </c>
      <c r="I978" s="17" t="s">
        <v>3545</v>
      </c>
      <c r="J978" s="17" t="s">
        <v>9</v>
      </c>
      <c r="K978" s="49" t="s">
        <v>1351</v>
      </c>
      <c r="L978" s="4" t="str">
        <f ca="1">IF(ISERROR(VLOOKUP(B978,'ETL Scope'!I:I,1,0)),"NA","ETL")</f>
        <v>NA</v>
      </c>
      <c r="M978" s="29">
        <f ca="1">COUNTIF('Data-WK'!A:A,'V1'!B:B)</f>
        <v>1</v>
      </c>
      <c r="N978" s="29" t="e">
        <f ca="1">VLOOKUP(E978,'IFRS only'!A:A,1,0)</f>
        <v>#N/A</v>
      </c>
      <c r="P978" s="89"/>
    </row>
    <row r="979" spans="1:16" s="29" customFormat="1">
      <c r="A979" s="17" t="s">
        <v>10</v>
      </c>
      <c r="B979" s="17">
        <v>6970200200</v>
      </c>
      <c r="C979" s="78" t="s">
        <v>4616</v>
      </c>
      <c r="D979" s="3" t="s">
        <v>4928</v>
      </c>
      <c r="E979" s="17" t="s">
        <v>3263</v>
      </c>
      <c r="F979" s="17" t="s">
        <v>3535</v>
      </c>
      <c r="G979" s="17" t="s">
        <v>3535</v>
      </c>
      <c r="H979" s="17" t="s">
        <v>3536</v>
      </c>
      <c r="I979" s="17" t="s">
        <v>3545</v>
      </c>
      <c r="J979" s="17" t="s">
        <v>9</v>
      </c>
      <c r="K979" s="49" t="s">
        <v>1351</v>
      </c>
      <c r="L979" s="4" t="str">
        <f ca="1">IF(ISERROR(VLOOKUP(B979,'ETL Scope'!I:I,1,0)),"NA","ETL")</f>
        <v>NA</v>
      </c>
      <c r="M979" s="29">
        <f ca="1">COUNTIF('Data-WK'!A:A,'V1'!B:B)</f>
        <v>1</v>
      </c>
      <c r="N979" s="29" t="e">
        <f ca="1">VLOOKUP(E979,'IFRS only'!A:A,1,0)</f>
        <v>#N/A</v>
      </c>
      <c r="P979" s="89"/>
    </row>
    <row r="980" spans="1:16" s="29" customFormat="1">
      <c r="A980" s="17" t="s">
        <v>10</v>
      </c>
      <c r="B980" s="17">
        <v>6970200600</v>
      </c>
      <c r="C980" s="78" t="s">
        <v>4616</v>
      </c>
      <c r="D980" s="3" t="s">
        <v>4929</v>
      </c>
      <c r="E980" s="17" t="s">
        <v>3268</v>
      </c>
      <c r="F980" s="17" t="s">
        <v>3535</v>
      </c>
      <c r="G980" s="17" t="s">
        <v>3535</v>
      </c>
      <c r="H980" s="17" t="s">
        <v>3536</v>
      </c>
      <c r="I980" s="17" t="s">
        <v>3545</v>
      </c>
      <c r="J980" s="17" t="s">
        <v>9</v>
      </c>
      <c r="K980" s="49" t="s">
        <v>1351</v>
      </c>
      <c r="L980" s="4" t="str">
        <f ca="1">IF(ISERROR(VLOOKUP(B980,'ETL Scope'!I:I,1,0)),"NA","ETL")</f>
        <v>NA</v>
      </c>
      <c r="M980" s="29">
        <f ca="1">COUNTIF('Data-WK'!A:A,'V1'!B:B)</f>
        <v>1</v>
      </c>
      <c r="N980" s="29" t="e">
        <f ca="1">VLOOKUP(E980,'IFRS only'!A:A,1,0)</f>
        <v>#N/A</v>
      </c>
      <c r="P980" s="89"/>
    </row>
    <row r="981" spans="1:16" s="29" customFormat="1">
      <c r="A981" s="17" t="s">
        <v>10</v>
      </c>
      <c r="B981" s="17">
        <v>6972000000</v>
      </c>
      <c r="C981" s="78" t="s">
        <v>4617</v>
      </c>
      <c r="D981" s="3" t="s">
        <v>742</v>
      </c>
      <c r="E981" s="17" t="s">
        <v>3192</v>
      </c>
      <c r="F981" s="17" t="s">
        <v>3535</v>
      </c>
      <c r="G981" s="17" t="s">
        <v>3535</v>
      </c>
      <c r="H981" s="17" t="s">
        <v>3536</v>
      </c>
      <c r="I981" s="17" t="s">
        <v>3545</v>
      </c>
      <c r="J981" s="17" t="s">
        <v>9</v>
      </c>
      <c r="K981" s="49" t="s">
        <v>1315</v>
      </c>
      <c r="L981" s="4" t="str">
        <f ca="1">IF(ISERROR(VLOOKUP(B981,'ETL Scope'!I:I,1,0)),"NA","ETL")</f>
        <v>NA</v>
      </c>
      <c r="M981" s="29">
        <f ca="1">COUNTIF('Data-WK'!A:A,'V1'!B:B)</f>
        <v>1</v>
      </c>
      <c r="N981" s="29" t="e">
        <f ca="1">VLOOKUP(E981,'IFRS only'!A:A,1,0)</f>
        <v>#N/A</v>
      </c>
      <c r="P981" s="89"/>
    </row>
    <row r="982" spans="1:16" s="29" customFormat="1">
      <c r="A982" s="17" t="s">
        <v>10</v>
      </c>
      <c r="B982" s="17">
        <v>6972000010</v>
      </c>
      <c r="C982" s="78" t="s">
        <v>4617</v>
      </c>
      <c r="D982" s="3" t="s">
        <v>4930</v>
      </c>
      <c r="E982" s="17" t="s">
        <v>3252</v>
      </c>
      <c r="F982" s="17" t="s">
        <v>3535</v>
      </c>
      <c r="G982" s="17" t="s">
        <v>3535</v>
      </c>
      <c r="H982" s="17" t="s">
        <v>3536</v>
      </c>
      <c r="I982" s="17" t="s">
        <v>3545</v>
      </c>
      <c r="J982" s="17" t="s">
        <v>9</v>
      </c>
      <c r="K982" s="49" t="s">
        <v>1315</v>
      </c>
      <c r="L982" s="4" t="str">
        <f ca="1">IF(ISERROR(VLOOKUP(B982,'ETL Scope'!I:I,1,0)),"NA","ETL")</f>
        <v>NA</v>
      </c>
      <c r="M982" s="29">
        <f ca="1">COUNTIF('Data-WK'!A:A,'V1'!B:B)</f>
        <v>1</v>
      </c>
      <c r="N982" s="29" t="e">
        <f ca="1">VLOOKUP(E982,'IFRS only'!A:A,1,0)</f>
        <v>#N/A</v>
      </c>
      <c r="P982" s="89"/>
    </row>
    <row r="983" spans="1:16" s="29" customFormat="1">
      <c r="A983" s="17" t="s">
        <v>10</v>
      </c>
      <c r="B983" s="17">
        <v>6972100000</v>
      </c>
      <c r="C983" s="78" t="s">
        <v>4618</v>
      </c>
      <c r="D983" s="3" t="s">
        <v>746</v>
      </c>
      <c r="E983" s="17" t="s">
        <v>3196</v>
      </c>
      <c r="F983" s="17" t="s">
        <v>3535</v>
      </c>
      <c r="G983" s="17" t="s">
        <v>3535</v>
      </c>
      <c r="H983" s="17" t="s">
        <v>3536</v>
      </c>
      <c r="I983" s="17" t="s">
        <v>3545</v>
      </c>
      <c r="J983" s="17" t="s">
        <v>9</v>
      </c>
      <c r="K983" s="49" t="s">
        <v>1319</v>
      </c>
      <c r="L983" s="4" t="str">
        <f ca="1">IF(ISERROR(VLOOKUP(B983,'ETL Scope'!I:I,1,0)),"NA","ETL")</f>
        <v>NA</v>
      </c>
      <c r="M983" s="29">
        <f ca="1">COUNTIF('Data-WK'!A:A,'V1'!B:B)</f>
        <v>1</v>
      </c>
      <c r="N983" s="29" t="e">
        <f ca="1">VLOOKUP(E983,'IFRS only'!A:A,1,0)</f>
        <v>#N/A</v>
      </c>
      <c r="P983" s="89"/>
    </row>
    <row r="984" spans="1:16" s="29" customFormat="1">
      <c r="A984" s="17" t="s">
        <v>10</v>
      </c>
      <c r="B984" s="17">
        <v>6972200000</v>
      </c>
      <c r="C984" s="78" t="s">
        <v>4619</v>
      </c>
      <c r="D984" s="3" t="s">
        <v>745</v>
      </c>
      <c r="E984" s="17" t="s">
        <v>3195</v>
      </c>
      <c r="F984" s="17" t="s">
        <v>3535</v>
      </c>
      <c r="G984" s="17" t="s">
        <v>3535</v>
      </c>
      <c r="H984" s="17" t="s">
        <v>3536</v>
      </c>
      <c r="I984" s="17" t="s">
        <v>3545</v>
      </c>
      <c r="J984" s="17" t="s">
        <v>9</v>
      </c>
      <c r="K984" s="49" t="s">
        <v>1318</v>
      </c>
      <c r="L984" s="4" t="str">
        <f ca="1">IF(ISERROR(VLOOKUP(B984,'ETL Scope'!I:I,1,0)),"NA","ETL")</f>
        <v>NA</v>
      </c>
      <c r="M984" s="29">
        <f ca="1">COUNTIF('Data-WK'!A:A,'V1'!B:B)</f>
        <v>1</v>
      </c>
      <c r="N984" s="29" t="e">
        <f ca="1">VLOOKUP(E984,'IFRS only'!A:A,1,0)</f>
        <v>#N/A</v>
      </c>
      <c r="P984" s="89"/>
    </row>
    <row r="985" spans="1:16" s="29" customFormat="1">
      <c r="A985" s="17" t="s">
        <v>10</v>
      </c>
      <c r="B985" s="17">
        <v>6972200010</v>
      </c>
      <c r="C985" s="78" t="s">
        <v>4619</v>
      </c>
      <c r="D985" s="3" t="s">
        <v>4931</v>
      </c>
      <c r="E985" s="17" t="s">
        <v>3253</v>
      </c>
      <c r="F985" s="17" t="s">
        <v>3535</v>
      </c>
      <c r="G985" s="17" t="s">
        <v>3535</v>
      </c>
      <c r="H985" s="17" t="s">
        <v>3536</v>
      </c>
      <c r="I985" s="17" t="s">
        <v>3545</v>
      </c>
      <c r="J985" s="17" t="s">
        <v>9</v>
      </c>
      <c r="K985" s="49" t="s">
        <v>1318</v>
      </c>
      <c r="L985" s="4" t="str">
        <f ca="1">IF(ISERROR(VLOOKUP(B985,'ETL Scope'!I:I,1,0)),"NA","ETL")</f>
        <v>NA</v>
      </c>
      <c r="M985" s="29">
        <f ca="1">COUNTIF('Data-WK'!A:A,'V1'!B:B)</f>
        <v>1</v>
      </c>
      <c r="N985" s="29" t="e">
        <f ca="1">VLOOKUP(E985,'IFRS only'!A:A,1,0)</f>
        <v>#N/A</v>
      </c>
      <c r="P985" s="89"/>
    </row>
    <row r="986" spans="1:16" s="29" customFormat="1">
      <c r="A986" s="17" t="s">
        <v>2</v>
      </c>
      <c r="B986" s="17">
        <v>7000000000</v>
      </c>
      <c r="C986" s="79" t="s">
        <v>3945</v>
      </c>
      <c r="D986" s="3" t="s">
        <v>4972</v>
      </c>
      <c r="E986" s="17" t="s">
        <v>2751</v>
      </c>
      <c r="F986" s="17" t="s">
        <v>3532</v>
      </c>
      <c r="G986" s="17" t="s">
        <v>3532</v>
      </c>
      <c r="H986" s="17" t="s">
        <v>3531</v>
      </c>
      <c r="I986" s="17" t="s">
        <v>3544</v>
      </c>
      <c r="J986" s="17" t="s">
        <v>9</v>
      </c>
      <c r="K986" s="49" t="s">
        <v>1126</v>
      </c>
      <c r="L986" s="4" t="str">
        <f ca="1">IF(ISERROR(VLOOKUP(B986,'ETL Scope'!I:I,1,0)),"NA","ETL")</f>
        <v>NA</v>
      </c>
      <c r="M986" s="29">
        <f ca="1">COUNTIF('Data-WK'!A:A,'V1'!B:B)</f>
        <v>1</v>
      </c>
      <c r="N986" s="29" t="e">
        <f ca="1">VLOOKUP(E986,'IFRS only'!A:A,1,0)</f>
        <v>#N/A</v>
      </c>
      <c r="P986" s="89"/>
    </row>
    <row r="987" spans="1:16" s="29" customFormat="1">
      <c r="A987" s="17" t="s">
        <v>2</v>
      </c>
      <c r="B987" s="17">
        <v>7000010000</v>
      </c>
      <c r="C987" s="79" t="s">
        <v>4620</v>
      </c>
      <c r="D987" s="3" t="s">
        <v>4973</v>
      </c>
      <c r="E987" s="17" t="s">
        <v>2751</v>
      </c>
      <c r="F987" s="17" t="s">
        <v>3532</v>
      </c>
      <c r="G987" s="17" t="s">
        <v>3532</v>
      </c>
      <c r="H987" s="17" t="s">
        <v>3531</v>
      </c>
      <c r="I987" s="17" t="s">
        <v>3544</v>
      </c>
      <c r="J987" s="17" t="s">
        <v>9</v>
      </c>
      <c r="K987" s="49" t="s">
        <v>1127</v>
      </c>
      <c r="L987" s="4" t="str">
        <f ca="1">IF(ISERROR(VLOOKUP(B987,'ETL Scope'!I:I,1,0)),"NA","ETL")</f>
        <v>NA</v>
      </c>
      <c r="M987" s="29">
        <f ca="1">COUNTIF('Data-WK'!A:A,'V1'!B:B)</f>
        <v>1</v>
      </c>
      <c r="N987" s="29" t="e">
        <f ca="1">VLOOKUP(E987,'IFRS only'!A:A,1,0)</f>
        <v>#N/A</v>
      </c>
      <c r="P987" s="89"/>
    </row>
    <row r="988" spans="1:16" s="29" customFormat="1">
      <c r="A988" s="17" t="s">
        <v>2</v>
      </c>
      <c r="B988" s="17">
        <v>7000011020</v>
      </c>
      <c r="C988" s="79" t="s">
        <v>4620</v>
      </c>
      <c r="D988" s="3" t="s">
        <v>5647</v>
      </c>
      <c r="E988" s="17" t="s">
        <v>2754</v>
      </c>
      <c r="F988" s="17" t="s">
        <v>3532</v>
      </c>
      <c r="G988" s="17" t="s">
        <v>3532</v>
      </c>
      <c r="H988" s="17" t="s">
        <v>3531</v>
      </c>
      <c r="I988" s="17" t="s">
        <v>3545</v>
      </c>
      <c r="J988" s="17" t="s">
        <v>9</v>
      </c>
      <c r="K988" s="49" t="s">
        <v>5546</v>
      </c>
      <c r="L988" s="4" t="str">
        <f ca="1">IF(ISERROR(VLOOKUP(B988,'ETL Scope'!I:I,1,0)),"NA","ETL")</f>
        <v>NA</v>
      </c>
      <c r="M988" s="29">
        <f ca="1">COUNTIF('Data-WK'!A:A,'V1'!B:B)</f>
        <v>1</v>
      </c>
      <c r="N988" s="29" t="e">
        <f ca="1">VLOOKUP(E988,'IFRS only'!A:A,1,0)</f>
        <v>#N/A</v>
      </c>
      <c r="P988" s="89"/>
    </row>
    <row r="989" spans="1:16" s="29" customFormat="1">
      <c r="A989" s="17" t="s">
        <v>7</v>
      </c>
      <c r="B989" s="17">
        <v>7000011021</v>
      </c>
      <c r="C989" s="79" t="s">
        <v>4620</v>
      </c>
      <c r="D989" s="3" t="s">
        <v>4932</v>
      </c>
      <c r="E989" s="17" t="s">
        <v>1484</v>
      </c>
      <c r="F989" s="17" t="s">
        <v>3532</v>
      </c>
      <c r="G989" s="17" t="s">
        <v>3532</v>
      </c>
      <c r="H989" s="17" t="s">
        <v>3531</v>
      </c>
      <c r="I989" s="17" t="s">
        <v>3545</v>
      </c>
      <c r="J989" s="17" t="s">
        <v>9</v>
      </c>
      <c r="K989" s="49" t="s">
        <v>5547</v>
      </c>
      <c r="L989" s="4" t="str">
        <f ca="1">IF(ISERROR(VLOOKUP(B989,'ETL Scope'!I:I,1,0)),"NA","ETL")</f>
        <v>NA</v>
      </c>
      <c r="M989" s="29">
        <f ca="1">COUNTIF('Data-WK'!A:A,'V1'!B:B)</f>
        <v>1</v>
      </c>
      <c r="N989" s="29" t="e">
        <f ca="1">VLOOKUP(E989,'IFRS only'!A:A,1,0)</f>
        <v>#N/A</v>
      </c>
      <c r="P989" s="89"/>
    </row>
    <row r="990" spans="1:16" s="29" customFormat="1">
      <c r="A990" s="17" t="s">
        <v>7</v>
      </c>
      <c r="B990" s="17">
        <v>7000011022</v>
      </c>
      <c r="C990" s="79" t="s">
        <v>4620</v>
      </c>
      <c r="D990" s="3" t="s">
        <v>4933</v>
      </c>
      <c r="E990" s="17" t="s">
        <v>1484</v>
      </c>
      <c r="F990" s="17" t="s">
        <v>3532</v>
      </c>
      <c r="G990" s="17" t="s">
        <v>3532</v>
      </c>
      <c r="H990" s="17" t="s">
        <v>3531</v>
      </c>
      <c r="I990" s="17" t="s">
        <v>3545</v>
      </c>
      <c r="J990" s="17" t="s">
        <v>9</v>
      </c>
      <c r="K990" s="49" t="s">
        <v>5547</v>
      </c>
      <c r="L990" s="4" t="str">
        <f ca="1">IF(ISERROR(VLOOKUP(B990,'ETL Scope'!I:I,1,0)),"NA","ETL")</f>
        <v>NA</v>
      </c>
      <c r="M990" s="29">
        <f ca="1">COUNTIF('Data-WK'!A:A,'V1'!B:B)</f>
        <v>1</v>
      </c>
      <c r="N990" s="29" t="e">
        <f ca="1">VLOOKUP(E990,'IFRS only'!A:A,1,0)</f>
        <v>#N/A</v>
      </c>
      <c r="P990" s="89"/>
    </row>
    <row r="991" spans="1:16" s="29" customFormat="1">
      <c r="A991" s="17" t="s">
        <v>2</v>
      </c>
      <c r="B991" s="17">
        <v>7000020000</v>
      </c>
      <c r="C991" s="79" t="s">
        <v>4621</v>
      </c>
      <c r="D991" s="3" t="s">
        <v>408</v>
      </c>
      <c r="E991" s="17" t="s">
        <v>2752</v>
      </c>
      <c r="F991" s="17" t="s">
        <v>3532</v>
      </c>
      <c r="G991" s="17" t="s">
        <v>3532</v>
      </c>
      <c r="H991" s="17" t="s">
        <v>3531</v>
      </c>
      <c r="I991" s="17" t="s">
        <v>3544</v>
      </c>
      <c r="J991" s="17" t="s">
        <v>9</v>
      </c>
      <c r="K991" s="49" t="s">
        <v>1128</v>
      </c>
      <c r="L991" s="4" t="str">
        <f ca="1">IF(ISERROR(VLOOKUP(B991,'ETL Scope'!I:I,1,0)),"NA","ETL")</f>
        <v>NA</v>
      </c>
      <c r="M991" s="29">
        <f ca="1">COUNTIF('Data-WK'!A:A,'V1'!B:B)</f>
        <v>1</v>
      </c>
      <c r="N991" s="29" t="e">
        <f ca="1">VLOOKUP(E991,'IFRS only'!A:A,1,0)</f>
        <v>#N/A</v>
      </c>
      <c r="P991" s="89"/>
    </row>
    <row r="992" spans="1:16" s="29" customFormat="1">
      <c r="A992" s="17" t="s">
        <v>2</v>
      </c>
      <c r="B992" s="17">
        <v>7010000000</v>
      </c>
      <c r="C992" s="79" t="s">
        <v>4622</v>
      </c>
      <c r="D992" s="3" t="s">
        <v>5811</v>
      </c>
      <c r="E992" s="17" t="s">
        <v>2745</v>
      </c>
      <c r="F992" s="17" t="s">
        <v>3532</v>
      </c>
      <c r="G992" s="17" t="s">
        <v>3532</v>
      </c>
      <c r="H992" s="17" t="s">
        <v>3531</v>
      </c>
      <c r="I992" s="17" t="s">
        <v>3544</v>
      </c>
      <c r="J992" s="17" t="s">
        <v>9</v>
      </c>
      <c r="K992" s="49" t="s">
        <v>1113</v>
      </c>
      <c r="L992" s="4" t="str">
        <f ca="1">IF(ISERROR(VLOOKUP(B992,'ETL Scope'!I:I,1,0)),"NA","ETL")</f>
        <v>NA</v>
      </c>
      <c r="M992" s="29">
        <f ca="1">COUNTIF('Data-WK'!A:A,'V1'!B:B)</f>
        <v>1</v>
      </c>
      <c r="N992" s="29" t="e">
        <f ca="1">VLOOKUP(E992,'IFRS only'!A:A,1,0)</f>
        <v>#N/A</v>
      </c>
      <c r="P992" s="89"/>
    </row>
    <row r="993" spans="1:16" s="29" customFormat="1">
      <c r="A993" s="17" t="s">
        <v>2</v>
      </c>
      <c r="B993" s="17">
        <v>7010010000</v>
      </c>
      <c r="C993" s="79" t="s">
        <v>4623</v>
      </c>
      <c r="D993" s="3" t="s">
        <v>5812</v>
      </c>
      <c r="E993" s="17" t="s">
        <v>2745</v>
      </c>
      <c r="F993" s="17" t="s">
        <v>3532</v>
      </c>
      <c r="G993" s="17" t="s">
        <v>3532</v>
      </c>
      <c r="H993" s="17" t="s">
        <v>3531</v>
      </c>
      <c r="I993" s="17" t="s">
        <v>3544</v>
      </c>
      <c r="J993" s="17" t="s">
        <v>9</v>
      </c>
      <c r="K993" s="49" t="s">
        <v>1114</v>
      </c>
      <c r="L993" s="4" t="str">
        <f ca="1">IF(ISERROR(VLOOKUP(B993,'ETL Scope'!I:I,1,0)),"NA","ETL")</f>
        <v>NA</v>
      </c>
      <c r="M993" s="29">
        <f ca="1">COUNTIF('Data-WK'!A:A,'V1'!B:B)</f>
        <v>1</v>
      </c>
      <c r="N993" s="29" t="e">
        <f ca="1">VLOOKUP(E993,'IFRS only'!A:A,1,0)</f>
        <v>#N/A</v>
      </c>
      <c r="P993" s="89"/>
    </row>
    <row r="994" spans="1:16" s="29" customFormat="1">
      <c r="A994" s="17" t="s">
        <v>2</v>
      </c>
      <c r="B994" s="17">
        <v>7010010010</v>
      </c>
      <c r="C994" s="79" t="s">
        <v>4623</v>
      </c>
      <c r="D994" s="3" t="s">
        <v>4934</v>
      </c>
      <c r="E994" s="17" t="s">
        <v>2750</v>
      </c>
      <c r="F994" s="17" t="s">
        <v>3532</v>
      </c>
      <c r="G994" s="17" t="s">
        <v>3532</v>
      </c>
      <c r="H994" s="17" t="s">
        <v>3531</v>
      </c>
      <c r="I994" s="17" t="s">
        <v>3545</v>
      </c>
      <c r="J994" s="17" t="s">
        <v>9</v>
      </c>
      <c r="K994" s="49" t="s">
        <v>5548</v>
      </c>
      <c r="L994" s="4" t="str">
        <f ca="1">IF(ISERROR(VLOOKUP(B994,'ETL Scope'!I:I,1,0)),"NA","ETL")</f>
        <v>NA</v>
      </c>
      <c r="M994" s="29">
        <f ca="1">COUNTIF('Data-WK'!A:A,'V1'!B:B)</f>
        <v>1</v>
      </c>
      <c r="N994" s="29" t="e">
        <f ca="1">VLOOKUP(E994,'IFRS only'!A:A,1,0)</f>
        <v>#N/A</v>
      </c>
      <c r="P994" s="89"/>
    </row>
    <row r="995" spans="1:16" s="29" customFormat="1">
      <c r="A995" s="17" t="s">
        <v>7</v>
      </c>
      <c r="B995" s="17">
        <v>7010010020</v>
      </c>
      <c r="C995" s="79" t="s">
        <v>4623</v>
      </c>
      <c r="D995" s="3" t="s">
        <v>4935</v>
      </c>
      <c r="E995" s="17" t="s">
        <v>1484</v>
      </c>
      <c r="F995" s="17" t="s">
        <v>3532</v>
      </c>
      <c r="G995" s="17" t="s">
        <v>3532</v>
      </c>
      <c r="H995" s="17" t="s">
        <v>3531</v>
      </c>
      <c r="I995" s="17" t="s">
        <v>3545</v>
      </c>
      <c r="J995" s="17" t="s">
        <v>9</v>
      </c>
      <c r="K995" s="49" t="s">
        <v>5547</v>
      </c>
      <c r="L995" s="4" t="str">
        <f ca="1">IF(ISERROR(VLOOKUP(B995,'ETL Scope'!I:I,1,0)),"NA","ETL")</f>
        <v>NA</v>
      </c>
      <c r="M995" s="29">
        <f ca="1">COUNTIF('Data-WK'!A:A,'V1'!B:B)</f>
        <v>1</v>
      </c>
      <c r="N995" s="29" t="e">
        <f ca="1">VLOOKUP(E995,'IFRS only'!A:A,1,0)</f>
        <v>#N/A</v>
      </c>
      <c r="P995" s="89"/>
    </row>
    <row r="996" spans="1:16" s="29" customFormat="1">
      <c r="A996" s="17" t="s">
        <v>7</v>
      </c>
      <c r="B996" s="17">
        <v>7010010021</v>
      </c>
      <c r="C996" s="79" t="s">
        <v>4623</v>
      </c>
      <c r="D996" s="3" t="s">
        <v>4936</v>
      </c>
      <c r="E996" s="17" t="s">
        <v>1484</v>
      </c>
      <c r="F996" s="17" t="s">
        <v>3532</v>
      </c>
      <c r="G996" s="17" t="s">
        <v>3532</v>
      </c>
      <c r="H996" s="17" t="s">
        <v>3531</v>
      </c>
      <c r="I996" s="17" t="s">
        <v>3545</v>
      </c>
      <c r="J996" s="17" t="s">
        <v>9</v>
      </c>
      <c r="K996" s="49" t="s">
        <v>5547</v>
      </c>
      <c r="L996" s="4" t="str">
        <f ca="1">IF(ISERROR(VLOOKUP(B996,'ETL Scope'!I:I,1,0)),"NA","ETL")</f>
        <v>NA</v>
      </c>
      <c r="M996" s="29">
        <f ca="1">COUNTIF('Data-WK'!A:A,'V1'!B:B)</f>
        <v>1</v>
      </c>
      <c r="N996" s="29" t="e">
        <f ca="1">VLOOKUP(E996,'IFRS only'!A:A,1,0)</f>
        <v>#N/A</v>
      </c>
      <c r="P996" s="89"/>
    </row>
    <row r="997" spans="1:16" s="29" customFormat="1">
      <c r="A997" s="17" t="s">
        <v>2</v>
      </c>
      <c r="B997" s="17">
        <v>7010020000</v>
      </c>
      <c r="C997" s="79" t="s">
        <v>4624</v>
      </c>
      <c r="D997" s="3" t="s">
        <v>4937</v>
      </c>
      <c r="E997" s="17" t="s">
        <v>2747</v>
      </c>
      <c r="F997" s="17" t="s">
        <v>3532</v>
      </c>
      <c r="G997" s="17" t="s">
        <v>3532</v>
      </c>
      <c r="H997" s="17" t="s">
        <v>3531</v>
      </c>
      <c r="I997" s="17" t="s">
        <v>3544</v>
      </c>
      <c r="J997" s="17" t="s">
        <v>9</v>
      </c>
      <c r="K997" s="49" t="s">
        <v>1119</v>
      </c>
      <c r="L997" s="4" t="str">
        <f ca="1">IF(ISERROR(VLOOKUP(B997,'ETL Scope'!I:I,1,0)),"NA","ETL")</f>
        <v>NA</v>
      </c>
      <c r="M997" s="29">
        <f ca="1">COUNTIF('Data-WK'!A:A,'V1'!B:B)</f>
        <v>1</v>
      </c>
      <c r="N997" s="29" t="e">
        <f ca="1">VLOOKUP(E997,'IFRS only'!A:A,1,0)</f>
        <v>#N/A</v>
      </c>
      <c r="P997" s="89"/>
    </row>
    <row r="998" spans="1:16" s="29" customFormat="1">
      <c r="A998" s="17" t="s">
        <v>2</v>
      </c>
      <c r="B998" s="17">
        <v>7030000000</v>
      </c>
      <c r="C998" s="79" t="s">
        <v>4625</v>
      </c>
      <c r="D998" s="3" t="s">
        <v>4938</v>
      </c>
      <c r="E998" s="17" t="s">
        <v>2739</v>
      </c>
      <c r="F998" s="17" t="s">
        <v>9</v>
      </c>
      <c r="G998" s="17" t="s">
        <v>3532</v>
      </c>
      <c r="H998" s="17" t="s">
        <v>3531</v>
      </c>
      <c r="I998" s="17" t="s">
        <v>3544</v>
      </c>
      <c r="J998" s="17" t="s">
        <v>9</v>
      </c>
      <c r="K998" s="49" t="s">
        <v>1103</v>
      </c>
      <c r="L998" s="4" t="str">
        <f ca="1">IF(ISERROR(VLOOKUP(B998,'ETL Scope'!I:I,1,0)),"NA","ETL")</f>
        <v>NA</v>
      </c>
      <c r="M998" s="29">
        <f ca="1">COUNTIF('Data-WK'!A:A,'V1'!B:B)</f>
        <v>1</v>
      </c>
      <c r="N998" s="29" t="str">
        <f ca="1">VLOOKUP(E998,'IFRS only'!A:A,1,0)</f>
        <v>420301</v>
      </c>
      <c r="P998" s="89"/>
    </row>
    <row r="999" spans="1:16" s="29" customFormat="1">
      <c r="A999" s="17" t="s">
        <v>7</v>
      </c>
      <c r="B999" s="17">
        <v>7030001501</v>
      </c>
      <c r="C999" s="79" t="s">
        <v>4625</v>
      </c>
      <c r="D999" s="3" t="s">
        <v>4939</v>
      </c>
      <c r="E999" s="17" t="s">
        <v>1484</v>
      </c>
      <c r="F999" s="17" t="s">
        <v>3532</v>
      </c>
      <c r="G999" s="17" t="s">
        <v>3532</v>
      </c>
      <c r="H999" s="17" t="s">
        <v>3531</v>
      </c>
      <c r="I999" s="17" t="s">
        <v>3545</v>
      </c>
      <c r="J999" s="17" t="s">
        <v>9</v>
      </c>
      <c r="K999" s="49" t="s">
        <v>5547</v>
      </c>
      <c r="L999" s="4" t="str">
        <f ca="1">IF(ISERROR(VLOOKUP(B999,'ETL Scope'!I:I,1,0)),"NA","ETL")</f>
        <v>NA</v>
      </c>
      <c r="M999" s="29">
        <f ca="1">COUNTIF('Data-WK'!A:A,'V1'!B:B)</f>
        <v>1</v>
      </c>
      <c r="N999" s="29" t="e">
        <f ca="1">VLOOKUP(E999,'IFRS only'!A:A,1,0)</f>
        <v>#N/A</v>
      </c>
      <c r="P999" s="89"/>
    </row>
    <row r="1000" spans="1:16" s="29" customFormat="1">
      <c r="A1000" s="17" t="s">
        <v>7</v>
      </c>
      <c r="B1000" s="17">
        <v>7030001502</v>
      </c>
      <c r="C1000" s="79" t="s">
        <v>4625</v>
      </c>
      <c r="D1000" s="3" t="s">
        <v>4940</v>
      </c>
      <c r="E1000" s="17" t="s">
        <v>1484</v>
      </c>
      <c r="F1000" s="17" t="s">
        <v>3532</v>
      </c>
      <c r="G1000" s="17" t="s">
        <v>3532</v>
      </c>
      <c r="H1000" s="17" t="s">
        <v>3531</v>
      </c>
      <c r="I1000" s="17" t="s">
        <v>3545</v>
      </c>
      <c r="J1000" s="17" t="s">
        <v>9</v>
      </c>
      <c r="K1000" s="49" t="s">
        <v>5547</v>
      </c>
      <c r="L1000" s="4" t="str">
        <f ca="1">IF(ISERROR(VLOOKUP(B1000,'ETL Scope'!I:I,1,0)),"NA","ETL")</f>
        <v>NA</v>
      </c>
      <c r="M1000" s="29">
        <f ca="1">COUNTIF('Data-WK'!A:A,'V1'!B:B)</f>
        <v>1</v>
      </c>
      <c r="N1000" s="29" t="e">
        <f ca="1">VLOOKUP(E1000,'IFRS only'!A:A,1,0)</f>
        <v>#N/A</v>
      </c>
      <c r="P1000" s="89"/>
    </row>
    <row r="1001" spans="1:16" s="29" customFormat="1">
      <c r="A1001" s="17" t="s">
        <v>2</v>
      </c>
      <c r="B1001" s="17">
        <v>7030010000</v>
      </c>
      <c r="C1001" s="79" t="s">
        <v>4626</v>
      </c>
      <c r="D1001" s="3" t="s">
        <v>4941</v>
      </c>
      <c r="E1001" s="17" t="s">
        <v>2739</v>
      </c>
      <c r="F1001" s="17" t="s">
        <v>9</v>
      </c>
      <c r="G1001" s="17" t="s">
        <v>3532</v>
      </c>
      <c r="H1001" s="17" t="s">
        <v>3531</v>
      </c>
      <c r="I1001" s="17" t="s">
        <v>3544</v>
      </c>
      <c r="J1001" s="17" t="s">
        <v>9</v>
      </c>
      <c r="K1001" s="49" t="s">
        <v>1104</v>
      </c>
      <c r="L1001" s="4" t="str">
        <f ca="1">IF(ISERROR(VLOOKUP(B1001,'ETL Scope'!I:I,1,0)),"NA","ETL")</f>
        <v>NA</v>
      </c>
      <c r="M1001" s="29">
        <f ca="1">COUNTIF('Data-WK'!A:A,'V1'!B:B)</f>
        <v>1</v>
      </c>
      <c r="N1001" s="29" t="str">
        <f ca="1">VLOOKUP(E1001,'IFRS only'!A:A,1,0)</f>
        <v>420301</v>
      </c>
      <c r="P1001" s="89"/>
    </row>
    <row r="1002" spans="1:16" s="29" customFormat="1">
      <c r="A1002" s="17" t="s">
        <v>2</v>
      </c>
      <c r="B1002" s="17">
        <v>7030011500</v>
      </c>
      <c r="C1002" s="79" t="s">
        <v>4626</v>
      </c>
      <c r="D1002" s="3" t="s">
        <v>5793</v>
      </c>
      <c r="E1002" s="17" t="s">
        <v>2736</v>
      </c>
      <c r="F1002" s="17" t="s">
        <v>3532</v>
      </c>
      <c r="G1002" s="17" t="s">
        <v>3532</v>
      </c>
      <c r="H1002" s="17" t="s">
        <v>3531</v>
      </c>
      <c r="I1002" s="17" t="s">
        <v>3545</v>
      </c>
      <c r="J1002" s="17" t="s">
        <v>5392</v>
      </c>
      <c r="K1002" s="49" t="s">
        <v>1096</v>
      </c>
      <c r="L1002" s="4" t="str">
        <f ca="1">IF(ISERROR(VLOOKUP(B1002,'ETL Scope'!I:I,1,0)),"NA","ETL")</f>
        <v>NA</v>
      </c>
      <c r="M1002" s="29">
        <f ca="1">COUNTIF('Data-WK'!A:A,'V1'!B:B)</f>
        <v>1</v>
      </c>
      <c r="N1002" s="29" t="e">
        <f ca="1">VLOOKUP(E1002,'IFRS only'!A:A,1,0)</f>
        <v>#N/A</v>
      </c>
      <c r="P1002" s="89"/>
    </row>
    <row r="1003" spans="1:16" s="29" customFormat="1">
      <c r="A1003" s="17" t="s">
        <v>2</v>
      </c>
      <c r="B1003" s="17">
        <v>7030020000</v>
      </c>
      <c r="C1003" s="79" t="s">
        <v>4627</v>
      </c>
      <c r="D1003" s="3" t="s">
        <v>4942</v>
      </c>
      <c r="E1003" s="17" t="s">
        <v>2780</v>
      </c>
      <c r="F1003" s="17" t="s">
        <v>9</v>
      </c>
      <c r="G1003" s="17" t="s">
        <v>3532</v>
      </c>
      <c r="H1003" s="17" t="s">
        <v>3531</v>
      </c>
      <c r="I1003" s="17" t="s">
        <v>3544</v>
      </c>
      <c r="J1003" s="17" t="s">
        <v>9</v>
      </c>
      <c r="K1003" s="49" t="s">
        <v>1142</v>
      </c>
      <c r="L1003" s="4" t="str">
        <f ca="1">IF(ISERROR(VLOOKUP(B1003,'ETL Scope'!I:I,1,0)),"NA","ETL")</f>
        <v>NA</v>
      </c>
      <c r="M1003" s="29">
        <f ca="1">COUNTIF('Data-WK'!A:A,'V1'!B:B)</f>
        <v>1</v>
      </c>
      <c r="N1003" s="29" t="str">
        <f ca="1">VLOOKUP(E1003,'IFRS only'!A:A,1,0)</f>
        <v>421402</v>
      </c>
      <c r="P1003" s="89"/>
    </row>
    <row r="1004" spans="1:16" s="29" customFormat="1">
      <c r="A1004" s="17" t="s">
        <v>2</v>
      </c>
      <c r="B1004" s="17">
        <v>7040000000</v>
      </c>
      <c r="C1004" s="79" t="s">
        <v>4628</v>
      </c>
      <c r="D1004" s="3" t="s">
        <v>4943</v>
      </c>
      <c r="E1004" s="17" t="s">
        <v>2733</v>
      </c>
      <c r="F1004" s="17" t="s">
        <v>3532</v>
      </c>
      <c r="G1004" s="17" t="s">
        <v>3532</v>
      </c>
      <c r="H1004" s="17" t="s">
        <v>3531</v>
      </c>
      <c r="I1004" s="17" t="s">
        <v>3544</v>
      </c>
      <c r="J1004" s="17" t="s">
        <v>9</v>
      </c>
      <c r="K1004" s="49" t="s">
        <v>1094</v>
      </c>
      <c r="L1004" s="4" t="str">
        <f ca="1">IF(ISERROR(VLOOKUP(B1004,'ETL Scope'!I:I,1,0)),"NA","ETL")</f>
        <v>NA</v>
      </c>
      <c r="M1004" s="29">
        <f ca="1">COUNTIF('Data-WK'!A:A,'V1'!B:B)</f>
        <v>1</v>
      </c>
      <c r="N1004" s="29" t="e">
        <f ca="1">VLOOKUP(E1004,'IFRS only'!A:A,1,0)</f>
        <v>#N/A</v>
      </c>
      <c r="P1004" s="89"/>
    </row>
    <row r="1005" spans="1:16" s="29" customFormat="1">
      <c r="A1005" s="17" t="s">
        <v>2</v>
      </c>
      <c r="B1005" s="17">
        <v>7040000010</v>
      </c>
      <c r="C1005" s="79" t="s">
        <v>4628</v>
      </c>
      <c r="D1005" s="3" t="s">
        <v>4944</v>
      </c>
      <c r="E1005" s="94" t="s">
        <v>5302</v>
      </c>
      <c r="F1005" s="17" t="s">
        <v>3532</v>
      </c>
      <c r="G1005" s="17" t="s">
        <v>3532</v>
      </c>
      <c r="H1005" s="17" t="s">
        <v>3531</v>
      </c>
      <c r="I1005" s="17" t="s">
        <v>3545</v>
      </c>
      <c r="J1005" s="17" t="s">
        <v>9</v>
      </c>
      <c r="K1005" s="49" t="s">
        <v>5399</v>
      </c>
      <c r="L1005" s="4" t="str">
        <f ca="1">IF(ISERROR(VLOOKUP(B1005,'ETL Scope'!I:I,1,0)),"NA","ETL")</f>
        <v>NA</v>
      </c>
      <c r="M1005" s="29">
        <f ca="1">COUNTIF('Data-WK'!A:A,'V1'!B:B)</f>
        <v>0</v>
      </c>
      <c r="N1005" s="29" t="e">
        <f ca="1">VLOOKUP(E1005,'IFRS only'!A:A,1,0)</f>
        <v>#N/A</v>
      </c>
      <c r="P1005" s="89"/>
    </row>
    <row r="1006" spans="1:16" s="29" customFormat="1">
      <c r="A1006" s="17" t="s">
        <v>2</v>
      </c>
      <c r="B1006" s="17">
        <v>7040000020</v>
      </c>
      <c r="C1006" s="79" t="s">
        <v>4628</v>
      </c>
      <c r="D1006" s="3" t="s">
        <v>5648</v>
      </c>
      <c r="E1006" s="94" t="s">
        <v>5303</v>
      </c>
      <c r="F1006" s="17" t="s">
        <v>1544</v>
      </c>
      <c r="G1006" s="17" t="s">
        <v>1544</v>
      </c>
      <c r="H1006" s="17" t="s">
        <v>3525</v>
      </c>
      <c r="I1006" s="17" t="s">
        <v>3525</v>
      </c>
      <c r="J1006" s="17" t="s">
        <v>9</v>
      </c>
      <c r="K1006" s="49" t="s">
        <v>5399</v>
      </c>
      <c r="L1006" s="4"/>
      <c r="P1006" s="89"/>
    </row>
    <row r="1007" spans="1:16" s="29" customFormat="1">
      <c r="A1007" s="17" t="s">
        <v>2</v>
      </c>
      <c r="B1007" s="17">
        <v>7040010000</v>
      </c>
      <c r="C1007" s="79" t="s">
        <v>4629</v>
      </c>
      <c r="D1007" s="3" t="s">
        <v>4945</v>
      </c>
      <c r="E1007" s="17" t="s">
        <v>2733</v>
      </c>
      <c r="F1007" s="17" t="s">
        <v>3532</v>
      </c>
      <c r="G1007" s="17" t="s">
        <v>3532</v>
      </c>
      <c r="H1007" s="17" t="s">
        <v>3531</v>
      </c>
      <c r="I1007" s="17" t="s">
        <v>3544</v>
      </c>
      <c r="J1007" s="17" t="s">
        <v>9</v>
      </c>
      <c r="K1007" s="49" t="s">
        <v>1095</v>
      </c>
      <c r="L1007" s="4" t="str">
        <f ca="1">IF(ISERROR(VLOOKUP(B1007,'ETL Scope'!I:I,1,0)),"NA","ETL")</f>
        <v>NA</v>
      </c>
      <c r="M1007" s="29">
        <f ca="1">COUNTIF('Data-WK'!A:A,'V1'!B:B)</f>
        <v>1</v>
      </c>
      <c r="N1007" s="29" t="e">
        <f ca="1">VLOOKUP(E1007,'IFRS only'!A:A,1,0)</f>
        <v>#N/A</v>
      </c>
      <c r="P1007" s="89"/>
    </row>
    <row r="1008" spans="1:16" s="29" customFormat="1">
      <c r="A1008" s="17" t="s">
        <v>2</v>
      </c>
      <c r="B1008" s="17">
        <v>7040010010</v>
      </c>
      <c r="C1008" s="79" t="s">
        <v>4629</v>
      </c>
      <c r="D1008" s="3" t="s">
        <v>4946</v>
      </c>
      <c r="E1008" s="53" t="s">
        <v>5304</v>
      </c>
      <c r="F1008" s="17" t="s">
        <v>3532</v>
      </c>
      <c r="G1008" s="17" t="s">
        <v>3532</v>
      </c>
      <c r="H1008" s="17" t="s">
        <v>3531</v>
      </c>
      <c r="I1008" s="17" t="s">
        <v>3545</v>
      </c>
      <c r="J1008" s="17" t="s">
        <v>9</v>
      </c>
      <c r="K1008" s="49" t="s">
        <v>5399</v>
      </c>
      <c r="L1008" s="4" t="str">
        <f ca="1">IF(ISERROR(VLOOKUP(B1008,'ETL Scope'!I:I,1,0)),"NA","ETL")</f>
        <v>NA</v>
      </c>
      <c r="M1008" s="29">
        <f ca="1">COUNTIF('Data-WK'!A:A,'V1'!B:B)</f>
        <v>0</v>
      </c>
      <c r="N1008" s="29" t="e">
        <f ca="1">VLOOKUP(E1008,'IFRS only'!A:A,1,0)</f>
        <v>#N/A</v>
      </c>
      <c r="P1008" s="89"/>
    </row>
    <row r="1009" spans="1:16" s="29" customFormat="1">
      <c r="A1009" s="17" t="s">
        <v>2</v>
      </c>
      <c r="B1009" s="17">
        <v>7040010021</v>
      </c>
      <c r="C1009" s="79" t="s">
        <v>4629</v>
      </c>
      <c r="D1009" s="3" t="s">
        <v>5649</v>
      </c>
      <c r="E1009" s="53" t="s">
        <v>5305</v>
      </c>
      <c r="F1009" s="17" t="s">
        <v>1544</v>
      </c>
      <c r="G1009" s="17" t="s">
        <v>1544</v>
      </c>
      <c r="H1009" s="17" t="s">
        <v>3525</v>
      </c>
      <c r="I1009" s="17" t="s">
        <v>3525</v>
      </c>
      <c r="J1009" s="17" t="s">
        <v>9</v>
      </c>
      <c r="K1009" s="49" t="s">
        <v>5399</v>
      </c>
      <c r="L1009" s="4"/>
      <c r="P1009" s="89"/>
    </row>
    <row r="1010" spans="1:16" s="29" customFormat="1">
      <c r="A1010" s="17" t="s">
        <v>2</v>
      </c>
      <c r="B1010" s="17">
        <v>7040200000</v>
      </c>
      <c r="C1010" s="79" t="s">
        <v>4630</v>
      </c>
      <c r="D1010" s="3" t="s">
        <v>4947</v>
      </c>
      <c r="E1010" s="17" t="s">
        <v>2732</v>
      </c>
      <c r="F1010" s="17" t="s">
        <v>3532</v>
      </c>
      <c r="G1010" s="17" t="s">
        <v>3532</v>
      </c>
      <c r="H1010" s="17" t="s">
        <v>3531</v>
      </c>
      <c r="I1010" s="17" t="s">
        <v>3544</v>
      </c>
      <c r="J1010" s="17" t="s">
        <v>9</v>
      </c>
      <c r="K1010" s="49" t="s">
        <v>1092</v>
      </c>
      <c r="L1010" s="4" t="str">
        <f ca="1">IF(ISERROR(VLOOKUP(B1010,'ETL Scope'!I:I,1,0)),"NA","ETL")</f>
        <v>NA</v>
      </c>
      <c r="M1010" s="29">
        <f ca="1">COUNTIF('Data-WK'!A:A,'V1'!B:B)</f>
        <v>1</v>
      </c>
      <c r="N1010" s="29" t="e">
        <f ca="1">VLOOKUP(E1010,'IFRS only'!A:A,1,0)</f>
        <v>#N/A</v>
      </c>
      <c r="P1010" s="89"/>
    </row>
    <row r="1011" spans="1:16" s="29" customFormat="1">
      <c r="A1011" s="17" t="s">
        <v>2</v>
      </c>
      <c r="B1011" s="17">
        <v>7040210000</v>
      </c>
      <c r="C1011" s="79" t="s">
        <v>4631</v>
      </c>
      <c r="D1011" s="3" t="s">
        <v>4948</v>
      </c>
      <c r="E1011" s="17" t="s">
        <v>2732</v>
      </c>
      <c r="F1011" s="17" t="s">
        <v>3532</v>
      </c>
      <c r="G1011" s="17" t="s">
        <v>3532</v>
      </c>
      <c r="H1011" s="17" t="s">
        <v>3531</v>
      </c>
      <c r="I1011" s="17" t="s">
        <v>3544</v>
      </c>
      <c r="J1011" s="17" t="s">
        <v>9</v>
      </c>
      <c r="K1011" s="49" t="s">
        <v>1093</v>
      </c>
      <c r="L1011" s="4" t="str">
        <f ca="1">IF(ISERROR(VLOOKUP(B1011,'ETL Scope'!I:I,1,0)),"NA","ETL")</f>
        <v>NA</v>
      </c>
      <c r="M1011" s="29">
        <f ca="1">COUNTIF('Data-WK'!A:A,'V1'!B:B)</f>
        <v>1</v>
      </c>
      <c r="N1011" s="29" t="e">
        <f ca="1">VLOOKUP(E1011,'IFRS only'!A:A,1,0)</f>
        <v>#N/A</v>
      </c>
      <c r="P1011" s="89"/>
    </row>
    <row r="1012" spans="1:16" s="29" customFormat="1">
      <c r="A1012" s="17" t="s">
        <v>2</v>
      </c>
      <c r="B1012" s="17">
        <v>7043100000</v>
      </c>
      <c r="C1012" s="79" t="s">
        <v>4632</v>
      </c>
      <c r="D1012" s="3" t="s">
        <v>4949</v>
      </c>
      <c r="E1012" s="17" t="s">
        <v>2743</v>
      </c>
      <c r="F1012" s="17" t="s">
        <v>3532</v>
      </c>
      <c r="G1012" s="17" t="s">
        <v>3532</v>
      </c>
      <c r="H1012" s="17" t="s">
        <v>3531</v>
      </c>
      <c r="I1012" s="17" t="s">
        <v>3544</v>
      </c>
      <c r="J1012" s="17" t="s">
        <v>9</v>
      </c>
      <c r="K1012" s="49" t="s">
        <v>1109</v>
      </c>
      <c r="L1012" s="4" t="str">
        <f ca="1">IF(ISERROR(VLOOKUP(B1012,'ETL Scope'!I:I,1,0)),"NA","ETL")</f>
        <v>NA</v>
      </c>
      <c r="M1012" s="29">
        <f ca="1">COUNTIF('Data-WK'!A:A,'V1'!B:B)</f>
        <v>1</v>
      </c>
      <c r="N1012" s="29" t="e">
        <f ca="1">VLOOKUP(E1012,'IFRS only'!A:A,1,0)</f>
        <v>#N/A</v>
      </c>
      <c r="P1012" s="89"/>
    </row>
    <row r="1013" spans="1:16" s="29" customFormat="1">
      <c r="A1013" s="17" t="s">
        <v>2</v>
      </c>
      <c r="B1013" s="17">
        <v>7043101500</v>
      </c>
      <c r="C1013" s="79" t="s">
        <v>4632</v>
      </c>
      <c r="D1013" s="3" t="s">
        <v>5650</v>
      </c>
      <c r="E1013" s="17" t="s">
        <v>2743</v>
      </c>
      <c r="F1013" s="17" t="s">
        <v>3532</v>
      </c>
      <c r="G1013" s="17" t="s">
        <v>3532</v>
      </c>
      <c r="H1013" s="17" t="s">
        <v>3531</v>
      </c>
      <c r="I1013" s="17" t="s">
        <v>3545</v>
      </c>
      <c r="J1013" s="17" t="s">
        <v>3391</v>
      </c>
      <c r="K1013" s="49" t="s">
        <v>1112</v>
      </c>
      <c r="L1013" s="4" t="str">
        <f ca="1">IF(ISERROR(VLOOKUP(B1013,'ETL Scope'!I:I,1,0)),"NA","ETL")</f>
        <v>NA</v>
      </c>
      <c r="M1013" s="29">
        <f ca="1">COUNTIF('Data-WK'!A:A,'V1'!B:B)</f>
        <v>1</v>
      </c>
      <c r="N1013" s="29" t="e">
        <f ca="1">VLOOKUP(E1013,'IFRS only'!A:A,1,0)</f>
        <v>#N/A</v>
      </c>
      <c r="P1013" s="89"/>
    </row>
    <row r="1014" spans="1:16" s="29" customFormat="1">
      <c r="A1014" s="17" t="s">
        <v>2</v>
      </c>
      <c r="B1014" s="17">
        <v>7043110000</v>
      </c>
      <c r="C1014" s="79" t="s">
        <v>4633</v>
      </c>
      <c r="D1014" s="3" t="s">
        <v>4950</v>
      </c>
      <c r="E1014" s="17" t="s">
        <v>2743</v>
      </c>
      <c r="F1014" s="17" t="s">
        <v>3532</v>
      </c>
      <c r="G1014" s="17" t="s">
        <v>3532</v>
      </c>
      <c r="H1014" s="17" t="s">
        <v>3531</v>
      </c>
      <c r="I1014" s="17" t="s">
        <v>3544</v>
      </c>
      <c r="J1014" s="17" t="s">
        <v>9</v>
      </c>
      <c r="K1014" s="49" t="s">
        <v>1110</v>
      </c>
      <c r="L1014" s="4" t="str">
        <f ca="1">IF(ISERROR(VLOOKUP(B1014,'ETL Scope'!I:I,1,0)),"NA","ETL")</f>
        <v>NA</v>
      </c>
      <c r="M1014" s="29">
        <f ca="1">COUNTIF('Data-WK'!A:A,'V1'!B:B)</f>
        <v>1</v>
      </c>
      <c r="N1014" s="29" t="e">
        <f ca="1">VLOOKUP(E1014,'IFRS only'!A:A,1,0)</f>
        <v>#N/A</v>
      </c>
      <c r="P1014" s="89"/>
    </row>
    <row r="1015" spans="1:16" s="29" customFormat="1">
      <c r="A1015" s="17" t="s">
        <v>2</v>
      </c>
      <c r="B1015" s="17">
        <v>7043110001</v>
      </c>
      <c r="C1015" s="79" t="s">
        <v>4633</v>
      </c>
      <c r="D1015" s="86" t="s">
        <v>5717</v>
      </c>
      <c r="E1015" s="17" t="s">
        <v>2743</v>
      </c>
      <c r="F1015" s="17" t="s">
        <v>1544</v>
      </c>
      <c r="G1015" s="17" t="s">
        <v>1544</v>
      </c>
      <c r="H1015" s="17" t="s">
        <v>3525</v>
      </c>
      <c r="I1015" s="17" t="s">
        <v>1544</v>
      </c>
      <c r="J1015" s="17" t="s">
        <v>9</v>
      </c>
      <c r="K1015" s="49" t="s">
        <v>1110</v>
      </c>
      <c r="L1015" s="89"/>
    </row>
    <row r="1016" spans="1:16" s="29" customFormat="1">
      <c r="A1016" s="17" t="s">
        <v>2</v>
      </c>
      <c r="B1016" s="17">
        <v>7043200000</v>
      </c>
      <c r="C1016" s="79" t="s">
        <v>4634</v>
      </c>
      <c r="D1016" s="3" t="s">
        <v>4951</v>
      </c>
      <c r="E1016" s="17" t="s">
        <v>2743</v>
      </c>
      <c r="F1016" s="17" t="s">
        <v>3532</v>
      </c>
      <c r="G1016" s="17" t="s">
        <v>3532</v>
      </c>
      <c r="H1016" s="17" t="s">
        <v>3531</v>
      </c>
      <c r="I1016" s="17" t="s">
        <v>3544</v>
      </c>
      <c r="J1016" s="17" t="s">
        <v>9</v>
      </c>
      <c r="K1016" s="49" t="s">
        <v>1107</v>
      </c>
      <c r="L1016" s="4" t="str">
        <f ca="1">IF(ISERROR(VLOOKUP(B1016,'ETL Scope'!I:I,1,0)),"NA","ETL")</f>
        <v>NA</v>
      </c>
      <c r="M1016" s="29">
        <f ca="1">COUNTIF('Data-WK'!A:A,'V1'!B:B)</f>
        <v>1</v>
      </c>
      <c r="N1016" s="29" t="e">
        <f ca="1">VLOOKUP(E1016,'IFRS only'!A:A,1,0)</f>
        <v>#N/A</v>
      </c>
      <c r="P1016" s="89"/>
    </row>
    <row r="1017" spans="1:16" s="29" customFormat="1">
      <c r="A1017" s="17" t="s">
        <v>2</v>
      </c>
      <c r="B1017" s="17">
        <v>7043200001</v>
      </c>
      <c r="C1017" s="79" t="s">
        <v>4634</v>
      </c>
      <c r="D1017" s="3" t="s">
        <v>5651</v>
      </c>
      <c r="E1017" s="17" t="s">
        <v>2743</v>
      </c>
      <c r="F1017" s="17" t="s">
        <v>1544</v>
      </c>
      <c r="G1017" s="17" t="s">
        <v>1544</v>
      </c>
      <c r="H1017" s="17" t="s">
        <v>3525</v>
      </c>
      <c r="I1017" s="17" t="s">
        <v>1544</v>
      </c>
      <c r="J1017" s="17" t="s">
        <v>9</v>
      </c>
      <c r="K1017" s="49" t="s">
        <v>1107</v>
      </c>
      <c r="L1017" s="89"/>
    </row>
    <row r="1018" spans="1:16" s="29" customFormat="1">
      <c r="A1018" s="17" t="s">
        <v>2</v>
      </c>
      <c r="B1018" s="17">
        <v>7043210000</v>
      </c>
      <c r="C1018" s="79" t="s">
        <v>4635</v>
      </c>
      <c r="D1018" s="3" t="s">
        <v>4952</v>
      </c>
      <c r="E1018" s="17" t="s">
        <v>2743</v>
      </c>
      <c r="F1018" s="17" t="s">
        <v>3532</v>
      </c>
      <c r="G1018" s="17" t="s">
        <v>3532</v>
      </c>
      <c r="H1018" s="17" t="s">
        <v>3531</v>
      </c>
      <c r="I1018" s="17" t="s">
        <v>3544</v>
      </c>
      <c r="J1018" s="17" t="s">
        <v>9</v>
      </c>
      <c r="K1018" s="49" t="s">
        <v>1108</v>
      </c>
      <c r="L1018" s="4" t="str">
        <f ca="1">IF(ISERROR(VLOOKUP(B1018,'ETL Scope'!I:I,1,0)),"NA","ETL")</f>
        <v>NA</v>
      </c>
      <c r="M1018" s="29">
        <f ca="1">COUNTIF('Data-WK'!A:A,'V1'!B:B)</f>
        <v>1</v>
      </c>
      <c r="N1018" s="29" t="e">
        <f ca="1">VLOOKUP(E1018,'IFRS only'!A:A,1,0)</f>
        <v>#N/A</v>
      </c>
      <c r="P1018" s="89"/>
    </row>
    <row r="1019" spans="1:16" s="29" customFormat="1">
      <c r="A1019" s="17" t="s">
        <v>2</v>
      </c>
      <c r="B1019" s="17">
        <v>7043211500</v>
      </c>
      <c r="C1019" s="79" t="s">
        <v>4635</v>
      </c>
      <c r="D1019" s="3" t="s">
        <v>5652</v>
      </c>
      <c r="E1019" s="17" t="s">
        <v>2743</v>
      </c>
      <c r="F1019" s="17" t="s">
        <v>3532</v>
      </c>
      <c r="G1019" s="17" t="s">
        <v>3532</v>
      </c>
      <c r="H1019" s="17" t="s">
        <v>3531</v>
      </c>
      <c r="I1019" s="17" t="s">
        <v>3545</v>
      </c>
      <c r="J1019" s="17" t="s">
        <v>3391</v>
      </c>
      <c r="K1019" s="49" t="s">
        <v>1111</v>
      </c>
      <c r="L1019" s="4" t="str">
        <f ca="1">IF(ISERROR(VLOOKUP(B1019,'ETL Scope'!I:I,1,0)),"NA","ETL")</f>
        <v>NA</v>
      </c>
      <c r="M1019" s="29">
        <f ca="1">COUNTIF('Data-WK'!A:A,'V1'!B:B)</f>
        <v>1</v>
      </c>
      <c r="N1019" s="29" t="e">
        <f ca="1">VLOOKUP(E1019,'IFRS only'!A:A,1,0)</f>
        <v>#N/A</v>
      </c>
      <c r="P1019" s="89"/>
    </row>
    <row r="1020" spans="1:16" s="29" customFormat="1">
      <c r="A1020" s="17" t="s">
        <v>2</v>
      </c>
      <c r="B1020" s="17">
        <v>7043810000</v>
      </c>
      <c r="C1020" s="79" t="s">
        <v>4636</v>
      </c>
      <c r="D1020" s="86" t="s">
        <v>5718</v>
      </c>
      <c r="E1020" s="17" t="s">
        <v>2776</v>
      </c>
      <c r="F1020" s="17" t="s">
        <v>3532</v>
      </c>
      <c r="G1020" s="17" t="s">
        <v>3532</v>
      </c>
      <c r="H1020" s="17" t="s">
        <v>3531</v>
      </c>
      <c r="I1020" s="17" t="s">
        <v>3545</v>
      </c>
      <c r="J1020" s="17" t="s">
        <v>9</v>
      </c>
      <c r="K1020" s="49" t="s">
        <v>1141</v>
      </c>
      <c r="L1020" s="4" t="str">
        <f ca="1">IF(ISERROR(VLOOKUP(B1020,'ETL Scope'!I:I,1,0)),"NA","ETL")</f>
        <v>NA</v>
      </c>
      <c r="M1020" s="29">
        <f ca="1">COUNTIF('Data-WK'!A:A,'V1'!B:B)</f>
        <v>1</v>
      </c>
      <c r="N1020" s="29" t="e">
        <f ca="1">VLOOKUP(E1020,'IFRS only'!A:A,1,0)</f>
        <v>#N/A</v>
      </c>
      <c r="P1020" s="89"/>
    </row>
    <row r="1021" spans="1:16" s="29" customFormat="1">
      <c r="A1021" s="17" t="s">
        <v>2</v>
      </c>
      <c r="B1021" s="17">
        <v>7043900000</v>
      </c>
      <c r="C1021" s="79" t="s">
        <v>4637</v>
      </c>
      <c r="D1021" s="3" t="s">
        <v>4953</v>
      </c>
      <c r="E1021" s="17" t="s">
        <v>3278</v>
      </c>
      <c r="F1021" s="17" t="s">
        <v>3533</v>
      </c>
      <c r="G1021" s="17" t="s">
        <v>3533</v>
      </c>
      <c r="H1021" s="17" t="s">
        <v>3534</v>
      </c>
      <c r="I1021" s="17" t="s">
        <v>3544</v>
      </c>
      <c r="J1021" s="17" t="s">
        <v>9</v>
      </c>
      <c r="K1021" s="49" t="s">
        <v>1361</v>
      </c>
      <c r="L1021" s="4" t="str">
        <f ca="1">IF(ISERROR(VLOOKUP(B1021,'ETL Scope'!I:I,1,0)),"NA","ETL")</f>
        <v>NA</v>
      </c>
      <c r="M1021" s="29">
        <f ca="1">COUNTIF('Data-WK'!A:A,'V1'!B:B)</f>
        <v>1</v>
      </c>
      <c r="N1021" s="29" t="e">
        <f ca="1">VLOOKUP(E1021,'IFRS only'!A:A,1,0)</f>
        <v>#N/A</v>
      </c>
      <c r="P1021" s="89"/>
    </row>
    <row r="1022" spans="1:16" s="29" customFormat="1">
      <c r="A1022" s="17" t="s">
        <v>2</v>
      </c>
      <c r="B1022" s="17">
        <v>7043901500</v>
      </c>
      <c r="C1022" s="79" t="s">
        <v>4637</v>
      </c>
      <c r="D1022" s="3" t="s">
        <v>5813</v>
      </c>
      <c r="E1022" s="17" t="s">
        <v>3278</v>
      </c>
      <c r="F1022" s="17" t="s">
        <v>3533</v>
      </c>
      <c r="G1022" s="17" t="s">
        <v>3533</v>
      </c>
      <c r="H1022" s="17" t="s">
        <v>3534</v>
      </c>
      <c r="I1022" s="17" t="s">
        <v>3545</v>
      </c>
      <c r="J1022" s="17" t="s">
        <v>5761</v>
      </c>
      <c r="K1022" s="49" t="s">
        <v>1363</v>
      </c>
      <c r="L1022" s="4" t="str">
        <f ca="1">IF(ISERROR(VLOOKUP(B1022,'ETL Scope'!I:I,1,0)),"NA","ETL")</f>
        <v>NA</v>
      </c>
      <c r="M1022" s="29">
        <f ca="1">COUNTIF('Data-WK'!A:A,'V1'!B:B)</f>
        <v>1</v>
      </c>
      <c r="N1022" s="29" t="e">
        <f ca="1">VLOOKUP(E1022,'IFRS only'!A:A,1,0)</f>
        <v>#N/A</v>
      </c>
      <c r="P1022" s="89"/>
    </row>
    <row r="1023" spans="1:16" s="29" customFormat="1">
      <c r="A1023" s="17" t="s">
        <v>2</v>
      </c>
      <c r="B1023" s="17">
        <v>7043910000</v>
      </c>
      <c r="C1023" s="79" t="s">
        <v>4638</v>
      </c>
      <c r="D1023" s="3" t="s">
        <v>4954</v>
      </c>
      <c r="E1023" s="17" t="s">
        <v>3278</v>
      </c>
      <c r="F1023" s="17" t="s">
        <v>3533</v>
      </c>
      <c r="G1023" s="17" t="s">
        <v>3533</v>
      </c>
      <c r="H1023" s="17" t="s">
        <v>3534</v>
      </c>
      <c r="I1023" s="17" t="s">
        <v>3544</v>
      </c>
      <c r="J1023" s="17" t="s">
        <v>9</v>
      </c>
      <c r="K1023" s="49" t="s">
        <v>1362</v>
      </c>
      <c r="L1023" s="4" t="str">
        <f ca="1">IF(ISERROR(VLOOKUP(B1023,'ETL Scope'!I:I,1,0)),"NA","ETL")</f>
        <v>NA</v>
      </c>
      <c r="M1023" s="29">
        <f ca="1">COUNTIF('Data-WK'!A:A,'V1'!B:B)</f>
        <v>1</v>
      </c>
      <c r="N1023" s="29" t="e">
        <f ca="1">VLOOKUP(E1023,'IFRS only'!A:A,1,0)</f>
        <v>#N/A</v>
      </c>
      <c r="P1023" s="89"/>
    </row>
    <row r="1024" spans="1:16" s="29" customFormat="1">
      <c r="A1024" s="17" t="s">
        <v>2</v>
      </c>
      <c r="B1024" s="17">
        <v>7043920000</v>
      </c>
      <c r="C1024" s="79" t="s">
        <v>4639</v>
      </c>
      <c r="D1024" s="3" t="s">
        <v>5573</v>
      </c>
      <c r="E1024" s="53" t="s">
        <v>3386</v>
      </c>
      <c r="F1024" s="17" t="s">
        <v>3533</v>
      </c>
      <c r="G1024" s="17" t="s">
        <v>3533</v>
      </c>
      <c r="H1024" s="17" t="s">
        <v>3534</v>
      </c>
      <c r="I1024" s="17" t="s">
        <v>3544</v>
      </c>
      <c r="J1024" s="17" t="s">
        <v>9</v>
      </c>
      <c r="K1024" s="49" t="s">
        <v>1364</v>
      </c>
      <c r="L1024" s="4" t="str">
        <f ca="1">IF(ISERROR(VLOOKUP(B1024,'ETL Scope'!I:I,1,0)),"NA","ETL")</f>
        <v>NA</v>
      </c>
      <c r="M1024" s="29">
        <f ca="1">COUNTIF('Data-WK'!A:A,'V1'!B:B)</f>
        <v>2</v>
      </c>
      <c r="N1024" s="29" t="e">
        <f ca="1">VLOOKUP(E1024,'IFRS only'!A:A,1,0)</f>
        <v>#N/A</v>
      </c>
      <c r="P1024" s="89"/>
    </row>
    <row r="1025" spans="1:16" s="29" customFormat="1">
      <c r="A1025" s="17" t="s">
        <v>2</v>
      </c>
      <c r="B1025" s="17">
        <v>7043920010</v>
      </c>
      <c r="C1025" s="79" t="s">
        <v>4639</v>
      </c>
      <c r="D1025" s="3" t="s">
        <v>5569</v>
      </c>
      <c r="E1025" s="53" t="s">
        <v>3386</v>
      </c>
      <c r="F1025" s="17" t="s">
        <v>3391</v>
      </c>
      <c r="G1025" s="17" t="s">
        <v>3391</v>
      </c>
      <c r="H1025" s="17" t="s">
        <v>9</v>
      </c>
      <c r="I1025" s="17" t="s">
        <v>3391</v>
      </c>
      <c r="J1025" s="17" t="s">
        <v>9</v>
      </c>
      <c r="K1025" s="49" t="s">
        <v>1364</v>
      </c>
      <c r="L1025" s="4"/>
      <c r="P1025" s="89"/>
    </row>
    <row r="1026" spans="1:16" s="29" customFormat="1">
      <c r="A1026" s="17" t="s">
        <v>2</v>
      </c>
      <c r="B1026" s="17">
        <v>7043930000</v>
      </c>
      <c r="C1026" s="79" t="s">
        <v>4640</v>
      </c>
      <c r="D1026" s="3" t="s">
        <v>5574</v>
      </c>
      <c r="E1026" s="53" t="s">
        <v>3386</v>
      </c>
      <c r="F1026" s="17" t="s">
        <v>3391</v>
      </c>
      <c r="G1026" s="17" t="s">
        <v>3391</v>
      </c>
      <c r="H1026" s="17" t="s">
        <v>9</v>
      </c>
      <c r="I1026" s="17" t="s">
        <v>3391</v>
      </c>
      <c r="J1026" s="17" t="s">
        <v>9</v>
      </c>
      <c r="K1026" s="49" t="s">
        <v>1365</v>
      </c>
      <c r="L1026" s="4"/>
      <c r="P1026" s="89"/>
    </row>
    <row r="1027" spans="1:16" s="29" customFormat="1">
      <c r="A1027" s="17" t="s">
        <v>2</v>
      </c>
      <c r="B1027" s="17">
        <v>7043930010</v>
      </c>
      <c r="C1027" s="79" t="s">
        <v>4640</v>
      </c>
      <c r="D1027" s="3" t="s">
        <v>5570</v>
      </c>
      <c r="E1027" s="53" t="s">
        <v>3386</v>
      </c>
      <c r="F1027" s="17" t="s">
        <v>3533</v>
      </c>
      <c r="G1027" s="17" t="s">
        <v>3533</v>
      </c>
      <c r="H1027" s="17" t="s">
        <v>3534</v>
      </c>
      <c r="I1027" s="17" t="s">
        <v>3544</v>
      </c>
      <c r="J1027" s="17" t="s">
        <v>9</v>
      </c>
      <c r="K1027" s="49" t="s">
        <v>1365</v>
      </c>
      <c r="L1027" s="4" t="str">
        <f ca="1">IF(ISERROR(VLOOKUP(B1027,'ETL Scope'!I:I,1,0)),"NA","ETL")</f>
        <v>NA</v>
      </c>
      <c r="M1027" s="29">
        <f ca="1">COUNTIF('Data-WK'!A:A,'V1'!B:B)</f>
        <v>0</v>
      </c>
      <c r="N1027" s="29" t="e">
        <f ca="1">VLOOKUP(E1027,'IFRS only'!A:A,1,0)</f>
        <v>#N/A</v>
      </c>
      <c r="P1027" s="89"/>
    </row>
    <row r="1028" spans="1:16" s="29" customFormat="1">
      <c r="A1028" s="17" t="s">
        <v>4</v>
      </c>
      <c r="B1028" s="18">
        <v>7043940000</v>
      </c>
      <c r="C1028" s="79" t="s">
        <v>4641</v>
      </c>
      <c r="D1028" s="3" t="s">
        <v>5575</v>
      </c>
      <c r="E1028" s="17" t="s">
        <v>1485</v>
      </c>
      <c r="F1028" s="17" t="s">
        <v>3531</v>
      </c>
      <c r="G1028" s="17" t="s">
        <v>3532</v>
      </c>
      <c r="H1028" s="17" t="s">
        <v>3531</v>
      </c>
      <c r="I1028" s="17" t="s">
        <v>3545</v>
      </c>
      <c r="J1028" s="17" t="s">
        <v>9</v>
      </c>
      <c r="K1028" s="49" t="s">
        <v>1395</v>
      </c>
      <c r="L1028" s="4" t="str">
        <f ca="1">IF(ISERROR(VLOOKUP(B1028,'ETL Scope'!I:I,1,0)),"NA","ETL")</f>
        <v>NA</v>
      </c>
      <c r="M1028" s="29">
        <f ca="1">COUNTIF('Data-WK'!A:A,'V1'!B:B)</f>
        <v>1</v>
      </c>
      <c r="N1028" s="29" t="e">
        <f ca="1">VLOOKUP(E1028,'IFRS only'!A:A,1,0)</f>
        <v>#N/A</v>
      </c>
      <c r="P1028" s="89"/>
    </row>
    <row r="1029" spans="1:16" s="29" customFormat="1">
      <c r="A1029" s="17" t="s">
        <v>4</v>
      </c>
      <c r="B1029" s="18">
        <v>7043950000</v>
      </c>
      <c r="C1029" s="79" t="s">
        <v>4642</v>
      </c>
      <c r="D1029" s="3" t="s">
        <v>5576</v>
      </c>
      <c r="E1029" s="17" t="s">
        <v>1485</v>
      </c>
      <c r="F1029" s="17" t="s">
        <v>3531</v>
      </c>
      <c r="G1029" s="17" t="s">
        <v>3532</v>
      </c>
      <c r="H1029" s="17" t="s">
        <v>3531</v>
      </c>
      <c r="I1029" s="17" t="s">
        <v>3545</v>
      </c>
      <c r="J1029" s="17" t="s">
        <v>9</v>
      </c>
      <c r="K1029" s="49" t="s">
        <v>1396</v>
      </c>
      <c r="L1029" s="4" t="str">
        <f ca="1">IF(ISERROR(VLOOKUP(B1029,'ETL Scope'!I:I,1,0)),"NA","ETL")</f>
        <v>NA</v>
      </c>
      <c r="M1029" s="29">
        <f ca="1">COUNTIF('Data-WK'!A:A,'V1'!B:B)</f>
        <v>1</v>
      </c>
      <c r="N1029" s="29" t="e">
        <f ca="1">VLOOKUP(E1029,'IFRS only'!A:A,1,0)</f>
        <v>#N/A</v>
      </c>
      <c r="P1029" s="89"/>
    </row>
    <row r="1030" spans="1:16" s="29" customFormat="1">
      <c r="A1030" s="17" t="s">
        <v>4</v>
      </c>
      <c r="B1030" s="18">
        <v>7043960000</v>
      </c>
      <c r="C1030" s="79" t="s">
        <v>4643</v>
      </c>
      <c r="D1030" s="3" t="s">
        <v>4955</v>
      </c>
      <c r="E1030" s="17" t="s">
        <v>1485</v>
      </c>
      <c r="F1030" s="17" t="s">
        <v>3531</v>
      </c>
      <c r="G1030" s="17" t="s">
        <v>3532</v>
      </c>
      <c r="H1030" s="17" t="s">
        <v>3531</v>
      </c>
      <c r="I1030" s="17" t="s">
        <v>3544</v>
      </c>
      <c r="J1030" s="17" t="s">
        <v>9</v>
      </c>
      <c r="K1030" s="49" t="s">
        <v>1397</v>
      </c>
      <c r="L1030" s="4" t="str">
        <f ca="1">IF(ISERROR(VLOOKUP(B1030,'ETL Scope'!I:I,1,0)),"NA","ETL")</f>
        <v>NA</v>
      </c>
      <c r="M1030" s="29">
        <f ca="1">COUNTIF('Data-WK'!A:A,'V1'!B:B)</f>
        <v>1</v>
      </c>
      <c r="N1030" s="29" t="e">
        <f ca="1">VLOOKUP(E1030,'IFRS only'!A:A,1,0)</f>
        <v>#N/A</v>
      </c>
      <c r="P1030" s="89"/>
    </row>
    <row r="1031" spans="1:16" s="29" customFormat="1">
      <c r="A1031" s="17" t="s">
        <v>4</v>
      </c>
      <c r="B1031" s="18">
        <v>7043970000</v>
      </c>
      <c r="C1031" s="79" t="s">
        <v>4644</v>
      </c>
      <c r="D1031" s="3" t="s">
        <v>4956</v>
      </c>
      <c r="E1031" s="17" t="s">
        <v>1485</v>
      </c>
      <c r="F1031" s="17" t="s">
        <v>3531</v>
      </c>
      <c r="G1031" s="17" t="s">
        <v>3532</v>
      </c>
      <c r="H1031" s="17" t="s">
        <v>3531</v>
      </c>
      <c r="I1031" s="17" t="s">
        <v>3544</v>
      </c>
      <c r="J1031" s="17" t="s">
        <v>9</v>
      </c>
      <c r="K1031" s="49" t="s">
        <v>1398</v>
      </c>
      <c r="L1031" s="4" t="str">
        <f ca="1">IF(ISERROR(VLOOKUP(B1031,'ETL Scope'!I:I,1,0)),"NA","ETL")</f>
        <v>NA</v>
      </c>
      <c r="M1031" s="29">
        <f ca="1">COUNTIF('Data-WK'!A:A,'V1'!B:B)</f>
        <v>1</v>
      </c>
      <c r="N1031" s="29" t="e">
        <f ca="1">VLOOKUP(E1031,'IFRS only'!A:A,1,0)</f>
        <v>#N/A</v>
      </c>
      <c r="P1031" s="89"/>
    </row>
    <row r="1032" spans="1:16" s="29" customFormat="1">
      <c r="A1032" s="17" t="s">
        <v>2</v>
      </c>
      <c r="B1032" s="17">
        <v>7050002000</v>
      </c>
      <c r="C1032" s="79" t="s">
        <v>4645</v>
      </c>
      <c r="D1032" s="3" t="s">
        <v>4957</v>
      </c>
      <c r="E1032" s="17" t="s">
        <v>2755</v>
      </c>
      <c r="F1032" s="17" t="s">
        <v>3532</v>
      </c>
      <c r="G1032" s="17" t="s">
        <v>3532</v>
      </c>
      <c r="H1032" s="17" t="s">
        <v>3531</v>
      </c>
      <c r="I1032" s="17" t="s">
        <v>3544</v>
      </c>
      <c r="J1032" s="17" t="s">
        <v>9</v>
      </c>
      <c r="K1032" s="49" t="s">
        <v>1131</v>
      </c>
      <c r="L1032" s="4" t="str">
        <f ca="1">IF(ISERROR(VLOOKUP(B1032,'ETL Scope'!I:I,1,0)),"NA","ETL")</f>
        <v>NA</v>
      </c>
      <c r="M1032" s="29">
        <f ca="1">COUNTIF('Data-WK'!A:A,'V1'!B:B)</f>
        <v>1</v>
      </c>
      <c r="N1032" s="29" t="e">
        <f ca="1">VLOOKUP(E1032,'IFRS only'!A:A,1,0)</f>
        <v>#N/A</v>
      </c>
      <c r="P1032" s="89"/>
    </row>
    <row r="1033" spans="1:16" s="29" customFormat="1">
      <c r="A1033" s="17" t="s">
        <v>2</v>
      </c>
      <c r="B1033" s="17">
        <v>7050010010</v>
      </c>
      <c r="C1033" s="79" t="s">
        <v>4646</v>
      </c>
      <c r="D1033" s="3" t="s">
        <v>4958</v>
      </c>
      <c r="E1033" s="17" t="s">
        <v>2756</v>
      </c>
      <c r="F1033" s="17" t="s">
        <v>3532</v>
      </c>
      <c r="G1033" s="17" t="s">
        <v>3532</v>
      </c>
      <c r="H1033" s="17" t="s">
        <v>3531</v>
      </c>
      <c r="I1033" s="17" t="s">
        <v>3545</v>
      </c>
      <c r="J1033" s="17" t="s">
        <v>9</v>
      </c>
      <c r="K1033" s="49" t="s">
        <v>5549</v>
      </c>
      <c r="L1033" s="4" t="str">
        <f ca="1">IF(ISERROR(VLOOKUP(B1033,'ETL Scope'!I:I,1,0)),"NA","ETL")</f>
        <v>NA</v>
      </c>
      <c r="M1033" s="29">
        <f ca="1">COUNTIF('Data-WK'!A:A,'V1'!B:B)</f>
        <v>1</v>
      </c>
      <c r="N1033" s="29" t="e">
        <f ca="1">VLOOKUP(E1033,'IFRS only'!A:A,1,0)</f>
        <v>#N/A</v>
      </c>
      <c r="P1033" s="89"/>
    </row>
    <row r="1034" spans="1:16" s="29" customFormat="1">
      <c r="A1034" s="17" t="s">
        <v>2</v>
      </c>
      <c r="B1034" s="17">
        <v>7050012000</v>
      </c>
      <c r="C1034" s="79" t="s">
        <v>4646</v>
      </c>
      <c r="D1034" s="3" t="s">
        <v>4959</v>
      </c>
      <c r="E1034" s="17" t="s">
        <v>2755</v>
      </c>
      <c r="F1034" s="17" t="s">
        <v>3532</v>
      </c>
      <c r="G1034" s="17" t="s">
        <v>3532</v>
      </c>
      <c r="H1034" s="17" t="s">
        <v>3531</v>
      </c>
      <c r="I1034" s="17" t="s">
        <v>3544</v>
      </c>
      <c r="J1034" s="17" t="s">
        <v>9</v>
      </c>
      <c r="K1034" s="49" t="s">
        <v>1132</v>
      </c>
      <c r="L1034" s="4" t="str">
        <f ca="1">IF(ISERROR(VLOOKUP(B1034,'ETL Scope'!I:I,1,0)),"NA","ETL")</f>
        <v>NA</v>
      </c>
      <c r="M1034" s="29">
        <f ca="1">COUNTIF('Data-WK'!A:A,'V1'!B:B)</f>
        <v>1</v>
      </c>
      <c r="N1034" s="29" t="e">
        <f ca="1">VLOOKUP(E1034,'IFRS only'!A:A,1,0)</f>
        <v>#N/A</v>
      </c>
      <c r="P1034" s="89"/>
    </row>
    <row r="1035" spans="1:16" s="29" customFormat="1">
      <c r="A1035" s="17" t="s">
        <v>4</v>
      </c>
      <c r="B1035" s="17">
        <v>7053001000</v>
      </c>
      <c r="C1035" s="79" t="s">
        <v>4647</v>
      </c>
      <c r="D1035" s="3" t="s">
        <v>436</v>
      </c>
      <c r="E1035" s="17" t="s">
        <v>2801</v>
      </c>
      <c r="F1035" s="17" t="s">
        <v>3532</v>
      </c>
      <c r="G1035" s="17" t="s">
        <v>3532</v>
      </c>
      <c r="H1035" s="17" t="s">
        <v>3531</v>
      </c>
      <c r="I1035" s="17" t="s">
        <v>3545</v>
      </c>
      <c r="J1035" s="17" t="s">
        <v>9</v>
      </c>
      <c r="K1035" s="49" t="s">
        <v>1168</v>
      </c>
      <c r="L1035" s="4" t="str">
        <f ca="1">IF(ISERROR(VLOOKUP(B1035,'ETL Scope'!I:I,1,0)),"NA","ETL")</f>
        <v>NA</v>
      </c>
      <c r="M1035" s="29">
        <f ca="1">COUNTIF('Data-WK'!A:A,'V1'!B:B)</f>
        <v>1</v>
      </c>
      <c r="N1035" s="29" t="e">
        <f ca="1">VLOOKUP(E1035,'IFRS only'!A:A,1,0)</f>
        <v>#N/A</v>
      </c>
      <c r="P1035" s="89"/>
    </row>
    <row r="1036" spans="1:16" s="29" customFormat="1">
      <c r="A1036" s="17" t="s">
        <v>2</v>
      </c>
      <c r="B1036" s="17">
        <v>7055002000</v>
      </c>
      <c r="C1036" s="79" t="s">
        <v>4648</v>
      </c>
      <c r="D1036" s="3" t="s">
        <v>4960</v>
      </c>
      <c r="E1036" s="17" t="s">
        <v>2755</v>
      </c>
      <c r="F1036" s="17" t="s">
        <v>3532</v>
      </c>
      <c r="G1036" s="17" t="s">
        <v>3532</v>
      </c>
      <c r="H1036" s="17" t="s">
        <v>3531</v>
      </c>
      <c r="I1036" s="17" t="s">
        <v>3544</v>
      </c>
      <c r="J1036" s="17" t="s">
        <v>9</v>
      </c>
      <c r="K1036" s="49" t="s">
        <v>1133</v>
      </c>
      <c r="L1036" s="4" t="str">
        <f ca="1">IF(ISERROR(VLOOKUP(B1036,'ETL Scope'!I:I,1,0)),"NA","ETL")</f>
        <v>NA</v>
      </c>
      <c r="M1036" s="29">
        <f ca="1">COUNTIF('Data-WK'!A:A,'V1'!B:B)</f>
        <v>1</v>
      </c>
      <c r="N1036" s="29" t="e">
        <f ca="1">VLOOKUP(E1036,'IFRS only'!A:A,1,0)</f>
        <v>#N/A</v>
      </c>
      <c r="P1036" s="89"/>
    </row>
    <row r="1037" spans="1:16" s="29" customFormat="1">
      <c r="A1037" s="17" t="s">
        <v>2</v>
      </c>
      <c r="B1037" s="17">
        <v>7055010000</v>
      </c>
      <c r="C1037" s="79" t="s">
        <v>4649</v>
      </c>
      <c r="D1037" s="3" t="s">
        <v>4961</v>
      </c>
      <c r="E1037" s="17" t="s">
        <v>2755</v>
      </c>
      <c r="F1037" s="17" t="s">
        <v>3532</v>
      </c>
      <c r="G1037" s="17" t="s">
        <v>3532</v>
      </c>
      <c r="H1037" s="17" t="s">
        <v>3531</v>
      </c>
      <c r="I1037" s="17" t="s">
        <v>3544</v>
      </c>
      <c r="J1037" s="17" t="s">
        <v>9</v>
      </c>
      <c r="K1037" s="49" t="s">
        <v>1134</v>
      </c>
      <c r="L1037" s="4" t="str">
        <f ca="1">IF(ISERROR(VLOOKUP(B1037,'ETL Scope'!I:I,1,0)),"NA","ETL")</f>
        <v>NA</v>
      </c>
      <c r="M1037" s="29">
        <f ca="1">COUNTIF('Data-WK'!A:A,'V1'!B:B)</f>
        <v>1</v>
      </c>
      <c r="N1037" s="29" t="e">
        <f ca="1">VLOOKUP(E1037,'IFRS only'!A:A,1,0)</f>
        <v>#N/A</v>
      </c>
      <c r="P1037" s="89"/>
    </row>
    <row r="1038" spans="1:16" s="29" customFormat="1">
      <c r="A1038" s="17" t="s">
        <v>2</v>
      </c>
      <c r="B1038" s="17">
        <v>7070200000</v>
      </c>
      <c r="C1038" s="79" t="s">
        <v>4650</v>
      </c>
      <c r="D1038" s="3" t="s">
        <v>432</v>
      </c>
      <c r="E1038" s="17" t="s">
        <v>2795</v>
      </c>
      <c r="F1038" s="17" t="s">
        <v>3532</v>
      </c>
      <c r="G1038" s="17" t="s">
        <v>3532</v>
      </c>
      <c r="H1038" s="17" t="s">
        <v>3531</v>
      </c>
      <c r="I1038" s="17" t="s">
        <v>3544</v>
      </c>
      <c r="J1038" s="17" t="s">
        <v>9</v>
      </c>
      <c r="K1038" s="49" t="s">
        <v>1161</v>
      </c>
      <c r="L1038" s="4" t="str">
        <f ca="1">IF(ISERROR(VLOOKUP(B1038,'ETL Scope'!I:I,1,0)),"NA","ETL")</f>
        <v>NA</v>
      </c>
      <c r="M1038" s="29">
        <f ca="1">COUNTIF('Data-WK'!A:A,'V1'!B:B)</f>
        <v>1</v>
      </c>
      <c r="N1038" s="29" t="e">
        <f ca="1">VLOOKUP(E1038,'IFRS only'!A:A,1,0)</f>
        <v>#N/A</v>
      </c>
      <c r="P1038" s="89"/>
    </row>
    <row r="1039" spans="1:16" s="29" customFormat="1">
      <c r="A1039" s="17" t="s">
        <v>2</v>
      </c>
      <c r="B1039" s="17">
        <v>7070201000</v>
      </c>
      <c r="C1039" s="79" t="s">
        <v>4650</v>
      </c>
      <c r="D1039" s="3" t="s">
        <v>434</v>
      </c>
      <c r="E1039" s="17" t="s">
        <v>2797</v>
      </c>
      <c r="F1039" s="17" t="s">
        <v>3532</v>
      </c>
      <c r="G1039" s="17" t="s">
        <v>3532</v>
      </c>
      <c r="H1039" s="17" t="s">
        <v>3531</v>
      </c>
      <c r="I1039" s="17" t="s">
        <v>3545</v>
      </c>
      <c r="J1039" s="17" t="s">
        <v>9</v>
      </c>
      <c r="K1039" s="49" t="s">
        <v>1166</v>
      </c>
      <c r="L1039" s="4" t="str">
        <f ca="1">IF(ISERROR(VLOOKUP(B1039,'ETL Scope'!I:I,1,0)),"NA","ETL")</f>
        <v>NA</v>
      </c>
      <c r="M1039" s="29">
        <f ca="1">COUNTIF('Data-WK'!A:A,'V1'!B:B)</f>
        <v>1</v>
      </c>
      <c r="N1039" s="29" t="e">
        <f ca="1">VLOOKUP(E1039,'IFRS only'!A:A,1,0)</f>
        <v>#N/A</v>
      </c>
      <c r="P1039" s="89"/>
    </row>
    <row r="1040" spans="1:16" s="29" customFormat="1">
      <c r="A1040" s="17" t="s">
        <v>2</v>
      </c>
      <c r="B1040" s="17">
        <v>7070310000</v>
      </c>
      <c r="C1040" s="79" t="s">
        <v>4651</v>
      </c>
      <c r="D1040" s="86" t="s">
        <v>5719</v>
      </c>
      <c r="E1040" s="17" t="s">
        <v>2768</v>
      </c>
      <c r="F1040" s="17" t="s">
        <v>3532</v>
      </c>
      <c r="G1040" s="17" t="s">
        <v>3532</v>
      </c>
      <c r="H1040" s="17" t="s">
        <v>3531</v>
      </c>
      <c r="I1040" s="17" t="s">
        <v>3545</v>
      </c>
      <c r="J1040" s="17" t="s">
        <v>9</v>
      </c>
      <c r="K1040" s="49" t="s">
        <v>1139</v>
      </c>
      <c r="L1040" s="4" t="str">
        <f ca="1">IF(ISERROR(VLOOKUP(B1040,'ETL Scope'!I:I,1,0)),"NA","ETL")</f>
        <v>NA</v>
      </c>
      <c r="M1040" s="29">
        <f ca="1">COUNTIF('Data-WK'!A:A,'V1'!B:B)</f>
        <v>1</v>
      </c>
      <c r="N1040" s="29" t="e">
        <f ca="1">VLOOKUP(E1040,'IFRS only'!A:A,1,0)</f>
        <v>#N/A</v>
      </c>
      <c r="P1040" s="89"/>
    </row>
    <row r="1041" spans="1:16" s="29" customFormat="1">
      <c r="A1041" s="17" t="s">
        <v>2</v>
      </c>
      <c r="B1041" s="17">
        <v>7072100000</v>
      </c>
      <c r="C1041" s="79" t="s">
        <v>4652</v>
      </c>
      <c r="D1041" s="3" t="s">
        <v>5653</v>
      </c>
      <c r="E1041" s="17" t="s">
        <v>2795</v>
      </c>
      <c r="F1041" s="17" t="s">
        <v>3532</v>
      </c>
      <c r="G1041" s="17" t="s">
        <v>3532</v>
      </c>
      <c r="H1041" s="17" t="s">
        <v>3531</v>
      </c>
      <c r="I1041" s="17" t="s">
        <v>3545</v>
      </c>
      <c r="J1041" s="17" t="s">
        <v>9</v>
      </c>
      <c r="K1041" s="49" t="s">
        <v>1162</v>
      </c>
      <c r="L1041" s="4" t="str">
        <f ca="1">IF(ISERROR(VLOOKUP(B1041,'ETL Scope'!I:I,1,0)),"NA","ETL")</f>
        <v>NA</v>
      </c>
      <c r="M1041" s="29">
        <f ca="1">COUNTIF('Data-WK'!A:A,'V1'!B:B)</f>
        <v>1</v>
      </c>
      <c r="N1041" s="29" t="e">
        <f ca="1">VLOOKUP(E1041,'IFRS only'!A:A,1,0)</f>
        <v>#N/A</v>
      </c>
      <c r="P1041" s="89"/>
    </row>
    <row r="1042" spans="1:16" s="29" customFormat="1">
      <c r="A1042" s="17" t="s">
        <v>2</v>
      </c>
      <c r="B1042" s="17">
        <v>7072101000</v>
      </c>
      <c r="C1042" s="79" t="s">
        <v>4652</v>
      </c>
      <c r="D1042" s="3" t="s">
        <v>5794</v>
      </c>
      <c r="E1042" s="17" t="s">
        <v>2795</v>
      </c>
      <c r="F1042" s="17" t="s">
        <v>3532</v>
      </c>
      <c r="G1042" s="17" t="s">
        <v>3532</v>
      </c>
      <c r="H1042" s="17" t="s">
        <v>3531</v>
      </c>
      <c r="I1042" s="17" t="s">
        <v>3545</v>
      </c>
      <c r="J1042" s="17" t="s">
        <v>3391</v>
      </c>
      <c r="K1042" s="49" t="s">
        <v>1162</v>
      </c>
      <c r="L1042" s="4" t="str">
        <f ca="1">IF(ISERROR(VLOOKUP(B1042,'ETL Scope'!I:I,1,0)),"NA","ETL")</f>
        <v>NA</v>
      </c>
      <c r="M1042" s="29">
        <f ca="1">COUNTIF('Data-WK'!A:A,'V1'!B:B)</f>
        <v>2</v>
      </c>
      <c r="N1042" s="29" t="e">
        <f ca="1">VLOOKUP(E1042,'IFRS only'!A:A,1,0)</f>
        <v>#N/A</v>
      </c>
      <c r="P1042" s="89"/>
    </row>
    <row r="1043" spans="1:16" s="29" customFormat="1">
      <c r="A1043" s="17" t="s">
        <v>2</v>
      </c>
      <c r="B1043" s="17">
        <v>7073200000</v>
      </c>
      <c r="C1043" s="79" t="s">
        <v>4653</v>
      </c>
      <c r="D1043" s="3" t="s">
        <v>4962</v>
      </c>
      <c r="E1043" s="17" t="s">
        <v>2796</v>
      </c>
      <c r="F1043" s="17" t="s">
        <v>3532</v>
      </c>
      <c r="G1043" s="17" t="s">
        <v>3532</v>
      </c>
      <c r="H1043" s="17" t="s">
        <v>3531</v>
      </c>
      <c r="I1043" s="17" t="s">
        <v>3544</v>
      </c>
      <c r="J1043" s="17" t="s">
        <v>9</v>
      </c>
      <c r="K1043" s="49" t="s">
        <v>1163</v>
      </c>
      <c r="L1043" s="4" t="str">
        <f ca="1">IF(ISERROR(VLOOKUP(B1043,'ETL Scope'!I:I,1,0)),"NA","ETL")</f>
        <v>NA</v>
      </c>
      <c r="M1043" s="29">
        <f ca="1">COUNTIF('Data-WK'!A:A,'V1'!B:B)</f>
        <v>1</v>
      </c>
      <c r="N1043" s="29" t="e">
        <f ca="1">VLOOKUP(E1043,'IFRS only'!A:A,1,0)</f>
        <v>#N/A</v>
      </c>
      <c r="P1043" s="89"/>
    </row>
    <row r="1044" spans="1:16" s="29" customFormat="1">
      <c r="A1044" s="17" t="s">
        <v>2</v>
      </c>
      <c r="B1044" s="17">
        <v>7073201000</v>
      </c>
      <c r="C1044" s="79" t="s">
        <v>4653</v>
      </c>
      <c r="D1044" s="3" t="s">
        <v>5814</v>
      </c>
      <c r="E1044" s="17" t="s">
        <v>2796</v>
      </c>
      <c r="F1044" s="17" t="s">
        <v>3532</v>
      </c>
      <c r="G1044" s="17" t="s">
        <v>3532</v>
      </c>
      <c r="H1044" s="17" t="s">
        <v>3531</v>
      </c>
      <c r="I1044" s="17" t="s">
        <v>3545</v>
      </c>
      <c r="J1044" s="17" t="s">
        <v>5761</v>
      </c>
      <c r="K1044" s="49" t="s">
        <v>1165</v>
      </c>
      <c r="L1044" s="4" t="str">
        <f ca="1">IF(ISERROR(VLOOKUP(B1044,'ETL Scope'!I:I,1,0)),"NA","ETL")</f>
        <v>NA</v>
      </c>
      <c r="M1044" s="29">
        <f ca="1">COUNTIF('Data-WK'!A:A,'V1'!B:B)</f>
        <v>1</v>
      </c>
      <c r="N1044" s="29" t="e">
        <f ca="1">VLOOKUP(E1044,'IFRS only'!A:A,1,0)</f>
        <v>#N/A</v>
      </c>
      <c r="P1044" s="89"/>
    </row>
    <row r="1045" spans="1:16" s="29" customFormat="1">
      <c r="A1045" s="17" t="s">
        <v>2</v>
      </c>
      <c r="B1045" s="17">
        <v>7073210000</v>
      </c>
      <c r="C1045" s="79" t="s">
        <v>4654</v>
      </c>
      <c r="D1045" s="3" t="s">
        <v>4963</v>
      </c>
      <c r="E1045" s="17" t="s">
        <v>2796</v>
      </c>
      <c r="F1045" s="17" t="s">
        <v>3532</v>
      </c>
      <c r="G1045" s="17" t="s">
        <v>3532</v>
      </c>
      <c r="H1045" s="17" t="s">
        <v>3531</v>
      </c>
      <c r="I1045" s="17" t="s">
        <v>3544</v>
      </c>
      <c r="J1045" s="17" t="s">
        <v>9</v>
      </c>
      <c r="K1045" s="49" t="s">
        <v>1164</v>
      </c>
      <c r="L1045" s="4" t="str">
        <f ca="1">IF(ISERROR(VLOOKUP(B1045,'ETL Scope'!I:I,1,0)),"NA","ETL")</f>
        <v>NA</v>
      </c>
      <c r="M1045" s="29">
        <f ca="1">COUNTIF('Data-WK'!A:A,'V1'!B:B)</f>
        <v>1</v>
      </c>
      <c r="N1045" s="29" t="e">
        <f ca="1">VLOOKUP(E1045,'IFRS only'!A:A,1,0)</f>
        <v>#N/A</v>
      </c>
      <c r="P1045" s="89"/>
    </row>
    <row r="1046" spans="1:16" s="29" customFormat="1">
      <c r="A1046" s="17" t="s">
        <v>2</v>
      </c>
      <c r="B1046" s="17">
        <v>7110000000</v>
      </c>
      <c r="C1046" s="79" t="s">
        <v>4655</v>
      </c>
      <c r="D1046" s="3" t="s">
        <v>4964</v>
      </c>
      <c r="E1046" s="53" t="s">
        <v>2746</v>
      </c>
      <c r="F1046" s="17" t="s">
        <v>3532</v>
      </c>
      <c r="G1046" s="17" t="s">
        <v>3532</v>
      </c>
      <c r="H1046" s="17" t="s">
        <v>3531</v>
      </c>
      <c r="I1046" s="17" t="s">
        <v>3544</v>
      </c>
      <c r="J1046" s="17" t="s">
        <v>9</v>
      </c>
      <c r="K1046" s="49" t="s">
        <v>1115</v>
      </c>
      <c r="L1046" s="4" t="str">
        <f ca="1">IF(ISERROR(VLOOKUP(B1046,'ETL Scope'!I:I,1,0)),"NA","ETL")</f>
        <v>NA</v>
      </c>
      <c r="M1046" s="29">
        <f ca="1">COUNTIF('Data-WK'!A:A,'V1'!B:B)</f>
        <v>3</v>
      </c>
      <c r="N1046" s="29" t="e">
        <f ca="1">VLOOKUP(E1046,'IFRS only'!A:A,1,0)</f>
        <v>#N/A</v>
      </c>
      <c r="P1046" s="89"/>
    </row>
    <row r="1047" spans="1:16" s="29" customFormat="1">
      <c r="A1047" s="17" t="s">
        <v>2</v>
      </c>
      <c r="B1047" s="17">
        <v>7111000000</v>
      </c>
      <c r="C1047" s="79" t="s">
        <v>4656</v>
      </c>
      <c r="D1047" s="3" t="s">
        <v>4965</v>
      </c>
      <c r="E1047" s="53" t="s">
        <v>2746</v>
      </c>
      <c r="F1047" s="17" t="s">
        <v>3532</v>
      </c>
      <c r="G1047" s="17" t="s">
        <v>3532</v>
      </c>
      <c r="H1047" s="17" t="s">
        <v>3531</v>
      </c>
      <c r="I1047" s="17" t="s">
        <v>3544</v>
      </c>
      <c r="J1047" s="17" t="s">
        <v>9</v>
      </c>
      <c r="K1047" s="49" t="s">
        <v>1116</v>
      </c>
      <c r="L1047" s="4" t="str">
        <f ca="1">IF(ISERROR(VLOOKUP(B1047,'ETL Scope'!I:I,1,0)),"NA","ETL")</f>
        <v>NA</v>
      </c>
      <c r="M1047" s="29">
        <f ca="1">COUNTIF('Data-WK'!A:A,'V1'!B:B)</f>
        <v>1</v>
      </c>
      <c r="N1047" s="29" t="e">
        <f ca="1">VLOOKUP(E1047,'IFRS only'!A:A,1,0)</f>
        <v>#N/A</v>
      </c>
      <c r="P1047" s="89"/>
    </row>
    <row r="1048" spans="1:16" s="29" customFormat="1">
      <c r="A1048" s="17" t="s">
        <v>2</v>
      </c>
      <c r="B1048" s="17">
        <v>7113000000</v>
      </c>
      <c r="C1048" s="79" t="s">
        <v>4657</v>
      </c>
      <c r="D1048" s="3" t="s">
        <v>4966</v>
      </c>
      <c r="E1048" s="53" t="s">
        <v>2746</v>
      </c>
      <c r="F1048" s="17" t="s">
        <v>3532</v>
      </c>
      <c r="G1048" s="17" t="s">
        <v>3532</v>
      </c>
      <c r="H1048" s="17" t="s">
        <v>3531</v>
      </c>
      <c r="I1048" s="17" t="s">
        <v>3544</v>
      </c>
      <c r="J1048" s="17" t="s">
        <v>9</v>
      </c>
      <c r="K1048" s="49" t="s">
        <v>1117</v>
      </c>
      <c r="L1048" s="4" t="str">
        <f ca="1">IF(ISERROR(VLOOKUP(B1048,'ETL Scope'!I:I,1,0)),"NA","ETL")</f>
        <v>NA</v>
      </c>
      <c r="M1048" s="29">
        <f ca="1">COUNTIF('Data-WK'!A:A,'V1'!B:B)</f>
        <v>3</v>
      </c>
      <c r="N1048" s="29" t="e">
        <f ca="1">VLOOKUP(E1048,'IFRS only'!A:A,1,0)</f>
        <v>#N/A</v>
      </c>
      <c r="P1048" s="89"/>
    </row>
    <row r="1049" spans="1:16" s="29" customFormat="1">
      <c r="A1049" s="17" t="s">
        <v>2</v>
      </c>
      <c r="B1049" s="17">
        <v>7130000000</v>
      </c>
      <c r="C1049" s="79" t="s">
        <v>4658</v>
      </c>
      <c r="D1049" s="3" t="s">
        <v>4967</v>
      </c>
      <c r="E1049" s="17" t="s">
        <v>2782</v>
      </c>
      <c r="F1049" s="17" t="s">
        <v>9</v>
      </c>
      <c r="G1049" s="17" t="s">
        <v>3532</v>
      </c>
      <c r="H1049" s="17" t="s">
        <v>3531</v>
      </c>
      <c r="I1049" s="17" t="s">
        <v>3544</v>
      </c>
      <c r="J1049" s="17" t="s">
        <v>9</v>
      </c>
      <c r="K1049" s="49" t="s">
        <v>1149</v>
      </c>
      <c r="L1049" s="4" t="str">
        <f ca="1">IF(ISERROR(VLOOKUP(B1049,'ETL Scope'!I:I,1,0)),"NA","ETL")</f>
        <v>NA</v>
      </c>
      <c r="M1049" s="29">
        <f ca="1">COUNTIF('Data-WK'!A:A,'V1'!B:B)</f>
        <v>3</v>
      </c>
      <c r="N1049" s="29" t="str">
        <f ca="1">VLOOKUP(E1049,'IFRS only'!A:A,1,0)</f>
        <v>421404</v>
      </c>
      <c r="P1049" s="89"/>
    </row>
    <row r="1050" spans="1:16" s="29" customFormat="1">
      <c r="A1050" s="17" t="s">
        <v>2</v>
      </c>
      <c r="B1050" s="17">
        <v>7130011500</v>
      </c>
      <c r="C1050" s="79" t="s">
        <v>4659</v>
      </c>
      <c r="D1050" s="3" t="s">
        <v>5795</v>
      </c>
      <c r="E1050" s="17" t="s">
        <v>2737</v>
      </c>
      <c r="F1050" s="17" t="s">
        <v>3532</v>
      </c>
      <c r="G1050" s="17" t="s">
        <v>3532</v>
      </c>
      <c r="H1050" s="17" t="s">
        <v>3531</v>
      </c>
      <c r="I1050" s="17" t="s">
        <v>3545</v>
      </c>
      <c r="J1050" s="17" t="s">
        <v>5393</v>
      </c>
      <c r="K1050" s="49" t="s">
        <v>1098</v>
      </c>
      <c r="L1050" s="4" t="str">
        <f ca="1">IF(ISERROR(VLOOKUP(B1050,'ETL Scope'!I:I,1,0)),"NA","ETL")</f>
        <v>NA</v>
      </c>
      <c r="M1050" s="29">
        <f ca="1">COUNTIF('Data-WK'!A:A,'V1'!B:B)</f>
        <v>1</v>
      </c>
      <c r="N1050" s="29" t="e">
        <f ca="1">VLOOKUP(E1050,'IFRS only'!A:A,1,0)</f>
        <v>#N/A</v>
      </c>
      <c r="P1050" s="89"/>
    </row>
    <row r="1051" spans="1:16" s="29" customFormat="1">
      <c r="A1051" s="17" t="s">
        <v>2</v>
      </c>
      <c r="B1051" s="17">
        <v>7132000000</v>
      </c>
      <c r="C1051" s="79" t="s">
        <v>4660</v>
      </c>
      <c r="D1051" s="3" t="s">
        <v>4968</v>
      </c>
      <c r="E1051" s="17" t="s">
        <v>2782</v>
      </c>
      <c r="F1051" s="17" t="s">
        <v>9</v>
      </c>
      <c r="G1051" s="17" t="s">
        <v>3532</v>
      </c>
      <c r="H1051" s="17" t="s">
        <v>3531</v>
      </c>
      <c r="I1051" s="17" t="s">
        <v>3544</v>
      </c>
      <c r="J1051" s="17" t="s">
        <v>9</v>
      </c>
      <c r="K1051" s="49" t="s">
        <v>1151</v>
      </c>
      <c r="L1051" s="4" t="str">
        <f ca="1">IF(ISERROR(VLOOKUP(B1051,'ETL Scope'!I:I,1,0)),"NA","ETL")</f>
        <v>NA</v>
      </c>
      <c r="M1051" s="29">
        <f ca="1">COUNTIF('Data-WK'!A:A,'V1'!B:B)</f>
        <v>1</v>
      </c>
      <c r="N1051" s="29" t="str">
        <f ca="1">VLOOKUP(E1051,'IFRS only'!A:A,1,0)</f>
        <v>421404</v>
      </c>
      <c r="P1051" s="89"/>
    </row>
    <row r="1052" spans="1:16" s="29" customFormat="1">
      <c r="A1052" s="17" t="s">
        <v>2</v>
      </c>
      <c r="B1052" s="17">
        <v>7133000000</v>
      </c>
      <c r="C1052" s="79" t="s">
        <v>4661</v>
      </c>
      <c r="D1052" s="3" t="s">
        <v>4969</v>
      </c>
      <c r="E1052" s="17" t="s">
        <v>2782</v>
      </c>
      <c r="F1052" s="17" t="s">
        <v>9</v>
      </c>
      <c r="G1052" s="17" t="s">
        <v>3532</v>
      </c>
      <c r="H1052" s="17" t="s">
        <v>3531</v>
      </c>
      <c r="I1052" s="17" t="s">
        <v>3544</v>
      </c>
      <c r="J1052" s="17" t="s">
        <v>9</v>
      </c>
      <c r="K1052" s="49" t="s">
        <v>1150</v>
      </c>
      <c r="L1052" s="4" t="str">
        <f ca="1">IF(ISERROR(VLOOKUP(B1052,'ETL Scope'!I:I,1,0)),"NA","ETL")</f>
        <v>NA</v>
      </c>
      <c r="M1052" s="29">
        <f ca="1">COUNTIF('Data-WK'!A:A,'V1'!B:B)</f>
        <v>2</v>
      </c>
      <c r="N1052" s="29" t="str">
        <f ca="1">VLOOKUP(E1052,'IFRS only'!A:A,1,0)</f>
        <v>421404</v>
      </c>
      <c r="P1052" s="89"/>
    </row>
    <row r="1053" spans="1:16" s="29" customFormat="1">
      <c r="A1053" s="17" t="s">
        <v>2</v>
      </c>
      <c r="B1053" s="17">
        <v>7133001500</v>
      </c>
      <c r="C1053" s="79" t="s">
        <v>4661</v>
      </c>
      <c r="D1053" s="3" t="s">
        <v>5796</v>
      </c>
      <c r="E1053" s="17" t="s">
        <v>2737</v>
      </c>
      <c r="F1053" s="17" t="s">
        <v>3532</v>
      </c>
      <c r="G1053" s="17" t="s">
        <v>3532</v>
      </c>
      <c r="H1053" s="17" t="s">
        <v>3531</v>
      </c>
      <c r="I1053" s="17" t="s">
        <v>3545</v>
      </c>
      <c r="J1053" s="17" t="s">
        <v>5393</v>
      </c>
      <c r="K1053" s="49" t="s">
        <v>1099</v>
      </c>
      <c r="L1053" s="4" t="str">
        <f ca="1">IF(ISERROR(VLOOKUP(B1053,'ETL Scope'!I:I,1,0)),"NA","ETL")</f>
        <v>NA</v>
      </c>
      <c r="M1053" s="29">
        <f ca="1">COUNTIF('Data-WK'!A:A,'V1'!B:B)</f>
        <v>1</v>
      </c>
      <c r="N1053" s="29" t="e">
        <f ca="1">VLOOKUP(E1053,'IFRS only'!A:A,1,0)</f>
        <v>#N/A</v>
      </c>
      <c r="P1053" s="89"/>
    </row>
    <row r="1054" spans="1:16" s="29" customFormat="1">
      <c r="A1054" s="17" t="s">
        <v>2</v>
      </c>
      <c r="B1054" s="17">
        <v>7142110000</v>
      </c>
      <c r="C1054" s="79" t="s">
        <v>4662</v>
      </c>
      <c r="D1054" s="86" t="s">
        <v>5720</v>
      </c>
      <c r="E1054" s="17" t="s">
        <v>2769</v>
      </c>
      <c r="F1054" s="17" t="s">
        <v>3532</v>
      </c>
      <c r="G1054" s="17" t="s">
        <v>3532</v>
      </c>
      <c r="H1054" s="17" t="s">
        <v>3531</v>
      </c>
      <c r="I1054" s="17" t="s">
        <v>3545</v>
      </c>
      <c r="J1054" s="17" t="s">
        <v>9</v>
      </c>
      <c r="K1054" s="49" t="s">
        <v>1140</v>
      </c>
      <c r="L1054" s="4" t="str">
        <f ca="1">IF(ISERROR(VLOOKUP(B1054,'ETL Scope'!I:I,1,0)),"NA","ETL")</f>
        <v>NA</v>
      </c>
      <c r="M1054" s="29">
        <f ca="1">COUNTIF('Data-WK'!A:A,'V1'!B:B)</f>
        <v>1</v>
      </c>
      <c r="N1054" s="29" t="e">
        <f ca="1">VLOOKUP(E1054,'IFRS only'!A:A,1,0)</f>
        <v>#N/A</v>
      </c>
      <c r="P1054" s="89"/>
    </row>
    <row r="1055" spans="1:16" s="29" customFormat="1">
      <c r="A1055" s="17" t="s">
        <v>2</v>
      </c>
      <c r="B1055" s="17">
        <v>7144100000</v>
      </c>
      <c r="C1055" s="79" t="s">
        <v>4663</v>
      </c>
      <c r="D1055" s="3" t="s">
        <v>4970</v>
      </c>
      <c r="E1055" s="53" t="s">
        <v>2746</v>
      </c>
      <c r="F1055" s="17" t="s">
        <v>3532</v>
      </c>
      <c r="G1055" s="17" t="s">
        <v>3532</v>
      </c>
      <c r="H1055" s="17" t="s">
        <v>3531</v>
      </c>
      <c r="I1055" s="17" t="s">
        <v>3544</v>
      </c>
      <c r="J1055" s="17" t="s">
        <v>9</v>
      </c>
      <c r="K1055" s="49" t="s">
        <v>1118</v>
      </c>
      <c r="L1055" s="4" t="str">
        <f ca="1">IF(ISERROR(VLOOKUP(B1055,'ETL Scope'!I:I,1,0)),"NA","ETL")</f>
        <v>NA</v>
      </c>
      <c r="M1055" s="29">
        <f ca="1">COUNTIF('Data-WK'!A:A,'V1'!B:B)</f>
        <v>1</v>
      </c>
      <c r="N1055" s="29" t="e">
        <f ca="1">VLOOKUP(E1055,'IFRS only'!A:A,1,0)</f>
        <v>#N/A</v>
      </c>
      <c r="P1055" s="89"/>
    </row>
    <row r="1056" spans="1:16" s="29" customFormat="1">
      <c r="A1056" s="17" t="s">
        <v>2</v>
      </c>
      <c r="B1056" s="17">
        <v>7144109000</v>
      </c>
      <c r="C1056" s="79" t="s">
        <v>4663</v>
      </c>
      <c r="D1056" s="3" t="s">
        <v>5797</v>
      </c>
      <c r="E1056" s="17" t="s">
        <v>2737</v>
      </c>
      <c r="F1056" s="17" t="s">
        <v>3532</v>
      </c>
      <c r="G1056" s="17" t="s">
        <v>3532</v>
      </c>
      <c r="H1056" s="17" t="s">
        <v>3531</v>
      </c>
      <c r="I1056" s="17" t="s">
        <v>3545</v>
      </c>
      <c r="J1056" s="17" t="s">
        <v>5393</v>
      </c>
      <c r="K1056" s="49" t="s">
        <v>1097</v>
      </c>
      <c r="L1056" s="4" t="str">
        <f ca="1">IF(ISERROR(VLOOKUP(B1056,'ETL Scope'!I:I,1,0)),"NA","ETL")</f>
        <v>NA</v>
      </c>
      <c r="M1056" s="29">
        <f ca="1">COUNTIF('Data-WK'!A:A,'V1'!B:B)</f>
        <v>1</v>
      </c>
      <c r="N1056" s="29" t="e">
        <f ca="1">VLOOKUP(E1056,'IFRS only'!A:A,1,0)</f>
        <v>#N/A</v>
      </c>
      <c r="P1056" s="89"/>
    </row>
    <row r="1057" spans="1:16" s="29" customFormat="1">
      <c r="A1057" s="17" t="s">
        <v>3</v>
      </c>
      <c r="B1057" s="17">
        <v>7202000000</v>
      </c>
      <c r="C1057" s="79" t="s">
        <v>4664</v>
      </c>
      <c r="D1057" s="3" t="s">
        <v>4971</v>
      </c>
      <c r="E1057" s="17" t="s">
        <v>2819</v>
      </c>
      <c r="F1057" s="17" t="s">
        <v>3532</v>
      </c>
      <c r="G1057" s="17" t="s">
        <v>3532</v>
      </c>
      <c r="H1057" s="17" t="s">
        <v>3531</v>
      </c>
      <c r="I1057" s="17" t="s">
        <v>3545</v>
      </c>
      <c r="J1057" s="17" t="s">
        <v>9</v>
      </c>
      <c r="K1057" s="49" t="s">
        <v>1180</v>
      </c>
      <c r="L1057" s="4" t="str">
        <f ca="1">IF(ISERROR(VLOOKUP(B1057,'ETL Scope'!I:I,1,0)),"NA","ETL")</f>
        <v>NA</v>
      </c>
      <c r="M1057" s="29">
        <f ca="1">COUNTIF('Data-WK'!A:A,'V1'!B:B)</f>
        <v>1</v>
      </c>
      <c r="N1057" s="29" t="e">
        <f ca="1">VLOOKUP(E1057,'IFRS only'!A:A,1,0)</f>
        <v>#N/A</v>
      </c>
      <c r="P1057" s="89"/>
    </row>
    <row r="1058" spans="1:16" s="29" customFormat="1">
      <c r="A1058" s="17" t="s">
        <v>4</v>
      </c>
      <c r="B1058" s="17">
        <v>7202001040</v>
      </c>
      <c r="C1058" s="79" t="s">
        <v>4664</v>
      </c>
      <c r="D1058" s="3" t="s">
        <v>435</v>
      </c>
      <c r="E1058" s="17" t="s">
        <v>2800</v>
      </c>
      <c r="F1058" s="17" t="s">
        <v>3532</v>
      </c>
      <c r="G1058" s="17" t="s">
        <v>3532</v>
      </c>
      <c r="H1058" s="17" t="s">
        <v>3531</v>
      </c>
      <c r="I1058" s="17" t="s">
        <v>3545</v>
      </c>
      <c r="J1058" s="17" t="s">
        <v>9</v>
      </c>
      <c r="K1058" s="49" t="s">
        <v>1180</v>
      </c>
      <c r="L1058" s="4" t="str">
        <f ca="1">IF(ISERROR(VLOOKUP(B1058,'ETL Scope'!I:I,1,0)),"NA","ETL")</f>
        <v>NA</v>
      </c>
      <c r="M1058" s="29">
        <f ca="1">COUNTIF('Data-WK'!A:A,'V1'!B:B)</f>
        <v>1</v>
      </c>
      <c r="N1058" s="29" t="e">
        <f ca="1">VLOOKUP(E1058,'IFRS only'!A:A,1,0)</f>
        <v>#N/A</v>
      </c>
      <c r="P1058" s="89"/>
    </row>
    <row r="1059" spans="1:16" s="29" customFormat="1">
      <c r="A1059" s="17" t="s">
        <v>2</v>
      </c>
      <c r="B1059" s="17">
        <v>7300000000</v>
      </c>
      <c r="C1059" s="80" t="s">
        <v>3970</v>
      </c>
      <c r="D1059" s="3" t="s">
        <v>4972</v>
      </c>
      <c r="E1059" s="17" t="s">
        <v>2753</v>
      </c>
      <c r="F1059" s="17" t="s">
        <v>3532</v>
      </c>
      <c r="G1059" s="17" t="s">
        <v>3532</v>
      </c>
      <c r="H1059" s="17" t="s">
        <v>3531</v>
      </c>
      <c r="I1059" s="17" t="s">
        <v>3544</v>
      </c>
      <c r="J1059" s="17" t="s">
        <v>9</v>
      </c>
      <c r="K1059" s="49" t="s">
        <v>1129</v>
      </c>
      <c r="L1059" s="4" t="str">
        <f ca="1">IF(ISERROR(VLOOKUP(B1059,'ETL Scope'!I:I,1,0)),"NA","ETL")</f>
        <v>NA</v>
      </c>
      <c r="M1059" s="29">
        <f ca="1">COUNTIF('Data-WK'!A:A,'V1'!B:B)</f>
        <v>1</v>
      </c>
      <c r="N1059" s="29" t="e">
        <f ca="1">VLOOKUP(E1059,'IFRS only'!A:A,1,0)</f>
        <v>#N/A</v>
      </c>
      <c r="P1059" s="89"/>
    </row>
    <row r="1060" spans="1:16" s="29" customFormat="1">
      <c r="A1060" s="17" t="s">
        <v>2</v>
      </c>
      <c r="B1060" s="17">
        <v>7300010000</v>
      </c>
      <c r="C1060" s="80" t="s">
        <v>4665</v>
      </c>
      <c r="D1060" s="3" t="s">
        <v>4973</v>
      </c>
      <c r="E1060" s="17" t="s">
        <v>2753</v>
      </c>
      <c r="F1060" s="17" t="s">
        <v>3532</v>
      </c>
      <c r="G1060" s="17" t="s">
        <v>3532</v>
      </c>
      <c r="H1060" s="17" t="s">
        <v>3531</v>
      </c>
      <c r="I1060" s="17" t="s">
        <v>3544</v>
      </c>
      <c r="J1060" s="17" t="s">
        <v>9</v>
      </c>
      <c r="K1060" s="49" t="s">
        <v>1130</v>
      </c>
      <c r="L1060" s="4" t="str">
        <f ca="1">IF(ISERROR(VLOOKUP(B1060,'ETL Scope'!I:I,1,0)),"NA","ETL")</f>
        <v>NA</v>
      </c>
      <c r="M1060" s="29">
        <f ca="1">COUNTIF('Data-WK'!A:A,'V1'!B:B)</f>
        <v>1</v>
      </c>
      <c r="N1060" s="29" t="e">
        <f ca="1">VLOOKUP(E1060,'IFRS only'!A:A,1,0)</f>
        <v>#N/A</v>
      </c>
      <c r="P1060" s="89"/>
    </row>
    <row r="1061" spans="1:16" s="29" customFormat="1">
      <c r="A1061" s="17" t="s">
        <v>2</v>
      </c>
      <c r="B1061" s="17">
        <v>7310000000</v>
      </c>
      <c r="C1061" s="80" t="s">
        <v>4666</v>
      </c>
      <c r="D1061" s="3" t="s">
        <v>4974</v>
      </c>
      <c r="E1061" s="17" t="s">
        <v>2748</v>
      </c>
      <c r="F1061" s="17" t="s">
        <v>3532</v>
      </c>
      <c r="G1061" s="17" t="s">
        <v>3532</v>
      </c>
      <c r="H1061" s="17" t="s">
        <v>3531</v>
      </c>
      <c r="I1061" s="17" t="s">
        <v>3544</v>
      </c>
      <c r="J1061" s="17" t="s">
        <v>9</v>
      </c>
      <c r="K1061" s="49" t="s">
        <v>1120</v>
      </c>
      <c r="L1061" s="4" t="str">
        <f ca="1">IF(ISERROR(VLOOKUP(B1061,'ETL Scope'!I:I,1,0)),"NA","ETL")</f>
        <v>NA</v>
      </c>
      <c r="M1061" s="29">
        <f ca="1">COUNTIF('Data-WK'!A:A,'V1'!B:B)</f>
        <v>3</v>
      </c>
      <c r="N1061" s="29" t="e">
        <f ca="1">VLOOKUP(E1061,'IFRS only'!A:A,1,0)</f>
        <v>#N/A</v>
      </c>
      <c r="P1061" s="89"/>
    </row>
    <row r="1062" spans="1:16" s="29" customFormat="1">
      <c r="A1062" s="17" t="s">
        <v>2</v>
      </c>
      <c r="B1062" s="17">
        <v>7310010000</v>
      </c>
      <c r="C1062" s="80" t="s">
        <v>4667</v>
      </c>
      <c r="D1062" s="3" t="s">
        <v>4975</v>
      </c>
      <c r="E1062" s="17" t="s">
        <v>2748</v>
      </c>
      <c r="F1062" s="17" t="s">
        <v>3532</v>
      </c>
      <c r="G1062" s="17" t="s">
        <v>3532</v>
      </c>
      <c r="H1062" s="17" t="s">
        <v>3531</v>
      </c>
      <c r="I1062" s="17" t="s">
        <v>3544</v>
      </c>
      <c r="J1062" s="17" t="s">
        <v>9</v>
      </c>
      <c r="K1062" s="49" t="s">
        <v>1121</v>
      </c>
      <c r="L1062" s="4" t="str">
        <f ca="1">IF(ISERROR(VLOOKUP(B1062,'ETL Scope'!I:I,1,0)),"NA","ETL")</f>
        <v>NA</v>
      </c>
      <c r="M1062" s="29">
        <f ca="1">COUNTIF('Data-WK'!A:A,'V1'!B:B)</f>
        <v>3</v>
      </c>
      <c r="N1062" s="29" t="e">
        <f ca="1">VLOOKUP(E1062,'IFRS only'!A:A,1,0)</f>
        <v>#N/A</v>
      </c>
      <c r="P1062" s="89"/>
    </row>
    <row r="1063" spans="1:16" s="29" customFormat="1">
      <c r="A1063" s="17" t="s">
        <v>2</v>
      </c>
      <c r="B1063" s="17">
        <v>7330000000</v>
      </c>
      <c r="C1063" s="80" t="s">
        <v>4668</v>
      </c>
      <c r="D1063" s="3" t="s">
        <v>4976</v>
      </c>
      <c r="E1063" s="17" t="s">
        <v>2781</v>
      </c>
      <c r="F1063" s="17" t="s">
        <v>9</v>
      </c>
      <c r="G1063" s="17" t="s">
        <v>3532</v>
      </c>
      <c r="H1063" s="17" t="s">
        <v>3531</v>
      </c>
      <c r="I1063" s="17" t="s">
        <v>3544</v>
      </c>
      <c r="J1063" s="17" t="s">
        <v>9</v>
      </c>
      <c r="K1063" s="49" t="s">
        <v>1143</v>
      </c>
      <c r="L1063" s="4" t="str">
        <f ca="1">IF(ISERROR(VLOOKUP(B1063,'ETL Scope'!I:I,1,0)),"NA","ETL")</f>
        <v>NA</v>
      </c>
      <c r="M1063" s="29">
        <f ca="1">COUNTIF('Data-WK'!A:A,'V1'!B:B)</f>
        <v>9</v>
      </c>
      <c r="N1063" s="29" t="str">
        <f ca="1">VLOOKUP(E1063,'IFRS only'!A:A,1,0)</f>
        <v>421403</v>
      </c>
      <c r="P1063" s="89"/>
    </row>
    <row r="1064" spans="1:16" s="29" customFormat="1">
      <c r="A1064" s="17" t="s">
        <v>2</v>
      </c>
      <c r="B1064" s="17">
        <v>7330001500</v>
      </c>
      <c r="C1064" s="80" t="s">
        <v>4668</v>
      </c>
      <c r="D1064" s="3" t="s">
        <v>5798</v>
      </c>
      <c r="E1064" s="17" t="s">
        <v>3374</v>
      </c>
      <c r="F1064" s="17" t="s">
        <v>3532</v>
      </c>
      <c r="G1064" s="17" t="s">
        <v>3532</v>
      </c>
      <c r="H1064" s="17" t="s">
        <v>3531</v>
      </c>
      <c r="I1064" s="17" t="s">
        <v>3545</v>
      </c>
      <c r="J1064" s="17" t="s">
        <v>5393</v>
      </c>
      <c r="K1064" s="49" t="s">
        <v>1101</v>
      </c>
      <c r="L1064" s="4" t="str">
        <f ca="1">IF(ISERROR(VLOOKUP(B1064,'ETL Scope'!I:I,1,0)),"NA","ETL")</f>
        <v>NA</v>
      </c>
      <c r="M1064" s="29">
        <f ca="1">COUNTIF('Data-WK'!A:A,'V1'!B:B)</f>
        <v>5</v>
      </c>
      <c r="N1064" s="29" t="e">
        <f ca="1">VLOOKUP(E1064,'IFRS only'!A:A,1,0)</f>
        <v>#N/A</v>
      </c>
      <c r="P1064" s="89"/>
    </row>
    <row r="1065" spans="1:16" s="29" customFormat="1">
      <c r="A1065" s="17" t="s">
        <v>2</v>
      </c>
      <c r="B1065" s="17">
        <v>7330010000</v>
      </c>
      <c r="C1065" s="80" t="s">
        <v>4669</v>
      </c>
      <c r="D1065" s="3" t="s">
        <v>4977</v>
      </c>
      <c r="E1065" s="17" t="s">
        <v>2781</v>
      </c>
      <c r="F1065" s="17" t="s">
        <v>9</v>
      </c>
      <c r="G1065" s="17" t="s">
        <v>3532</v>
      </c>
      <c r="H1065" s="17" t="s">
        <v>3531</v>
      </c>
      <c r="I1065" s="17" t="s">
        <v>3544</v>
      </c>
      <c r="J1065" s="17" t="s">
        <v>9</v>
      </c>
      <c r="K1065" s="49" t="s">
        <v>1144</v>
      </c>
      <c r="L1065" s="4" t="str">
        <f ca="1">IF(ISERROR(VLOOKUP(B1065,'ETL Scope'!I:I,1,0)),"NA","ETL")</f>
        <v>NA</v>
      </c>
      <c r="M1065" s="29">
        <f ca="1">COUNTIF('Data-WK'!A:A,'V1'!B:B)</f>
        <v>9</v>
      </c>
      <c r="N1065" s="29" t="str">
        <f ca="1">VLOOKUP(E1065,'IFRS only'!A:A,1,0)</f>
        <v>421403</v>
      </c>
      <c r="P1065" s="89"/>
    </row>
    <row r="1066" spans="1:16" s="29" customFormat="1">
      <c r="A1066" s="17" t="s">
        <v>2</v>
      </c>
      <c r="B1066" s="17">
        <v>7360000000</v>
      </c>
      <c r="C1066" s="80" t="s">
        <v>4670</v>
      </c>
      <c r="D1066" s="3" t="s">
        <v>4978</v>
      </c>
      <c r="E1066" s="17" t="s">
        <v>2742</v>
      </c>
      <c r="F1066" s="17" t="s">
        <v>3532</v>
      </c>
      <c r="G1066" s="17" t="s">
        <v>3532</v>
      </c>
      <c r="H1066" s="17" t="s">
        <v>3531</v>
      </c>
      <c r="I1066" s="17" t="s">
        <v>3544</v>
      </c>
      <c r="J1066" s="17" t="s">
        <v>9</v>
      </c>
      <c r="K1066" s="49" t="s">
        <v>1105</v>
      </c>
      <c r="L1066" s="4" t="str">
        <f ca="1">IF(ISERROR(VLOOKUP(B1066,'ETL Scope'!I:I,1,0)),"NA","ETL")</f>
        <v>NA</v>
      </c>
      <c r="M1066" s="29">
        <f ca="1">COUNTIF('Data-WK'!A:A,'V1'!B:B)</f>
        <v>1</v>
      </c>
      <c r="N1066" s="29" t="e">
        <f ca="1">VLOOKUP(E1066,'IFRS only'!A:A,1,0)</f>
        <v>#N/A</v>
      </c>
      <c r="P1066" s="89"/>
    </row>
    <row r="1067" spans="1:16" s="29" customFormat="1">
      <c r="A1067" s="17" t="s">
        <v>2</v>
      </c>
      <c r="B1067" s="17">
        <v>7360010000</v>
      </c>
      <c r="C1067" s="80" t="s">
        <v>4671</v>
      </c>
      <c r="D1067" s="3" t="s">
        <v>4979</v>
      </c>
      <c r="E1067" s="17" t="s">
        <v>2742</v>
      </c>
      <c r="F1067" s="17" t="s">
        <v>3532</v>
      </c>
      <c r="G1067" s="17" t="s">
        <v>3532</v>
      </c>
      <c r="H1067" s="17" t="s">
        <v>3531</v>
      </c>
      <c r="I1067" s="17" t="s">
        <v>3544</v>
      </c>
      <c r="J1067" s="17" t="s">
        <v>9</v>
      </c>
      <c r="K1067" s="49" t="s">
        <v>1106</v>
      </c>
      <c r="L1067" s="4" t="str">
        <f ca="1">IF(ISERROR(VLOOKUP(B1067,'ETL Scope'!I:I,1,0)),"NA","ETL")</f>
        <v>NA</v>
      </c>
      <c r="M1067" s="29">
        <f ca="1">COUNTIF('Data-WK'!A:A,'V1'!B:B)</f>
        <v>1</v>
      </c>
      <c r="N1067" s="29" t="e">
        <f ca="1">VLOOKUP(E1067,'IFRS only'!A:A,1,0)</f>
        <v>#N/A</v>
      </c>
      <c r="P1067" s="89"/>
    </row>
    <row r="1068" spans="1:16" s="29" customFormat="1">
      <c r="A1068" s="17" t="s">
        <v>2</v>
      </c>
      <c r="B1068" s="17">
        <v>7410000000</v>
      </c>
      <c r="C1068" s="80" t="s">
        <v>4672</v>
      </c>
      <c r="D1068" s="3" t="s">
        <v>4980</v>
      </c>
      <c r="E1068" s="17" t="s">
        <v>2748</v>
      </c>
      <c r="F1068" s="17" t="s">
        <v>3532</v>
      </c>
      <c r="G1068" s="17" t="s">
        <v>3532</v>
      </c>
      <c r="H1068" s="17" t="s">
        <v>3531</v>
      </c>
      <c r="I1068" s="17" t="s">
        <v>3544</v>
      </c>
      <c r="J1068" s="17" t="s">
        <v>9</v>
      </c>
      <c r="K1068" s="49" t="s">
        <v>1122</v>
      </c>
      <c r="L1068" s="4" t="str">
        <f ca="1">IF(ISERROR(VLOOKUP(B1068,'ETL Scope'!I:I,1,0)),"NA","ETL")</f>
        <v>NA</v>
      </c>
      <c r="M1068" s="29">
        <f ca="1">COUNTIF('Data-WK'!A:A,'V1'!B:B)</f>
        <v>3</v>
      </c>
      <c r="N1068" s="29" t="e">
        <f ca="1">VLOOKUP(E1068,'IFRS only'!A:A,1,0)</f>
        <v>#N/A</v>
      </c>
      <c r="P1068" s="89"/>
    </row>
    <row r="1069" spans="1:16" s="29" customFormat="1">
      <c r="A1069" s="17" t="s">
        <v>2</v>
      </c>
      <c r="B1069" s="17">
        <v>7410010000</v>
      </c>
      <c r="C1069" s="80" t="s">
        <v>4673</v>
      </c>
      <c r="D1069" s="3" t="s">
        <v>4981</v>
      </c>
      <c r="E1069" s="17" t="s">
        <v>2748</v>
      </c>
      <c r="F1069" s="17" t="s">
        <v>3532</v>
      </c>
      <c r="G1069" s="17" t="s">
        <v>3532</v>
      </c>
      <c r="H1069" s="17" t="s">
        <v>3531</v>
      </c>
      <c r="I1069" s="17" t="s">
        <v>3544</v>
      </c>
      <c r="J1069" s="17" t="s">
        <v>9</v>
      </c>
      <c r="K1069" s="49" t="s">
        <v>1123</v>
      </c>
      <c r="L1069" s="4" t="str">
        <f ca="1">IF(ISERROR(VLOOKUP(B1069,'ETL Scope'!I:I,1,0)),"NA","ETL")</f>
        <v>NA</v>
      </c>
      <c r="M1069" s="29">
        <f ca="1">COUNTIF('Data-WK'!A:A,'V1'!B:B)</f>
        <v>3</v>
      </c>
      <c r="N1069" s="29" t="e">
        <f ca="1">VLOOKUP(E1069,'IFRS only'!A:A,1,0)</f>
        <v>#N/A</v>
      </c>
      <c r="P1069" s="89"/>
    </row>
    <row r="1070" spans="1:16" s="29" customFormat="1">
      <c r="A1070" s="17" t="s">
        <v>2</v>
      </c>
      <c r="B1070" s="17">
        <v>7413000000</v>
      </c>
      <c r="C1070" s="80" t="s">
        <v>4674</v>
      </c>
      <c r="D1070" s="3" t="s">
        <v>4982</v>
      </c>
      <c r="E1070" s="17" t="s">
        <v>2748</v>
      </c>
      <c r="F1070" s="17" t="s">
        <v>3532</v>
      </c>
      <c r="G1070" s="17" t="s">
        <v>3532</v>
      </c>
      <c r="H1070" s="17" t="s">
        <v>3531</v>
      </c>
      <c r="I1070" s="17" t="s">
        <v>3544</v>
      </c>
      <c r="J1070" s="17" t="s">
        <v>9</v>
      </c>
      <c r="K1070" s="49" t="s">
        <v>1124</v>
      </c>
      <c r="L1070" s="4" t="str">
        <f ca="1">IF(ISERROR(VLOOKUP(B1070,'ETL Scope'!I:I,1,0)),"NA","ETL")</f>
        <v>NA</v>
      </c>
      <c r="M1070" s="29">
        <f ca="1">COUNTIF('Data-WK'!A:A,'V1'!B:B)</f>
        <v>2</v>
      </c>
      <c r="N1070" s="29" t="e">
        <f ca="1">VLOOKUP(E1070,'IFRS only'!A:A,1,0)</f>
        <v>#N/A</v>
      </c>
      <c r="P1070" s="89"/>
    </row>
    <row r="1071" spans="1:16" s="29" customFormat="1">
      <c r="A1071" s="17" t="s">
        <v>2</v>
      </c>
      <c r="B1071" s="17">
        <v>7413010000</v>
      </c>
      <c r="C1071" s="80" t="s">
        <v>4675</v>
      </c>
      <c r="D1071" s="3" t="s">
        <v>4983</v>
      </c>
      <c r="E1071" s="17" t="s">
        <v>2748</v>
      </c>
      <c r="F1071" s="17" t="s">
        <v>3532</v>
      </c>
      <c r="G1071" s="17" t="s">
        <v>3532</v>
      </c>
      <c r="H1071" s="17" t="s">
        <v>3531</v>
      </c>
      <c r="I1071" s="17" t="s">
        <v>3544</v>
      </c>
      <c r="J1071" s="17" t="s">
        <v>9</v>
      </c>
      <c r="K1071" s="49" t="s">
        <v>1125</v>
      </c>
      <c r="L1071" s="4" t="str">
        <f ca="1">IF(ISERROR(VLOOKUP(B1071,'ETL Scope'!I:I,1,0)),"NA","ETL")</f>
        <v>NA</v>
      </c>
      <c r="M1071" s="29">
        <f ca="1">COUNTIF('Data-WK'!A:A,'V1'!B:B)</f>
        <v>2</v>
      </c>
      <c r="N1071" s="29" t="e">
        <f ca="1">VLOOKUP(E1071,'IFRS only'!A:A,1,0)</f>
        <v>#N/A</v>
      </c>
      <c r="P1071" s="89"/>
    </row>
    <row r="1072" spans="1:16" s="29" customFormat="1">
      <c r="A1072" s="17" t="s">
        <v>2</v>
      </c>
      <c r="B1072" s="17">
        <v>7430000000</v>
      </c>
      <c r="C1072" s="80" t="s">
        <v>4676</v>
      </c>
      <c r="D1072" s="3" t="s">
        <v>4984</v>
      </c>
      <c r="E1072" s="17" t="s">
        <v>2781</v>
      </c>
      <c r="F1072" s="17" t="s">
        <v>9</v>
      </c>
      <c r="G1072" s="17" t="s">
        <v>3532</v>
      </c>
      <c r="H1072" s="17" t="s">
        <v>3531</v>
      </c>
      <c r="I1072" s="17" t="s">
        <v>3544</v>
      </c>
      <c r="J1072" s="17" t="s">
        <v>9</v>
      </c>
      <c r="K1072" s="49" t="s">
        <v>1145</v>
      </c>
      <c r="L1072" s="4" t="str">
        <f ca="1">IF(ISERROR(VLOOKUP(B1072,'ETL Scope'!I:I,1,0)),"NA","ETL")</f>
        <v>NA</v>
      </c>
      <c r="M1072" s="29">
        <f ca="1">COUNTIF('Data-WK'!A:A,'V1'!B:B)</f>
        <v>3</v>
      </c>
      <c r="N1072" s="29" t="str">
        <f ca="1">VLOOKUP(E1072,'IFRS only'!A:A,1,0)</f>
        <v>421403</v>
      </c>
      <c r="P1072" s="89"/>
    </row>
    <row r="1073" spans="1:16" s="29" customFormat="1">
      <c r="A1073" s="17" t="s">
        <v>2</v>
      </c>
      <c r="B1073" s="17">
        <v>7430001500</v>
      </c>
      <c r="C1073" s="80" t="s">
        <v>4676</v>
      </c>
      <c r="D1073" s="3" t="s">
        <v>5799</v>
      </c>
      <c r="E1073" s="17" t="s">
        <v>2738</v>
      </c>
      <c r="F1073" s="17" t="s">
        <v>3532</v>
      </c>
      <c r="G1073" s="17" t="s">
        <v>3532</v>
      </c>
      <c r="H1073" s="17" t="s">
        <v>3531</v>
      </c>
      <c r="I1073" s="17" t="s">
        <v>3545</v>
      </c>
      <c r="J1073" s="17" t="s">
        <v>5393</v>
      </c>
      <c r="K1073" s="49" t="s">
        <v>1100</v>
      </c>
      <c r="L1073" s="4" t="str">
        <f ca="1">IF(ISERROR(VLOOKUP(B1073,'ETL Scope'!I:I,1,0)),"NA","ETL")</f>
        <v>NA</v>
      </c>
      <c r="M1073" s="29">
        <f ca="1">COUNTIF('Data-WK'!A:A,'V1'!B:B)</f>
        <v>1</v>
      </c>
      <c r="N1073" s="29" t="e">
        <f ca="1">VLOOKUP(E1073,'IFRS only'!A:A,1,0)</f>
        <v>#N/A</v>
      </c>
      <c r="P1073" s="89"/>
    </row>
    <row r="1074" spans="1:16" s="29" customFormat="1">
      <c r="A1074" s="17" t="s">
        <v>2</v>
      </c>
      <c r="B1074" s="17">
        <v>7430010000</v>
      </c>
      <c r="C1074" s="80" t="s">
        <v>4677</v>
      </c>
      <c r="D1074" s="3" t="s">
        <v>4985</v>
      </c>
      <c r="E1074" s="17" t="s">
        <v>2781</v>
      </c>
      <c r="F1074" s="17" t="s">
        <v>9</v>
      </c>
      <c r="G1074" s="17" t="s">
        <v>3532</v>
      </c>
      <c r="H1074" s="17" t="s">
        <v>3531</v>
      </c>
      <c r="I1074" s="17" t="s">
        <v>3544</v>
      </c>
      <c r="J1074" s="17" t="s">
        <v>9</v>
      </c>
      <c r="K1074" s="49" t="s">
        <v>1146</v>
      </c>
      <c r="L1074" s="4" t="str">
        <f ca="1">IF(ISERROR(VLOOKUP(B1074,'ETL Scope'!I:I,1,0)),"NA","ETL")</f>
        <v>NA</v>
      </c>
      <c r="M1074" s="29">
        <f ca="1">COUNTIF('Data-WK'!A:A,'V1'!B:B)</f>
        <v>3</v>
      </c>
      <c r="N1074" s="29" t="str">
        <f ca="1">VLOOKUP(E1074,'IFRS only'!A:A,1,0)</f>
        <v>421403</v>
      </c>
      <c r="P1074" s="89"/>
    </row>
    <row r="1075" spans="1:16" s="29" customFormat="1">
      <c r="A1075" s="17" t="s">
        <v>2</v>
      </c>
      <c r="B1075" s="17">
        <v>7433000000</v>
      </c>
      <c r="C1075" s="80" t="s">
        <v>4678</v>
      </c>
      <c r="D1075" s="3" t="s">
        <v>4986</v>
      </c>
      <c r="E1075" s="17" t="s">
        <v>2781</v>
      </c>
      <c r="F1075" s="17" t="s">
        <v>9</v>
      </c>
      <c r="G1075" s="17" t="s">
        <v>3532</v>
      </c>
      <c r="H1075" s="17" t="s">
        <v>3531</v>
      </c>
      <c r="I1075" s="17" t="s">
        <v>3544</v>
      </c>
      <c r="J1075" s="17" t="s">
        <v>9</v>
      </c>
      <c r="K1075" s="49" t="s">
        <v>1147</v>
      </c>
      <c r="L1075" s="4" t="str">
        <f ca="1">IF(ISERROR(VLOOKUP(B1075,'ETL Scope'!I:I,1,0)),"NA","ETL")</f>
        <v>NA</v>
      </c>
      <c r="M1075" s="29">
        <f ca="1">COUNTIF('Data-WK'!A:A,'V1'!B:B)</f>
        <v>2</v>
      </c>
      <c r="N1075" s="29" t="str">
        <f ca="1">VLOOKUP(E1075,'IFRS only'!A:A,1,0)</f>
        <v>421403</v>
      </c>
      <c r="P1075" s="89"/>
    </row>
    <row r="1076" spans="1:16" s="29" customFormat="1">
      <c r="A1076" s="17" t="s">
        <v>2</v>
      </c>
      <c r="B1076" s="17">
        <v>7433001500</v>
      </c>
      <c r="C1076" s="80" t="s">
        <v>4678</v>
      </c>
      <c r="D1076" s="3" t="s">
        <v>5800</v>
      </c>
      <c r="E1076" s="17" t="s">
        <v>2738</v>
      </c>
      <c r="F1076" s="17" t="s">
        <v>3532</v>
      </c>
      <c r="G1076" s="17" t="s">
        <v>3532</v>
      </c>
      <c r="H1076" s="17" t="s">
        <v>3531</v>
      </c>
      <c r="I1076" s="17" t="s">
        <v>3545</v>
      </c>
      <c r="J1076" s="17" t="s">
        <v>5393</v>
      </c>
      <c r="K1076" s="49" t="s">
        <v>1102</v>
      </c>
      <c r="L1076" s="4" t="str">
        <f ca="1">IF(ISERROR(VLOOKUP(B1076,'ETL Scope'!I:I,1,0)),"NA","ETL")</f>
        <v>NA</v>
      </c>
      <c r="M1076" s="29">
        <f ca="1">COUNTIF('Data-WK'!A:A,'V1'!B:B)</f>
        <v>1</v>
      </c>
      <c r="N1076" s="29" t="e">
        <f ca="1">VLOOKUP(E1076,'IFRS only'!A:A,1,0)</f>
        <v>#N/A</v>
      </c>
      <c r="P1076" s="89"/>
    </row>
    <row r="1077" spans="1:16" s="29" customFormat="1">
      <c r="A1077" s="17" t="s">
        <v>2</v>
      </c>
      <c r="B1077" s="17">
        <v>7433010000</v>
      </c>
      <c r="C1077" s="80" t="s">
        <v>4679</v>
      </c>
      <c r="D1077" s="3" t="s">
        <v>4987</v>
      </c>
      <c r="E1077" s="17" t="s">
        <v>2781</v>
      </c>
      <c r="F1077" s="17" t="s">
        <v>9</v>
      </c>
      <c r="G1077" s="17" t="s">
        <v>3532</v>
      </c>
      <c r="H1077" s="17" t="s">
        <v>3531</v>
      </c>
      <c r="I1077" s="17" t="s">
        <v>3544</v>
      </c>
      <c r="J1077" s="17" t="s">
        <v>9</v>
      </c>
      <c r="K1077" s="49" t="s">
        <v>1148</v>
      </c>
      <c r="L1077" s="4" t="str">
        <f ca="1">IF(ISERROR(VLOOKUP(B1077,'ETL Scope'!I:I,1,0)),"NA","ETL")</f>
        <v>NA</v>
      </c>
      <c r="M1077" s="29">
        <f ca="1">COUNTIF('Data-WK'!A:A,'V1'!B:B)</f>
        <v>2</v>
      </c>
      <c r="N1077" s="29" t="str">
        <f ca="1">VLOOKUP(E1077,'IFRS only'!A:A,1,0)</f>
        <v>421403</v>
      </c>
      <c r="P1077" s="89"/>
    </row>
    <row r="1078" spans="1:16" s="29" customFormat="1">
      <c r="A1078" s="17" t="s">
        <v>4</v>
      </c>
      <c r="B1078" s="18">
        <v>7470000000</v>
      </c>
      <c r="C1078" s="80" t="s">
        <v>4680</v>
      </c>
      <c r="D1078" s="3" t="s">
        <v>4988</v>
      </c>
      <c r="E1078" s="17" t="s">
        <v>1485</v>
      </c>
      <c r="F1078" s="17" t="s">
        <v>3531</v>
      </c>
      <c r="G1078" s="17" t="s">
        <v>3532</v>
      </c>
      <c r="H1078" s="17" t="s">
        <v>3531</v>
      </c>
      <c r="I1078" s="17" t="s">
        <v>3545</v>
      </c>
      <c r="J1078" s="17" t="s">
        <v>9</v>
      </c>
      <c r="K1078" s="49" t="s">
        <v>1386</v>
      </c>
      <c r="L1078" s="4" t="str">
        <f ca="1">IF(ISERROR(VLOOKUP(B1078,'ETL Scope'!I:I,1,0)),"NA","ETL")</f>
        <v>NA</v>
      </c>
      <c r="M1078" s="29">
        <f ca="1">COUNTIF('Data-WK'!A:A,'V1'!B:B)</f>
        <v>1</v>
      </c>
      <c r="N1078" s="29" t="e">
        <f ca="1">VLOOKUP(E1078,'IFRS only'!A:A,1,0)</f>
        <v>#N/A</v>
      </c>
      <c r="P1078" s="89"/>
    </row>
    <row r="1079" spans="1:16" s="29" customFormat="1">
      <c r="A1079" s="17" t="s">
        <v>4</v>
      </c>
      <c r="B1079" s="18">
        <v>7474000000</v>
      </c>
      <c r="C1079" s="80" t="s">
        <v>4681</v>
      </c>
      <c r="D1079" s="3" t="s">
        <v>5577</v>
      </c>
      <c r="E1079" s="17" t="s">
        <v>1485</v>
      </c>
      <c r="F1079" s="17" t="s">
        <v>3531</v>
      </c>
      <c r="G1079" s="17" t="s">
        <v>3532</v>
      </c>
      <c r="H1079" s="17" t="s">
        <v>3531</v>
      </c>
      <c r="I1079" s="17" t="s">
        <v>3545</v>
      </c>
      <c r="J1079" s="17" t="s">
        <v>9</v>
      </c>
      <c r="K1079" s="49" t="s">
        <v>1387</v>
      </c>
      <c r="L1079" s="4" t="str">
        <f ca="1">IF(ISERROR(VLOOKUP(B1079,'ETL Scope'!I:I,1,0)),"NA","ETL")</f>
        <v>NA</v>
      </c>
      <c r="M1079" s="29">
        <f ca="1">COUNTIF('Data-WK'!A:A,'V1'!B:B)</f>
        <v>1</v>
      </c>
      <c r="N1079" s="29" t="e">
        <f ca="1">VLOOKUP(E1079,'IFRS only'!A:A,1,0)</f>
        <v>#N/A</v>
      </c>
      <c r="P1079" s="89"/>
    </row>
    <row r="1080" spans="1:16" s="29" customFormat="1">
      <c r="A1080" s="17" t="s">
        <v>4</v>
      </c>
      <c r="B1080" s="18">
        <v>7475000000</v>
      </c>
      <c r="C1080" s="80" t="s">
        <v>4682</v>
      </c>
      <c r="D1080" s="3" t="s">
        <v>3499</v>
      </c>
      <c r="E1080" s="17" t="s">
        <v>1485</v>
      </c>
      <c r="F1080" s="17" t="s">
        <v>3531</v>
      </c>
      <c r="G1080" s="17" t="s">
        <v>3532</v>
      </c>
      <c r="H1080" s="17" t="s">
        <v>3531</v>
      </c>
      <c r="I1080" s="17" t="s">
        <v>3545</v>
      </c>
      <c r="J1080" s="17" t="s">
        <v>9</v>
      </c>
      <c r="K1080" s="49" t="s">
        <v>1388</v>
      </c>
      <c r="L1080" s="4" t="str">
        <f ca="1">IF(ISERROR(VLOOKUP(B1080,'ETL Scope'!I:I,1,0)),"NA","ETL")</f>
        <v>NA</v>
      </c>
      <c r="M1080" s="29">
        <f ca="1">COUNTIF('Data-WK'!A:A,'V1'!B:B)</f>
        <v>1</v>
      </c>
      <c r="N1080" s="29" t="e">
        <f ca="1">VLOOKUP(E1080,'IFRS only'!A:A,1,0)</f>
        <v>#N/A</v>
      </c>
      <c r="P1080" s="89"/>
    </row>
    <row r="1081" spans="1:16" s="29" customFormat="1">
      <c r="A1081" s="17" t="s">
        <v>2</v>
      </c>
      <c r="B1081" s="17">
        <v>7490000020</v>
      </c>
      <c r="C1081" s="80" t="s">
        <v>4683</v>
      </c>
      <c r="D1081" s="3" t="s">
        <v>4989</v>
      </c>
      <c r="E1081" s="17" t="s">
        <v>2764</v>
      </c>
      <c r="F1081" s="17" t="s">
        <v>3532</v>
      </c>
      <c r="G1081" s="17" t="s">
        <v>3532</v>
      </c>
      <c r="H1081" s="17" t="s">
        <v>3531</v>
      </c>
      <c r="I1081" s="17" t="s">
        <v>3545</v>
      </c>
      <c r="J1081" s="17" t="s">
        <v>9</v>
      </c>
      <c r="K1081" s="49" t="s">
        <v>5547</v>
      </c>
      <c r="L1081" s="4" t="str">
        <f ca="1">IF(ISERROR(VLOOKUP(B1081,'ETL Scope'!I:I,1,0)),"NA","ETL")</f>
        <v>NA</v>
      </c>
      <c r="M1081" s="29">
        <f ca="1">COUNTIF('Data-WK'!A:A,'V1'!B:B)</f>
        <v>1</v>
      </c>
      <c r="N1081" s="29" t="e">
        <f ca="1">VLOOKUP(E1081,'IFRS only'!A:A,1,0)</f>
        <v>#N/A</v>
      </c>
      <c r="P1081" s="89"/>
    </row>
    <row r="1082" spans="1:16" s="29" customFormat="1">
      <c r="A1082" s="17" t="s">
        <v>7</v>
      </c>
      <c r="B1082" s="17">
        <v>7490000021</v>
      </c>
      <c r="C1082" s="80" t="s">
        <v>4683</v>
      </c>
      <c r="D1082" s="3" t="s">
        <v>5654</v>
      </c>
      <c r="E1082" s="17" t="s">
        <v>2900</v>
      </c>
      <c r="F1082" s="17" t="s">
        <v>3532</v>
      </c>
      <c r="G1082" s="17" t="s">
        <v>3532</v>
      </c>
      <c r="H1082" s="17" t="s">
        <v>3531</v>
      </c>
      <c r="I1082" s="17" t="s">
        <v>3545</v>
      </c>
      <c r="J1082" s="17" t="s">
        <v>9</v>
      </c>
      <c r="K1082" s="49" t="s">
        <v>5547</v>
      </c>
      <c r="L1082" s="4" t="str">
        <f ca="1">IF(ISERROR(VLOOKUP(B1082,'ETL Scope'!I:I,1,0)),"NA","ETL")</f>
        <v>NA</v>
      </c>
      <c r="M1082" s="29">
        <f ca="1">COUNTIF('Data-WK'!A:A,'V1'!B:B)</f>
        <v>1</v>
      </c>
      <c r="N1082" s="29" t="e">
        <f ca="1">VLOOKUP(E1082,'IFRS only'!A:A,1,0)</f>
        <v>#N/A</v>
      </c>
      <c r="P1082" s="89"/>
    </row>
    <row r="1083" spans="1:16" s="29" customFormat="1">
      <c r="A1083" s="17" t="s">
        <v>7</v>
      </c>
      <c r="B1083" s="17">
        <v>7490000022</v>
      </c>
      <c r="C1083" s="80" t="s">
        <v>4683</v>
      </c>
      <c r="D1083" s="3" t="s">
        <v>5655</v>
      </c>
      <c r="E1083" s="17" t="s">
        <v>2907</v>
      </c>
      <c r="F1083" s="17" t="s">
        <v>3532</v>
      </c>
      <c r="G1083" s="17" t="s">
        <v>3532</v>
      </c>
      <c r="H1083" s="17" t="s">
        <v>3531</v>
      </c>
      <c r="I1083" s="17" t="s">
        <v>3545</v>
      </c>
      <c r="J1083" s="17" t="s">
        <v>9</v>
      </c>
      <c r="K1083" s="49" t="s">
        <v>5547</v>
      </c>
      <c r="L1083" s="4" t="str">
        <f ca="1">IF(ISERROR(VLOOKUP(B1083,'ETL Scope'!I:I,1,0)),"NA","ETL")</f>
        <v>NA</v>
      </c>
      <c r="M1083" s="29">
        <f ca="1">COUNTIF('Data-WK'!A:A,'V1'!B:B)</f>
        <v>1</v>
      </c>
      <c r="N1083" s="29" t="e">
        <f ca="1">VLOOKUP(E1083,'IFRS only'!A:A,1,0)</f>
        <v>#N/A</v>
      </c>
      <c r="P1083" s="89"/>
    </row>
    <row r="1084" spans="1:16" s="29" customFormat="1">
      <c r="A1084" s="17" t="s">
        <v>7</v>
      </c>
      <c r="B1084" s="17">
        <v>7490000023</v>
      </c>
      <c r="C1084" s="80" t="s">
        <v>4683</v>
      </c>
      <c r="D1084" s="3" t="s">
        <v>5656</v>
      </c>
      <c r="E1084" s="17" t="s">
        <v>2921</v>
      </c>
      <c r="F1084" s="17" t="s">
        <v>3532</v>
      </c>
      <c r="G1084" s="17" t="s">
        <v>3532</v>
      </c>
      <c r="H1084" s="17" t="s">
        <v>3531</v>
      </c>
      <c r="I1084" s="17" t="s">
        <v>3545</v>
      </c>
      <c r="J1084" s="17" t="s">
        <v>9</v>
      </c>
      <c r="K1084" s="49" t="s">
        <v>5547</v>
      </c>
      <c r="L1084" s="4" t="str">
        <f ca="1">IF(ISERROR(VLOOKUP(B1084,'ETL Scope'!I:I,1,0)),"NA","ETL")</f>
        <v>NA</v>
      </c>
      <c r="M1084" s="29">
        <f ca="1">COUNTIF('Data-WK'!A:A,'V1'!B:B)</f>
        <v>1</v>
      </c>
      <c r="N1084" s="29" t="e">
        <f ca="1">VLOOKUP(E1084,'IFRS only'!A:A,1,0)</f>
        <v>#N/A</v>
      </c>
      <c r="P1084" s="89"/>
    </row>
    <row r="1085" spans="1:16" s="29" customFormat="1">
      <c r="A1085" s="17" t="s">
        <v>2</v>
      </c>
      <c r="B1085" s="17">
        <v>7530000000</v>
      </c>
      <c r="C1085" s="80" t="s">
        <v>4684</v>
      </c>
      <c r="D1085" s="3" t="s">
        <v>4990</v>
      </c>
      <c r="E1085" s="17" t="s">
        <v>2786</v>
      </c>
      <c r="F1085" s="17" t="s">
        <v>9</v>
      </c>
      <c r="G1085" s="17" t="s">
        <v>3532</v>
      </c>
      <c r="H1085" s="17" t="s">
        <v>3531</v>
      </c>
      <c r="I1085" s="17" t="s">
        <v>3544</v>
      </c>
      <c r="J1085" s="17" t="s">
        <v>9</v>
      </c>
      <c r="K1085" s="49" t="s">
        <v>1157</v>
      </c>
      <c r="L1085" s="4" t="str">
        <f ca="1">IF(ISERROR(VLOOKUP(B1085,'ETL Scope'!I:I,1,0)),"NA","ETL")</f>
        <v>NA</v>
      </c>
      <c r="M1085" s="29">
        <f ca="1">COUNTIF('Data-WK'!A:A,'V1'!B:B)</f>
        <v>10</v>
      </c>
      <c r="N1085" s="29" t="str">
        <f ca="1">VLOOKUP(E1085,'IFRS only'!A:A,1,0)</f>
        <v>430201</v>
      </c>
      <c r="P1085" s="89"/>
    </row>
    <row r="1086" spans="1:16" s="29" customFormat="1">
      <c r="A1086" s="17" t="s">
        <v>2</v>
      </c>
      <c r="B1086" s="17">
        <v>7530001000</v>
      </c>
      <c r="C1086" s="80" t="s">
        <v>4684</v>
      </c>
      <c r="D1086" s="3" t="s">
        <v>5801</v>
      </c>
      <c r="E1086" s="17" t="s">
        <v>2785</v>
      </c>
      <c r="F1086" s="17" t="s">
        <v>3532</v>
      </c>
      <c r="G1086" s="17" t="s">
        <v>3532</v>
      </c>
      <c r="H1086" s="17" t="s">
        <v>3531</v>
      </c>
      <c r="I1086" s="17" t="s">
        <v>3545</v>
      </c>
      <c r="J1086" s="17" t="s">
        <v>5394</v>
      </c>
      <c r="K1086" s="49" t="s">
        <v>1152</v>
      </c>
      <c r="L1086" s="4" t="str">
        <f ca="1">IF(ISERROR(VLOOKUP(B1086,'ETL Scope'!I:I,1,0)),"NA","ETL")</f>
        <v>NA</v>
      </c>
      <c r="M1086" s="29">
        <f ca="1">COUNTIF('Data-WK'!A:A,'V1'!B:B)</f>
        <v>4</v>
      </c>
      <c r="N1086" s="29" t="e">
        <f ca="1">VLOOKUP(E1086,'IFRS only'!A:A,1,0)</f>
        <v>#N/A</v>
      </c>
      <c r="P1086" s="89"/>
    </row>
    <row r="1087" spans="1:16" s="29" customFormat="1">
      <c r="A1087" s="17" t="s">
        <v>4</v>
      </c>
      <c r="B1087" s="17">
        <v>7590000000</v>
      </c>
      <c r="C1087" s="80" t="s">
        <v>4685</v>
      </c>
      <c r="D1087" s="3" t="s">
        <v>5657</v>
      </c>
      <c r="E1087" s="17" t="s">
        <v>3335</v>
      </c>
      <c r="F1087" s="17" t="s">
        <v>3535</v>
      </c>
      <c r="G1087" s="17" t="s">
        <v>3535</v>
      </c>
      <c r="H1087" s="17" t="s">
        <v>3536</v>
      </c>
      <c r="I1087" s="17" t="s">
        <v>3545</v>
      </c>
      <c r="J1087" s="17" t="s">
        <v>9</v>
      </c>
      <c r="K1087" s="49" t="s">
        <v>1373</v>
      </c>
      <c r="L1087" s="4" t="str">
        <f ca="1">IF(ISERROR(VLOOKUP(B1087,'ETL Scope'!I:I,1,0)),"NA","ETL")</f>
        <v>NA</v>
      </c>
      <c r="M1087" s="29">
        <f ca="1">COUNTIF('Data-WK'!A:A,'V1'!B:B)</f>
        <v>1</v>
      </c>
      <c r="N1087" s="29" t="e">
        <f ca="1">VLOOKUP(E1087,'IFRS only'!A:A,1,0)</f>
        <v>#N/A</v>
      </c>
      <c r="P1087" s="89"/>
    </row>
    <row r="1088" spans="1:16" s="29" customFormat="1">
      <c r="A1088" s="17" t="s">
        <v>4</v>
      </c>
      <c r="B1088" s="17">
        <v>7596000000</v>
      </c>
      <c r="C1088" s="80" t="s">
        <v>4686</v>
      </c>
      <c r="D1088" s="3" t="s">
        <v>3461</v>
      </c>
      <c r="E1088" s="17" t="s">
        <v>2828</v>
      </c>
      <c r="F1088" s="17" t="s">
        <v>3533</v>
      </c>
      <c r="G1088" s="17" t="s">
        <v>3533</v>
      </c>
      <c r="H1088" s="17" t="s">
        <v>3534</v>
      </c>
      <c r="I1088" s="17" t="s">
        <v>3545</v>
      </c>
      <c r="J1088" s="17" t="s">
        <v>9</v>
      </c>
      <c r="K1088" s="49" t="s">
        <v>1182</v>
      </c>
      <c r="L1088" s="4" t="str">
        <f ca="1">IF(ISERROR(VLOOKUP(B1088,'ETL Scope'!I:I,1,0)),"NA","ETL")</f>
        <v>NA</v>
      </c>
      <c r="M1088" s="29">
        <f ca="1">COUNTIF('Data-WK'!A:A,'V1'!B:B)</f>
        <v>1</v>
      </c>
      <c r="N1088" s="29" t="e">
        <f ca="1">VLOOKUP(E1088,'IFRS only'!A:A,1,0)</f>
        <v>#N/A</v>
      </c>
      <c r="P1088" s="89"/>
    </row>
    <row r="1089" spans="1:16" s="29" customFormat="1">
      <c r="A1089" s="17" t="s">
        <v>2</v>
      </c>
      <c r="B1089" s="17">
        <v>7630000000</v>
      </c>
      <c r="C1089" s="80" t="s">
        <v>4687</v>
      </c>
      <c r="D1089" s="3" t="s">
        <v>4991</v>
      </c>
      <c r="E1089" s="17" t="s">
        <v>2786</v>
      </c>
      <c r="F1089" s="17" t="s">
        <v>9</v>
      </c>
      <c r="G1089" s="17" t="s">
        <v>3532</v>
      </c>
      <c r="H1089" s="17" t="s">
        <v>3531</v>
      </c>
      <c r="I1089" s="17" t="s">
        <v>3544</v>
      </c>
      <c r="J1089" s="17" t="s">
        <v>9</v>
      </c>
      <c r="K1089" s="49" t="s">
        <v>1155</v>
      </c>
      <c r="L1089" s="4" t="str">
        <f ca="1">IF(ISERROR(VLOOKUP(B1089,'ETL Scope'!I:I,1,0)),"NA","ETL")</f>
        <v>NA</v>
      </c>
      <c r="M1089" s="29">
        <f ca="1">COUNTIF('Data-WK'!A:A,'V1'!B:B)</f>
        <v>4</v>
      </c>
      <c r="N1089" s="29" t="str">
        <f ca="1">VLOOKUP(E1089,'IFRS only'!A:A,1,0)</f>
        <v>430201</v>
      </c>
      <c r="P1089" s="89"/>
    </row>
    <row r="1090" spans="1:16" s="29" customFormat="1">
      <c r="A1090" s="17" t="s">
        <v>2</v>
      </c>
      <c r="B1090" s="17">
        <v>7630001000</v>
      </c>
      <c r="C1090" s="80" t="s">
        <v>4687</v>
      </c>
      <c r="D1090" s="3" t="s">
        <v>5802</v>
      </c>
      <c r="E1090" s="17" t="s">
        <v>2785</v>
      </c>
      <c r="F1090" s="17" t="s">
        <v>3532</v>
      </c>
      <c r="G1090" s="17" t="s">
        <v>3532</v>
      </c>
      <c r="H1090" s="17" t="s">
        <v>3531</v>
      </c>
      <c r="I1090" s="17" t="s">
        <v>3545</v>
      </c>
      <c r="J1090" s="17" t="s">
        <v>5394</v>
      </c>
      <c r="K1090" s="49" t="s">
        <v>1153</v>
      </c>
      <c r="L1090" s="4" t="str">
        <f ca="1">IF(ISERROR(VLOOKUP(B1090,'ETL Scope'!I:I,1,0)),"NA","ETL")</f>
        <v>NA</v>
      </c>
      <c r="M1090" s="29">
        <f ca="1">COUNTIF('Data-WK'!A:A,'V1'!B:B)</f>
        <v>2</v>
      </c>
      <c r="N1090" s="29" t="e">
        <f ca="1">VLOOKUP(E1090,'IFRS only'!A:A,1,0)</f>
        <v>#N/A</v>
      </c>
      <c r="P1090" s="89"/>
    </row>
    <row r="1091" spans="1:16" s="29" customFormat="1">
      <c r="A1091" s="17" t="s">
        <v>2</v>
      </c>
      <c r="B1091" s="17">
        <v>7633000000</v>
      </c>
      <c r="C1091" s="80" t="s">
        <v>4688</v>
      </c>
      <c r="D1091" s="3" t="s">
        <v>4992</v>
      </c>
      <c r="E1091" s="17" t="s">
        <v>2786</v>
      </c>
      <c r="F1091" s="17" t="s">
        <v>9</v>
      </c>
      <c r="G1091" s="17" t="s">
        <v>3532</v>
      </c>
      <c r="H1091" s="17" t="s">
        <v>3531</v>
      </c>
      <c r="I1091" s="17" t="s">
        <v>3544</v>
      </c>
      <c r="J1091" s="17" t="s">
        <v>9</v>
      </c>
      <c r="K1091" s="49" t="s">
        <v>1156</v>
      </c>
      <c r="L1091" s="4" t="str">
        <f ca="1">IF(ISERROR(VLOOKUP(B1091,'ETL Scope'!I:I,1,0)),"NA","ETL")</f>
        <v>NA</v>
      </c>
      <c r="M1091" s="29">
        <f ca="1">COUNTIF('Data-WK'!A:A,'V1'!B:B)</f>
        <v>3</v>
      </c>
      <c r="N1091" s="29" t="str">
        <f ca="1">VLOOKUP(E1091,'IFRS only'!A:A,1,0)</f>
        <v>430201</v>
      </c>
      <c r="P1091" s="89"/>
    </row>
    <row r="1092" spans="1:16" s="29" customFormat="1">
      <c r="A1092" s="17" t="s">
        <v>2</v>
      </c>
      <c r="B1092" s="17">
        <v>7633001500</v>
      </c>
      <c r="C1092" s="80" t="s">
        <v>4688</v>
      </c>
      <c r="D1092" s="3" t="s">
        <v>5803</v>
      </c>
      <c r="E1092" s="17" t="s">
        <v>2785</v>
      </c>
      <c r="F1092" s="17" t="s">
        <v>3532</v>
      </c>
      <c r="G1092" s="17" t="s">
        <v>3532</v>
      </c>
      <c r="H1092" s="17" t="s">
        <v>3531</v>
      </c>
      <c r="I1092" s="17" t="s">
        <v>3545</v>
      </c>
      <c r="J1092" s="17" t="s">
        <v>5394</v>
      </c>
      <c r="K1092" s="49" t="s">
        <v>1154</v>
      </c>
      <c r="L1092" s="4" t="str">
        <f ca="1">IF(ISERROR(VLOOKUP(B1092,'ETL Scope'!I:I,1,0)),"NA","ETL")</f>
        <v>NA</v>
      </c>
      <c r="M1092" s="29">
        <f ca="1">COUNTIF('Data-WK'!A:A,'V1'!B:B)</f>
        <v>1</v>
      </c>
      <c r="N1092" s="29" t="e">
        <f ca="1">VLOOKUP(E1092,'IFRS only'!A:A,1,0)</f>
        <v>#N/A</v>
      </c>
      <c r="P1092" s="89"/>
    </row>
    <row r="1093" spans="1:16" s="29" customFormat="1">
      <c r="A1093" s="17" t="s">
        <v>2</v>
      </c>
      <c r="B1093" s="17">
        <v>7700000000</v>
      </c>
      <c r="C1093" s="80" t="s">
        <v>4007</v>
      </c>
      <c r="D1093" s="3" t="s">
        <v>641</v>
      </c>
      <c r="E1093" s="17" t="s">
        <v>3070</v>
      </c>
      <c r="F1093" s="17" t="s">
        <v>3535</v>
      </c>
      <c r="G1093" s="17" t="s">
        <v>3535</v>
      </c>
      <c r="H1093" s="17" t="s">
        <v>3536</v>
      </c>
      <c r="I1093" s="17" t="s">
        <v>3544</v>
      </c>
      <c r="J1093" s="17" t="s">
        <v>9</v>
      </c>
      <c r="K1093" s="49" t="s">
        <v>1247</v>
      </c>
      <c r="L1093" s="4" t="str">
        <f ca="1">IF(ISERROR(VLOOKUP(B1093,'ETL Scope'!I:I,1,0)),"NA","ETL")</f>
        <v>NA</v>
      </c>
      <c r="M1093" s="29">
        <f ca="1">COUNTIF('Data-WK'!A:A,'V1'!B:B)</f>
        <v>1</v>
      </c>
      <c r="N1093" s="29" t="e">
        <f ca="1">VLOOKUP(E1093,'IFRS only'!A:A,1,0)</f>
        <v>#N/A</v>
      </c>
      <c r="P1093" s="89"/>
    </row>
    <row r="1094" spans="1:16" s="29" customFormat="1">
      <c r="A1094" s="17" t="s">
        <v>2</v>
      </c>
      <c r="B1094" s="17">
        <v>7810000000</v>
      </c>
      <c r="C1094" s="80" t="s">
        <v>4689</v>
      </c>
      <c r="D1094" s="3" t="s">
        <v>4993</v>
      </c>
      <c r="E1094" s="17" t="s">
        <v>3069</v>
      </c>
      <c r="F1094" s="17" t="s">
        <v>3535</v>
      </c>
      <c r="G1094" s="17" t="s">
        <v>3535</v>
      </c>
      <c r="H1094" s="17" t="s">
        <v>3536</v>
      </c>
      <c r="I1094" s="17" t="s">
        <v>3544</v>
      </c>
      <c r="J1094" s="17" t="s">
        <v>9</v>
      </c>
      <c r="K1094" s="49" t="s">
        <v>1245</v>
      </c>
      <c r="L1094" s="4" t="str">
        <f ca="1">IF(ISERROR(VLOOKUP(B1094,'ETL Scope'!I:I,1,0)),"NA","ETL")</f>
        <v>NA</v>
      </c>
      <c r="M1094" s="29">
        <f ca="1">COUNTIF('Data-WK'!A:A,'V1'!B:B)</f>
        <v>1</v>
      </c>
      <c r="N1094" s="29" t="e">
        <f ca="1">VLOOKUP(E1094,'IFRS only'!A:A,1,0)</f>
        <v>#N/A</v>
      </c>
      <c r="P1094" s="89"/>
    </row>
    <row r="1095" spans="1:16" s="29" customFormat="1">
      <c r="A1095" s="17" t="s">
        <v>2</v>
      </c>
      <c r="B1095" s="17">
        <v>7813000000</v>
      </c>
      <c r="C1095" s="80" t="s">
        <v>4690</v>
      </c>
      <c r="D1095" s="3" t="s">
        <v>4994</v>
      </c>
      <c r="E1095" s="17" t="s">
        <v>3069</v>
      </c>
      <c r="F1095" s="17" t="s">
        <v>3535</v>
      </c>
      <c r="G1095" s="17" t="s">
        <v>3535</v>
      </c>
      <c r="H1095" s="17" t="s">
        <v>3536</v>
      </c>
      <c r="I1095" s="17" t="s">
        <v>3544</v>
      </c>
      <c r="J1095" s="17" t="s">
        <v>9</v>
      </c>
      <c r="K1095" s="49" t="s">
        <v>1246</v>
      </c>
      <c r="L1095" s="4" t="str">
        <f ca="1">IF(ISERROR(VLOOKUP(B1095,'ETL Scope'!I:I,1,0)),"NA","ETL")</f>
        <v>NA</v>
      </c>
      <c r="M1095" s="29">
        <f ca="1">COUNTIF('Data-WK'!A:A,'V1'!B:B)</f>
        <v>1</v>
      </c>
      <c r="N1095" s="29" t="e">
        <f ca="1">VLOOKUP(E1095,'IFRS only'!A:A,1,0)</f>
        <v>#N/A</v>
      </c>
      <c r="P1095" s="89"/>
    </row>
    <row r="1096" spans="1:16" s="29" customFormat="1">
      <c r="A1096" s="17" t="s">
        <v>4</v>
      </c>
      <c r="B1096" s="17">
        <v>7900000000</v>
      </c>
      <c r="C1096" s="81" t="s">
        <v>4021</v>
      </c>
      <c r="D1096" s="3" t="s">
        <v>4995</v>
      </c>
      <c r="E1096" s="17" t="s">
        <v>3218</v>
      </c>
      <c r="F1096" s="17" t="s">
        <v>3537</v>
      </c>
      <c r="G1096" s="17" t="s">
        <v>3537</v>
      </c>
      <c r="H1096" s="17" t="s">
        <v>3538</v>
      </c>
      <c r="I1096" s="17" t="s">
        <v>3544</v>
      </c>
      <c r="J1096" s="17" t="s">
        <v>9</v>
      </c>
      <c r="K1096" s="49" t="s">
        <v>1337</v>
      </c>
      <c r="L1096" s="4" t="str">
        <f ca="1">IF(ISERROR(VLOOKUP(B1096,'ETL Scope'!I:I,1,0)),"NA","ETL")</f>
        <v>NA</v>
      </c>
      <c r="M1096" s="29">
        <f ca="1">COUNTIF('Data-WK'!A:A,'V1'!B:B)</f>
        <v>1</v>
      </c>
      <c r="N1096" s="29" t="e">
        <f ca="1">VLOOKUP(E1096,'IFRS only'!A:A,1,0)</f>
        <v>#N/A</v>
      </c>
      <c r="P1096" s="89"/>
    </row>
    <row r="1097" spans="1:16" s="29" customFormat="1">
      <c r="A1097" s="17" t="s">
        <v>10</v>
      </c>
      <c r="B1097" s="17">
        <v>7900000010</v>
      </c>
      <c r="C1097" s="81" t="s">
        <v>4021</v>
      </c>
      <c r="D1097" s="3" t="s">
        <v>4996</v>
      </c>
      <c r="E1097" s="17" t="s">
        <v>3221</v>
      </c>
      <c r="F1097" s="17" t="s">
        <v>3535</v>
      </c>
      <c r="G1097" s="17" t="s">
        <v>3535</v>
      </c>
      <c r="H1097" s="17" t="s">
        <v>3536</v>
      </c>
      <c r="I1097" s="17" t="s">
        <v>3545</v>
      </c>
      <c r="J1097" s="17" t="s">
        <v>9</v>
      </c>
      <c r="K1097" s="49" t="s">
        <v>1338</v>
      </c>
      <c r="L1097" s="4" t="str">
        <f ca="1">IF(ISERROR(VLOOKUP(B1097,'ETL Scope'!I:I,1,0)),"NA","ETL")</f>
        <v>NA</v>
      </c>
      <c r="M1097" s="29">
        <f ca="1">COUNTIF('Data-WK'!A:A,'V1'!B:B)</f>
        <v>1</v>
      </c>
      <c r="N1097" s="29" t="e">
        <f ca="1">VLOOKUP(E1097,'IFRS only'!A:A,1,0)</f>
        <v>#N/A</v>
      </c>
      <c r="P1097" s="89"/>
    </row>
    <row r="1098" spans="1:16" s="29" customFormat="1">
      <c r="A1098" s="17" t="s">
        <v>4</v>
      </c>
      <c r="B1098" s="17">
        <v>7900001500</v>
      </c>
      <c r="C1098" s="81" t="s">
        <v>4021</v>
      </c>
      <c r="D1098" s="3" t="s">
        <v>5804</v>
      </c>
      <c r="E1098" s="17" t="s">
        <v>3384</v>
      </c>
      <c r="F1098" s="17" t="s">
        <v>3537</v>
      </c>
      <c r="G1098" s="17" t="s">
        <v>3537</v>
      </c>
      <c r="H1098" s="17" t="s">
        <v>3538</v>
      </c>
      <c r="I1098" s="17" t="s">
        <v>3545</v>
      </c>
      <c r="J1098" s="17" t="s">
        <v>5394</v>
      </c>
      <c r="K1098" s="49" t="s">
        <v>1338</v>
      </c>
      <c r="L1098" s="4" t="str">
        <f ca="1">IF(ISERROR(VLOOKUP(B1098,'ETL Scope'!I:I,1,0)),"NA","ETL")</f>
        <v>NA</v>
      </c>
      <c r="M1098" s="29">
        <f ca="1">COUNTIF('Data-WK'!A:A,'V1'!B:B)</f>
        <v>2</v>
      </c>
      <c r="N1098" s="29" t="e">
        <f ca="1">VLOOKUP(E1098,'IFRS only'!A:A,1,0)</f>
        <v>#N/A</v>
      </c>
      <c r="P1098" s="89"/>
    </row>
    <row r="1099" spans="1:16" s="29" customFormat="1">
      <c r="A1099" s="17" t="s">
        <v>2</v>
      </c>
      <c r="B1099" s="17">
        <v>7902000000</v>
      </c>
      <c r="C1099" s="81" t="s">
        <v>4691</v>
      </c>
      <c r="D1099" s="3" t="s">
        <v>413</v>
      </c>
      <c r="E1099" s="17" t="s">
        <v>2759</v>
      </c>
      <c r="F1099" s="17" t="s">
        <v>3532</v>
      </c>
      <c r="G1099" s="17" t="s">
        <v>3532</v>
      </c>
      <c r="H1099" s="17" t="s">
        <v>3531</v>
      </c>
      <c r="I1099" s="17" t="s">
        <v>3544</v>
      </c>
      <c r="J1099" s="17" t="s">
        <v>9</v>
      </c>
      <c r="K1099" s="49" t="s">
        <v>1135</v>
      </c>
      <c r="L1099" s="4" t="str">
        <f ca="1">IF(ISERROR(VLOOKUP(B1099,'ETL Scope'!I:I,1,0)),"NA","ETL")</f>
        <v>NA</v>
      </c>
      <c r="M1099" s="29">
        <f ca="1">COUNTIF('Data-WK'!A:A,'V1'!B:B)</f>
        <v>1</v>
      </c>
      <c r="N1099" s="29" t="e">
        <f ca="1">VLOOKUP(E1099,'IFRS only'!A:A,1,0)</f>
        <v>#N/A</v>
      </c>
      <c r="P1099" s="89"/>
    </row>
    <row r="1100" spans="1:16" s="29" customFormat="1">
      <c r="A1100" s="17" t="s">
        <v>2</v>
      </c>
      <c r="B1100" s="17">
        <v>7902000001</v>
      </c>
      <c r="C1100" s="81" t="s">
        <v>4691</v>
      </c>
      <c r="D1100" s="3" t="s">
        <v>5805</v>
      </c>
      <c r="E1100" s="17" t="s">
        <v>3375</v>
      </c>
      <c r="F1100" s="17" t="s">
        <v>3532</v>
      </c>
      <c r="G1100" s="17" t="s">
        <v>3532</v>
      </c>
      <c r="H1100" s="17" t="s">
        <v>3531</v>
      </c>
      <c r="I1100" s="17" t="s">
        <v>3545</v>
      </c>
      <c r="J1100" s="17" t="s">
        <v>3391</v>
      </c>
      <c r="K1100" s="49" t="s">
        <v>1316</v>
      </c>
      <c r="L1100" s="4" t="str">
        <f ca="1">IF(ISERROR(VLOOKUP(B1100,'ETL Scope'!I:I,1,0)),"NA","ETL")</f>
        <v>NA</v>
      </c>
      <c r="M1100" s="29">
        <f ca="1">COUNTIF('Data-WK'!A:A,'V1'!B:B)</f>
        <v>2</v>
      </c>
      <c r="N1100" s="29" t="e">
        <f ca="1">VLOOKUP(E1100,'IFRS only'!A:A,1,0)</f>
        <v>#N/A</v>
      </c>
      <c r="P1100" s="89"/>
    </row>
    <row r="1101" spans="1:16" s="29" customFormat="1">
      <c r="A1101" s="17" t="s">
        <v>4</v>
      </c>
      <c r="B1101" s="17">
        <v>7902001000</v>
      </c>
      <c r="C1101" s="81" t="s">
        <v>4691</v>
      </c>
      <c r="D1101" s="3" t="s">
        <v>5806</v>
      </c>
      <c r="E1101" s="17" t="s">
        <v>3193</v>
      </c>
      <c r="F1101" s="17" t="s">
        <v>3535</v>
      </c>
      <c r="G1101" s="17" t="s">
        <v>3535</v>
      </c>
      <c r="H1101" s="17" t="s">
        <v>3536</v>
      </c>
      <c r="I1101" s="17" t="s">
        <v>3545</v>
      </c>
      <c r="J1101" s="17" t="s">
        <v>5389</v>
      </c>
      <c r="K1101" s="49" t="s">
        <v>1316</v>
      </c>
      <c r="L1101" s="4" t="str">
        <f ca="1">IF(ISERROR(VLOOKUP(B1101,'ETL Scope'!I:I,1,0)),"NA","ETL")</f>
        <v>NA</v>
      </c>
      <c r="M1101" s="29">
        <f ca="1">COUNTIF('Data-WK'!A:A,'V1'!B:B)</f>
        <v>1</v>
      </c>
      <c r="N1101" s="29" t="e">
        <f ca="1">VLOOKUP(E1101,'IFRS only'!A:A,1,0)</f>
        <v>#N/A</v>
      </c>
      <c r="P1101" s="89"/>
    </row>
    <row r="1102" spans="1:16" s="29" customFormat="1">
      <c r="A1102" s="17" t="s">
        <v>2</v>
      </c>
      <c r="B1102" s="17">
        <v>7902001043</v>
      </c>
      <c r="C1102" s="81" t="s">
        <v>4691</v>
      </c>
      <c r="D1102" s="86" t="s">
        <v>5807</v>
      </c>
      <c r="E1102" s="17" t="s">
        <v>2761</v>
      </c>
      <c r="F1102" s="17" t="s">
        <v>9</v>
      </c>
      <c r="G1102" s="17" t="s">
        <v>3532</v>
      </c>
      <c r="H1102" s="17" t="s">
        <v>3531</v>
      </c>
      <c r="I1102" s="17" t="s">
        <v>3545</v>
      </c>
      <c r="J1102" s="17" t="s">
        <v>5389</v>
      </c>
      <c r="K1102" s="49" t="s">
        <v>1136</v>
      </c>
      <c r="L1102" s="4" t="str">
        <f ca="1">IF(ISERROR(VLOOKUP(B1102,'ETL Scope'!I:I,1,0)),"NA","ETL")</f>
        <v>NA</v>
      </c>
      <c r="M1102" s="29">
        <f ca="1">COUNTIF('Data-WK'!A:A,'V1'!B:B)</f>
        <v>1</v>
      </c>
      <c r="N1102" s="29" t="str">
        <f ca="1">VLOOKUP(E1102,'IFRS only'!A:A,1,0)</f>
        <v>421003</v>
      </c>
      <c r="P1102" s="89"/>
    </row>
    <row r="1103" spans="1:16" s="29" customFormat="1">
      <c r="A1103" s="17" t="s">
        <v>2</v>
      </c>
      <c r="B1103" s="17">
        <v>7902001050</v>
      </c>
      <c r="C1103" s="81" t="s">
        <v>4691</v>
      </c>
      <c r="D1103" s="3" t="s">
        <v>814</v>
      </c>
      <c r="E1103" s="17" t="s">
        <v>3281</v>
      </c>
      <c r="F1103" s="17" t="s">
        <v>3533</v>
      </c>
      <c r="G1103" s="17" t="s">
        <v>3533</v>
      </c>
      <c r="H1103" s="17" t="s">
        <v>3534</v>
      </c>
      <c r="I1103" s="17" t="s">
        <v>3545</v>
      </c>
      <c r="J1103" s="17" t="s">
        <v>9</v>
      </c>
      <c r="K1103" s="49" t="s">
        <v>1316</v>
      </c>
      <c r="L1103" s="4" t="str">
        <f ca="1">IF(ISERROR(VLOOKUP(B1103,'ETL Scope'!I:I,1,0)),"NA","ETL")</f>
        <v>NA</v>
      </c>
      <c r="M1103" s="29">
        <f ca="1">COUNTIF('Data-WK'!A:A,'V1'!B:B)</f>
        <v>1</v>
      </c>
      <c r="N1103" s="29" t="e">
        <f ca="1">VLOOKUP(E1103,'IFRS only'!A:A,1,0)</f>
        <v>#N/A</v>
      </c>
      <c r="P1103" s="89"/>
    </row>
    <row r="1104" spans="1:16" s="29" customFormat="1">
      <c r="A1104" s="17" t="s">
        <v>3</v>
      </c>
      <c r="B1104" s="17">
        <v>7902001060</v>
      </c>
      <c r="C1104" s="81" t="s">
        <v>4691</v>
      </c>
      <c r="D1104" s="3" t="s">
        <v>4997</v>
      </c>
      <c r="E1104" s="17" t="s">
        <v>3287</v>
      </c>
      <c r="F1104" s="17" t="s">
        <v>3533</v>
      </c>
      <c r="G1104" s="17" t="s">
        <v>3533</v>
      </c>
      <c r="H1104" s="17" t="s">
        <v>3534</v>
      </c>
      <c r="I1104" s="17" t="s">
        <v>3545</v>
      </c>
      <c r="J1104" s="17" t="s">
        <v>9</v>
      </c>
      <c r="K1104" s="49" t="s">
        <v>1316</v>
      </c>
      <c r="L1104" s="4" t="str">
        <f ca="1">IF(ISERROR(VLOOKUP(B1104,'ETL Scope'!I:I,1,0)),"NA","ETL")</f>
        <v>NA</v>
      </c>
      <c r="M1104" s="29">
        <f ca="1">COUNTIF('Data-WK'!A:A,'V1'!B:B)</f>
        <v>1</v>
      </c>
      <c r="N1104" s="29" t="e">
        <f ca="1">VLOOKUP(E1104,'IFRS only'!A:A,1,0)</f>
        <v>#N/A</v>
      </c>
      <c r="P1104" s="89"/>
    </row>
    <row r="1105" spans="1:16" s="29" customFormat="1">
      <c r="A1105" s="17" t="s">
        <v>3</v>
      </c>
      <c r="B1105" s="17">
        <v>7902001061</v>
      </c>
      <c r="C1105" s="81" t="s">
        <v>4691</v>
      </c>
      <c r="D1105" s="3" t="s">
        <v>4998</v>
      </c>
      <c r="E1105" s="17" t="s">
        <v>3288</v>
      </c>
      <c r="F1105" s="17" t="s">
        <v>3533</v>
      </c>
      <c r="G1105" s="17" t="s">
        <v>3533</v>
      </c>
      <c r="H1105" s="17" t="s">
        <v>3534</v>
      </c>
      <c r="I1105" s="17" t="s">
        <v>3545</v>
      </c>
      <c r="J1105" s="17" t="s">
        <v>9</v>
      </c>
      <c r="K1105" s="49" t="s">
        <v>1316</v>
      </c>
      <c r="L1105" s="4" t="str">
        <f ca="1">IF(ISERROR(VLOOKUP(B1105,'ETL Scope'!I:I,1,0)),"NA","ETL")</f>
        <v>NA</v>
      </c>
      <c r="M1105" s="29">
        <f ca="1">COUNTIF('Data-WK'!A:A,'V1'!B:B)</f>
        <v>1</v>
      </c>
      <c r="N1105" s="29" t="e">
        <f ca="1">VLOOKUP(E1105,'IFRS only'!A:A,1,0)</f>
        <v>#N/A</v>
      </c>
      <c r="P1105" s="89"/>
    </row>
    <row r="1106" spans="1:16" s="29" customFormat="1">
      <c r="A1106" s="17" t="s">
        <v>4</v>
      </c>
      <c r="B1106" s="17">
        <v>7902009010</v>
      </c>
      <c r="C1106" s="81" t="s">
        <v>4691</v>
      </c>
      <c r="D1106" s="3" t="s">
        <v>5808</v>
      </c>
      <c r="E1106" s="17" t="s">
        <v>3215</v>
      </c>
      <c r="F1106" s="17" t="s">
        <v>3537</v>
      </c>
      <c r="G1106" s="17" t="s">
        <v>3537</v>
      </c>
      <c r="H1106" s="17" t="s">
        <v>3538</v>
      </c>
      <c r="I1106" s="17" t="s">
        <v>3545</v>
      </c>
      <c r="J1106" s="17" t="s">
        <v>5394</v>
      </c>
      <c r="K1106" s="49" t="s">
        <v>1316</v>
      </c>
      <c r="L1106" s="4" t="str">
        <f ca="1">IF(ISERROR(VLOOKUP(B1106,'ETL Scope'!I:I,1,0)),"NA","ETL")</f>
        <v>NA</v>
      </c>
      <c r="M1106" s="29">
        <f ca="1">COUNTIF('Data-WK'!A:A,'V1'!B:B)</f>
        <v>1</v>
      </c>
      <c r="N1106" s="29" t="e">
        <f ca="1">VLOOKUP(E1106,'IFRS only'!A:A,1,0)</f>
        <v>#N/A</v>
      </c>
      <c r="P1106" s="89"/>
    </row>
    <row r="1107" spans="1:16" s="29" customFormat="1">
      <c r="A1107" s="17" t="s">
        <v>2</v>
      </c>
      <c r="B1107" s="17">
        <v>7902110000</v>
      </c>
      <c r="C1107" s="81" t="s">
        <v>4692</v>
      </c>
      <c r="D1107" s="86" t="s">
        <v>5721</v>
      </c>
      <c r="E1107" s="17" t="s">
        <v>2767</v>
      </c>
      <c r="F1107" s="17" t="s">
        <v>3532</v>
      </c>
      <c r="G1107" s="17" t="s">
        <v>3532</v>
      </c>
      <c r="H1107" s="17" t="s">
        <v>3531</v>
      </c>
      <c r="I1107" s="17" t="s">
        <v>3545</v>
      </c>
      <c r="J1107" s="17" t="s">
        <v>9</v>
      </c>
      <c r="K1107" s="49" t="s">
        <v>1138</v>
      </c>
      <c r="L1107" s="4" t="str">
        <f ca="1">IF(ISERROR(VLOOKUP(B1107,'ETL Scope'!I:I,1,0)),"NA","ETL")</f>
        <v>NA</v>
      </c>
      <c r="M1107" s="29">
        <f ca="1">COUNTIF('Data-WK'!A:A,'V1'!B:B)</f>
        <v>1</v>
      </c>
      <c r="N1107" s="29" t="e">
        <f ca="1">VLOOKUP(E1107,'IFRS only'!A:A,1,0)</f>
        <v>#N/A</v>
      </c>
      <c r="P1107" s="89"/>
    </row>
    <row r="1108" spans="1:16" s="29" customFormat="1">
      <c r="A1108" s="17" t="s">
        <v>4</v>
      </c>
      <c r="B1108" s="17">
        <v>7980000000</v>
      </c>
      <c r="C1108" s="82" t="s">
        <v>4693</v>
      </c>
      <c r="D1108" s="3" t="s">
        <v>430</v>
      </c>
      <c r="E1108" s="17" t="s">
        <v>2792</v>
      </c>
      <c r="F1108" s="17" t="s">
        <v>3532</v>
      </c>
      <c r="G1108" s="17" t="s">
        <v>3532</v>
      </c>
      <c r="H1108" s="17" t="s">
        <v>3531</v>
      </c>
      <c r="I1108" s="17" t="s">
        <v>3545</v>
      </c>
      <c r="J1108" s="17" t="s">
        <v>9</v>
      </c>
      <c r="K1108" s="49" t="s">
        <v>1159</v>
      </c>
      <c r="L1108" s="4" t="str">
        <f ca="1">IF(ISERROR(VLOOKUP(B1108,'ETL Scope'!I:I,1,0)),"NA","ETL")</f>
        <v>NA</v>
      </c>
      <c r="M1108" s="29">
        <f ca="1">COUNTIF('Data-WK'!A:A,'V1'!B:B)</f>
        <v>1</v>
      </c>
      <c r="N1108" s="29" t="e">
        <f ca="1">VLOOKUP(E1108,'IFRS only'!A:A,1,0)</f>
        <v>#N/A</v>
      </c>
      <c r="P1108" s="89"/>
    </row>
    <row r="1109" spans="1:16" s="29" customFormat="1">
      <c r="A1109" s="17" t="s">
        <v>4</v>
      </c>
      <c r="B1109" s="17">
        <v>7981000000</v>
      </c>
      <c r="C1109" s="82" t="s">
        <v>4694</v>
      </c>
      <c r="D1109" s="3" t="s">
        <v>5809</v>
      </c>
      <c r="E1109" s="17" t="s">
        <v>2794</v>
      </c>
      <c r="F1109" s="17" t="s">
        <v>3532</v>
      </c>
      <c r="G1109" s="17" t="s">
        <v>3532</v>
      </c>
      <c r="H1109" s="17" t="s">
        <v>3531</v>
      </c>
      <c r="I1109" s="17" t="s">
        <v>3545</v>
      </c>
      <c r="J1109" s="17" t="s">
        <v>5390</v>
      </c>
      <c r="K1109" s="49" t="s">
        <v>1160</v>
      </c>
      <c r="L1109" s="4" t="str">
        <f ca="1">IF(ISERROR(VLOOKUP(B1109,'ETL Scope'!I:I,1,0)),"NA","ETL")</f>
        <v>NA</v>
      </c>
      <c r="M1109" s="29">
        <f ca="1">COUNTIF('Data-WK'!A:A,'V1'!B:B)</f>
        <v>1</v>
      </c>
      <c r="N1109" s="29" t="e">
        <f ca="1">VLOOKUP(E1109,'IFRS only'!A:A,1,0)</f>
        <v>#N/A</v>
      </c>
      <c r="P1109" s="89"/>
    </row>
    <row r="1110" spans="1:16" s="29" customFormat="1">
      <c r="A1110" s="17" t="s">
        <v>8</v>
      </c>
      <c r="B1110" s="17">
        <v>8000101010</v>
      </c>
      <c r="C1110" s="74" t="s">
        <v>4695</v>
      </c>
      <c r="D1110" s="3" t="s">
        <v>4999</v>
      </c>
      <c r="E1110" s="17" t="s">
        <v>3378</v>
      </c>
      <c r="F1110" s="17" t="s">
        <v>3533</v>
      </c>
      <c r="G1110" s="17" t="s">
        <v>3533</v>
      </c>
      <c r="H1110" s="17" t="s">
        <v>3534</v>
      </c>
      <c r="I1110" s="17" t="s">
        <v>3545</v>
      </c>
      <c r="J1110" s="17" t="s">
        <v>9</v>
      </c>
      <c r="K1110" s="49" t="s">
        <v>1250</v>
      </c>
      <c r="L1110" s="4" t="str">
        <f ca="1">IF(ISERROR(VLOOKUP(B1110,'ETL Scope'!I:I,1,0)),"NA","ETL")</f>
        <v>NA</v>
      </c>
      <c r="M1110" s="29">
        <f ca="1">COUNTIF('Data-WK'!A:A,'V1'!B:B)</f>
        <v>2</v>
      </c>
      <c r="N1110" s="29" t="e">
        <f ca="1">VLOOKUP(E1110,'IFRS only'!A:A,1,0)</f>
        <v>#N/A</v>
      </c>
      <c r="P1110" s="89"/>
    </row>
    <row r="1111" spans="1:16" s="29" customFormat="1">
      <c r="A1111" s="17" t="s">
        <v>8</v>
      </c>
      <c r="B1111" s="17">
        <v>8000201010</v>
      </c>
      <c r="C1111" s="74" t="s">
        <v>4696</v>
      </c>
      <c r="D1111" s="3" t="s">
        <v>5000</v>
      </c>
      <c r="E1111" s="17" t="s">
        <v>3079</v>
      </c>
      <c r="F1111" s="17" t="s">
        <v>3533</v>
      </c>
      <c r="G1111" s="17" t="s">
        <v>3533</v>
      </c>
      <c r="H1111" s="17" t="s">
        <v>3534</v>
      </c>
      <c r="I1111" s="17" t="s">
        <v>3545</v>
      </c>
      <c r="J1111" s="17" t="s">
        <v>9</v>
      </c>
      <c r="K1111" s="49" t="s">
        <v>1251</v>
      </c>
      <c r="L1111" s="4" t="str">
        <f ca="1">IF(ISERROR(VLOOKUP(B1111,'ETL Scope'!I:I,1,0)),"NA","ETL")</f>
        <v>NA</v>
      </c>
      <c r="M1111" s="29">
        <f ca="1">COUNTIF('Data-WK'!A:A,'V1'!B:B)</f>
        <v>1</v>
      </c>
      <c r="N1111" s="29" t="e">
        <f ca="1">VLOOKUP(E1111,'IFRS only'!A:A,1,0)</f>
        <v>#N/A</v>
      </c>
      <c r="P1111" s="89"/>
    </row>
    <row r="1112" spans="1:16" s="29" customFormat="1">
      <c r="A1112" s="17" t="s">
        <v>8</v>
      </c>
      <c r="B1112" s="17">
        <v>8000301010</v>
      </c>
      <c r="C1112" s="74" t="s">
        <v>4697</v>
      </c>
      <c r="D1112" s="3" t="s">
        <v>5001</v>
      </c>
      <c r="E1112" s="17" t="s">
        <v>3082</v>
      </c>
      <c r="F1112" s="17" t="s">
        <v>3533</v>
      </c>
      <c r="G1112" s="17" t="s">
        <v>3533</v>
      </c>
      <c r="H1112" s="17" t="s">
        <v>3534</v>
      </c>
      <c r="I1112" s="17" t="s">
        <v>3545</v>
      </c>
      <c r="J1112" s="17" t="s">
        <v>9</v>
      </c>
      <c r="K1112" s="49" t="s">
        <v>1253</v>
      </c>
      <c r="L1112" s="4" t="str">
        <f ca="1">IF(ISERROR(VLOOKUP(B1112,'ETL Scope'!I:I,1,0)),"NA","ETL")</f>
        <v>NA</v>
      </c>
      <c r="M1112" s="29">
        <f ca="1">COUNTIF('Data-WK'!A:A,'V1'!B:B)</f>
        <v>1</v>
      </c>
      <c r="N1112" s="29" t="e">
        <f ca="1">VLOOKUP(E1112,'IFRS only'!A:A,1,0)</f>
        <v>#N/A</v>
      </c>
      <c r="P1112" s="89"/>
    </row>
    <row r="1113" spans="1:16" s="29" customFormat="1">
      <c r="A1113" s="17" t="s">
        <v>8</v>
      </c>
      <c r="B1113" s="17">
        <v>8000302010</v>
      </c>
      <c r="C1113" s="74" t="s">
        <v>4697</v>
      </c>
      <c r="D1113" s="3" t="s">
        <v>5002</v>
      </c>
      <c r="E1113" s="17" t="s">
        <v>3087</v>
      </c>
      <c r="F1113" s="17" t="s">
        <v>3533</v>
      </c>
      <c r="G1113" s="17" t="s">
        <v>3533</v>
      </c>
      <c r="H1113" s="17" t="s">
        <v>3534</v>
      </c>
      <c r="I1113" s="17" t="s">
        <v>3545</v>
      </c>
      <c r="J1113" s="17" t="s">
        <v>9</v>
      </c>
      <c r="K1113" s="49" t="s">
        <v>1253</v>
      </c>
      <c r="L1113" s="4" t="str">
        <f ca="1">IF(ISERROR(VLOOKUP(B1113,'ETL Scope'!I:I,1,0)),"NA","ETL")</f>
        <v>NA</v>
      </c>
      <c r="M1113" s="29">
        <f ca="1">COUNTIF('Data-WK'!A:A,'V1'!B:B)</f>
        <v>1</v>
      </c>
      <c r="N1113" s="29" t="e">
        <f ca="1">VLOOKUP(E1113,'IFRS only'!A:A,1,0)</f>
        <v>#N/A</v>
      </c>
      <c r="P1113" s="89"/>
    </row>
    <row r="1114" spans="1:16" s="29" customFormat="1">
      <c r="A1114" s="17" t="s">
        <v>8</v>
      </c>
      <c r="B1114" s="17">
        <v>8000302020</v>
      </c>
      <c r="C1114" s="74" t="s">
        <v>4697</v>
      </c>
      <c r="D1114" s="3" t="s">
        <v>5003</v>
      </c>
      <c r="E1114" s="17" t="s">
        <v>3086</v>
      </c>
      <c r="F1114" s="17" t="s">
        <v>3533</v>
      </c>
      <c r="G1114" s="17" t="s">
        <v>3533</v>
      </c>
      <c r="H1114" s="17" t="s">
        <v>3534</v>
      </c>
      <c r="I1114" s="17" t="s">
        <v>3545</v>
      </c>
      <c r="J1114" s="17" t="s">
        <v>9</v>
      </c>
      <c r="K1114" s="49" t="s">
        <v>1256</v>
      </c>
      <c r="L1114" s="4" t="str">
        <f ca="1">IF(ISERROR(VLOOKUP(B1114,'ETL Scope'!I:I,1,0)),"NA","ETL")</f>
        <v>NA</v>
      </c>
      <c r="M1114" s="29">
        <f ca="1">COUNTIF('Data-WK'!A:A,'V1'!B:B)</f>
        <v>1</v>
      </c>
      <c r="N1114" s="29" t="e">
        <f ca="1">VLOOKUP(E1114,'IFRS only'!A:A,1,0)</f>
        <v>#N/A</v>
      </c>
      <c r="P1114" s="89"/>
    </row>
    <row r="1115" spans="1:16" s="29" customFormat="1">
      <c r="A1115" s="17" t="s">
        <v>8</v>
      </c>
      <c r="B1115" s="17">
        <v>8000401010</v>
      </c>
      <c r="C1115" s="74" t="s">
        <v>4698</v>
      </c>
      <c r="D1115" s="3" t="s">
        <v>5004</v>
      </c>
      <c r="E1115" s="17" t="s">
        <v>3379</v>
      </c>
      <c r="F1115" s="17" t="s">
        <v>3533</v>
      </c>
      <c r="G1115" s="17" t="s">
        <v>3533</v>
      </c>
      <c r="H1115" s="17" t="s">
        <v>3534</v>
      </c>
      <c r="I1115" s="17" t="s">
        <v>3545</v>
      </c>
      <c r="J1115" s="17" t="s">
        <v>9</v>
      </c>
      <c r="K1115" s="49" t="s">
        <v>1252</v>
      </c>
      <c r="L1115" s="4" t="str">
        <f ca="1">IF(ISERROR(VLOOKUP(B1115,'ETL Scope'!I:I,1,0)),"NA","ETL")</f>
        <v>NA</v>
      </c>
      <c r="M1115" s="29">
        <f ca="1">COUNTIF('Data-WK'!A:A,'V1'!B:B)</f>
        <v>2</v>
      </c>
      <c r="N1115" s="29" t="e">
        <f ca="1">VLOOKUP(E1115,'IFRS only'!A:A,1,0)</f>
        <v>#N/A</v>
      </c>
      <c r="P1115" s="89"/>
    </row>
    <row r="1116" spans="1:16" s="29" customFormat="1">
      <c r="A1116" s="17" t="s">
        <v>8</v>
      </c>
      <c r="B1116" s="17">
        <v>8000603010</v>
      </c>
      <c r="C1116" s="74" t="s">
        <v>4699</v>
      </c>
      <c r="D1116" s="3" t="s">
        <v>5005</v>
      </c>
      <c r="E1116" s="17" t="s">
        <v>3105</v>
      </c>
      <c r="F1116" s="17" t="s">
        <v>3533</v>
      </c>
      <c r="G1116" s="17" t="s">
        <v>3533</v>
      </c>
      <c r="H1116" s="17" t="s">
        <v>3534</v>
      </c>
      <c r="I1116" s="17" t="s">
        <v>3545</v>
      </c>
      <c r="J1116" s="17" t="s">
        <v>9</v>
      </c>
      <c r="K1116" s="49" t="s">
        <v>1271</v>
      </c>
      <c r="L1116" s="4" t="str">
        <f ca="1">IF(ISERROR(VLOOKUP(B1116,'ETL Scope'!I:I,1,0)),"NA","ETL")</f>
        <v>NA</v>
      </c>
      <c r="M1116" s="29">
        <f ca="1">COUNTIF('Data-WK'!A:A,'V1'!B:B)</f>
        <v>1</v>
      </c>
      <c r="N1116" s="29" t="e">
        <f ca="1">VLOOKUP(E1116,'IFRS only'!A:A,1,0)</f>
        <v>#N/A</v>
      </c>
      <c r="P1116" s="89"/>
    </row>
    <row r="1117" spans="1:16" s="29" customFormat="1">
      <c r="A1117" s="17" t="s">
        <v>8</v>
      </c>
      <c r="B1117" s="17">
        <v>8000801020</v>
      </c>
      <c r="C1117" s="74" t="s">
        <v>4700</v>
      </c>
      <c r="D1117" s="3" t="s">
        <v>5006</v>
      </c>
      <c r="E1117" s="17" t="s">
        <v>3103</v>
      </c>
      <c r="F1117" s="17" t="s">
        <v>3533</v>
      </c>
      <c r="G1117" s="17" t="s">
        <v>3533</v>
      </c>
      <c r="H1117" s="17" t="s">
        <v>3534</v>
      </c>
      <c r="I1117" s="17" t="s">
        <v>3545</v>
      </c>
      <c r="J1117" s="17" t="s">
        <v>9</v>
      </c>
      <c r="K1117" s="49" t="s">
        <v>1269</v>
      </c>
      <c r="L1117" s="4" t="str">
        <f ca="1">IF(ISERROR(VLOOKUP(B1117,'ETL Scope'!I:I,1,0)),"NA","ETL")</f>
        <v>NA</v>
      </c>
      <c r="M1117" s="29">
        <f ca="1">COUNTIF('Data-WK'!A:A,'V1'!B:B)</f>
        <v>1</v>
      </c>
      <c r="N1117" s="29" t="e">
        <f ca="1">VLOOKUP(E1117,'IFRS only'!A:A,1,0)</f>
        <v>#N/A</v>
      </c>
      <c r="P1117" s="89"/>
    </row>
    <row r="1118" spans="1:16" s="29" customFormat="1">
      <c r="A1118" s="17" t="s">
        <v>8</v>
      </c>
      <c r="B1118" s="17">
        <v>8000801030</v>
      </c>
      <c r="C1118" s="74" t="s">
        <v>4700</v>
      </c>
      <c r="D1118" s="3" t="s">
        <v>5007</v>
      </c>
      <c r="E1118" s="17" t="s">
        <v>3106</v>
      </c>
      <c r="F1118" s="17" t="s">
        <v>3533</v>
      </c>
      <c r="G1118" s="17" t="s">
        <v>3533</v>
      </c>
      <c r="H1118" s="17" t="s">
        <v>3534</v>
      </c>
      <c r="I1118" s="17" t="s">
        <v>3545</v>
      </c>
      <c r="J1118" s="17" t="s">
        <v>9</v>
      </c>
      <c r="K1118" s="49" t="s">
        <v>1272</v>
      </c>
      <c r="L1118" s="4" t="str">
        <f ca="1">IF(ISERROR(VLOOKUP(B1118,'ETL Scope'!I:I,1,0)),"NA","ETL")</f>
        <v>NA</v>
      </c>
      <c r="M1118" s="29">
        <f ca="1">COUNTIF('Data-WK'!A:A,'V1'!B:B)</f>
        <v>1</v>
      </c>
      <c r="N1118" s="29" t="e">
        <f ca="1">VLOOKUP(E1118,'IFRS only'!A:A,1,0)</f>
        <v>#N/A</v>
      </c>
      <c r="P1118" s="89"/>
    </row>
    <row r="1119" spans="1:16" s="29" customFormat="1">
      <c r="A1119" s="17" t="s">
        <v>8</v>
      </c>
      <c r="B1119" s="17">
        <v>8000901020</v>
      </c>
      <c r="C1119" s="74" t="s">
        <v>4701</v>
      </c>
      <c r="D1119" s="3" t="s">
        <v>5008</v>
      </c>
      <c r="E1119" s="17" t="s">
        <v>3104</v>
      </c>
      <c r="F1119" s="17" t="s">
        <v>3533</v>
      </c>
      <c r="G1119" s="17" t="s">
        <v>3533</v>
      </c>
      <c r="H1119" s="17" t="s">
        <v>3534</v>
      </c>
      <c r="I1119" s="17" t="s">
        <v>3545</v>
      </c>
      <c r="J1119" s="17" t="s">
        <v>9</v>
      </c>
      <c r="K1119" s="49" t="s">
        <v>1270</v>
      </c>
      <c r="L1119" s="4" t="str">
        <f ca="1">IF(ISERROR(VLOOKUP(B1119,'ETL Scope'!I:I,1,0)),"NA","ETL")</f>
        <v>NA</v>
      </c>
      <c r="M1119" s="29">
        <f ca="1">COUNTIF('Data-WK'!A:A,'V1'!B:B)</f>
        <v>1</v>
      </c>
      <c r="N1119" s="29" t="e">
        <f ca="1">VLOOKUP(E1119,'IFRS only'!A:A,1,0)</f>
        <v>#N/A</v>
      </c>
      <c r="P1119" s="89"/>
    </row>
    <row r="1120" spans="1:16" s="29" customFormat="1">
      <c r="A1120" s="17" t="s">
        <v>8</v>
      </c>
      <c r="B1120" s="17">
        <v>8010201020</v>
      </c>
      <c r="C1120" s="74" t="s">
        <v>4702</v>
      </c>
      <c r="D1120" s="3" t="s">
        <v>5009</v>
      </c>
      <c r="E1120" s="17" t="s">
        <v>3092</v>
      </c>
      <c r="F1120" s="17" t="s">
        <v>3533</v>
      </c>
      <c r="G1120" s="17" t="s">
        <v>3533</v>
      </c>
      <c r="H1120" s="17" t="s">
        <v>3534</v>
      </c>
      <c r="I1120" s="17" t="s">
        <v>3545</v>
      </c>
      <c r="J1120" s="17" t="s">
        <v>9</v>
      </c>
      <c r="K1120" s="49" t="s">
        <v>1262</v>
      </c>
      <c r="L1120" s="4" t="str">
        <f ca="1">IF(ISERROR(VLOOKUP(B1120,'ETL Scope'!I:I,1,0)),"NA","ETL")</f>
        <v>NA</v>
      </c>
      <c r="M1120" s="29">
        <f ca="1">COUNTIF('Data-WK'!A:A,'V1'!B:B)</f>
        <v>1</v>
      </c>
      <c r="N1120" s="29" t="e">
        <f ca="1">VLOOKUP(E1120,'IFRS only'!A:A,1,0)</f>
        <v>#N/A</v>
      </c>
      <c r="P1120" s="89"/>
    </row>
    <row r="1121" spans="1:16" s="29" customFormat="1">
      <c r="A1121" s="17" t="s">
        <v>8</v>
      </c>
      <c r="B1121" s="17">
        <v>8010201050</v>
      </c>
      <c r="C1121" s="74" t="s">
        <v>4702</v>
      </c>
      <c r="D1121" s="3" t="s">
        <v>5010</v>
      </c>
      <c r="E1121" s="17" t="s">
        <v>3097</v>
      </c>
      <c r="F1121" s="17" t="s">
        <v>3533</v>
      </c>
      <c r="G1121" s="17" t="s">
        <v>3533</v>
      </c>
      <c r="H1121" s="17" t="s">
        <v>3534</v>
      </c>
      <c r="I1121" s="17" t="s">
        <v>3545</v>
      </c>
      <c r="J1121" s="17" t="s">
        <v>9</v>
      </c>
      <c r="K1121" s="49" t="s">
        <v>1262</v>
      </c>
      <c r="L1121" s="4" t="str">
        <f ca="1">IF(ISERROR(VLOOKUP(B1121,'ETL Scope'!I:I,1,0)),"NA","ETL")</f>
        <v>NA</v>
      </c>
      <c r="M1121" s="29">
        <f ca="1">COUNTIF('Data-WK'!A:A,'V1'!B:B)</f>
        <v>1</v>
      </c>
      <c r="N1121" s="29" t="e">
        <f ca="1">VLOOKUP(E1121,'IFRS only'!A:A,1,0)</f>
        <v>#N/A</v>
      </c>
      <c r="P1121" s="89"/>
    </row>
    <row r="1122" spans="1:16" s="29" customFormat="1">
      <c r="A1122" s="17" t="s">
        <v>8</v>
      </c>
      <c r="B1122" s="17">
        <v>8010201051</v>
      </c>
      <c r="C1122" s="74" t="s">
        <v>4702</v>
      </c>
      <c r="D1122" s="3" t="s">
        <v>5011</v>
      </c>
      <c r="E1122" s="17" t="s">
        <v>3098</v>
      </c>
      <c r="F1122" s="17" t="s">
        <v>3533</v>
      </c>
      <c r="G1122" s="17" t="s">
        <v>3533</v>
      </c>
      <c r="H1122" s="17" t="s">
        <v>3534</v>
      </c>
      <c r="I1122" s="17" t="s">
        <v>3545</v>
      </c>
      <c r="J1122" s="17" t="s">
        <v>9</v>
      </c>
      <c r="K1122" s="49" t="s">
        <v>1262</v>
      </c>
      <c r="L1122" s="4" t="str">
        <f ca="1">IF(ISERROR(VLOOKUP(B1122,'ETL Scope'!I:I,1,0)),"NA","ETL")</f>
        <v>NA</v>
      </c>
      <c r="M1122" s="29">
        <f ca="1">COUNTIF('Data-WK'!A:A,'V1'!B:B)</f>
        <v>1</v>
      </c>
      <c r="N1122" s="29" t="e">
        <f ca="1">VLOOKUP(E1122,'IFRS only'!A:A,1,0)</f>
        <v>#N/A</v>
      </c>
      <c r="P1122" s="89"/>
    </row>
    <row r="1123" spans="1:16" s="29" customFormat="1">
      <c r="A1123" s="17" t="s">
        <v>8</v>
      </c>
      <c r="B1123" s="17">
        <v>8010501010</v>
      </c>
      <c r="C1123" s="74" t="s">
        <v>4703</v>
      </c>
      <c r="D1123" s="3" t="s">
        <v>5012</v>
      </c>
      <c r="E1123" s="17" t="s">
        <v>3091</v>
      </c>
      <c r="F1123" s="17" t="s">
        <v>3533</v>
      </c>
      <c r="G1123" s="17" t="s">
        <v>3533</v>
      </c>
      <c r="H1123" s="17" t="s">
        <v>3534</v>
      </c>
      <c r="I1123" s="17" t="s">
        <v>3545</v>
      </c>
      <c r="J1123" s="17" t="s">
        <v>9</v>
      </c>
      <c r="K1123" s="49" t="s">
        <v>1261</v>
      </c>
      <c r="L1123" s="4" t="str">
        <f ca="1">IF(ISERROR(VLOOKUP(B1123,'ETL Scope'!I:I,1,0)),"NA","ETL")</f>
        <v>NA</v>
      </c>
      <c r="M1123" s="29">
        <f ca="1">COUNTIF('Data-WK'!A:A,'V1'!B:B)</f>
        <v>1</v>
      </c>
      <c r="N1123" s="29" t="e">
        <f ca="1">VLOOKUP(E1123,'IFRS only'!A:A,1,0)</f>
        <v>#N/A</v>
      </c>
      <c r="P1123" s="89"/>
    </row>
    <row r="1124" spans="1:16" s="29" customFormat="1">
      <c r="A1124" s="17" t="s">
        <v>8</v>
      </c>
      <c r="B1124" s="17">
        <v>8010501040</v>
      </c>
      <c r="C1124" s="74" t="s">
        <v>4703</v>
      </c>
      <c r="D1124" s="3" t="s">
        <v>5013</v>
      </c>
      <c r="E1124" s="17" t="s">
        <v>3093</v>
      </c>
      <c r="F1124" s="17" t="s">
        <v>3533</v>
      </c>
      <c r="G1124" s="17" t="s">
        <v>3533</v>
      </c>
      <c r="H1124" s="17" t="s">
        <v>3534</v>
      </c>
      <c r="I1124" s="17" t="s">
        <v>3545</v>
      </c>
      <c r="J1124" s="17" t="s">
        <v>9</v>
      </c>
      <c r="K1124" s="49" t="s">
        <v>1261</v>
      </c>
      <c r="L1124" s="4" t="str">
        <f ca="1">IF(ISERROR(VLOOKUP(B1124,'ETL Scope'!I:I,1,0)),"NA","ETL")</f>
        <v>NA</v>
      </c>
      <c r="M1124" s="29">
        <f ca="1">COUNTIF('Data-WK'!A:A,'V1'!B:B)</f>
        <v>1</v>
      </c>
      <c r="N1124" s="29" t="e">
        <f ca="1">VLOOKUP(E1124,'IFRS only'!A:A,1,0)</f>
        <v>#N/A</v>
      </c>
      <c r="P1124" s="89"/>
    </row>
    <row r="1125" spans="1:16" s="29" customFormat="1">
      <c r="A1125" s="17" t="s">
        <v>8</v>
      </c>
      <c r="B1125" s="17">
        <v>8010501050</v>
      </c>
      <c r="C1125" s="74" t="s">
        <v>4703</v>
      </c>
      <c r="D1125" s="3" t="s">
        <v>5014</v>
      </c>
      <c r="E1125" s="17" t="s">
        <v>3094</v>
      </c>
      <c r="F1125" s="17" t="s">
        <v>3533</v>
      </c>
      <c r="G1125" s="17" t="s">
        <v>3533</v>
      </c>
      <c r="H1125" s="17" t="s">
        <v>3534</v>
      </c>
      <c r="I1125" s="17" t="s">
        <v>3545</v>
      </c>
      <c r="J1125" s="17" t="s">
        <v>9</v>
      </c>
      <c r="K1125" s="49" t="s">
        <v>1261</v>
      </c>
      <c r="L1125" s="4" t="str">
        <f ca="1">IF(ISERROR(VLOOKUP(B1125,'ETL Scope'!I:I,1,0)),"NA","ETL")</f>
        <v>NA</v>
      </c>
      <c r="M1125" s="29">
        <f ca="1">COUNTIF('Data-WK'!A:A,'V1'!B:B)</f>
        <v>1</v>
      </c>
      <c r="N1125" s="29" t="e">
        <f ca="1">VLOOKUP(E1125,'IFRS only'!A:A,1,0)</f>
        <v>#N/A</v>
      </c>
      <c r="P1125" s="89"/>
    </row>
    <row r="1126" spans="1:16" s="29" customFormat="1">
      <c r="A1126" s="17" t="s">
        <v>8</v>
      </c>
      <c r="B1126" s="17">
        <v>8010501060</v>
      </c>
      <c r="C1126" s="74" t="s">
        <v>4703</v>
      </c>
      <c r="D1126" s="3" t="s">
        <v>5015</v>
      </c>
      <c r="E1126" s="17" t="s">
        <v>3096</v>
      </c>
      <c r="F1126" s="17" t="s">
        <v>3533</v>
      </c>
      <c r="G1126" s="17" t="s">
        <v>3533</v>
      </c>
      <c r="H1126" s="17" t="s">
        <v>3534</v>
      </c>
      <c r="I1126" s="17" t="s">
        <v>3545</v>
      </c>
      <c r="J1126" s="17" t="s">
        <v>9</v>
      </c>
      <c r="K1126" s="49" t="s">
        <v>1261</v>
      </c>
      <c r="L1126" s="4" t="str">
        <f ca="1">IF(ISERROR(VLOOKUP(B1126,'ETL Scope'!I:I,1,0)),"NA","ETL")</f>
        <v>NA</v>
      </c>
      <c r="M1126" s="29">
        <f ca="1">COUNTIF('Data-WK'!A:A,'V1'!B:B)</f>
        <v>1</v>
      </c>
      <c r="N1126" s="29" t="e">
        <f ca="1">VLOOKUP(E1126,'IFRS only'!A:A,1,0)</f>
        <v>#N/A</v>
      </c>
      <c r="P1126" s="89"/>
    </row>
    <row r="1127" spans="1:16" s="29" customFormat="1">
      <c r="A1127" s="17" t="s">
        <v>8</v>
      </c>
      <c r="B1127" s="17">
        <v>8010501110</v>
      </c>
      <c r="C1127" s="74" t="s">
        <v>4703</v>
      </c>
      <c r="D1127" s="3" t="s">
        <v>5016</v>
      </c>
      <c r="E1127" s="17" t="s">
        <v>3095</v>
      </c>
      <c r="F1127" s="17" t="s">
        <v>3533</v>
      </c>
      <c r="G1127" s="17" t="s">
        <v>3533</v>
      </c>
      <c r="H1127" s="17" t="s">
        <v>3534</v>
      </c>
      <c r="I1127" s="17" t="s">
        <v>3545</v>
      </c>
      <c r="J1127" s="17" t="s">
        <v>9</v>
      </c>
      <c r="K1127" s="49" t="s">
        <v>1261</v>
      </c>
      <c r="L1127" s="4" t="str">
        <f ca="1">IF(ISERROR(VLOOKUP(B1127,'ETL Scope'!I:I,1,0)),"NA","ETL")</f>
        <v>NA</v>
      </c>
      <c r="M1127" s="29">
        <f ca="1">COUNTIF('Data-WK'!A:A,'V1'!B:B)</f>
        <v>1</v>
      </c>
      <c r="N1127" s="29" t="e">
        <f ca="1">VLOOKUP(E1127,'IFRS only'!A:A,1,0)</f>
        <v>#N/A</v>
      </c>
      <c r="P1127" s="89"/>
    </row>
    <row r="1128" spans="1:16" s="29" customFormat="1">
      <c r="A1128" s="17" t="s">
        <v>8</v>
      </c>
      <c r="B1128" s="17">
        <v>8010501220</v>
      </c>
      <c r="C1128" s="74" t="s">
        <v>4703</v>
      </c>
      <c r="D1128" s="3" t="s">
        <v>5017</v>
      </c>
      <c r="E1128" s="17" t="s">
        <v>3100</v>
      </c>
      <c r="F1128" s="17" t="s">
        <v>3533</v>
      </c>
      <c r="G1128" s="17" t="s">
        <v>3533</v>
      </c>
      <c r="H1128" s="17" t="s">
        <v>3534</v>
      </c>
      <c r="I1128" s="17" t="s">
        <v>3545</v>
      </c>
      <c r="J1128" s="17" t="s">
        <v>9</v>
      </c>
      <c r="K1128" s="49" t="s">
        <v>1261</v>
      </c>
      <c r="L1128" s="4" t="str">
        <f ca="1">IF(ISERROR(VLOOKUP(B1128,'ETL Scope'!I:I,1,0)),"NA","ETL")</f>
        <v>NA</v>
      </c>
      <c r="M1128" s="29">
        <f ca="1">COUNTIF('Data-WK'!A:A,'V1'!B:B)</f>
        <v>1</v>
      </c>
      <c r="N1128" s="29" t="e">
        <f ca="1">VLOOKUP(E1128,'IFRS only'!A:A,1,0)</f>
        <v>#N/A</v>
      </c>
      <c r="P1128" s="89"/>
    </row>
    <row r="1129" spans="1:16" s="29" customFormat="1">
      <c r="A1129" s="17" t="s">
        <v>8</v>
      </c>
      <c r="B1129" s="17">
        <v>8010501230</v>
      </c>
      <c r="C1129" s="74" t="s">
        <v>4703</v>
      </c>
      <c r="D1129" s="3" t="s">
        <v>5018</v>
      </c>
      <c r="E1129" s="17" t="s">
        <v>3101</v>
      </c>
      <c r="F1129" s="17" t="s">
        <v>3533</v>
      </c>
      <c r="G1129" s="17" t="s">
        <v>3533</v>
      </c>
      <c r="H1129" s="17" t="s">
        <v>3534</v>
      </c>
      <c r="I1129" s="17" t="s">
        <v>3545</v>
      </c>
      <c r="J1129" s="17" t="s">
        <v>9</v>
      </c>
      <c r="K1129" s="49" t="s">
        <v>1261</v>
      </c>
      <c r="L1129" s="4" t="str">
        <f ca="1">IF(ISERROR(VLOOKUP(B1129,'ETL Scope'!I:I,1,0)),"NA","ETL")</f>
        <v>NA</v>
      </c>
      <c r="M1129" s="29">
        <f ca="1">COUNTIF('Data-WK'!A:A,'V1'!B:B)</f>
        <v>1</v>
      </c>
      <c r="N1129" s="29" t="e">
        <f ca="1">VLOOKUP(E1129,'IFRS only'!A:A,1,0)</f>
        <v>#N/A</v>
      </c>
      <c r="P1129" s="89"/>
    </row>
    <row r="1130" spans="1:16" s="29" customFormat="1">
      <c r="A1130" s="17" t="s">
        <v>8</v>
      </c>
      <c r="B1130" s="17">
        <v>8010501250</v>
      </c>
      <c r="C1130" s="17" t="s">
        <v>4703</v>
      </c>
      <c r="D1130" s="3" t="s">
        <v>5019</v>
      </c>
      <c r="E1130" s="17">
        <v>52010223</v>
      </c>
      <c r="F1130" s="17" t="s">
        <v>3533</v>
      </c>
      <c r="G1130" s="17" t="s">
        <v>3533</v>
      </c>
      <c r="H1130" s="17" t="s">
        <v>3534</v>
      </c>
      <c r="I1130" s="17" t="s">
        <v>3545</v>
      </c>
      <c r="J1130" s="17" t="s">
        <v>9</v>
      </c>
      <c r="K1130" s="49" t="s">
        <v>1261</v>
      </c>
      <c r="L1130" s="25" t="str">
        <f ca="1">IF(ISERROR(VLOOKUP(B1130,'ETL Scope'!I:I,1,0)),"NA","ETL")</f>
        <v>NA</v>
      </c>
      <c r="M1130" s="44">
        <f ca="1">COUNTIF('Data-WK'!A:A,'V1'!B:B)</f>
        <v>2</v>
      </c>
      <c r="N1130" s="44" t="e">
        <f ca="1">VLOOKUP(E1130,'IFRS only'!A:A,1,0)</f>
        <v>#N/A</v>
      </c>
      <c r="O1130" s="44"/>
      <c r="P1130" s="89"/>
    </row>
    <row r="1131" spans="1:16" s="29" customFormat="1">
      <c r="A1131" s="17" t="s">
        <v>8</v>
      </c>
      <c r="B1131" s="17">
        <v>8010501260</v>
      </c>
      <c r="C1131" s="74" t="s">
        <v>4703</v>
      </c>
      <c r="D1131" s="3" t="s">
        <v>5020</v>
      </c>
      <c r="E1131" s="17" t="s">
        <v>3380</v>
      </c>
      <c r="F1131" s="17" t="s">
        <v>3533</v>
      </c>
      <c r="G1131" s="17" t="s">
        <v>3533</v>
      </c>
      <c r="H1131" s="17" t="s">
        <v>3534</v>
      </c>
      <c r="I1131" s="17" t="s">
        <v>3545</v>
      </c>
      <c r="J1131" s="17" t="s">
        <v>9</v>
      </c>
      <c r="K1131" s="49" t="s">
        <v>1261</v>
      </c>
      <c r="L1131" s="4" t="str">
        <f ca="1">IF(ISERROR(VLOOKUP(B1131,'ETL Scope'!I:I,1,0)),"NA","ETL")</f>
        <v>NA</v>
      </c>
      <c r="M1131" s="29">
        <f ca="1">COUNTIF('Data-WK'!A:A,'V1'!B:B)</f>
        <v>2</v>
      </c>
      <c r="N1131" s="29" t="e">
        <f ca="1">VLOOKUP(E1131,'IFRS only'!A:A,1,0)</f>
        <v>#N/A</v>
      </c>
      <c r="P1131" s="89"/>
    </row>
    <row r="1132" spans="1:16" s="29" customFormat="1">
      <c r="A1132" s="17" t="s">
        <v>8</v>
      </c>
      <c r="B1132" s="17">
        <v>8010503010</v>
      </c>
      <c r="C1132" s="74" t="s">
        <v>4703</v>
      </c>
      <c r="D1132" s="3" t="s">
        <v>5021</v>
      </c>
      <c r="E1132" s="17" t="s">
        <v>3114</v>
      </c>
      <c r="F1132" s="17" t="s">
        <v>3533</v>
      </c>
      <c r="G1132" s="17" t="s">
        <v>3533</v>
      </c>
      <c r="H1132" s="17" t="s">
        <v>3534</v>
      </c>
      <c r="I1132" s="17" t="s">
        <v>3545</v>
      </c>
      <c r="J1132" s="17" t="s">
        <v>9</v>
      </c>
      <c r="K1132" s="49" t="s">
        <v>1273</v>
      </c>
      <c r="L1132" s="4" t="str">
        <f ca="1">IF(ISERROR(VLOOKUP(B1132,'ETL Scope'!I:I,1,0)),"NA","ETL")</f>
        <v>NA</v>
      </c>
      <c r="M1132" s="29">
        <f ca="1">COUNTIF('Data-WK'!A:A,'V1'!B:B)</f>
        <v>1</v>
      </c>
      <c r="N1132" s="29" t="e">
        <f ca="1">VLOOKUP(E1132,'IFRS only'!A:A,1,0)</f>
        <v>#N/A</v>
      </c>
      <c r="P1132" s="89"/>
    </row>
    <row r="1133" spans="1:16" s="29" customFormat="1">
      <c r="A1133" s="17" t="s">
        <v>8</v>
      </c>
      <c r="B1133" s="17">
        <v>8010505010</v>
      </c>
      <c r="C1133" s="74" t="s">
        <v>4703</v>
      </c>
      <c r="D1133" s="3" t="s">
        <v>5022</v>
      </c>
      <c r="E1133" s="17" t="s">
        <v>3099</v>
      </c>
      <c r="F1133" s="17" t="s">
        <v>3533</v>
      </c>
      <c r="G1133" s="17" t="s">
        <v>3533</v>
      </c>
      <c r="H1133" s="17" t="s">
        <v>3534</v>
      </c>
      <c r="I1133" s="17" t="s">
        <v>3545</v>
      </c>
      <c r="J1133" s="17" t="s">
        <v>9</v>
      </c>
      <c r="K1133" s="49" t="s">
        <v>1261</v>
      </c>
      <c r="L1133" s="4" t="str">
        <f ca="1">IF(ISERROR(VLOOKUP(B1133,'ETL Scope'!I:I,1,0)),"NA","ETL")</f>
        <v>NA</v>
      </c>
      <c r="M1133" s="29">
        <f ca="1">COUNTIF('Data-WK'!A:A,'V1'!B:B)</f>
        <v>1</v>
      </c>
      <c r="N1133" s="29" t="e">
        <f ca="1">VLOOKUP(E1133,'IFRS only'!A:A,1,0)</f>
        <v>#N/A</v>
      </c>
      <c r="P1133" s="89"/>
    </row>
    <row r="1134" spans="1:16" s="29" customFormat="1">
      <c r="A1134" s="17" t="s">
        <v>8</v>
      </c>
      <c r="B1134" s="17">
        <v>8010520000</v>
      </c>
      <c r="C1134" s="74" t="s">
        <v>4704</v>
      </c>
      <c r="D1134" s="3" t="s">
        <v>5023</v>
      </c>
      <c r="E1134" s="17" t="s">
        <v>3145</v>
      </c>
      <c r="F1134" s="17" t="s">
        <v>3533</v>
      </c>
      <c r="G1134" s="17" t="s">
        <v>3533</v>
      </c>
      <c r="H1134" s="17" t="s">
        <v>3534</v>
      </c>
      <c r="I1134" s="17" t="s">
        <v>3545</v>
      </c>
      <c r="J1134" s="17" t="s">
        <v>9</v>
      </c>
      <c r="K1134" s="49" t="s">
        <v>1291</v>
      </c>
      <c r="L1134" s="4" t="str">
        <f ca="1">IF(ISERROR(VLOOKUP(B1134,'ETL Scope'!I:I,1,0)),"NA","ETL")</f>
        <v>NA</v>
      </c>
      <c r="M1134" s="29">
        <f ca="1">COUNTIF('Data-WK'!A:A,'V1'!B:B)</f>
        <v>1</v>
      </c>
      <c r="N1134" s="29" t="e">
        <f ca="1">VLOOKUP(E1134,'IFRS only'!A:A,1,0)</f>
        <v>#N/A</v>
      </c>
      <c r="P1134" s="89"/>
    </row>
    <row r="1135" spans="1:16" s="29" customFormat="1">
      <c r="A1135" s="17" t="s">
        <v>8</v>
      </c>
      <c r="B1135" s="17">
        <v>8010520001</v>
      </c>
      <c r="C1135" s="74" t="s">
        <v>4704</v>
      </c>
      <c r="D1135" s="3" t="s">
        <v>5024</v>
      </c>
      <c r="E1135" s="17" t="s">
        <v>3166</v>
      </c>
      <c r="F1135" s="17" t="s">
        <v>3533</v>
      </c>
      <c r="G1135" s="17" t="s">
        <v>3533</v>
      </c>
      <c r="H1135" s="17" t="s">
        <v>3534</v>
      </c>
      <c r="I1135" s="17" t="s">
        <v>3545</v>
      </c>
      <c r="J1135" s="17" t="s">
        <v>9</v>
      </c>
      <c r="K1135" s="49" t="s">
        <v>1291</v>
      </c>
      <c r="L1135" s="4" t="str">
        <f ca="1">IF(ISERROR(VLOOKUP(B1135,'ETL Scope'!I:I,1,0)),"NA","ETL")</f>
        <v>NA</v>
      </c>
      <c r="M1135" s="29">
        <f ca="1">COUNTIF('Data-WK'!A:A,'V1'!B:B)</f>
        <v>1</v>
      </c>
      <c r="N1135" s="29" t="e">
        <f ca="1">VLOOKUP(E1135,'IFRS only'!A:A,1,0)</f>
        <v>#N/A</v>
      </c>
      <c r="P1135" s="89"/>
    </row>
    <row r="1136" spans="1:16" s="29" customFormat="1">
      <c r="A1136" s="17" t="s">
        <v>8</v>
      </c>
      <c r="B1136" s="17">
        <v>8010520002</v>
      </c>
      <c r="C1136" s="74" t="s">
        <v>4704</v>
      </c>
      <c r="D1136" s="3" t="s">
        <v>5025</v>
      </c>
      <c r="E1136" s="17" t="s">
        <v>3167</v>
      </c>
      <c r="F1136" s="17" t="s">
        <v>3533</v>
      </c>
      <c r="G1136" s="17" t="s">
        <v>3533</v>
      </c>
      <c r="H1136" s="17" t="s">
        <v>3534</v>
      </c>
      <c r="I1136" s="17" t="s">
        <v>3545</v>
      </c>
      <c r="J1136" s="17" t="s">
        <v>9</v>
      </c>
      <c r="K1136" s="49" t="s">
        <v>1291</v>
      </c>
      <c r="L1136" s="4" t="str">
        <f ca="1">IF(ISERROR(VLOOKUP(B1136,'ETL Scope'!I:I,1,0)),"NA","ETL")</f>
        <v>NA</v>
      </c>
      <c r="M1136" s="29">
        <f ca="1">COUNTIF('Data-WK'!A:A,'V1'!B:B)</f>
        <v>1</v>
      </c>
      <c r="N1136" s="29" t="e">
        <f ca="1">VLOOKUP(E1136,'IFRS only'!A:A,1,0)</f>
        <v>#N/A</v>
      </c>
      <c r="P1136" s="89"/>
    </row>
    <row r="1137" spans="1:16" s="29" customFormat="1">
      <c r="A1137" s="17" t="s">
        <v>8</v>
      </c>
      <c r="B1137" s="17">
        <v>8010520003</v>
      </c>
      <c r="C1137" s="74" t="s">
        <v>4704</v>
      </c>
      <c r="D1137" s="3" t="s">
        <v>5026</v>
      </c>
      <c r="E1137" s="17" t="s">
        <v>3169</v>
      </c>
      <c r="F1137" s="17" t="s">
        <v>3533</v>
      </c>
      <c r="G1137" s="17" t="s">
        <v>3533</v>
      </c>
      <c r="H1137" s="17" t="s">
        <v>3534</v>
      </c>
      <c r="I1137" s="17" t="s">
        <v>3545</v>
      </c>
      <c r="J1137" s="17" t="s">
        <v>9</v>
      </c>
      <c r="K1137" s="49" t="s">
        <v>1291</v>
      </c>
      <c r="L1137" s="4" t="str">
        <f ca="1">IF(ISERROR(VLOOKUP(B1137,'ETL Scope'!I:I,1,0)),"NA","ETL")</f>
        <v>NA</v>
      </c>
      <c r="M1137" s="29">
        <f ca="1">COUNTIF('Data-WK'!A:A,'V1'!B:B)</f>
        <v>1</v>
      </c>
      <c r="N1137" s="29" t="e">
        <f ca="1">VLOOKUP(E1137,'IFRS only'!A:A,1,0)</f>
        <v>#N/A</v>
      </c>
      <c r="P1137" s="89"/>
    </row>
    <row r="1138" spans="1:16" s="29" customFormat="1">
      <c r="A1138" s="17" t="s">
        <v>8</v>
      </c>
      <c r="B1138" s="17">
        <v>8010520010</v>
      </c>
      <c r="C1138" s="74" t="s">
        <v>4704</v>
      </c>
      <c r="D1138" s="3" t="s">
        <v>5027</v>
      </c>
      <c r="E1138" s="17" t="s">
        <v>3165</v>
      </c>
      <c r="F1138" s="17" t="s">
        <v>3533</v>
      </c>
      <c r="G1138" s="17" t="s">
        <v>3533</v>
      </c>
      <c r="H1138" s="17" t="s">
        <v>3534</v>
      </c>
      <c r="I1138" s="17" t="s">
        <v>3545</v>
      </c>
      <c r="J1138" s="17" t="s">
        <v>9</v>
      </c>
      <c r="K1138" s="49" t="s">
        <v>1291</v>
      </c>
      <c r="L1138" s="4" t="str">
        <f ca="1">IF(ISERROR(VLOOKUP(B1138,'ETL Scope'!I:I,1,0)),"NA","ETL")</f>
        <v>NA</v>
      </c>
      <c r="M1138" s="29">
        <f ca="1">COUNTIF('Data-WK'!A:A,'V1'!B:B)</f>
        <v>1</v>
      </c>
      <c r="N1138" s="29" t="e">
        <f ca="1">VLOOKUP(E1138,'IFRS only'!A:A,1,0)</f>
        <v>#N/A</v>
      </c>
      <c r="P1138" s="89"/>
    </row>
    <row r="1139" spans="1:16" s="29" customFormat="1">
      <c r="A1139" s="17" t="s">
        <v>8</v>
      </c>
      <c r="B1139" s="17">
        <v>8010520020</v>
      </c>
      <c r="C1139" s="74" t="s">
        <v>4704</v>
      </c>
      <c r="D1139" s="3" t="s">
        <v>5028</v>
      </c>
      <c r="E1139" s="17" t="s">
        <v>3168</v>
      </c>
      <c r="F1139" s="17" t="s">
        <v>3533</v>
      </c>
      <c r="G1139" s="17" t="s">
        <v>3533</v>
      </c>
      <c r="H1139" s="17" t="s">
        <v>3534</v>
      </c>
      <c r="I1139" s="17" t="s">
        <v>3545</v>
      </c>
      <c r="J1139" s="17" t="s">
        <v>9</v>
      </c>
      <c r="K1139" s="49" t="s">
        <v>1291</v>
      </c>
      <c r="L1139" s="4" t="str">
        <f ca="1">IF(ISERROR(VLOOKUP(B1139,'ETL Scope'!I:I,1,0)),"NA","ETL")</f>
        <v>NA</v>
      </c>
      <c r="M1139" s="29">
        <f ca="1">COUNTIF('Data-WK'!A:A,'V1'!B:B)</f>
        <v>1</v>
      </c>
      <c r="N1139" s="29" t="e">
        <f ca="1">VLOOKUP(E1139,'IFRS only'!A:A,1,0)</f>
        <v>#N/A</v>
      </c>
      <c r="P1139" s="89"/>
    </row>
    <row r="1140" spans="1:16" s="29" customFormat="1">
      <c r="A1140" s="17" t="s">
        <v>8</v>
      </c>
      <c r="B1140" s="17">
        <v>8100101010</v>
      </c>
      <c r="C1140" s="74" t="s">
        <v>4705</v>
      </c>
      <c r="D1140" s="3" t="s">
        <v>5029</v>
      </c>
      <c r="E1140" s="17" t="s">
        <v>5094</v>
      </c>
      <c r="F1140" s="17" t="s">
        <v>3533</v>
      </c>
      <c r="G1140" s="17" t="s">
        <v>3533</v>
      </c>
      <c r="H1140" s="17" t="s">
        <v>3534</v>
      </c>
      <c r="I1140" s="17" t="s">
        <v>3545</v>
      </c>
      <c r="J1140" s="17" t="s">
        <v>9</v>
      </c>
      <c r="K1140" s="49" t="s">
        <v>1274</v>
      </c>
      <c r="L1140" s="4" t="str">
        <f ca="1">IF(ISERROR(VLOOKUP(B1140,'ETL Scope'!I:I,1,0)),"NA","ETL")</f>
        <v>NA</v>
      </c>
      <c r="M1140" s="29">
        <f ca="1">COUNTIF('Data-WK'!A:A,'V1'!B:B)</f>
        <v>1</v>
      </c>
      <c r="N1140" s="29" t="e">
        <f ca="1">VLOOKUP(E1140,'IFRS only'!A:A,1,0)</f>
        <v>#N/A</v>
      </c>
      <c r="P1140" s="89"/>
    </row>
    <row r="1141" spans="1:16" s="29" customFormat="1">
      <c r="A1141" s="17" t="s">
        <v>4</v>
      </c>
      <c r="B1141" s="17">
        <v>8100104010</v>
      </c>
      <c r="C1141" s="74" t="s">
        <v>4705</v>
      </c>
      <c r="D1141" s="3" t="s">
        <v>5030</v>
      </c>
      <c r="E1141" s="17" t="s">
        <v>1484</v>
      </c>
      <c r="F1141" s="17" t="s">
        <v>3533</v>
      </c>
      <c r="G1141" s="17" t="s">
        <v>3533</v>
      </c>
      <c r="H1141" s="17" t="s">
        <v>3534</v>
      </c>
      <c r="I1141" s="17" t="s">
        <v>3545</v>
      </c>
      <c r="J1141" s="17" t="s">
        <v>9</v>
      </c>
      <c r="K1141" s="49" t="s">
        <v>1275</v>
      </c>
      <c r="L1141" s="4" t="str">
        <f ca="1">IF(ISERROR(VLOOKUP(B1141,'ETL Scope'!I:I,1,0)),"NA","ETL")</f>
        <v>NA</v>
      </c>
      <c r="M1141" s="29">
        <f ca="1">COUNTIF('Data-WK'!A:A,'V1'!B:B)</f>
        <v>1</v>
      </c>
      <c r="N1141" s="29" t="e">
        <f ca="1">VLOOKUP(E1141,'IFRS only'!A:A,1,0)</f>
        <v>#N/A</v>
      </c>
      <c r="P1141" s="89"/>
    </row>
    <row r="1142" spans="1:16" s="29" customFormat="1">
      <c r="A1142" s="17" t="s">
        <v>8</v>
      </c>
      <c r="B1142" s="17">
        <v>8100301010</v>
      </c>
      <c r="C1142" s="74" t="s">
        <v>4706</v>
      </c>
      <c r="D1142" s="3" t="s">
        <v>5031</v>
      </c>
      <c r="E1142" s="17" t="s">
        <v>3216</v>
      </c>
      <c r="F1142" s="17" t="s">
        <v>3537</v>
      </c>
      <c r="G1142" s="17" t="s">
        <v>3537</v>
      </c>
      <c r="H1142" s="17" t="s">
        <v>3538</v>
      </c>
      <c r="I1142" s="17" t="s">
        <v>3545</v>
      </c>
      <c r="J1142" s="17" t="s">
        <v>9</v>
      </c>
      <c r="K1142" s="49" t="s">
        <v>1335</v>
      </c>
      <c r="L1142" s="4" t="str">
        <f ca="1">IF(ISERROR(VLOOKUP(B1142,'ETL Scope'!I:I,1,0)),"NA","ETL")</f>
        <v>NA</v>
      </c>
      <c r="M1142" s="29">
        <f ca="1">COUNTIF('Data-WK'!A:A,'V1'!B:B)</f>
        <v>1</v>
      </c>
      <c r="N1142" s="29" t="e">
        <f ca="1">VLOOKUP(E1142,'IFRS only'!A:A,1,0)</f>
        <v>#N/A</v>
      </c>
      <c r="P1142" s="89"/>
    </row>
    <row r="1143" spans="1:16" s="29" customFormat="1">
      <c r="A1143" s="17" t="s">
        <v>8</v>
      </c>
      <c r="B1143" s="17">
        <v>8100401010</v>
      </c>
      <c r="C1143" s="74" t="s">
        <v>4707</v>
      </c>
      <c r="D1143" s="3" t="s">
        <v>5825</v>
      </c>
      <c r="E1143" s="17" t="s">
        <v>5826</v>
      </c>
      <c r="F1143" s="17" t="s">
        <v>3533</v>
      </c>
      <c r="G1143" s="17" t="s">
        <v>3533</v>
      </c>
      <c r="H1143" s="17" t="s">
        <v>3534</v>
      </c>
      <c r="I1143" s="17" t="s">
        <v>3545</v>
      </c>
      <c r="J1143" s="17" t="s">
        <v>9</v>
      </c>
      <c r="K1143" s="49" t="s">
        <v>1323</v>
      </c>
      <c r="L1143" s="4" t="str">
        <f ca="1">IF(ISERROR(VLOOKUP(B1143,'ETL Scope'!I:I,1,0)),"NA","ETL")</f>
        <v>NA</v>
      </c>
      <c r="M1143" s="29">
        <f ca="1">COUNTIF('Data-WK'!A:A,'V1'!B:B)</f>
        <v>1</v>
      </c>
      <c r="N1143" s="29" t="e">
        <f ca="1">VLOOKUP(E1143,'IFRS only'!A:A,1,0)</f>
        <v>#N/A</v>
      </c>
      <c r="P1143" s="89"/>
    </row>
    <row r="1144" spans="1:16" s="29" customFormat="1">
      <c r="A1144" s="17" t="s">
        <v>8</v>
      </c>
      <c r="B1144" s="17">
        <v>8100201010</v>
      </c>
      <c r="C1144" s="74" t="s">
        <v>4708</v>
      </c>
      <c r="D1144" s="3" t="s">
        <v>5827</v>
      </c>
      <c r="E1144" s="17">
        <v>521302</v>
      </c>
      <c r="F1144" s="17" t="s">
        <v>3533</v>
      </c>
      <c r="G1144" s="17" t="s">
        <v>3533</v>
      </c>
      <c r="H1144" s="17" t="s">
        <v>3534</v>
      </c>
      <c r="I1144" s="17" t="s">
        <v>3545</v>
      </c>
      <c r="J1144" s="17" t="s">
        <v>9</v>
      </c>
      <c r="K1144" s="49" t="s">
        <v>1325</v>
      </c>
      <c r="L1144" s="4" t="str">
        <f ca="1">IF(ISERROR(VLOOKUP(B1144,'ETL Scope'!I:I,1,0)),"NA","ETL")</f>
        <v>NA</v>
      </c>
      <c r="M1144" s="29">
        <f ca="1">COUNTIF('Data-WK'!A:A,'V1'!B:B)</f>
        <v>1</v>
      </c>
      <c r="N1144" s="29" t="e">
        <f ca="1">VLOOKUP(E1144,'IFRS only'!A:A,1,0)</f>
        <v>#N/A</v>
      </c>
      <c r="P1144" s="89"/>
    </row>
    <row r="1145" spans="1:16" s="29" customFormat="1">
      <c r="A1145" s="17" t="s">
        <v>8</v>
      </c>
      <c r="B1145" s="17">
        <v>8110102010</v>
      </c>
      <c r="C1145" s="74" t="s">
        <v>4708</v>
      </c>
      <c r="D1145" s="3" t="s">
        <v>5032</v>
      </c>
      <c r="E1145" s="17" t="s">
        <v>3208</v>
      </c>
      <c r="F1145" s="17" t="s">
        <v>3533</v>
      </c>
      <c r="G1145" s="17" t="s">
        <v>3533</v>
      </c>
      <c r="H1145" s="17" t="s">
        <v>3534</v>
      </c>
      <c r="I1145" s="17" t="s">
        <v>3545</v>
      </c>
      <c r="J1145" s="17" t="s">
        <v>9</v>
      </c>
      <c r="K1145" s="49" t="s">
        <v>1325</v>
      </c>
      <c r="L1145" s="4" t="str">
        <f ca="1">IF(ISERROR(VLOOKUP(B1145,'ETL Scope'!I:I,1,0)),"NA","ETL")</f>
        <v>NA</v>
      </c>
      <c r="M1145" s="29">
        <f ca="1">COUNTIF('Data-WK'!A:A,'V1'!B:B)</f>
        <v>1</v>
      </c>
      <c r="N1145" s="29" t="e">
        <f ca="1">VLOOKUP(E1145,'IFRS only'!A:A,1,0)</f>
        <v>#N/A</v>
      </c>
      <c r="P1145" s="89"/>
    </row>
    <row r="1146" spans="1:16" s="29" customFormat="1">
      <c r="A1146" s="17" t="s">
        <v>8</v>
      </c>
      <c r="B1146" s="17">
        <v>8120201010</v>
      </c>
      <c r="C1146" s="74" t="s">
        <v>4709</v>
      </c>
      <c r="D1146" s="3" t="s">
        <v>5033</v>
      </c>
      <c r="E1146" s="17" t="s">
        <v>3121</v>
      </c>
      <c r="F1146" s="17" t="s">
        <v>3533</v>
      </c>
      <c r="G1146" s="17" t="s">
        <v>3533</v>
      </c>
      <c r="H1146" s="17" t="s">
        <v>3534</v>
      </c>
      <c r="I1146" s="17" t="s">
        <v>3545</v>
      </c>
      <c r="J1146" s="17" t="s">
        <v>9</v>
      </c>
      <c r="K1146" s="49" t="s">
        <v>5550</v>
      </c>
      <c r="L1146" s="4" t="str">
        <f ca="1">IF(ISERROR(VLOOKUP(B1146,'ETL Scope'!I:I,1,0)),"NA","ETL")</f>
        <v>NA</v>
      </c>
      <c r="M1146" s="29">
        <f ca="1">COUNTIF('Data-WK'!A:A,'V1'!B:B)</f>
        <v>1</v>
      </c>
      <c r="N1146" s="29" t="e">
        <f ca="1">VLOOKUP(E1146,'IFRS only'!A:A,1,0)</f>
        <v>#N/A</v>
      </c>
      <c r="P1146" s="89"/>
    </row>
    <row r="1147" spans="1:16" s="29" customFormat="1">
      <c r="A1147" s="17" t="s">
        <v>8</v>
      </c>
      <c r="B1147" s="17">
        <v>8120201030</v>
      </c>
      <c r="C1147" s="74" t="s">
        <v>4709</v>
      </c>
      <c r="D1147" s="3" t="s">
        <v>5034</v>
      </c>
      <c r="E1147" s="17" t="s">
        <v>3130</v>
      </c>
      <c r="F1147" s="17" t="s">
        <v>3533</v>
      </c>
      <c r="G1147" s="17" t="s">
        <v>3533</v>
      </c>
      <c r="H1147" s="17" t="s">
        <v>3534</v>
      </c>
      <c r="I1147" s="17" t="s">
        <v>3545</v>
      </c>
      <c r="J1147" s="17" t="s">
        <v>9</v>
      </c>
      <c r="K1147" s="49" t="s">
        <v>5551</v>
      </c>
      <c r="L1147" s="4" t="str">
        <f ca="1">IF(ISERROR(VLOOKUP(B1147,'ETL Scope'!I:I,1,0)),"NA","ETL")</f>
        <v>NA</v>
      </c>
      <c r="M1147" s="29">
        <f ca="1">COUNTIF('Data-WK'!A:A,'V1'!B:B)</f>
        <v>1</v>
      </c>
      <c r="N1147" s="29" t="e">
        <f ca="1">VLOOKUP(E1147,'IFRS only'!A:A,1,0)</f>
        <v>#N/A</v>
      </c>
      <c r="P1147" s="89"/>
    </row>
    <row r="1148" spans="1:16" s="29" customFormat="1">
      <c r="A1148" s="17" t="s">
        <v>8</v>
      </c>
      <c r="B1148" s="17">
        <v>8120501010</v>
      </c>
      <c r="C1148" s="74" t="s">
        <v>4710</v>
      </c>
      <c r="D1148" s="3" t="s">
        <v>5035</v>
      </c>
      <c r="E1148" s="17" t="s">
        <v>3120</v>
      </c>
      <c r="F1148" s="17" t="s">
        <v>3533</v>
      </c>
      <c r="G1148" s="17" t="s">
        <v>3533</v>
      </c>
      <c r="H1148" s="17" t="s">
        <v>3534</v>
      </c>
      <c r="I1148" s="17" t="s">
        <v>3545</v>
      </c>
      <c r="J1148" s="17" t="s">
        <v>9</v>
      </c>
      <c r="K1148" s="49" t="s">
        <v>5552</v>
      </c>
      <c r="L1148" s="4" t="str">
        <f ca="1">IF(ISERROR(VLOOKUP(B1148,'ETL Scope'!I:I,1,0)),"NA","ETL")</f>
        <v>NA</v>
      </c>
      <c r="M1148" s="29">
        <f ca="1">COUNTIF('Data-WK'!A:A,'V1'!B:B)</f>
        <v>1</v>
      </c>
      <c r="N1148" s="29" t="e">
        <f ca="1">VLOOKUP(E1148,'IFRS only'!A:A,1,0)</f>
        <v>#N/A</v>
      </c>
      <c r="P1148" s="89"/>
    </row>
    <row r="1149" spans="1:16" s="29" customFormat="1">
      <c r="A1149" s="17" t="s">
        <v>8</v>
      </c>
      <c r="B1149" s="17">
        <v>8120601010</v>
      </c>
      <c r="C1149" s="74" t="s">
        <v>4711</v>
      </c>
      <c r="D1149" s="3" t="s">
        <v>5036</v>
      </c>
      <c r="E1149" s="17" t="s">
        <v>3119</v>
      </c>
      <c r="F1149" s="17" t="s">
        <v>3533</v>
      </c>
      <c r="G1149" s="17" t="s">
        <v>3533</v>
      </c>
      <c r="H1149" s="17" t="s">
        <v>3534</v>
      </c>
      <c r="I1149" s="17" t="s">
        <v>3545</v>
      </c>
      <c r="J1149" s="17" t="s">
        <v>9</v>
      </c>
      <c r="K1149" s="49" t="s">
        <v>5551</v>
      </c>
      <c r="L1149" s="4" t="str">
        <f ca="1">IF(ISERROR(VLOOKUP(B1149,'ETL Scope'!I:I,1,0)),"NA","ETL")</f>
        <v>NA</v>
      </c>
      <c r="M1149" s="29">
        <f ca="1">COUNTIF('Data-WK'!A:A,'V1'!B:B)</f>
        <v>1</v>
      </c>
      <c r="N1149" s="29" t="e">
        <f ca="1">VLOOKUP(E1149,'IFRS only'!A:A,1,0)</f>
        <v>#N/A</v>
      </c>
      <c r="P1149" s="89"/>
    </row>
    <row r="1150" spans="1:16" s="29" customFormat="1">
      <c r="A1150" s="17" t="s">
        <v>8</v>
      </c>
      <c r="B1150" s="17">
        <v>8120601020</v>
      </c>
      <c r="C1150" s="74" t="s">
        <v>4711</v>
      </c>
      <c r="D1150" s="3" t="s">
        <v>5845</v>
      </c>
      <c r="E1150" s="17" t="s">
        <v>5844</v>
      </c>
      <c r="F1150" s="17" t="s">
        <v>5854</v>
      </c>
      <c r="G1150" s="17" t="s">
        <v>5854</v>
      </c>
      <c r="H1150" s="17" t="s">
        <v>5855</v>
      </c>
      <c r="I1150" s="17" t="s">
        <v>5855</v>
      </c>
      <c r="J1150" s="17" t="s">
        <v>9</v>
      </c>
      <c r="K1150" s="49"/>
      <c r="L1150" s="4"/>
      <c r="P1150" s="89"/>
    </row>
    <row r="1151" spans="1:16" s="29" customFormat="1">
      <c r="A1151" s="17" t="s">
        <v>8</v>
      </c>
      <c r="B1151" s="17">
        <v>8120601040</v>
      </c>
      <c r="C1151" s="74" t="s">
        <v>4711</v>
      </c>
      <c r="D1151" s="3" t="s">
        <v>5037</v>
      </c>
      <c r="E1151" s="17" t="s">
        <v>3122</v>
      </c>
      <c r="F1151" s="17" t="s">
        <v>5854</v>
      </c>
      <c r="G1151" s="17" t="s">
        <v>5854</v>
      </c>
      <c r="H1151" s="17" t="s">
        <v>5855</v>
      </c>
      <c r="I1151" s="17" t="s">
        <v>5855</v>
      </c>
      <c r="J1151" s="17" t="s">
        <v>9</v>
      </c>
      <c r="K1151" s="49" t="s">
        <v>5551</v>
      </c>
      <c r="L1151" s="4" t="str">
        <f ca="1">IF(ISERROR(VLOOKUP(B1151,'ETL Scope'!I:I,1,0)),"NA","ETL")</f>
        <v>NA</v>
      </c>
      <c r="M1151" s="29">
        <f ca="1">COUNTIF('Data-WK'!A:A,'V1'!B:B)</f>
        <v>1</v>
      </c>
      <c r="N1151" s="29" t="e">
        <f ca="1">VLOOKUP(E1151,'IFRS only'!A:A,1,0)</f>
        <v>#N/A</v>
      </c>
      <c r="P1151" s="89"/>
    </row>
    <row r="1152" spans="1:16" s="29" customFormat="1">
      <c r="A1152" s="17" t="s">
        <v>8</v>
      </c>
      <c r="B1152" s="17">
        <v>8120601050</v>
      </c>
      <c r="C1152" s="74" t="s">
        <v>4711</v>
      </c>
      <c r="D1152" s="3" t="s">
        <v>5038</v>
      </c>
      <c r="E1152" s="17" t="s">
        <v>3123</v>
      </c>
      <c r="F1152" s="17" t="s">
        <v>5854</v>
      </c>
      <c r="G1152" s="17" t="s">
        <v>5854</v>
      </c>
      <c r="H1152" s="17" t="s">
        <v>5855</v>
      </c>
      <c r="I1152" s="17" t="s">
        <v>5855</v>
      </c>
      <c r="J1152" s="17" t="s">
        <v>9</v>
      </c>
      <c r="K1152" s="49" t="s">
        <v>5553</v>
      </c>
      <c r="L1152" s="4" t="str">
        <f ca="1">IF(ISERROR(VLOOKUP(B1152,'ETL Scope'!I:I,1,0)),"NA","ETL")</f>
        <v>NA</v>
      </c>
      <c r="M1152" s="29">
        <f ca="1">COUNTIF('Data-WK'!A:A,'V1'!B:B)</f>
        <v>1</v>
      </c>
      <c r="N1152" s="29" t="e">
        <f ca="1">VLOOKUP(E1152,'IFRS only'!A:A,1,0)</f>
        <v>#N/A</v>
      </c>
      <c r="P1152" s="89"/>
    </row>
    <row r="1153" spans="1:16" s="29" customFormat="1">
      <c r="A1153" s="17" t="s">
        <v>8</v>
      </c>
      <c r="B1153" s="17">
        <v>8120801010</v>
      </c>
      <c r="C1153" s="74" t="s">
        <v>4712</v>
      </c>
      <c r="D1153" s="3" t="s">
        <v>5039</v>
      </c>
      <c r="E1153" s="17" t="s">
        <v>3127</v>
      </c>
      <c r="F1153" s="17" t="s">
        <v>5854</v>
      </c>
      <c r="G1153" s="17" t="s">
        <v>5854</v>
      </c>
      <c r="H1153" s="17" t="s">
        <v>5855</v>
      </c>
      <c r="I1153" s="17" t="s">
        <v>5855</v>
      </c>
      <c r="J1153" s="17" t="s">
        <v>9</v>
      </c>
      <c r="K1153" s="49" t="s">
        <v>5554</v>
      </c>
      <c r="L1153" s="4" t="str">
        <f ca="1">IF(ISERROR(VLOOKUP(B1153,'ETL Scope'!I:I,1,0)),"NA","ETL")</f>
        <v>NA</v>
      </c>
      <c r="M1153" s="29">
        <f ca="1">COUNTIF('Data-WK'!A:A,'V1'!B:B)</f>
        <v>1</v>
      </c>
      <c r="N1153" s="29" t="e">
        <f ca="1">VLOOKUP(E1153,'IFRS only'!A:A,1,0)</f>
        <v>#N/A</v>
      </c>
      <c r="P1153" s="89"/>
    </row>
    <row r="1154" spans="1:16" s="29" customFormat="1">
      <c r="A1154" s="17" t="s">
        <v>8</v>
      </c>
      <c r="B1154" s="17">
        <v>8121001010</v>
      </c>
      <c r="C1154" s="74" t="s">
        <v>4713</v>
      </c>
      <c r="D1154" s="3" t="s">
        <v>5040</v>
      </c>
      <c r="E1154" s="17" t="s">
        <v>3381</v>
      </c>
      <c r="F1154" s="17" t="s">
        <v>5854</v>
      </c>
      <c r="G1154" s="17" t="s">
        <v>5854</v>
      </c>
      <c r="H1154" s="17" t="s">
        <v>5855</v>
      </c>
      <c r="I1154" s="17" t="s">
        <v>5855</v>
      </c>
      <c r="J1154" s="17" t="s">
        <v>9</v>
      </c>
      <c r="K1154" s="49" t="s">
        <v>5555</v>
      </c>
      <c r="L1154" s="4" t="str">
        <f ca="1">IF(ISERROR(VLOOKUP(B1154,'ETL Scope'!I:I,1,0)),"NA","ETL")</f>
        <v>NA</v>
      </c>
      <c r="M1154" s="29">
        <f ca="1">COUNTIF('Data-WK'!A:A,'V1'!B:B)</f>
        <v>3</v>
      </c>
      <c r="N1154" s="29" t="e">
        <f ca="1">VLOOKUP(E1154,'IFRS only'!A:A,1,0)</f>
        <v>#N/A</v>
      </c>
      <c r="P1154" s="89"/>
    </row>
    <row r="1155" spans="1:16" s="29" customFormat="1">
      <c r="A1155" s="17" t="s">
        <v>8</v>
      </c>
      <c r="B1155" s="17">
        <v>8121001040</v>
      </c>
      <c r="C1155" s="74">
        <v>812100</v>
      </c>
      <c r="D1155" s="3" t="s">
        <v>5850</v>
      </c>
      <c r="E1155" s="17" t="s">
        <v>5851</v>
      </c>
      <c r="F1155" s="17" t="s">
        <v>5854</v>
      </c>
      <c r="G1155" s="17" t="s">
        <v>5854</v>
      </c>
      <c r="H1155" s="17" t="s">
        <v>5855</v>
      </c>
      <c r="I1155" s="17" t="s">
        <v>5855</v>
      </c>
      <c r="J1155" s="17" t="s">
        <v>9</v>
      </c>
      <c r="K1155" s="49" t="s">
        <v>5555</v>
      </c>
      <c r="L1155" s="4" t="str">
        <f ca="1">IF(ISERROR(VLOOKUP(B1155,'ETL Scope'!I:I,1,0)),"NA","ETL")</f>
        <v>NA</v>
      </c>
      <c r="M1155" s="29">
        <f ca="1">COUNTIF('Data-WK'!A:A,'V1'!B:B)</f>
        <v>0</v>
      </c>
      <c r="N1155" s="29" t="e">
        <f ca="1">VLOOKUP(E1155,'IFRS only'!A:A,1,0)</f>
        <v>#N/A</v>
      </c>
      <c r="P1155" s="89"/>
    </row>
    <row r="1156" spans="1:16" s="29" customFormat="1">
      <c r="A1156" s="17" t="s">
        <v>8</v>
      </c>
      <c r="B1156" s="17" t="s">
        <v>5866</v>
      </c>
      <c r="C1156" s="17" t="s">
        <v>4714</v>
      </c>
      <c r="D1156" s="3" t="s">
        <v>5041</v>
      </c>
      <c r="E1156" s="17" t="s">
        <v>3128</v>
      </c>
      <c r="F1156" s="17" t="s">
        <v>5854</v>
      </c>
      <c r="G1156" s="17" t="s">
        <v>5854</v>
      </c>
      <c r="H1156" s="17" t="s">
        <v>5855</v>
      </c>
      <c r="I1156" s="17" t="s">
        <v>5855</v>
      </c>
      <c r="J1156" s="17" t="s">
        <v>9</v>
      </c>
      <c r="K1156" s="49" t="s">
        <v>5556</v>
      </c>
      <c r="L1156" s="4" t="str">
        <f ca="1">IF(ISERROR(VLOOKUP(B1156,'ETL Scope'!I:I,1,0)),"NA","ETL")</f>
        <v>NA</v>
      </c>
      <c r="M1156" s="29">
        <f ca="1">COUNTIF('Data-WK'!A:A,'V1'!B:B)</f>
        <v>1</v>
      </c>
      <c r="N1156" s="29" t="e">
        <f ca="1">VLOOKUP(E1156,'IFRS only'!A:A,1,0)</f>
        <v>#N/A</v>
      </c>
      <c r="P1156" s="89"/>
    </row>
    <row r="1157" spans="1:16" s="29" customFormat="1">
      <c r="A1157" s="17" t="s">
        <v>8</v>
      </c>
      <c r="B1157" s="17">
        <v>8220101010</v>
      </c>
      <c r="C1157" s="74" t="s">
        <v>4715</v>
      </c>
      <c r="D1157" s="3" t="s">
        <v>5823</v>
      </c>
      <c r="E1157" s="17" t="s">
        <v>5824</v>
      </c>
      <c r="F1157" s="17" t="s">
        <v>5854</v>
      </c>
      <c r="G1157" s="17" t="s">
        <v>5854</v>
      </c>
      <c r="H1157" s="17" t="s">
        <v>5855</v>
      </c>
      <c r="I1157" s="17" t="s">
        <v>5855</v>
      </c>
      <c r="J1157" s="17" t="s">
        <v>9</v>
      </c>
      <c r="K1157" s="49" t="s">
        <v>1304</v>
      </c>
      <c r="L1157" s="4" t="str">
        <f ca="1">IF(ISERROR(VLOOKUP(B1157,'ETL Scope'!I:I,1,0)),"NA","ETL")</f>
        <v>NA</v>
      </c>
      <c r="M1157" s="29">
        <f ca="1">COUNTIF('Data-WK'!A:A,'V1'!B:B)</f>
        <v>1</v>
      </c>
      <c r="N1157" s="29" t="e">
        <f ca="1">VLOOKUP(E1157,'IFRS only'!A:A,1,0)</f>
        <v>#N/A</v>
      </c>
      <c r="P1157" s="89"/>
    </row>
    <row r="1158" spans="1:16" s="29" customFormat="1">
      <c r="A1158" s="17" t="s">
        <v>8</v>
      </c>
      <c r="B1158" s="17">
        <v>8200150000</v>
      </c>
      <c r="C1158" s="74" t="s">
        <v>4716</v>
      </c>
      <c r="D1158" s="3" t="s">
        <v>5042</v>
      </c>
      <c r="E1158" s="17" t="s">
        <v>3180</v>
      </c>
      <c r="F1158" s="17" t="s">
        <v>3533</v>
      </c>
      <c r="G1158" s="17" t="s">
        <v>3533</v>
      </c>
      <c r="H1158" s="17" t="s">
        <v>3534</v>
      </c>
      <c r="I1158" s="17" t="s">
        <v>3545</v>
      </c>
      <c r="J1158" s="17" t="s">
        <v>9</v>
      </c>
      <c r="K1158" s="49" t="s">
        <v>1309</v>
      </c>
      <c r="L1158" s="4" t="str">
        <f ca="1">IF(ISERROR(VLOOKUP(B1158,'ETL Scope'!I:I,1,0)),"NA","ETL")</f>
        <v>NA</v>
      </c>
      <c r="M1158" s="29">
        <f ca="1">COUNTIF('Data-WK'!A:A,'V1'!B:B)</f>
        <v>1</v>
      </c>
      <c r="N1158" s="29" t="e">
        <f ca="1">VLOOKUP(E1158,'IFRS only'!A:A,1,0)</f>
        <v>#N/A</v>
      </c>
      <c r="P1158" s="89"/>
    </row>
    <row r="1159" spans="1:16" s="29" customFormat="1">
      <c r="A1159" s="17" t="s">
        <v>8</v>
      </c>
      <c r="B1159" s="17">
        <v>8210101010</v>
      </c>
      <c r="C1159" s="74" t="s">
        <v>4717</v>
      </c>
      <c r="D1159" s="3" t="s">
        <v>5839</v>
      </c>
      <c r="E1159" s="17" t="s">
        <v>3382</v>
      </c>
      <c r="F1159" s="17" t="s">
        <v>3533</v>
      </c>
      <c r="G1159" s="17" t="s">
        <v>3533</v>
      </c>
      <c r="H1159" s="17" t="s">
        <v>3534</v>
      </c>
      <c r="I1159" s="17" t="s">
        <v>3545</v>
      </c>
      <c r="J1159" s="17" t="s">
        <v>9</v>
      </c>
      <c r="K1159" s="49" t="s">
        <v>1282</v>
      </c>
      <c r="L1159" s="4" t="str">
        <f ca="1">IF(ISERROR(VLOOKUP(B1159,'ETL Scope'!I:I,1,0)),"NA","ETL")</f>
        <v>NA</v>
      </c>
      <c r="M1159" s="29">
        <f ca="1">COUNTIF('Data-WK'!A:A,'V1'!B:B)</f>
        <v>2</v>
      </c>
      <c r="N1159" s="29" t="e">
        <f ca="1">VLOOKUP(E1159,'IFRS only'!A:A,1,0)</f>
        <v>#N/A</v>
      </c>
      <c r="P1159" s="89"/>
    </row>
    <row r="1160" spans="1:16" s="29" customFormat="1">
      <c r="A1160" s="17" t="s">
        <v>8</v>
      </c>
      <c r="B1160" s="17">
        <v>8220101010</v>
      </c>
      <c r="C1160" s="74" t="s">
        <v>4718</v>
      </c>
      <c r="D1160" s="3" t="s">
        <v>5043</v>
      </c>
      <c r="E1160" s="52" t="s">
        <v>3175</v>
      </c>
      <c r="F1160" s="17" t="s">
        <v>3533</v>
      </c>
      <c r="G1160" s="17" t="s">
        <v>3533</v>
      </c>
      <c r="H1160" s="17" t="s">
        <v>3534</v>
      </c>
      <c r="I1160" s="17" t="s">
        <v>3545</v>
      </c>
      <c r="J1160" s="17" t="s">
        <v>9</v>
      </c>
      <c r="K1160" s="49" t="s">
        <v>1306</v>
      </c>
      <c r="L1160" s="4" t="str">
        <f ca="1">IF(ISERROR(VLOOKUP(B1160,'ETL Scope'!I:I,1,0)),"NA","ETL")</f>
        <v>NA</v>
      </c>
      <c r="M1160" s="29">
        <f ca="1">COUNTIF('Data-WK'!A:A,'V1'!B:B)</f>
        <v>1</v>
      </c>
      <c r="N1160" s="29" t="e">
        <f ca="1">VLOOKUP(E1160,'IFRS only'!A:A,1,0)</f>
        <v>#N/A</v>
      </c>
      <c r="P1160" s="89"/>
    </row>
    <row r="1161" spans="1:16" s="29" customFormat="1">
      <c r="A1161" s="17" t="s">
        <v>8</v>
      </c>
      <c r="B1161" s="17">
        <v>8220101020</v>
      </c>
      <c r="C1161" s="74" t="s">
        <v>4718</v>
      </c>
      <c r="D1161" s="3" t="s">
        <v>5044</v>
      </c>
      <c r="E1161" s="17" t="s">
        <v>3173</v>
      </c>
      <c r="F1161" s="17" t="s">
        <v>3533</v>
      </c>
      <c r="G1161" s="17" t="s">
        <v>3533</v>
      </c>
      <c r="H1161" s="17" t="s">
        <v>3534</v>
      </c>
      <c r="I1161" s="17" t="s">
        <v>3545</v>
      </c>
      <c r="J1161" s="17" t="s">
        <v>9</v>
      </c>
      <c r="K1161" s="49" t="s">
        <v>1306</v>
      </c>
      <c r="L1161" s="4" t="str">
        <f ca="1">IF(ISERROR(VLOOKUP(B1161,'ETL Scope'!I:I,1,0)),"NA","ETL")</f>
        <v>NA</v>
      </c>
      <c r="M1161" s="29">
        <f ca="1">COUNTIF('Data-WK'!A:A,'V1'!B:B)</f>
        <v>1</v>
      </c>
      <c r="N1161" s="29" t="e">
        <f ca="1">VLOOKUP(E1161,'IFRS only'!A:A,1,0)</f>
        <v>#N/A</v>
      </c>
      <c r="P1161" s="89"/>
    </row>
    <row r="1162" spans="1:16" s="29" customFormat="1">
      <c r="A1162" s="17" t="s">
        <v>8</v>
      </c>
      <c r="B1162" s="17">
        <v>8220101030</v>
      </c>
      <c r="C1162" s="74" t="s">
        <v>4718</v>
      </c>
      <c r="D1162" s="3" t="s">
        <v>5045</v>
      </c>
      <c r="E1162" s="17" t="s">
        <v>3174</v>
      </c>
      <c r="F1162" s="17" t="s">
        <v>3533</v>
      </c>
      <c r="G1162" s="17" t="s">
        <v>3533</v>
      </c>
      <c r="H1162" s="17" t="s">
        <v>3534</v>
      </c>
      <c r="I1162" s="17" t="s">
        <v>3545</v>
      </c>
      <c r="J1162" s="17" t="s">
        <v>9</v>
      </c>
      <c r="K1162" s="49" t="s">
        <v>1306</v>
      </c>
      <c r="L1162" s="4" t="str">
        <f ca="1">IF(ISERROR(VLOOKUP(B1162,'ETL Scope'!I:I,1,0)),"NA","ETL")</f>
        <v>NA</v>
      </c>
      <c r="M1162" s="29">
        <f ca="1">COUNTIF('Data-WK'!A:A,'V1'!B:B)</f>
        <v>1</v>
      </c>
      <c r="N1162" s="29" t="e">
        <f ca="1">VLOOKUP(E1162,'IFRS only'!A:A,1,0)</f>
        <v>#N/A</v>
      </c>
      <c r="P1162" s="89"/>
    </row>
    <row r="1163" spans="1:16" s="29" customFormat="1">
      <c r="A1163" s="17" t="s">
        <v>8</v>
      </c>
      <c r="B1163" s="17">
        <v>8220105010</v>
      </c>
      <c r="C1163" s="74" t="s">
        <v>4718</v>
      </c>
      <c r="D1163" s="3" t="s">
        <v>5046</v>
      </c>
      <c r="E1163" s="17" t="s">
        <v>3172</v>
      </c>
      <c r="F1163" s="17" t="s">
        <v>3533</v>
      </c>
      <c r="G1163" s="17" t="s">
        <v>3533</v>
      </c>
      <c r="H1163" s="17" t="s">
        <v>3534</v>
      </c>
      <c r="I1163" s="17" t="s">
        <v>3545</v>
      </c>
      <c r="J1163" s="17" t="s">
        <v>9</v>
      </c>
      <c r="K1163" s="49" t="s">
        <v>1306</v>
      </c>
      <c r="L1163" s="4" t="str">
        <f ca="1">IF(ISERROR(VLOOKUP(B1163,'ETL Scope'!I:I,1,0)),"NA","ETL")</f>
        <v>NA</v>
      </c>
      <c r="M1163" s="29">
        <f ca="1">COUNTIF('Data-WK'!A:A,'V1'!B:B)</f>
        <v>1</v>
      </c>
      <c r="N1163" s="29" t="e">
        <f ca="1">VLOOKUP(E1163,'IFRS only'!A:A,1,0)</f>
        <v>#N/A</v>
      </c>
      <c r="P1163" s="89"/>
    </row>
    <row r="1164" spans="1:16" s="29" customFormat="1">
      <c r="A1164" s="17" t="s">
        <v>8</v>
      </c>
      <c r="B1164" s="17">
        <v>8320101010</v>
      </c>
      <c r="C1164" s="74" t="s">
        <v>4719</v>
      </c>
      <c r="D1164" s="3" t="s">
        <v>5047</v>
      </c>
      <c r="E1164" s="17" t="s">
        <v>3184</v>
      </c>
      <c r="F1164" s="17" t="s">
        <v>3533</v>
      </c>
      <c r="G1164" s="17" t="s">
        <v>3533</v>
      </c>
      <c r="H1164" s="17" t="s">
        <v>3534</v>
      </c>
      <c r="I1164" s="17" t="s">
        <v>3545</v>
      </c>
      <c r="J1164" s="17" t="s">
        <v>9</v>
      </c>
      <c r="K1164" s="49" t="s">
        <v>1312</v>
      </c>
      <c r="L1164" s="4" t="str">
        <f ca="1">IF(ISERROR(VLOOKUP(B1164,'ETL Scope'!I:I,1,0)),"NA","ETL")</f>
        <v>NA</v>
      </c>
      <c r="M1164" s="29">
        <f ca="1">COUNTIF('Data-WK'!A:A,'V1'!B:B)</f>
        <v>1</v>
      </c>
      <c r="N1164" s="29" t="e">
        <f ca="1">VLOOKUP(E1164,'IFRS only'!A:A,1,0)</f>
        <v>#N/A</v>
      </c>
      <c r="P1164" s="89"/>
    </row>
    <row r="1165" spans="1:16" s="29" customFormat="1">
      <c r="A1165" s="17" t="s">
        <v>8</v>
      </c>
      <c r="B1165" s="17">
        <v>8320106010</v>
      </c>
      <c r="C1165" s="74" t="s">
        <v>4719</v>
      </c>
      <c r="D1165" s="3" t="s">
        <v>5048</v>
      </c>
      <c r="E1165" s="17" t="s">
        <v>3187</v>
      </c>
      <c r="F1165" s="17" t="s">
        <v>3533</v>
      </c>
      <c r="G1165" s="17" t="s">
        <v>3533</v>
      </c>
      <c r="H1165" s="17" t="s">
        <v>3534</v>
      </c>
      <c r="I1165" s="17" t="s">
        <v>3545</v>
      </c>
      <c r="J1165" s="17" t="s">
        <v>9</v>
      </c>
      <c r="K1165" s="49" t="s">
        <v>1312</v>
      </c>
      <c r="L1165" s="4" t="str">
        <f ca="1">IF(ISERROR(VLOOKUP(B1165,'ETL Scope'!I:I,1,0)),"NA","ETL")</f>
        <v>NA</v>
      </c>
      <c r="M1165" s="29">
        <f ca="1">COUNTIF('Data-WK'!A:A,'V1'!B:B)</f>
        <v>1</v>
      </c>
      <c r="N1165" s="29" t="e">
        <f ca="1">VLOOKUP(E1165,'IFRS only'!A:A,1,0)</f>
        <v>#N/A</v>
      </c>
      <c r="P1165" s="89"/>
    </row>
    <row r="1166" spans="1:16" s="29" customFormat="1">
      <c r="A1166" s="17" t="s">
        <v>8</v>
      </c>
      <c r="B1166" s="17">
        <v>8320211010</v>
      </c>
      <c r="C1166" s="74" t="s">
        <v>4720</v>
      </c>
      <c r="D1166" s="86" t="s">
        <v>5722</v>
      </c>
      <c r="E1166" s="17" t="s">
        <v>5869</v>
      </c>
      <c r="F1166" s="17" t="s">
        <v>3533</v>
      </c>
      <c r="G1166" s="17" t="s">
        <v>3533</v>
      </c>
      <c r="H1166" s="17" t="s">
        <v>3534</v>
      </c>
      <c r="I1166" s="17" t="s">
        <v>3545</v>
      </c>
      <c r="J1166" s="17" t="s">
        <v>9</v>
      </c>
      <c r="K1166" s="49" t="s">
        <v>1346</v>
      </c>
      <c r="L1166" s="4" t="str">
        <f ca="1">IF(ISERROR(VLOOKUP(B1166,'ETL Scope'!I:I,1,0)),"NA","ETL")</f>
        <v>NA</v>
      </c>
      <c r="M1166" s="29">
        <f ca="1">COUNTIF('Data-WK'!A:A,'V1'!B:B)</f>
        <v>1</v>
      </c>
      <c r="N1166" s="29" t="e">
        <f ca="1">VLOOKUP(E1166,'IFRS only'!A:A,1,0)</f>
        <v>#N/A</v>
      </c>
      <c r="P1166" s="89"/>
    </row>
    <row r="1167" spans="1:16" s="29" customFormat="1">
      <c r="A1167" s="17" t="s">
        <v>8</v>
      </c>
      <c r="B1167" s="17">
        <v>8400101010</v>
      </c>
      <c r="C1167" s="74" t="s">
        <v>4721</v>
      </c>
      <c r="D1167" s="3" t="s">
        <v>5049</v>
      </c>
      <c r="E1167" s="17" t="s">
        <v>3135</v>
      </c>
      <c r="F1167" s="17" t="s">
        <v>3533</v>
      </c>
      <c r="G1167" s="17" t="s">
        <v>3533</v>
      </c>
      <c r="H1167" s="17" t="s">
        <v>3534</v>
      </c>
      <c r="I1167" s="17" t="s">
        <v>3545</v>
      </c>
      <c r="J1167" s="17" t="s">
        <v>9</v>
      </c>
      <c r="K1167" s="49" t="s">
        <v>1285</v>
      </c>
      <c r="L1167" s="4" t="str">
        <f ca="1">IF(ISERROR(VLOOKUP(B1167,'ETL Scope'!I:I,1,0)),"NA","ETL")</f>
        <v>NA</v>
      </c>
      <c r="M1167" s="29">
        <f ca="1">COUNTIF('Data-WK'!A:A,'V1'!B:B)</f>
        <v>1</v>
      </c>
      <c r="N1167" s="29" t="e">
        <f ca="1">VLOOKUP(E1167,'IFRS only'!A:A,1,0)</f>
        <v>#N/A</v>
      </c>
      <c r="P1167" s="89"/>
    </row>
    <row r="1168" spans="1:16" s="29" customFormat="1">
      <c r="A1168" s="17" t="s">
        <v>8</v>
      </c>
      <c r="B1168" s="17">
        <v>8400101011</v>
      </c>
      <c r="C1168" s="74" t="s">
        <v>4721</v>
      </c>
      <c r="D1168" s="3" t="s">
        <v>5050</v>
      </c>
      <c r="E1168" s="17" t="s">
        <v>3142</v>
      </c>
      <c r="F1168" s="17" t="s">
        <v>3533</v>
      </c>
      <c r="G1168" s="17" t="s">
        <v>3533</v>
      </c>
      <c r="H1168" s="17" t="s">
        <v>3534</v>
      </c>
      <c r="I1168" s="17" t="s">
        <v>3545</v>
      </c>
      <c r="J1168" s="17" t="s">
        <v>9</v>
      </c>
      <c r="K1168" s="49" t="s">
        <v>1285</v>
      </c>
      <c r="L1168" s="4" t="str">
        <f ca="1">IF(ISERROR(VLOOKUP(B1168,'ETL Scope'!I:I,1,0)),"NA","ETL")</f>
        <v>NA</v>
      </c>
      <c r="M1168" s="29">
        <f ca="1">COUNTIF('Data-WK'!A:A,'V1'!B:B)</f>
        <v>1</v>
      </c>
      <c r="N1168" s="29" t="e">
        <f ca="1">VLOOKUP(E1168,'IFRS only'!A:A,1,0)</f>
        <v>#N/A</v>
      </c>
      <c r="P1168" s="89"/>
    </row>
    <row r="1169" spans="1:16" s="29" customFormat="1">
      <c r="A1169" s="17" t="s">
        <v>8</v>
      </c>
      <c r="B1169" s="17">
        <v>8400201010</v>
      </c>
      <c r="C1169" s="74" t="s">
        <v>4722</v>
      </c>
      <c r="D1169" s="3" t="s">
        <v>5051</v>
      </c>
      <c r="E1169" s="17" t="s">
        <v>3136</v>
      </c>
      <c r="F1169" s="17" t="s">
        <v>3533</v>
      </c>
      <c r="G1169" s="17" t="s">
        <v>3533</v>
      </c>
      <c r="H1169" s="17" t="s">
        <v>3534</v>
      </c>
      <c r="I1169" s="17" t="s">
        <v>3545</v>
      </c>
      <c r="J1169" s="17" t="s">
        <v>9</v>
      </c>
      <c r="K1169" s="49" t="s">
        <v>1286</v>
      </c>
      <c r="L1169" s="4" t="str">
        <f ca="1">IF(ISERROR(VLOOKUP(B1169,'ETL Scope'!I:I,1,0)),"NA","ETL")</f>
        <v>NA</v>
      </c>
      <c r="M1169" s="29">
        <f ca="1">COUNTIF('Data-WK'!A:A,'V1'!B:B)</f>
        <v>1</v>
      </c>
      <c r="N1169" s="29" t="e">
        <f ca="1">VLOOKUP(E1169,'IFRS only'!A:A,1,0)</f>
        <v>#N/A</v>
      </c>
      <c r="P1169" s="89"/>
    </row>
    <row r="1170" spans="1:16" s="29" customFormat="1">
      <c r="A1170" s="17" t="s">
        <v>8</v>
      </c>
      <c r="B1170" s="17">
        <v>8410103010</v>
      </c>
      <c r="C1170" s="74" t="s">
        <v>4723</v>
      </c>
      <c r="D1170" s="3" t="s">
        <v>5052</v>
      </c>
      <c r="E1170" s="17" t="s">
        <v>3210</v>
      </c>
      <c r="F1170" s="17" t="s">
        <v>3533</v>
      </c>
      <c r="G1170" s="17" t="s">
        <v>3533</v>
      </c>
      <c r="H1170" s="17" t="s">
        <v>3534</v>
      </c>
      <c r="I1170" s="17" t="s">
        <v>3545</v>
      </c>
      <c r="J1170" s="17" t="s">
        <v>9</v>
      </c>
      <c r="K1170" s="49" t="s">
        <v>1331</v>
      </c>
      <c r="L1170" s="4" t="str">
        <f ca="1">IF(ISERROR(VLOOKUP(B1170,'ETL Scope'!I:I,1,0)),"NA","ETL")</f>
        <v>NA</v>
      </c>
      <c r="M1170" s="29">
        <f ca="1">COUNTIF('Data-WK'!A:A,'V1'!B:B)</f>
        <v>1</v>
      </c>
      <c r="N1170" s="29" t="e">
        <f ca="1">VLOOKUP(E1170,'IFRS only'!A:A,1,0)</f>
        <v>#N/A</v>
      </c>
      <c r="P1170" s="89"/>
    </row>
    <row r="1171" spans="1:16" s="29" customFormat="1">
      <c r="A1171" s="17" t="s">
        <v>8</v>
      </c>
      <c r="B1171" s="17">
        <v>8420101030</v>
      </c>
      <c r="C1171" s="74" t="s">
        <v>4724</v>
      </c>
      <c r="D1171" s="3" t="s">
        <v>5053</v>
      </c>
      <c r="E1171" s="17" t="s">
        <v>3162</v>
      </c>
      <c r="F1171" s="17" t="s">
        <v>3533</v>
      </c>
      <c r="G1171" s="17" t="s">
        <v>3533</v>
      </c>
      <c r="H1171" s="17" t="s">
        <v>3534</v>
      </c>
      <c r="I1171" s="17" t="s">
        <v>3545</v>
      </c>
      <c r="J1171" s="17" t="s">
        <v>9</v>
      </c>
      <c r="K1171" s="49" t="s">
        <v>5557</v>
      </c>
      <c r="L1171" s="4" t="str">
        <f ca="1">IF(ISERROR(VLOOKUP(B1171,'ETL Scope'!I:I,1,0)),"NA","ETL")</f>
        <v>NA</v>
      </c>
      <c r="M1171" s="29">
        <f ca="1">COUNTIF('Data-WK'!A:A,'V1'!B:B)</f>
        <v>1</v>
      </c>
      <c r="N1171" s="29" t="e">
        <f ca="1">VLOOKUP(E1171,'IFRS only'!A:A,1,0)</f>
        <v>#N/A</v>
      </c>
      <c r="P1171" s="89"/>
    </row>
    <row r="1172" spans="1:16" s="29" customFormat="1">
      <c r="A1172" s="17" t="s">
        <v>8</v>
      </c>
      <c r="B1172" s="17">
        <v>8420201030</v>
      </c>
      <c r="C1172" s="74" t="s">
        <v>4725</v>
      </c>
      <c r="D1172" s="3" t="s">
        <v>5054</v>
      </c>
      <c r="E1172" s="17" t="s">
        <v>3163</v>
      </c>
      <c r="F1172" s="17" t="s">
        <v>3533</v>
      </c>
      <c r="G1172" s="17" t="s">
        <v>3533</v>
      </c>
      <c r="H1172" s="17" t="s">
        <v>3534</v>
      </c>
      <c r="I1172" s="17" t="s">
        <v>3545</v>
      </c>
      <c r="J1172" s="17" t="s">
        <v>9</v>
      </c>
      <c r="K1172" s="49" t="s">
        <v>5558</v>
      </c>
      <c r="L1172" s="4" t="str">
        <f ca="1">IF(ISERROR(VLOOKUP(B1172,'ETL Scope'!I:I,1,0)),"NA","ETL")</f>
        <v>NA</v>
      </c>
      <c r="M1172" s="29">
        <f ca="1">COUNTIF('Data-WK'!A:A,'V1'!B:B)</f>
        <v>1</v>
      </c>
      <c r="N1172" s="29" t="e">
        <f ca="1">VLOOKUP(E1172,'IFRS only'!A:A,1,0)</f>
        <v>#N/A</v>
      </c>
      <c r="P1172" s="89"/>
    </row>
    <row r="1173" spans="1:16" s="29" customFormat="1">
      <c r="A1173" s="17" t="s">
        <v>8</v>
      </c>
      <c r="B1173" s="17">
        <v>8420211010</v>
      </c>
      <c r="C1173" s="74" t="s">
        <v>4726</v>
      </c>
      <c r="D1173" s="3" t="s">
        <v>5055</v>
      </c>
      <c r="E1173" s="17" t="s">
        <v>3160</v>
      </c>
      <c r="F1173" s="17" t="s">
        <v>3533</v>
      </c>
      <c r="G1173" s="17" t="s">
        <v>3533</v>
      </c>
      <c r="H1173" s="17" t="s">
        <v>3534</v>
      </c>
      <c r="I1173" s="17" t="s">
        <v>3545</v>
      </c>
      <c r="J1173" s="17" t="s">
        <v>9</v>
      </c>
      <c r="K1173" s="49" t="s">
        <v>1298</v>
      </c>
      <c r="L1173" s="4" t="str">
        <f ca="1">IF(ISERROR(VLOOKUP(B1173,'ETL Scope'!I:I,1,0)),"NA","ETL")</f>
        <v>NA</v>
      </c>
      <c r="M1173" s="29">
        <f ca="1">COUNTIF('Data-WK'!A:A,'V1'!B:B)</f>
        <v>1</v>
      </c>
      <c r="N1173" s="29" t="e">
        <f ca="1">VLOOKUP(E1173,'IFRS only'!A:A,1,0)</f>
        <v>#N/A</v>
      </c>
      <c r="P1173" s="89"/>
    </row>
    <row r="1174" spans="1:16" s="29" customFormat="1">
      <c r="A1174" s="17" t="s">
        <v>8</v>
      </c>
      <c r="B1174" s="17">
        <v>8430101010</v>
      </c>
      <c r="C1174" s="74" t="s">
        <v>4727</v>
      </c>
      <c r="D1174" s="3" t="s">
        <v>5056</v>
      </c>
      <c r="E1174" s="17" t="s">
        <v>3211</v>
      </c>
      <c r="F1174" s="17" t="s">
        <v>3537</v>
      </c>
      <c r="G1174" s="17" t="s">
        <v>3537</v>
      </c>
      <c r="H1174" s="17" t="s">
        <v>3538</v>
      </c>
      <c r="I1174" s="17" t="s">
        <v>3545</v>
      </c>
      <c r="J1174" s="17" t="s">
        <v>9</v>
      </c>
      <c r="K1174" s="49" t="s">
        <v>1332</v>
      </c>
      <c r="L1174" s="4" t="str">
        <f ca="1">IF(ISERROR(VLOOKUP(B1174,'ETL Scope'!I:I,1,0)),"NA","ETL")</f>
        <v>NA</v>
      </c>
      <c r="M1174" s="29">
        <f ca="1">COUNTIF('Data-WK'!A:A,'V1'!B:B)</f>
        <v>1</v>
      </c>
      <c r="N1174" s="29" t="e">
        <f ca="1">VLOOKUP(E1174,'IFRS only'!A:A,1,0)</f>
        <v>#N/A</v>
      </c>
      <c r="P1174" s="89"/>
    </row>
    <row r="1175" spans="1:16" s="29" customFormat="1">
      <c r="A1175" s="17" t="s">
        <v>8</v>
      </c>
      <c r="B1175" s="17">
        <v>8430201010</v>
      </c>
      <c r="C1175" s="74" t="s">
        <v>4728</v>
      </c>
      <c r="D1175" s="3" t="s">
        <v>5829</v>
      </c>
      <c r="E1175" s="17">
        <v>521401</v>
      </c>
      <c r="F1175" s="17" t="s">
        <v>3533</v>
      </c>
      <c r="G1175" s="17" t="s">
        <v>3533</v>
      </c>
      <c r="H1175" s="17" t="s">
        <v>3534</v>
      </c>
      <c r="I1175" s="17" t="s">
        <v>3545</v>
      </c>
      <c r="J1175" s="17" t="s">
        <v>9</v>
      </c>
      <c r="K1175" s="49" t="s">
        <v>1326</v>
      </c>
      <c r="L1175" s="4" t="str">
        <f ca="1">IF(ISERROR(VLOOKUP(B1175,'ETL Scope'!I:I,1,0)),"NA","ETL")</f>
        <v>NA</v>
      </c>
      <c r="M1175" s="29">
        <f ca="1">COUNTIF('Data-WK'!A:A,'V1'!B:B)</f>
        <v>1</v>
      </c>
      <c r="N1175" s="29" t="e">
        <f ca="1">VLOOKUP(E1175,'IFRS only'!A:A,1,0)</f>
        <v>#N/A</v>
      </c>
      <c r="P1175" s="89"/>
    </row>
    <row r="1176" spans="1:16" s="29" customFormat="1">
      <c r="A1176" s="17" t="s">
        <v>8</v>
      </c>
      <c r="B1176" s="17">
        <v>8430401010</v>
      </c>
      <c r="C1176" s="74">
        <v>843040</v>
      </c>
      <c r="D1176" s="3" t="s">
        <v>5828</v>
      </c>
      <c r="E1176" s="17">
        <v>521402</v>
      </c>
      <c r="F1176" s="17" t="s">
        <v>3533</v>
      </c>
      <c r="G1176" s="17" t="s">
        <v>3533</v>
      </c>
      <c r="H1176" s="17" t="s">
        <v>3534</v>
      </c>
      <c r="I1176" s="17" t="s">
        <v>3527</v>
      </c>
      <c r="J1176" s="17" t="s">
        <v>9</v>
      </c>
      <c r="K1176" s="49" t="s">
        <v>1327</v>
      </c>
      <c r="L1176" s="4"/>
      <c r="P1176" s="89"/>
    </row>
    <row r="1177" spans="1:16" s="29" customFormat="1">
      <c r="A1177" s="17" t="s">
        <v>8</v>
      </c>
      <c r="B1177" s="17">
        <v>8440101010</v>
      </c>
      <c r="C1177" s="74" t="s">
        <v>4729</v>
      </c>
      <c r="D1177" s="3" t="s">
        <v>5057</v>
      </c>
      <c r="E1177" s="17" t="s">
        <v>3197</v>
      </c>
      <c r="F1177" s="17" t="s">
        <v>3533</v>
      </c>
      <c r="G1177" s="17" t="s">
        <v>3533</v>
      </c>
      <c r="H1177" s="17" t="s">
        <v>3534</v>
      </c>
      <c r="I1177" s="17" t="s">
        <v>3545</v>
      </c>
      <c r="J1177" s="17" t="s">
        <v>9</v>
      </c>
      <c r="K1177" s="49" t="s">
        <v>1320</v>
      </c>
      <c r="L1177" s="4" t="str">
        <f ca="1">IF(ISERROR(VLOOKUP(B1177,'ETL Scope'!I:I,1,0)),"NA","ETL")</f>
        <v>NA</v>
      </c>
      <c r="M1177" s="29">
        <f ca="1">COUNTIF('Data-WK'!A:A,'V1'!B:B)</f>
        <v>1</v>
      </c>
      <c r="N1177" s="29" t="e">
        <f ca="1">VLOOKUP(E1177,'IFRS only'!A:A,1,0)</f>
        <v>#N/A</v>
      </c>
      <c r="P1177" s="89"/>
    </row>
    <row r="1178" spans="1:16" s="29" customFormat="1">
      <c r="A1178" s="17" t="s">
        <v>8</v>
      </c>
      <c r="B1178" s="17">
        <v>8440102010</v>
      </c>
      <c r="C1178" s="74" t="s">
        <v>4729</v>
      </c>
      <c r="D1178" s="3" t="s">
        <v>5058</v>
      </c>
      <c r="E1178" s="17" t="s">
        <v>3200</v>
      </c>
      <c r="F1178" s="17" t="s">
        <v>3533</v>
      </c>
      <c r="G1178" s="17" t="s">
        <v>3533</v>
      </c>
      <c r="H1178" s="17" t="s">
        <v>3534</v>
      </c>
      <c r="I1178" s="17" t="s">
        <v>3545</v>
      </c>
      <c r="J1178" s="17" t="s">
        <v>9</v>
      </c>
      <c r="K1178" s="49" t="s">
        <v>1320</v>
      </c>
      <c r="L1178" s="4" t="str">
        <f ca="1">IF(ISERROR(VLOOKUP(B1178,'ETL Scope'!I:I,1,0)),"NA","ETL")</f>
        <v>NA</v>
      </c>
      <c r="M1178" s="29">
        <f ca="1">COUNTIF('Data-WK'!A:A,'V1'!B:B)</f>
        <v>1</v>
      </c>
      <c r="N1178" s="29" t="e">
        <f ca="1">VLOOKUP(E1178,'IFRS only'!A:A,1,0)</f>
        <v>#N/A</v>
      </c>
      <c r="P1178" s="89"/>
    </row>
    <row r="1179" spans="1:16" s="29" customFormat="1">
      <c r="A1179" s="17" t="s">
        <v>8</v>
      </c>
      <c r="B1179" s="17">
        <v>8450001030</v>
      </c>
      <c r="C1179" s="74" t="s">
        <v>4730</v>
      </c>
      <c r="D1179" s="86" t="s">
        <v>5723</v>
      </c>
      <c r="E1179" s="17" t="s">
        <v>3233</v>
      </c>
      <c r="F1179" s="17" t="s">
        <v>9</v>
      </c>
      <c r="G1179" s="17" t="s">
        <v>3533</v>
      </c>
      <c r="H1179" s="17" t="s">
        <v>3534</v>
      </c>
      <c r="I1179" s="17" t="s">
        <v>3545</v>
      </c>
      <c r="J1179" s="17" t="s">
        <v>9</v>
      </c>
      <c r="K1179" s="49" t="s">
        <v>5559</v>
      </c>
      <c r="L1179" s="4" t="str">
        <f ca="1">IF(ISERROR(VLOOKUP(B1179,'ETL Scope'!I:I,1,0)),"NA","ETL")</f>
        <v>NA</v>
      </c>
      <c r="M1179" s="29">
        <f ca="1">COUNTIF('Data-WK'!A:A,'V1'!B:B)</f>
        <v>1</v>
      </c>
      <c r="N1179" s="29" t="str">
        <f ca="1">VLOOKUP(E1179,'IFRS only'!A:A,1,0)</f>
        <v>520014</v>
      </c>
      <c r="P1179" s="89"/>
    </row>
    <row r="1180" spans="1:16" s="29" customFormat="1">
      <c r="A1180" s="17" t="s">
        <v>8</v>
      </c>
      <c r="B1180" s="17">
        <v>8450001060</v>
      </c>
      <c r="C1180" s="74" t="s">
        <v>4730</v>
      </c>
      <c r="D1180" s="86" t="s">
        <v>5724</v>
      </c>
      <c r="E1180" s="17" t="s">
        <v>3250</v>
      </c>
      <c r="F1180" s="17" t="s">
        <v>9</v>
      </c>
      <c r="G1180" s="17" t="s">
        <v>3533</v>
      </c>
      <c r="H1180" s="17" t="s">
        <v>3534</v>
      </c>
      <c r="I1180" s="17" t="s">
        <v>3545</v>
      </c>
      <c r="J1180" s="17" t="s">
        <v>9</v>
      </c>
      <c r="K1180" s="49" t="s">
        <v>1350</v>
      </c>
      <c r="L1180" s="4" t="str">
        <f ca="1">IF(ISERROR(VLOOKUP(B1180,'ETL Scope'!I:I,1,0)),"NA","ETL")</f>
        <v>NA</v>
      </c>
      <c r="M1180" s="29">
        <f ca="1">COUNTIF('Data-WK'!A:A,'V1'!B:B)</f>
        <v>1</v>
      </c>
      <c r="N1180" s="29" t="str">
        <f ca="1">VLOOKUP(E1180,'IFRS only'!A:A,1,0)</f>
        <v>520027</v>
      </c>
      <c r="P1180" s="89"/>
    </row>
    <row r="1181" spans="1:16" s="29" customFormat="1">
      <c r="A1181" s="17" t="s">
        <v>8</v>
      </c>
      <c r="B1181" s="17">
        <v>8450010000</v>
      </c>
      <c r="C1181" s="74" t="s">
        <v>4731</v>
      </c>
      <c r="D1181" s="86" t="s">
        <v>5725</v>
      </c>
      <c r="E1181" s="17" t="s">
        <v>3385</v>
      </c>
      <c r="F1181" s="17" t="s">
        <v>3533</v>
      </c>
      <c r="G1181" s="17" t="s">
        <v>3533</v>
      </c>
      <c r="H1181" s="17" t="s">
        <v>3534</v>
      </c>
      <c r="I1181" s="17" t="s">
        <v>3545</v>
      </c>
      <c r="J1181" s="17" t="s">
        <v>9</v>
      </c>
      <c r="K1181" s="49" t="s">
        <v>1345</v>
      </c>
      <c r="L1181" s="4" t="str">
        <f ca="1">IF(ISERROR(VLOOKUP(B1181,'ETL Scope'!I:I,1,0)),"NA","ETL")</f>
        <v>NA</v>
      </c>
      <c r="M1181" s="29">
        <f ca="1">COUNTIF('Data-WK'!A:A,'V1'!B:B)</f>
        <v>2</v>
      </c>
      <c r="N1181" s="29" t="e">
        <f ca="1">VLOOKUP(E1181,'IFRS only'!A:A,1,0)</f>
        <v>#N/A</v>
      </c>
      <c r="P1181" s="89"/>
    </row>
    <row r="1182" spans="1:16" s="29" customFormat="1">
      <c r="A1182" s="17" t="s">
        <v>8</v>
      </c>
      <c r="B1182" s="17">
        <v>8450020000</v>
      </c>
      <c r="C1182" s="74" t="s">
        <v>4732</v>
      </c>
      <c r="D1182" s="86" t="s">
        <v>5726</v>
      </c>
      <c r="E1182" s="17" t="s">
        <v>4774</v>
      </c>
      <c r="F1182" s="17" t="s">
        <v>3533</v>
      </c>
      <c r="G1182" s="17" t="s">
        <v>3533</v>
      </c>
      <c r="H1182" s="17" t="s">
        <v>3534</v>
      </c>
      <c r="I1182" s="17" t="s">
        <v>3545</v>
      </c>
      <c r="J1182" s="17" t="s">
        <v>9</v>
      </c>
      <c r="K1182" s="49" t="s">
        <v>1349</v>
      </c>
      <c r="L1182" s="4" t="str">
        <f ca="1">IF(ISERROR(VLOOKUP(B1182,'ETL Scope'!I:I,1,0)),"NA","ETL")</f>
        <v>NA</v>
      </c>
      <c r="M1182" s="29">
        <f ca="1">COUNTIF('Data-WK'!A:A,'V1'!B:B)</f>
        <v>1</v>
      </c>
      <c r="N1182" s="29" t="e">
        <f ca="1">VLOOKUP(E1182,'IFRS only'!A:A,1,0)</f>
        <v>#N/A</v>
      </c>
      <c r="P1182" s="89"/>
    </row>
    <row r="1183" spans="1:16" s="29" customFormat="1">
      <c r="A1183" s="17" t="s">
        <v>8</v>
      </c>
      <c r="B1183" s="17">
        <v>8450101010</v>
      </c>
      <c r="C1183" s="74" t="s">
        <v>4733</v>
      </c>
      <c r="D1183" s="3" t="s">
        <v>5059</v>
      </c>
      <c r="E1183" s="17" t="s">
        <v>3214</v>
      </c>
      <c r="F1183" s="17" t="s">
        <v>3537</v>
      </c>
      <c r="G1183" s="17" t="s">
        <v>3537</v>
      </c>
      <c r="H1183" s="17" t="s">
        <v>3538</v>
      </c>
      <c r="I1183" s="17" t="s">
        <v>3545</v>
      </c>
      <c r="J1183" s="17" t="s">
        <v>9</v>
      </c>
      <c r="K1183" s="49" t="s">
        <v>1333</v>
      </c>
      <c r="L1183" s="4" t="str">
        <f ca="1">IF(ISERROR(VLOOKUP(B1183,'ETL Scope'!I:I,1,0)),"NA","ETL")</f>
        <v>NA</v>
      </c>
      <c r="M1183" s="29">
        <f ca="1">COUNTIF('Data-WK'!A:A,'V1'!B:B)</f>
        <v>1</v>
      </c>
      <c r="N1183" s="29" t="e">
        <f ca="1">VLOOKUP(E1183,'IFRS only'!A:A,1,0)</f>
        <v>#N/A</v>
      </c>
      <c r="P1183" s="89"/>
    </row>
    <row r="1184" spans="1:16" s="29" customFormat="1">
      <c r="A1184" s="17" t="s">
        <v>8</v>
      </c>
      <c r="B1184" s="17">
        <v>8450301010</v>
      </c>
      <c r="C1184" s="74" t="s">
        <v>4734</v>
      </c>
      <c r="D1184" s="3" t="s">
        <v>5060</v>
      </c>
      <c r="E1184" s="17" t="s">
        <v>3217</v>
      </c>
      <c r="F1184" s="17" t="s">
        <v>3537</v>
      </c>
      <c r="G1184" s="17" t="s">
        <v>3537</v>
      </c>
      <c r="H1184" s="17" t="s">
        <v>3538</v>
      </c>
      <c r="I1184" s="17" t="s">
        <v>3545</v>
      </c>
      <c r="J1184" s="17" t="s">
        <v>9</v>
      </c>
      <c r="K1184" s="49" t="s">
        <v>1336</v>
      </c>
      <c r="L1184" s="4" t="str">
        <f ca="1">IF(ISERROR(VLOOKUP(B1184,'ETL Scope'!I:I,1,0)),"NA","ETL")</f>
        <v>NA</v>
      </c>
      <c r="M1184" s="29">
        <f ca="1">COUNTIF('Data-WK'!A:A,'V1'!B:B)</f>
        <v>1</v>
      </c>
      <c r="N1184" s="29" t="e">
        <f ca="1">VLOOKUP(E1184,'IFRS only'!A:A,1,0)</f>
        <v>#N/A</v>
      </c>
      <c r="P1184" s="89"/>
    </row>
    <row r="1185" spans="1:16" s="29" customFormat="1">
      <c r="A1185" s="17" t="s">
        <v>8</v>
      </c>
      <c r="B1185" s="17">
        <v>8450501010</v>
      </c>
      <c r="C1185" s="74" t="s">
        <v>4735</v>
      </c>
      <c r="D1185" s="3" t="s">
        <v>5061</v>
      </c>
      <c r="E1185" s="17" t="s">
        <v>3090</v>
      </c>
      <c r="F1185" s="17" t="s">
        <v>3533</v>
      </c>
      <c r="G1185" s="17" t="s">
        <v>3533</v>
      </c>
      <c r="H1185" s="17" t="s">
        <v>3534</v>
      </c>
      <c r="I1185" s="17" t="s">
        <v>3545</v>
      </c>
      <c r="J1185" s="17" t="s">
        <v>9</v>
      </c>
      <c r="K1185" s="49" t="s">
        <v>1260</v>
      </c>
      <c r="L1185" s="4" t="str">
        <f ca="1">IF(ISERROR(VLOOKUP(B1185,'ETL Scope'!I:I,1,0)),"NA","ETL")</f>
        <v>NA</v>
      </c>
      <c r="M1185" s="29">
        <f ca="1">COUNTIF('Data-WK'!A:A,'V1'!B:B)</f>
        <v>1</v>
      </c>
      <c r="N1185" s="29" t="e">
        <f ca="1">VLOOKUP(E1185,'IFRS only'!A:A,1,0)</f>
        <v>#N/A</v>
      </c>
      <c r="P1185" s="89"/>
    </row>
    <row r="1186" spans="1:16" s="29" customFormat="1">
      <c r="A1186" s="17" t="s">
        <v>8</v>
      </c>
      <c r="B1186" s="17">
        <v>8450501013</v>
      </c>
      <c r="C1186" s="74" t="s">
        <v>4735</v>
      </c>
      <c r="D1186" s="3" t="s">
        <v>5062</v>
      </c>
      <c r="E1186" s="17" t="s">
        <v>3110</v>
      </c>
      <c r="F1186" s="17" t="s">
        <v>3533</v>
      </c>
      <c r="G1186" s="17" t="s">
        <v>3533</v>
      </c>
      <c r="H1186" s="17" t="s">
        <v>3534</v>
      </c>
      <c r="I1186" s="17" t="s">
        <v>3545</v>
      </c>
      <c r="J1186" s="17" t="s">
        <v>9</v>
      </c>
      <c r="K1186" s="49" t="s">
        <v>1260</v>
      </c>
      <c r="L1186" s="4" t="str">
        <f ca="1">IF(ISERROR(VLOOKUP(B1186,'ETL Scope'!I:I,1,0)),"NA","ETL")</f>
        <v>NA</v>
      </c>
      <c r="M1186" s="29">
        <f ca="1">COUNTIF('Data-WK'!A:A,'V1'!B:B)</f>
        <v>1</v>
      </c>
      <c r="N1186" s="29" t="e">
        <f ca="1">VLOOKUP(E1186,'IFRS only'!A:A,1,0)</f>
        <v>#N/A</v>
      </c>
      <c r="P1186" s="89"/>
    </row>
    <row r="1187" spans="1:16" s="29" customFormat="1">
      <c r="A1187" s="17" t="s">
        <v>8</v>
      </c>
      <c r="B1187" s="17">
        <v>8450501014</v>
      </c>
      <c r="C1187" s="74" t="s">
        <v>4735</v>
      </c>
      <c r="D1187" s="3" t="s">
        <v>5063</v>
      </c>
      <c r="E1187" s="17" t="s">
        <v>5293</v>
      </c>
      <c r="F1187" s="17" t="s">
        <v>3533</v>
      </c>
      <c r="G1187" s="17" t="s">
        <v>3533</v>
      </c>
      <c r="H1187" s="17" t="s">
        <v>3534</v>
      </c>
      <c r="I1187" s="17" t="s">
        <v>3545</v>
      </c>
      <c r="J1187" s="17" t="s">
        <v>9</v>
      </c>
      <c r="K1187" s="49" t="s">
        <v>1260</v>
      </c>
      <c r="L1187" s="4" t="str">
        <f ca="1">IF(ISERROR(VLOOKUP(B1187,'ETL Scope'!I:I,1,0)),"NA","ETL")</f>
        <v>NA</v>
      </c>
      <c r="M1187" s="29">
        <f ca="1">COUNTIF('Data-WK'!A:A,'V1'!B:B)</f>
        <v>1</v>
      </c>
      <c r="N1187" s="29" t="e">
        <f ca="1">VLOOKUP(E1187,'IFRS only'!A:A,1,0)</f>
        <v>#N/A</v>
      </c>
      <c r="P1187" s="89"/>
    </row>
    <row r="1188" spans="1:16" s="29" customFormat="1">
      <c r="A1188" s="17" t="s">
        <v>8</v>
      </c>
      <c r="B1188" s="17">
        <v>8450501015</v>
      </c>
      <c r="C1188" s="74" t="s">
        <v>4735</v>
      </c>
      <c r="D1188" s="3" t="s">
        <v>5064</v>
      </c>
      <c r="E1188" s="17" t="s">
        <v>3257</v>
      </c>
      <c r="F1188" s="17" t="s">
        <v>3533</v>
      </c>
      <c r="G1188" s="17" t="s">
        <v>3533</v>
      </c>
      <c r="H1188" s="17" t="s">
        <v>3534</v>
      </c>
      <c r="I1188" s="17" t="s">
        <v>3545</v>
      </c>
      <c r="J1188" s="17" t="s">
        <v>9</v>
      </c>
      <c r="K1188" s="49" t="s">
        <v>1260</v>
      </c>
      <c r="L1188" s="4" t="str">
        <f ca="1">IF(ISERROR(VLOOKUP(B1188,'ETL Scope'!I:I,1,0)),"NA","ETL")</f>
        <v>NA</v>
      </c>
      <c r="M1188" s="29">
        <f ca="1">COUNTIF('Data-WK'!A:A,'V1'!B:B)</f>
        <v>1</v>
      </c>
      <c r="N1188" s="29" t="e">
        <f ca="1">VLOOKUP(E1188,'IFRS only'!A:A,1,0)</f>
        <v>#N/A</v>
      </c>
      <c r="P1188" s="89"/>
    </row>
    <row r="1189" spans="1:16" s="29" customFormat="1">
      <c r="A1189" s="17" t="s">
        <v>8</v>
      </c>
      <c r="B1189" s="17">
        <v>8450501016</v>
      </c>
      <c r="C1189" s="74" t="s">
        <v>4735</v>
      </c>
      <c r="D1189" s="3" t="s">
        <v>5065</v>
      </c>
      <c r="E1189" s="17" t="s">
        <v>3272</v>
      </c>
      <c r="F1189" s="17" t="s">
        <v>3533</v>
      </c>
      <c r="G1189" s="17" t="s">
        <v>3533</v>
      </c>
      <c r="H1189" s="17" t="s">
        <v>3534</v>
      </c>
      <c r="I1189" s="17" t="s">
        <v>3545</v>
      </c>
      <c r="J1189" s="17" t="s">
        <v>9</v>
      </c>
      <c r="K1189" s="49" t="s">
        <v>1260</v>
      </c>
      <c r="L1189" s="4" t="str">
        <f ca="1">IF(ISERROR(VLOOKUP(B1189,'ETL Scope'!I:I,1,0)),"NA","ETL")</f>
        <v>NA</v>
      </c>
      <c r="M1189" s="29">
        <f ca="1">COUNTIF('Data-WK'!A:A,'V1'!B:B)</f>
        <v>1</v>
      </c>
      <c r="N1189" s="29" t="e">
        <f ca="1">VLOOKUP(E1189,'IFRS only'!A:A,1,0)</f>
        <v>#N/A</v>
      </c>
      <c r="P1189" s="89"/>
    </row>
    <row r="1190" spans="1:16" s="29" customFormat="1">
      <c r="A1190" s="17" t="s">
        <v>8</v>
      </c>
      <c r="B1190" s="17">
        <v>8450501017</v>
      </c>
      <c r="C1190" s="74" t="s">
        <v>4735</v>
      </c>
      <c r="D1190" s="3" t="s">
        <v>5066</v>
      </c>
      <c r="E1190" s="17" t="s">
        <v>3274</v>
      </c>
      <c r="F1190" s="17" t="s">
        <v>3533</v>
      </c>
      <c r="G1190" s="17" t="s">
        <v>3533</v>
      </c>
      <c r="H1190" s="17" t="s">
        <v>3534</v>
      </c>
      <c r="I1190" s="17" t="s">
        <v>3545</v>
      </c>
      <c r="J1190" s="17" t="s">
        <v>9</v>
      </c>
      <c r="K1190" s="49" t="s">
        <v>1260</v>
      </c>
      <c r="L1190" s="4" t="str">
        <f ca="1">IF(ISERROR(VLOOKUP(B1190,'ETL Scope'!I:I,1,0)),"NA","ETL")</f>
        <v>NA</v>
      </c>
      <c r="M1190" s="29">
        <f ca="1">COUNTIF('Data-WK'!A:A,'V1'!B:B)</f>
        <v>1</v>
      </c>
      <c r="N1190" s="29" t="e">
        <f ca="1">VLOOKUP(E1190,'IFRS only'!A:A,1,0)</f>
        <v>#N/A</v>
      </c>
      <c r="P1190" s="89"/>
    </row>
    <row r="1191" spans="1:16" s="29" customFormat="1">
      <c r="A1191" s="17" t="s">
        <v>8</v>
      </c>
      <c r="B1191" s="17">
        <v>8450601010</v>
      </c>
      <c r="C1191" s="74" t="s">
        <v>4736</v>
      </c>
      <c r="D1191" s="3" t="s">
        <v>5067</v>
      </c>
      <c r="E1191" s="17" t="s">
        <v>3207</v>
      </c>
      <c r="F1191" s="17" t="s">
        <v>3533</v>
      </c>
      <c r="G1191" s="17" t="s">
        <v>3533</v>
      </c>
      <c r="H1191" s="17" t="s">
        <v>3534</v>
      </c>
      <c r="I1191" s="17" t="s">
        <v>3545</v>
      </c>
      <c r="J1191" s="17" t="s">
        <v>9</v>
      </c>
      <c r="K1191" s="49" t="s">
        <v>1329</v>
      </c>
      <c r="L1191" s="4" t="str">
        <f ca="1">IF(ISERROR(VLOOKUP(B1191,'ETL Scope'!I:I,1,0)),"NA","ETL")</f>
        <v>NA</v>
      </c>
      <c r="M1191" s="29">
        <f ca="1">COUNTIF('Data-WK'!A:A,'V1'!B:B)</f>
        <v>1</v>
      </c>
      <c r="N1191" s="29" t="e">
        <f ca="1">VLOOKUP(E1191,'IFRS only'!A:A,1,0)</f>
        <v>#N/A</v>
      </c>
      <c r="P1191" s="89"/>
    </row>
    <row r="1192" spans="1:16" s="29" customFormat="1">
      <c r="A1192" s="17" t="s">
        <v>7</v>
      </c>
      <c r="B1192" s="17">
        <v>8460101050</v>
      </c>
      <c r="C1192" s="74" t="s">
        <v>4737</v>
      </c>
      <c r="D1192" s="3" t="s">
        <v>3463</v>
      </c>
      <c r="E1192" s="17" t="s">
        <v>2928</v>
      </c>
      <c r="F1192" s="17" t="s">
        <v>3532</v>
      </c>
      <c r="G1192" s="17" t="s">
        <v>3532</v>
      </c>
      <c r="H1192" s="17" t="s">
        <v>3531</v>
      </c>
      <c r="I1192" s="17" t="s">
        <v>3545</v>
      </c>
      <c r="J1192" s="17" t="s">
        <v>9</v>
      </c>
      <c r="K1192" s="49" t="s">
        <v>5560</v>
      </c>
      <c r="L1192" s="4" t="str">
        <f ca="1">IF(ISERROR(VLOOKUP(B1192,'ETL Scope'!I:I,1,0)),"NA","ETL")</f>
        <v>NA</v>
      </c>
      <c r="M1192" s="29">
        <f ca="1">COUNTIF('Data-WK'!A:A,'V1'!B:B)</f>
        <v>1</v>
      </c>
      <c r="N1192" s="29" t="e">
        <f ca="1">VLOOKUP(E1192,'IFRS only'!A:A,1,0)</f>
        <v>#N/A</v>
      </c>
      <c r="P1192" s="89"/>
    </row>
    <row r="1193" spans="1:16" s="29" customFormat="1">
      <c r="A1193" s="17" t="s">
        <v>8</v>
      </c>
      <c r="B1193" s="17">
        <v>8460101051</v>
      </c>
      <c r="C1193" s="74" t="s">
        <v>4737</v>
      </c>
      <c r="D1193" s="3" t="s">
        <v>5658</v>
      </c>
      <c r="E1193" s="17" t="s">
        <v>3223</v>
      </c>
      <c r="F1193" s="17" t="s">
        <v>3533</v>
      </c>
      <c r="G1193" s="17" t="s">
        <v>3533</v>
      </c>
      <c r="H1193" s="17" t="s">
        <v>3534</v>
      </c>
      <c r="I1193" s="17" t="s">
        <v>3545</v>
      </c>
      <c r="J1193" s="17" t="s">
        <v>9</v>
      </c>
      <c r="K1193" s="49" t="s">
        <v>5560</v>
      </c>
      <c r="L1193" s="4" t="str">
        <f ca="1">IF(ISERROR(VLOOKUP(B1193,'ETL Scope'!I:I,1,0)),"NA","ETL")</f>
        <v>NA</v>
      </c>
      <c r="M1193" s="29">
        <f ca="1">COUNTIF('Data-WK'!A:A,'V1'!B:B)</f>
        <v>1</v>
      </c>
      <c r="N1193" s="29" t="e">
        <f ca="1">VLOOKUP(E1193,'IFRS only'!A:A,1,0)</f>
        <v>#N/A</v>
      </c>
      <c r="P1193" s="89"/>
    </row>
    <row r="1194" spans="1:16" s="29" customFormat="1">
      <c r="A1194" s="17" t="s">
        <v>8</v>
      </c>
      <c r="B1194" s="17">
        <v>8460101052</v>
      </c>
      <c r="C1194" s="74" t="s">
        <v>4737</v>
      </c>
      <c r="D1194" s="3" t="s">
        <v>5068</v>
      </c>
      <c r="E1194" s="17" t="s">
        <v>3260</v>
      </c>
      <c r="F1194" s="17" t="s">
        <v>3533</v>
      </c>
      <c r="G1194" s="17" t="s">
        <v>3533</v>
      </c>
      <c r="H1194" s="17" t="s">
        <v>3534</v>
      </c>
      <c r="I1194" s="17" t="s">
        <v>3545</v>
      </c>
      <c r="J1194" s="17" t="s">
        <v>9</v>
      </c>
      <c r="K1194" s="49" t="s">
        <v>5560</v>
      </c>
      <c r="L1194" s="4" t="str">
        <f ca="1">IF(ISERROR(VLOOKUP(B1194,'ETL Scope'!I:I,1,0)),"NA","ETL")</f>
        <v>NA</v>
      </c>
      <c r="M1194" s="29">
        <f ca="1">COUNTIF('Data-WK'!A:A,'V1'!B:B)</f>
        <v>1</v>
      </c>
      <c r="N1194" s="29" t="e">
        <f ca="1">VLOOKUP(E1194,'IFRS only'!A:A,1,0)</f>
        <v>#N/A</v>
      </c>
      <c r="P1194" s="89"/>
    </row>
    <row r="1195" spans="1:16" s="29" customFormat="1">
      <c r="A1195" s="17" t="s">
        <v>8</v>
      </c>
      <c r="B1195" s="17">
        <v>8460101053</v>
      </c>
      <c r="C1195" s="74" t="s">
        <v>4737</v>
      </c>
      <c r="D1195" s="3" t="s">
        <v>5069</v>
      </c>
      <c r="E1195" s="17" t="s">
        <v>3265</v>
      </c>
      <c r="F1195" s="17" t="s">
        <v>3533</v>
      </c>
      <c r="G1195" s="17" t="s">
        <v>3533</v>
      </c>
      <c r="H1195" s="17" t="s">
        <v>3534</v>
      </c>
      <c r="I1195" s="17" t="s">
        <v>3545</v>
      </c>
      <c r="J1195" s="17" t="s">
        <v>9</v>
      </c>
      <c r="K1195" s="49" t="s">
        <v>5560</v>
      </c>
      <c r="L1195" s="4" t="str">
        <f ca="1">IF(ISERROR(VLOOKUP(B1195,'ETL Scope'!I:I,1,0)),"NA","ETL")</f>
        <v>NA</v>
      </c>
      <c r="M1195" s="29">
        <f ca="1">COUNTIF('Data-WK'!A:A,'V1'!B:B)</f>
        <v>1</v>
      </c>
      <c r="N1195" s="29" t="e">
        <f ca="1">VLOOKUP(E1195,'IFRS only'!A:A,1,0)</f>
        <v>#N/A</v>
      </c>
      <c r="P1195" s="89"/>
    </row>
    <row r="1196" spans="1:16" s="29" customFormat="1">
      <c r="A1196" s="17" t="s">
        <v>8</v>
      </c>
      <c r="B1196" s="17">
        <v>8470101080</v>
      </c>
      <c r="C1196" s="74" t="s">
        <v>4738</v>
      </c>
      <c r="D1196" s="3" t="s">
        <v>852</v>
      </c>
      <c r="E1196" s="17" t="s">
        <v>3336</v>
      </c>
      <c r="F1196" s="17" t="s">
        <v>3533</v>
      </c>
      <c r="G1196" s="17" t="s">
        <v>3533</v>
      </c>
      <c r="H1196" s="17" t="s">
        <v>3534</v>
      </c>
      <c r="I1196" s="17" t="s">
        <v>3545</v>
      </c>
      <c r="J1196" s="17" t="s">
        <v>9</v>
      </c>
      <c r="K1196" s="49" t="s">
        <v>1374</v>
      </c>
      <c r="L1196" s="4" t="str">
        <f ca="1">IF(ISERROR(VLOOKUP(B1196,'ETL Scope'!I:I,1,0)),"NA","ETL")</f>
        <v>NA</v>
      </c>
      <c r="M1196" s="29">
        <f ca="1">COUNTIF('Data-WK'!A:A,'V1'!B:B)</f>
        <v>1</v>
      </c>
      <c r="N1196" s="29" t="e">
        <f ca="1">VLOOKUP(E1196,'IFRS only'!A:A,1,0)</f>
        <v>#N/A</v>
      </c>
      <c r="P1196" s="89"/>
    </row>
    <row r="1197" spans="1:16" s="29" customFormat="1">
      <c r="A1197" s="17" t="s">
        <v>8</v>
      </c>
      <c r="B1197" s="17">
        <v>8470201080</v>
      </c>
      <c r="C1197" s="74" t="s">
        <v>4739</v>
      </c>
      <c r="D1197" s="3" t="s">
        <v>5070</v>
      </c>
      <c r="E1197" s="17" t="s">
        <v>3164</v>
      </c>
      <c r="F1197" s="17" t="s">
        <v>3537</v>
      </c>
      <c r="G1197" s="17" t="s">
        <v>3537</v>
      </c>
      <c r="H1197" s="17" t="s">
        <v>3538</v>
      </c>
      <c r="I1197" s="17" t="s">
        <v>3545</v>
      </c>
      <c r="J1197" s="17" t="s">
        <v>9</v>
      </c>
      <c r="K1197" s="49" t="s">
        <v>1299</v>
      </c>
      <c r="L1197" s="4" t="str">
        <f ca="1">IF(ISERROR(VLOOKUP(B1197,'ETL Scope'!I:I,1,0)),"NA","ETL")</f>
        <v>NA</v>
      </c>
      <c r="M1197" s="29">
        <f ca="1">COUNTIF('Data-WK'!A:A,'V1'!B:B)</f>
        <v>1</v>
      </c>
      <c r="N1197" s="29" t="e">
        <f ca="1">VLOOKUP(E1197,'IFRS only'!A:A,1,0)</f>
        <v>#N/A</v>
      </c>
      <c r="P1197" s="89"/>
    </row>
    <row r="1198" spans="1:16" s="29" customFormat="1">
      <c r="A1198" s="17" t="s">
        <v>8</v>
      </c>
      <c r="B1198" s="17">
        <v>8470301010</v>
      </c>
      <c r="C1198" s="74" t="s">
        <v>4740</v>
      </c>
      <c r="D1198" s="3" t="s">
        <v>5071</v>
      </c>
      <c r="E1198" s="17" t="s">
        <v>3206</v>
      </c>
      <c r="F1198" s="17" t="s">
        <v>3533</v>
      </c>
      <c r="G1198" s="17" t="s">
        <v>3533</v>
      </c>
      <c r="H1198" s="17" t="s">
        <v>3534</v>
      </c>
      <c r="I1198" s="17" t="s">
        <v>3545</v>
      </c>
      <c r="J1198" s="17" t="s">
        <v>9</v>
      </c>
      <c r="K1198" s="49" t="s">
        <v>1328</v>
      </c>
      <c r="L1198" s="4" t="str">
        <f ca="1">IF(ISERROR(VLOOKUP(B1198,'ETL Scope'!I:I,1,0)),"NA","ETL")</f>
        <v>NA</v>
      </c>
      <c r="M1198" s="29">
        <f ca="1">COUNTIF('Data-WK'!A:A,'V1'!B:B)</f>
        <v>1</v>
      </c>
      <c r="N1198" s="29" t="e">
        <f ca="1">VLOOKUP(E1198,'IFRS only'!A:A,1,0)</f>
        <v>#N/A</v>
      </c>
      <c r="P1198" s="89"/>
    </row>
    <row r="1199" spans="1:16" s="29" customFormat="1">
      <c r="A1199" s="17" t="s">
        <v>8</v>
      </c>
      <c r="B1199" s="17">
        <v>8470302010</v>
      </c>
      <c r="C1199" s="74" t="s">
        <v>4740</v>
      </c>
      <c r="D1199" s="3" t="s">
        <v>5072</v>
      </c>
      <c r="E1199" s="17" t="s">
        <v>3224</v>
      </c>
      <c r="F1199" s="17" t="s">
        <v>3533</v>
      </c>
      <c r="G1199" s="17" t="s">
        <v>3533</v>
      </c>
      <c r="H1199" s="17" t="s">
        <v>3534</v>
      </c>
      <c r="I1199" s="17" t="s">
        <v>3545</v>
      </c>
      <c r="J1199" s="17" t="s">
        <v>9</v>
      </c>
      <c r="K1199" s="49" t="s">
        <v>1328</v>
      </c>
      <c r="L1199" s="4" t="str">
        <f ca="1">IF(ISERROR(VLOOKUP(B1199,'ETL Scope'!I:I,1,0)),"NA","ETL")</f>
        <v>NA</v>
      </c>
      <c r="M1199" s="29">
        <f ca="1">COUNTIF('Data-WK'!A:A,'V1'!B:B)</f>
        <v>1</v>
      </c>
      <c r="N1199" s="29" t="e">
        <f ca="1">VLOOKUP(E1199,'IFRS only'!A:A,1,0)</f>
        <v>#N/A</v>
      </c>
      <c r="P1199" s="89"/>
    </row>
    <row r="1200" spans="1:16" s="29" customFormat="1">
      <c r="A1200" s="17" t="s">
        <v>8</v>
      </c>
      <c r="B1200" s="17">
        <v>8470501010</v>
      </c>
      <c r="C1200" s="74" t="s">
        <v>4741</v>
      </c>
      <c r="D1200" s="3" t="s">
        <v>5073</v>
      </c>
      <c r="E1200" s="17" t="s">
        <v>3222</v>
      </c>
      <c r="F1200" s="17" t="s">
        <v>3533</v>
      </c>
      <c r="G1200" s="17" t="s">
        <v>3533</v>
      </c>
      <c r="H1200" s="17" t="s">
        <v>3534</v>
      </c>
      <c r="I1200" s="17" t="s">
        <v>3545</v>
      </c>
      <c r="J1200" s="17" t="s">
        <v>9</v>
      </c>
      <c r="K1200" s="49" t="s">
        <v>1339</v>
      </c>
      <c r="L1200" s="4" t="str">
        <f ca="1">IF(ISERROR(VLOOKUP(B1200,'ETL Scope'!I:I,1,0)),"NA","ETL")</f>
        <v>NA</v>
      </c>
      <c r="M1200" s="29">
        <f ca="1">COUNTIF('Data-WK'!A:A,'V1'!B:B)</f>
        <v>1</v>
      </c>
      <c r="N1200" s="29" t="e">
        <f ca="1">VLOOKUP(E1200,'IFRS only'!A:A,1,0)</f>
        <v>#N/A</v>
      </c>
      <c r="P1200" s="89"/>
    </row>
    <row r="1201" spans="1:16" s="29" customFormat="1">
      <c r="A1201" s="17" t="s">
        <v>8</v>
      </c>
      <c r="B1201" s="17">
        <v>8470501020</v>
      </c>
      <c r="C1201" s="74" t="s">
        <v>4741</v>
      </c>
      <c r="D1201" s="3" t="s">
        <v>5074</v>
      </c>
      <c r="E1201" s="17" t="s">
        <v>3277</v>
      </c>
      <c r="F1201" s="17" t="s">
        <v>3533</v>
      </c>
      <c r="G1201" s="17" t="s">
        <v>3533</v>
      </c>
      <c r="H1201" s="17" t="s">
        <v>3534</v>
      </c>
      <c r="I1201" s="17" t="s">
        <v>3545</v>
      </c>
      <c r="J1201" s="17" t="s">
        <v>9</v>
      </c>
      <c r="K1201" s="49" t="s">
        <v>1339</v>
      </c>
      <c r="L1201" s="4" t="str">
        <f ca="1">IF(ISERROR(VLOOKUP(B1201,'ETL Scope'!I:I,1,0)),"NA","ETL")</f>
        <v>NA</v>
      </c>
      <c r="M1201" s="29">
        <f ca="1">COUNTIF('Data-WK'!A:A,'V1'!B:B)</f>
        <v>1</v>
      </c>
      <c r="N1201" s="29" t="e">
        <f ca="1">VLOOKUP(E1201,'IFRS only'!A:A,1,0)</f>
        <v>#N/A</v>
      </c>
      <c r="P1201" s="89"/>
    </row>
    <row r="1202" spans="1:16" s="29" customFormat="1">
      <c r="A1202" s="17" t="s">
        <v>8</v>
      </c>
      <c r="B1202" s="17">
        <v>8470601020</v>
      </c>
      <c r="C1202" s="74" t="s">
        <v>4742</v>
      </c>
      <c r="D1202" s="3" t="s">
        <v>5075</v>
      </c>
      <c r="E1202" s="17" t="s">
        <v>3383</v>
      </c>
      <c r="F1202" s="17" t="s">
        <v>3533</v>
      </c>
      <c r="G1202" s="17" t="s">
        <v>3533</v>
      </c>
      <c r="H1202" s="17" t="s">
        <v>3534</v>
      </c>
      <c r="I1202" s="17" t="s">
        <v>3545</v>
      </c>
      <c r="J1202" s="17" t="s">
        <v>9</v>
      </c>
      <c r="K1202" s="49" t="s">
        <v>1321</v>
      </c>
      <c r="L1202" s="4" t="str">
        <f ca="1">IF(ISERROR(VLOOKUP(B1202,'ETL Scope'!I:I,1,0)),"NA","ETL")</f>
        <v>NA</v>
      </c>
      <c r="M1202" s="29">
        <f ca="1">COUNTIF('Data-WK'!A:A,'V1'!B:B)</f>
        <v>2</v>
      </c>
      <c r="N1202" s="29" t="e">
        <f ca="1">VLOOKUP(E1202,'IFRS only'!A:A,1,0)</f>
        <v>#N/A</v>
      </c>
      <c r="P1202" s="89"/>
    </row>
    <row r="1203" spans="1:16" s="29" customFormat="1">
      <c r="A1203" s="17" t="s">
        <v>8</v>
      </c>
      <c r="B1203" s="17">
        <v>8470801010</v>
      </c>
      <c r="C1203" s="74" t="s">
        <v>4743</v>
      </c>
      <c r="D1203" s="3" t="s">
        <v>5076</v>
      </c>
      <c r="E1203" s="17" t="s">
        <v>3194</v>
      </c>
      <c r="F1203" s="17" t="s">
        <v>3533</v>
      </c>
      <c r="G1203" s="17" t="s">
        <v>3533</v>
      </c>
      <c r="H1203" s="17" t="s">
        <v>3534</v>
      </c>
      <c r="I1203" s="17" t="s">
        <v>3545</v>
      </c>
      <c r="J1203" s="17" t="s">
        <v>9</v>
      </c>
      <c r="K1203" s="49" t="s">
        <v>1317</v>
      </c>
      <c r="L1203" s="4" t="str">
        <f ca="1">IF(ISERROR(VLOOKUP(B1203,'ETL Scope'!I:I,1,0)),"NA","ETL")</f>
        <v>NA</v>
      </c>
      <c r="M1203" s="29">
        <f ca="1">COUNTIF('Data-WK'!A:A,'V1'!B:B)</f>
        <v>1</v>
      </c>
      <c r="N1203" s="29" t="e">
        <f ca="1">VLOOKUP(E1203,'IFRS only'!A:A,1,0)</f>
        <v>#N/A</v>
      </c>
      <c r="P1203" s="89"/>
    </row>
    <row r="1204" spans="1:16" s="29" customFormat="1">
      <c r="A1204" s="17" t="s">
        <v>8</v>
      </c>
      <c r="B1204" s="17">
        <v>8470901010</v>
      </c>
      <c r="C1204" s="74" t="s">
        <v>4744</v>
      </c>
      <c r="D1204" s="3" t="s">
        <v>453</v>
      </c>
      <c r="E1204" s="17">
        <v>460001</v>
      </c>
      <c r="F1204" s="17" t="s">
        <v>3533</v>
      </c>
      <c r="G1204" s="17" t="s">
        <v>3533</v>
      </c>
      <c r="H1204" s="17" t="s">
        <v>3534</v>
      </c>
      <c r="I1204" s="17" t="s">
        <v>3545</v>
      </c>
      <c r="J1204" s="17" t="s">
        <v>9</v>
      </c>
      <c r="K1204" s="49" t="s">
        <v>1183</v>
      </c>
      <c r="L1204" s="4" t="str">
        <f ca="1">IF(ISERROR(VLOOKUP(B1204,'ETL Scope'!I:I,1,0)),"NA","ETL")</f>
        <v>NA</v>
      </c>
      <c r="M1204" s="29">
        <f ca="1">COUNTIF('Data-WK'!A:A,'V1'!B:B)</f>
        <v>1</v>
      </c>
      <c r="N1204" s="29" t="e">
        <f ca="1">VLOOKUP(E1204,'IFRS only'!A:A,1,0)</f>
        <v>#N/A</v>
      </c>
      <c r="P1204" s="89"/>
    </row>
    <row r="1205" spans="1:16" s="29" customFormat="1">
      <c r="A1205" s="17" t="s">
        <v>8</v>
      </c>
      <c r="B1205" s="17">
        <v>8470901050</v>
      </c>
      <c r="C1205" s="74" t="s">
        <v>4744</v>
      </c>
      <c r="D1205" s="3" t="s">
        <v>853</v>
      </c>
      <c r="E1205" s="17" t="s">
        <v>3337</v>
      </c>
      <c r="F1205" s="17" t="s">
        <v>3533</v>
      </c>
      <c r="G1205" s="17" t="s">
        <v>3533</v>
      </c>
      <c r="H1205" s="17" t="s">
        <v>3534</v>
      </c>
      <c r="I1205" s="17" t="s">
        <v>3545</v>
      </c>
      <c r="J1205" s="17" t="s">
        <v>9</v>
      </c>
      <c r="K1205" s="49" t="s">
        <v>1375</v>
      </c>
      <c r="L1205" s="4" t="str">
        <f ca="1">IF(ISERROR(VLOOKUP(B1205,'ETL Scope'!I:I,1,0)),"NA","ETL")</f>
        <v>NA</v>
      </c>
      <c r="M1205" s="29">
        <f ca="1">COUNTIF('Data-WK'!A:A,'V1'!B:B)</f>
        <v>1</v>
      </c>
      <c r="N1205" s="29" t="e">
        <f ca="1">VLOOKUP(E1205,'IFRS only'!A:A,1,0)</f>
        <v>#N/A</v>
      </c>
      <c r="P1205" s="89"/>
    </row>
    <row r="1206" spans="1:16" s="29" customFormat="1">
      <c r="A1206" s="17" t="s">
        <v>8</v>
      </c>
      <c r="B1206" s="17">
        <v>8470901070</v>
      </c>
      <c r="C1206" s="74" t="s">
        <v>4744</v>
      </c>
      <c r="D1206" s="3" t="s">
        <v>5077</v>
      </c>
      <c r="E1206" s="17" t="s">
        <v>3209</v>
      </c>
      <c r="F1206" s="17" t="s">
        <v>3533</v>
      </c>
      <c r="G1206" s="17" t="s">
        <v>3533</v>
      </c>
      <c r="H1206" s="17" t="s">
        <v>3534</v>
      </c>
      <c r="I1206" s="17" t="s">
        <v>3545</v>
      </c>
      <c r="J1206" s="17" t="s">
        <v>9</v>
      </c>
      <c r="K1206" s="49" t="s">
        <v>1183</v>
      </c>
      <c r="L1206" s="4" t="str">
        <f ca="1">IF(ISERROR(VLOOKUP(B1206,'ETL Scope'!I:I,1,0)),"NA","ETL")</f>
        <v>NA</v>
      </c>
      <c r="M1206" s="29">
        <f ca="1">COUNTIF('Data-WK'!A:A,'V1'!B:B)</f>
        <v>1</v>
      </c>
      <c r="N1206" s="29" t="e">
        <f ca="1">VLOOKUP(E1206,'IFRS only'!A:A,1,0)</f>
        <v>#N/A</v>
      </c>
      <c r="P1206" s="89"/>
    </row>
    <row r="1207" spans="1:16" s="29" customFormat="1">
      <c r="A1207" s="17" t="s">
        <v>8</v>
      </c>
      <c r="B1207" s="17">
        <v>8470901080</v>
      </c>
      <c r="C1207" s="74" t="s">
        <v>4744</v>
      </c>
      <c r="D1207" s="86" t="s">
        <v>5727</v>
      </c>
      <c r="E1207" s="17" t="s">
        <v>3249</v>
      </c>
      <c r="F1207" s="17" t="s">
        <v>3533</v>
      </c>
      <c r="G1207" s="17" t="s">
        <v>3533</v>
      </c>
      <c r="H1207" s="17" t="s">
        <v>3534</v>
      </c>
      <c r="I1207" s="17" t="s">
        <v>3545</v>
      </c>
      <c r="J1207" s="17" t="s">
        <v>9</v>
      </c>
      <c r="K1207" s="49" t="s">
        <v>1183</v>
      </c>
      <c r="L1207" s="4" t="str">
        <f ca="1">IF(ISERROR(VLOOKUP(B1207,'ETL Scope'!I:I,1,0)),"NA","ETL")</f>
        <v>NA</v>
      </c>
      <c r="M1207" s="29">
        <f ca="1">COUNTIF('Data-WK'!A:A,'V1'!B:B)</f>
        <v>1</v>
      </c>
      <c r="N1207" s="29" t="e">
        <f ca="1">VLOOKUP(E1207,'IFRS only'!A:A,1,0)</f>
        <v>#N/A</v>
      </c>
      <c r="P1207" s="89"/>
    </row>
    <row r="1208" spans="1:16" s="29" customFormat="1">
      <c r="A1208" s="17" t="s">
        <v>8</v>
      </c>
      <c r="B1208" s="17">
        <v>8470904020</v>
      </c>
      <c r="C1208" s="74" t="s">
        <v>4744</v>
      </c>
      <c r="D1208" s="3" t="s">
        <v>5078</v>
      </c>
      <c r="E1208" s="17" t="s">
        <v>3231</v>
      </c>
      <c r="F1208" s="17" t="s">
        <v>3533</v>
      </c>
      <c r="G1208" s="17" t="s">
        <v>3533</v>
      </c>
      <c r="H1208" s="17" t="s">
        <v>3534</v>
      </c>
      <c r="I1208" s="17" t="s">
        <v>3545</v>
      </c>
      <c r="J1208" s="17" t="s">
        <v>9</v>
      </c>
      <c r="K1208" s="49" t="s">
        <v>1343</v>
      </c>
      <c r="L1208" s="4" t="str">
        <f ca="1">IF(ISERROR(VLOOKUP(B1208,'ETL Scope'!I:I,1,0)),"NA","ETL")</f>
        <v>NA</v>
      </c>
      <c r="M1208" s="29">
        <f ca="1">COUNTIF('Data-WK'!A:A,'V1'!B:B)</f>
        <v>1</v>
      </c>
      <c r="N1208" s="29" t="e">
        <f ca="1">VLOOKUP(E1208,'IFRS only'!A:A,1,0)</f>
        <v>#N/A</v>
      </c>
      <c r="P1208" s="89"/>
    </row>
    <row r="1209" spans="1:16" s="29" customFormat="1">
      <c r="A1209" s="17" t="s">
        <v>4</v>
      </c>
      <c r="B1209" s="17">
        <v>8480300010</v>
      </c>
      <c r="C1209" s="74" t="s">
        <v>4745</v>
      </c>
      <c r="D1209" s="3" t="s">
        <v>5079</v>
      </c>
      <c r="E1209" s="17" t="s">
        <v>3102</v>
      </c>
      <c r="F1209" s="17" t="s">
        <v>3533</v>
      </c>
      <c r="G1209" s="17" t="s">
        <v>3533</v>
      </c>
      <c r="H1209" s="17" t="s">
        <v>3534</v>
      </c>
      <c r="I1209" s="17" t="s">
        <v>3545</v>
      </c>
      <c r="J1209" s="17" t="s">
        <v>9</v>
      </c>
      <c r="K1209" s="49" t="s">
        <v>1268</v>
      </c>
      <c r="L1209" s="4" t="str">
        <f ca="1">IF(ISERROR(VLOOKUP(B1209,'ETL Scope'!I:I,1,0)),"NA","ETL")</f>
        <v>NA</v>
      </c>
      <c r="M1209" s="29">
        <f ca="1">COUNTIF('Data-WK'!A:A,'V1'!B:B)</f>
        <v>1</v>
      </c>
      <c r="N1209" s="29" t="e">
        <f ca="1">VLOOKUP(E1209,'IFRS only'!A:A,1,0)</f>
        <v>#N/A</v>
      </c>
      <c r="P1209" s="89"/>
    </row>
    <row r="1210" spans="1:16" s="29" customFormat="1">
      <c r="A1210" s="17" t="s">
        <v>4</v>
      </c>
      <c r="B1210" s="17">
        <v>8480300020</v>
      </c>
      <c r="C1210" s="74" t="s">
        <v>4745</v>
      </c>
      <c r="D1210" s="3" t="s">
        <v>5080</v>
      </c>
      <c r="E1210" s="17" t="s">
        <v>3182</v>
      </c>
      <c r="F1210" s="17" t="s">
        <v>3533</v>
      </c>
      <c r="G1210" s="17" t="s">
        <v>3533</v>
      </c>
      <c r="H1210" s="17" t="s">
        <v>3534</v>
      </c>
      <c r="I1210" s="17" t="s">
        <v>3545</v>
      </c>
      <c r="J1210" s="17" t="s">
        <v>9</v>
      </c>
      <c r="K1210" s="49" t="s">
        <v>1311</v>
      </c>
      <c r="L1210" s="4" t="str">
        <f ca="1">IF(ISERROR(VLOOKUP(B1210,'ETL Scope'!I:I,1,0)),"NA","ETL")</f>
        <v>NA</v>
      </c>
      <c r="M1210" s="29">
        <f ca="1">COUNTIF('Data-WK'!A:A,'V1'!B:B)</f>
        <v>1</v>
      </c>
      <c r="N1210" s="29" t="e">
        <f ca="1">VLOOKUP(E1210,'IFRS only'!A:A,1,0)</f>
        <v>#N/A</v>
      </c>
      <c r="P1210" s="89"/>
    </row>
    <row r="1211" spans="1:16" s="29" customFormat="1">
      <c r="A1211" s="17" t="s">
        <v>4</v>
      </c>
      <c r="B1211" s="17">
        <v>8480400000</v>
      </c>
      <c r="C1211" s="74" t="s">
        <v>4746</v>
      </c>
      <c r="D1211" s="3" t="s">
        <v>5081</v>
      </c>
      <c r="E1211" s="17" t="s">
        <v>3181</v>
      </c>
      <c r="F1211" s="17" t="s">
        <v>3533</v>
      </c>
      <c r="G1211" s="17" t="s">
        <v>3533</v>
      </c>
      <c r="H1211" s="17" t="s">
        <v>3534</v>
      </c>
      <c r="I1211" s="17" t="s">
        <v>3545</v>
      </c>
      <c r="J1211" s="17" t="s">
        <v>9</v>
      </c>
      <c r="K1211" s="49" t="s">
        <v>1310</v>
      </c>
      <c r="L1211" s="4" t="str">
        <f ca="1">IF(ISERROR(VLOOKUP(B1211,'ETL Scope'!I:I,1,0)),"NA","ETL")</f>
        <v>NA</v>
      </c>
      <c r="M1211" s="29">
        <f ca="1">COUNTIF('Data-WK'!A:A,'V1'!B:B)</f>
        <v>1</v>
      </c>
      <c r="N1211" s="29" t="e">
        <f ca="1">VLOOKUP(E1211,'IFRS only'!A:A,1,0)</f>
        <v>#N/A</v>
      </c>
      <c r="P1211" s="89"/>
    </row>
    <row r="1212" spans="1:16" s="29" customFormat="1">
      <c r="A1212" s="17" t="s">
        <v>8</v>
      </c>
      <c r="B1212" s="17">
        <v>8700004010</v>
      </c>
      <c r="C1212" s="17" t="s">
        <v>4081</v>
      </c>
      <c r="D1212" s="3" t="s">
        <v>5659</v>
      </c>
      <c r="E1212" s="17" t="s">
        <v>5834</v>
      </c>
      <c r="F1212" s="17" t="s">
        <v>3533</v>
      </c>
      <c r="G1212" s="17" t="s">
        <v>3533</v>
      </c>
      <c r="H1212" s="17" t="s">
        <v>3534</v>
      </c>
      <c r="I1212" s="17" t="s">
        <v>3545</v>
      </c>
      <c r="J1212" s="17" t="s">
        <v>9</v>
      </c>
      <c r="K1212" s="49" t="s">
        <v>5561</v>
      </c>
      <c r="L1212" s="4" t="str">
        <f ca="1">IF(ISERROR(VLOOKUP(B1212,'ETL Scope'!I:I,1,0)),"NA","ETL")</f>
        <v>NA</v>
      </c>
      <c r="M1212" s="29">
        <f ca="1">COUNTIF('Data-WK'!A:A,'V1'!B:B)</f>
        <v>1</v>
      </c>
      <c r="N1212" s="29" t="e">
        <f ca="1">VLOOKUP(E1212,'IFRS only'!A:A,1,0)</f>
        <v>#N/A</v>
      </c>
      <c r="P1212" s="89"/>
    </row>
    <row r="1213" spans="1:16" s="29" customFormat="1">
      <c r="A1213" s="17" t="s">
        <v>8</v>
      </c>
      <c r="B1213" s="17">
        <v>8700004010</v>
      </c>
      <c r="C1213" s="74" t="s">
        <v>4081</v>
      </c>
      <c r="D1213" s="3" t="s">
        <v>451</v>
      </c>
      <c r="E1213" s="17" t="s">
        <v>2820</v>
      </c>
      <c r="F1213" s="17" t="s">
        <v>3533</v>
      </c>
      <c r="G1213" s="17" t="s">
        <v>3533</v>
      </c>
      <c r="H1213" s="17" t="s">
        <v>3534</v>
      </c>
      <c r="I1213" s="17" t="s">
        <v>3545</v>
      </c>
      <c r="J1213" s="17" t="s">
        <v>9</v>
      </c>
      <c r="K1213" s="49" t="s">
        <v>5561</v>
      </c>
      <c r="L1213" s="4" t="str">
        <f ca="1">IF(ISERROR(VLOOKUP(B1213,'ETL Scope'!I:I,1,0)),"NA","ETL")</f>
        <v>NA</v>
      </c>
      <c r="M1213" s="29">
        <f ca="1">COUNTIF('Data-WK'!A:A,'V1'!B:B)</f>
        <v>1</v>
      </c>
      <c r="N1213" s="29" t="e">
        <f ca="1">VLOOKUP(E1213,'IFRS only'!A:A,1,0)</f>
        <v>#N/A</v>
      </c>
      <c r="P1213" s="89"/>
    </row>
    <row r="1214" spans="1:16" s="29" customFormat="1">
      <c r="A1214" s="17" t="s">
        <v>7</v>
      </c>
      <c r="B1214" s="17">
        <v>8810000000</v>
      </c>
      <c r="C1214" s="83" t="s">
        <v>4747</v>
      </c>
      <c r="D1214" s="3" t="s">
        <v>864</v>
      </c>
      <c r="E1214" s="17" t="s">
        <v>3349</v>
      </c>
      <c r="F1214" s="17" t="s">
        <v>3532</v>
      </c>
      <c r="G1214" s="17" t="s">
        <v>3532</v>
      </c>
      <c r="H1214" s="17" t="s">
        <v>3531</v>
      </c>
      <c r="I1214" s="17" t="s">
        <v>3545</v>
      </c>
      <c r="J1214" s="17" t="s">
        <v>9</v>
      </c>
      <c r="K1214" s="49" t="s">
        <v>1378</v>
      </c>
      <c r="L1214" s="4" t="str">
        <f ca="1">IF(ISERROR(VLOOKUP(B1214,'ETL Scope'!I:I,1,0)),"NA","ETL")</f>
        <v>NA</v>
      </c>
      <c r="M1214" s="29">
        <f ca="1">COUNTIF('Data-WK'!A:A,'V1'!B:B)</f>
        <v>1</v>
      </c>
      <c r="N1214" s="29" t="e">
        <f ca="1">VLOOKUP(E1214,'IFRS only'!A:A,1,0)</f>
        <v>#N/A</v>
      </c>
      <c r="P1214" s="89"/>
    </row>
    <row r="1215" spans="1:16" s="29" customFormat="1">
      <c r="A1215" s="17" t="s">
        <v>2</v>
      </c>
      <c r="B1215" s="17">
        <v>8810002010</v>
      </c>
      <c r="C1215" s="83" t="s">
        <v>4747</v>
      </c>
      <c r="D1215" s="86" t="s">
        <v>5728</v>
      </c>
      <c r="E1215" s="17" t="s">
        <v>2762</v>
      </c>
      <c r="F1215" s="17" t="s">
        <v>3532</v>
      </c>
      <c r="G1215" s="17" t="s">
        <v>3532</v>
      </c>
      <c r="H1215" s="17" t="s">
        <v>3531</v>
      </c>
      <c r="I1215" s="17" t="s">
        <v>3544</v>
      </c>
      <c r="J1215" s="17" t="s">
        <v>9</v>
      </c>
      <c r="K1215" s="49" t="s">
        <v>1137</v>
      </c>
      <c r="L1215" s="4" t="str">
        <f ca="1">IF(ISERROR(VLOOKUP(B1215,'ETL Scope'!I:I,1,0)),"NA","ETL")</f>
        <v>NA</v>
      </c>
      <c r="M1215" s="29">
        <f ca="1">COUNTIF('Data-WK'!A:A,'V1'!B:B)</f>
        <v>1</v>
      </c>
      <c r="N1215" s="29" t="e">
        <f ca="1">VLOOKUP(E1215,'IFRS only'!A:A,1,0)</f>
        <v>#N/A</v>
      </c>
      <c r="P1215" s="89"/>
    </row>
    <row r="1216" spans="1:16" s="29" customFormat="1">
      <c r="A1216" s="17" t="s">
        <v>7</v>
      </c>
      <c r="B1216" s="17">
        <v>8810100000</v>
      </c>
      <c r="C1216" s="83" t="s">
        <v>4748</v>
      </c>
      <c r="D1216" s="3" t="s">
        <v>5082</v>
      </c>
      <c r="E1216" s="17" t="s">
        <v>3350</v>
      </c>
      <c r="F1216" s="17" t="s">
        <v>3532</v>
      </c>
      <c r="G1216" s="17" t="s">
        <v>3532</v>
      </c>
      <c r="H1216" s="17" t="s">
        <v>3531</v>
      </c>
      <c r="I1216" s="17" t="s">
        <v>3545</v>
      </c>
      <c r="J1216" s="17" t="s">
        <v>9</v>
      </c>
      <c r="K1216" s="49" t="s">
        <v>1379</v>
      </c>
      <c r="L1216" s="4" t="str">
        <f ca="1">IF(ISERROR(VLOOKUP(B1216,'ETL Scope'!I:I,1,0)),"NA","ETL")</f>
        <v>NA</v>
      </c>
      <c r="M1216" s="29">
        <f ca="1">COUNTIF('Data-WK'!A:A,'V1'!B:B)</f>
        <v>1</v>
      </c>
      <c r="N1216" s="29" t="e">
        <f ca="1">VLOOKUP(E1216,'IFRS only'!A:A,1,0)</f>
        <v>#N/A</v>
      </c>
      <c r="P1216" s="89"/>
    </row>
    <row r="1217" spans="1:16" s="29" customFormat="1">
      <c r="A1217" s="17" t="s">
        <v>7</v>
      </c>
      <c r="B1217" s="17">
        <v>8812000000</v>
      </c>
      <c r="C1217" s="83" t="s">
        <v>4749</v>
      </c>
      <c r="D1217" s="3" t="s">
        <v>5083</v>
      </c>
      <c r="E1217" s="17" t="s">
        <v>3351</v>
      </c>
      <c r="F1217" s="17" t="s">
        <v>9</v>
      </c>
      <c r="G1217" s="17" t="s">
        <v>3532</v>
      </c>
      <c r="H1217" s="17" t="s">
        <v>3531</v>
      </c>
      <c r="I1217" s="17" t="s">
        <v>3545</v>
      </c>
      <c r="J1217" s="17" t="s">
        <v>9</v>
      </c>
      <c r="K1217" s="49" t="s">
        <v>1380</v>
      </c>
      <c r="L1217" s="4" t="str">
        <f ca="1">IF(ISERROR(VLOOKUP(B1217,'ETL Scope'!I:I,1,0)),"NA","ETL")</f>
        <v>NA</v>
      </c>
      <c r="M1217" s="29">
        <f ca="1">COUNTIF('Data-WK'!A:A,'V1'!B:B)</f>
        <v>1</v>
      </c>
      <c r="N1217" s="29" t="str">
        <f ca="1">VLOOKUP(E1217,'IFRS only'!A:A,1,0)</f>
        <v>550103</v>
      </c>
      <c r="P1217" s="89"/>
    </row>
    <row r="1218" spans="1:16" s="29" customFormat="1">
      <c r="A1218" s="17" t="s">
        <v>7</v>
      </c>
      <c r="B1218" s="17">
        <v>8820000000</v>
      </c>
      <c r="C1218" s="83" t="s">
        <v>4750</v>
      </c>
      <c r="D1218" s="3" t="s">
        <v>867</v>
      </c>
      <c r="E1218" s="17" t="s">
        <v>3352</v>
      </c>
      <c r="F1218" s="17" t="s">
        <v>3532</v>
      </c>
      <c r="G1218" s="17" t="s">
        <v>3532</v>
      </c>
      <c r="H1218" s="17" t="s">
        <v>3531</v>
      </c>
      <c r="I1218" s="17" t="s">
        <v>3545</v>
      </c>
      <c r="J1218" s="17" t="s">
        <v>9</v>
      </c>
      <c r="K1218" s="49" t="s">
        <v>1381</v>
      </c>
      <c r="L1218" s="4" t="str">
        <f ca="1">IF(ISERROR(VLOOKUP(B1218,'ETL Scope'!I:I,1,0)),"NA","ETL")</f>
        <v>NA</v>
      </c>
      <c r="M1218" s="29">
        <f ca="1">COUNTIF('Data-WK'!A:A,'V1'!B:B)</f>
        <v>1</v>
      </c>
      <c r="N1218" s="29" t="e">
        <f ca="1">VLOOKUP(E1218,'IFRS only'!A:A,1,0)</f>
        <v>#N/A</v>
      </c>
      <c r="P1218" s="89"/>
    </row>
    <row r="1219" spans="1:16" s="29" customFormat="1">
      <c r="A1219" s="17" t="s">
        <v>4</v>
      </c>
      <c r="B1219" s="18">
        <v>8820010000</v>
      </c>
      <c r="C1219" s="83" t="s">
        <v>4751</v>
      </c>
      <c r="D1219" s="3" t="s">
        <v>3500</v>
      </c>
      <c r="E1219" s="17" t="s">
        <v>1485</v>
      </c>
      <c r="F1219" s="17" t="s">
        <v>3531</v>
      </c>
      <c r="G1219" s="17" t="s">
        <v>3532</v>
      </c>
      <c r="H1219" s="17" t="s">
        <v>3531</v>
      </c>
      <c r="I1219" s="17" t="s">
        <v>3545</v>
      </c>
      <c r="J1219" s="17" t="s">
        <v>9</v>
      </c>
      <c r="K1219" s="49" t="s">
        <v>1389</v>
      </c>
      <c r="L1219" s="4" t="str">
        <f ca="1">IF(ISERROR(VLOOKUP(B1219,'ETL Scope'!I:I,1,0)),"NA","ETL")</f>
        <v>NA</v>
      </c>
      <c r="M1219" s="29">
        <f ca="1">COUNTIF('Data-WK'!A:A,'V1'!B:B)</f>
        <v>1</v>
      </c>
      <c r="N1219" s="29" t="e">
        <f ca="1">VLOOKUP(E1219,'IFRS only'!A:A,1,0)</f>
        <v>#N/A</v>
      </c>
      <c r="P1219" s="89"/>
    </row>
    <row r="1220" spans="1:16" s="29" customFormat="1">
      <c r="A1220" s="17" t="s">
        <v>7</v>
      </c>
      <c r="B1220" s="17">
        <v>8820100000</v>
      </c>
      <c r="C1220" s="83" t="s">
        <v>4752</v>
      </c>
      <c r="D1220" s="3" t="s">
        <v>5084</v>
      </c>
      <c r="E1220" s="17" t="s">
        <v>3353</v>
      </c>
      <c r="F1220" s="17" t="s">
        <v>3531</v>
      </c>
      <c r="G1220" s="17" t="s">
        <v>3532</v>
      </c>
      <c r="H1220" s="17" t="s">
        <v>3531</v>
      </c>
      <c r="I1220" s="17" t="s">
        <v>3545</v>
      </c>
      <c r="J1220" s="17" t="s">
        <v>9</v>
      </c>
      <c r="K1220" s="49" t="s">
        <v>1382</v>
      </c>
      <c r="L1220" s="4" t="str">
        <f ca="1">IF(ISERROR(VLOOKUP(B1220,'ETL Scope'!I:I,1,0)),"NA","ETL")</f>
        <v>NA</v>
      </c>
      <c r="M1220" s="29">
        <f ca="1">COUNTIF('Data-WK'!A:A,'V1'!B:B)</f>
        <v>1</v>
      </c>
      <c r="N1220" s="29" t="str">
        <f ca="1">VLOOKUP(E1220,'IFRS only'!A:A,1,0)</f>
        <v>550202</v>
      </c>
      <c r="P1220" s="89"/>
    </row>
    <row r="1221" spans="1:16" s="29" customFormat="1">
      <c r="A1221" s="17" t="s">
        <v>4</v>
      </c>
      <c r="B1221" s="18">
        <v>8820300000</v>
      </c>
      <c r="C1221" s="83" t="s">
        <v>4753</v>
      </c>
      <c r="D1221" s="3" t="s">
        <v>5578</v>
      </c>
      <c r="E1221" s="17" t="s">
        <v>1485</v>
      </c>
      <c r="F1221" s="17" t="s">
        <v>3531</v>
      </c>
      <c r="G1221" s="17" t="s">
        <v>3532</v>
      </c>
      <c r="H1221" s="17" t="s">
        <v>3531</v>
      </c>
      <c r="I1221" s="17" t="s">
        <v>3545</v>
      </c>
      <c r="J1221" s="17" t="s">
        <v>9</v>
      </c>
      <c r="K1221" s="49" t="s">
        <v>1390</v>
      </c>
      <c r="L1221" s="4" t="str">
        <f ca="1">IF(ISERROR(VLOOKUP(B1221,'ETL Scope'!I:I,1,0)),"NA","ETL")</f>
        <v>NA</v>
      </c>
      <c r="M1221" s="29">
        <f ca="1">COUNTIF('Data-WK'!A:A,'V1'!B:B)</f>
        <v>1</v>
      </c>
      <c r="N1221" s="29" t="e">
        <f ca="1">VLOOKUP(E1221,'IFRS only'!A:A,1,0)</f>
        <v>#N/A</v>
      </c>
      <c r="P1221" s="89"/>
    </row>
    <row r="1222" spans="1:16" s="29" customFormat="1">
      <c r="A1222" s="17" t="s">
        <v>7</v>
      </c>
      <c r="B1222" s="17">
        <v>8822000000</v>
      </c>
      <c r="C1222" s="83" t="s">
        <v>4754</v>
      </c>
      <c r="D1222" s="3" t="s">
        <v>5085</v>
      </c>
      <c r="E1222" s="17" t="s">
        <v>3354</v>
      </c>
      <c r="F1222" s="17" t="s">
        <v>3531</v>
      </c>
      <c r="G1222" s="17" t="s">
        <v>3532</v>
      </c>
      <c r="H1222" s="17" t="s">
        <v>3531</v>
      </c>
      <c r="I1222" s="17" t="s">
        <v>3545</v>
      </c>
      <c r="J1222" s="17" t="s">
        <v>9</v>
      </c>
      <c r="K1222" s="49" t="s">
        <v>1383</v>
      </c>
      <c r="L1222" s="4" t="str">
        <f ca="1">IF(ISERROR(VLOOKUP(B1222,'ETL Scope'!I:I,1,0)),"NA","ETL")</f>
        <v>NA</v>
      </c>
      <c r="M1222" s="29">
        <f ca="1">COUNTIF('Data-WK'!A:A,'V1'!B:B)</f>
        <v>1</v>
      </c>
      <c r="N1222" s="29" t="str">
        <f ca="1">VLOOKUP(E1222,'IFRS only'!A:A,1,0)</f>
        <v>550203</v>
      </c>
      <c r="P1222" s="89"/>
    </row>
    <row r="1223" spans="1:16" s="29" customFormat="1">
      <c r="A1223" s="17" t="s">
        <v>4</v>
      </c>
      <c r="B1223" s="17">
        <v>8990000000</v>
      </c>
      <c r="C1223" s="87" t="s">
        <v>4755</v>
      </c>
      <c r="D1223" s="3" t="s">
        <v>364</v>
      </c>
      <c r="E1223" s="17" t="s">
        <v>2700</v>
      </c>
      <c r="F1223" s="17" t="s">
        <v>3532</v>
      </c>
      <c r="G1223" s="17" t="s">
        <v>3532</v>
      </c>
      <c r="H1223" s="17" t="s">
        <v>3531</v>
      </c>
      <c r="I1223" s="17" t="s">
        <v>3545</v>
      </c>
      <c r="J1223" s="17" t="s">
        <v>9</v>
      </c>
      <c r="K1223" s="49" t="s">
        <v>1069</v>
      </c>
      <c r="L1223" s="4" t="str">
        <f ca="1">IF(ISERROR(VLOOKUP(B1223,'ETL Scope'!I:I,1,0)),"NA","ETL")</f>
        <v>NA</v>
      </c>
      <c r="M1223" s="29">
        <f ca="1">COUNTIF('Data-WK'!A:A,'V1'!B:B)</f>
        <v>1</v>
      </c>
      <c r="N1223" s="29" t="e">
        <f ca="1">VLOOKUP(E1223,'IFRS only'!A:A,1,0)</f>
        <v>#N/A</v>
      </c>
      <c r="P1223" s="89"/>
    </row>
    <row r="1224" spans="1:16" s="29" customFormat="1">
      <c r="A1224" s="17" t="s">
        <v>2</v>
      </c>
      <c r="B1224" s="17" t="s">
        <v>11</v>
      </c>
      <c r="C1224" s="17" t="s">
        <v>4756</v>
      </c>
      <c r="D1224" s="3" t="s">
        <v>870</v>
      </c>
      <c r="E1224" s="17" t="s">
        <v>3356</v>
      </c>
      <c r="F1224" s="17" t="s">
        <v>3391</v>
      </c>
      <c r="G1224" s="17" t="s">
        <v>9</v>
      </c>
      <c r="H1224" s="17" t="s">
        <v>3532</v>
      </c>
      <c r="I1224" s="17" t="s">
        <v>3545</v>
      </c>
      <c r="J1224" s="17" t="s">
        <v>9</v>
      </c>
      <c r="K1224" s="49" t="s">
        <v>9</v>
      </c>
      <c r="L1224" s="4" t="str">
        <f ca="1">IF(ISERROR(VLOOKUP(B1224,'ETL Scope'!I:I,1,0)),"NA","ETL")</f>
        <v>NA</v>
      </c>
      <c r="M1224" s="29">
        <f ca="1">COUNTIF('Data-WK'!A:A,'V1'!B:B)</f>
        <v>1</v>
      </c>
      <c r="N1224" s="29" t="e">
        <f ca="1">VLOOKUP(E1224,'IFRS only'!A:A,1,0)</f>
        <v>#N/A</v>
      </c>
      <c r="P1224" s="89"/>
    </row>
    <row r="1225" spans="1:16" s="29" customFormat="1">
      <c r="A1225" s="17" t="s">
        <v>2</v>
      </c>
      <c r="B1225" s="17" t="s">
        <v>12</v>
      </c>
      <c r="C1225" s="17" t="s">
        <v>4756</v>
      </c>
      <c r="D1225" s="3" t="s">
        <v>5086</v>
      </c>
      <c r="E1225" s="17" t="s">
        <v>3358</v>
      </c>
      <c r="F1225" s="17" t="s">
        <v>3391</v>
      </c>
      <c r="G1225" s="17" t="s">
        <v>9</v>
      </c>
      <c r="H1225" s="17" t="s">
        <v>3532</v>
      </c>
      <c r="I1225" s="17" t="s">
        <v>3545</v>
      </c>
      <c r="J1225" s="17" t="s">
        <v>9</v>
      </c>
      <c r="K1225" s="49" t="s">
        <v>9</v>
      </c>
      <c r="L1225" s="4" t="str">
        <f ca="1">IF(ISERROR(VLOOKUP(B1225,'ETL Scope'!I:I,1,0)),"NA","ETL")</f>
        <v>NA</v>
      </c>
      <c r="M1225" s="29">
        <f ca="1">COUNTIF('Data-WK'!A:A,'V1'!B:B)</f>
        <v>1</v>
      </c>
      <c r="N1225" s="29" t="e">
        <f ca="1">VLOOKUP(E1225,'IFRS only'!A:A,1,0)</f>
        <v>#N/A</v>
      </c>
      <c r="P1225" s="89"/>
    </row>
    <row r="1226" spans="1:16" s="29" customFormat="1">
      <c r="A1226" s="17" t="s">
        <v>2</v>
      </c>
      <c r="B1226" s="17" t="s">
        <v>13</v>
      </c>
      <c r="C1226" s="17" t="s">
        <v>4756</v>
      </c>
      <c r="D1226" s="3" t="s">
        <v>5087</v>
      </c>
      <c r="E1226" s="17" t="s">
        <v>3359</v>
      </c>
      <c r="F1226" s="17" t="s">
        <v>3391</v>
      </c>
      <c r="G1226" s="17" t="s">
        <v>9</v>
      </c>
      <c r="H1226" s="17" t="s">
        <v>3532</v>
      </c>
      <c r="I1226" s="17" t="s">
        <v>3545</v>
      </c>
      <c r="J1226" s="17" t="s">
        <v>9</v>
      </c>
      <c r="K1226" s="49" t="s">
        <v>9</v>
      </c>
      <c r="L1226" s="4" t="str">
        <f ca="1">IF(ISERROR(VLOOKUP(B1226,'ETL Scope'!I:I,1,0)),"NA","ETL")</f>
        <v>NA</v>
      </c>
      <c r="M1226" s="29">
        <f ca="1">COUNTIF('Data-WK'!A:A,'V1'!B:B)</f>
        <v>1</v>
      </c>
      <c r="N1226" s="29" t="e">
        <f ca="1">VLOOKUP(E1226,'IFRS only'!A:A,1,0)</f>
        <v>#N/A</v>
      </c>
      <c r="P1226" s="89"/>
    </row>
    <row r="1227" spans="1:16" s="29" customFormat="1">
      <c r="A1227" s="17" t="s">
        <v>4</v>
      </c>
      <c r="B1227" s="17" t="s">
        <v>5837</v>
      </c>
      <c r="C1227" s="57" t="s">
        <v>4775</v>
      </c>
      <c r="D1227" s="55" t="s">
        <v>5660</v>
      </c>
      <c r="E1227" s="17" t="s">
        <v>3289</v>
      </c>
      <c r="F1227" s="17" t="s">
        <v>9</v>
      </c>
      <c r="G1227" s="17" t="s">
        <v>3525</v>
      </c>
      <c r="H1227" s="17" t="s">
        <v>1544</v>
      </c>
      <c r="I1227" s="17" t="s">
        <v>3545</v>
      </c>
      <c r="J1227" s="17" t="s">
        <v>9</v>
      </c>
      <c r="K1227" s="49" t="s">
        <v>9</v>
      </c>
      <c r="L1227" s="58"/>
      <c r="M1227" s="28"/>
      <c r="N1227" s="28"/>
      <c r="O1227" s="28"/>
      <c r="P1227" s="89"/>
    </row>
    <row r="1228" spans="1:16">
      <c r="A1228" s="17" t="s">
        <v>4</v>
      </c>
      <c r="B1228" s="17" t="s">
        <v>5838</v>
      </c>
      <c r="C1228" s="57" t="s">
        <v>4775</v>
      </c>
      <c r="D1228" s="55" t="s">
        <v>3482</v>
      </c>
      <c r="E1228" s="17" t="s">
        <v>3290</v>
      </c>
      <c r="F1228" s="17" t="s">
        <v>9</v>
      </c>
      <c r="G1228" s="17" t="s">
        <v>9</v>
      </c>
      <c r="H1228" s="17" t="s">
        <v>1544</v>
      </c>
      <c r="I1228" s="17" t="s">
        <v>3545</v>
      </c>
      <c r="J1228" s="17" t="s">
        <v>9</v>
      </c>
      <c r="K1228" s="49" t="s">
        <v>9</v>
      </c>
      <c r="P1228" s="89"/>
    </row>
    <row r="1229" spans="1:16">
      <c r="A1229" s="17" t="s">
        <v>4</v>
      </c>
      <c r="B1229" s="17" t="s">
        <v>3547</v>
      </c>
      <c r="C1229" s="57" t="s">
        <v>3557</v>
      </c>
      <c r="D1229" s="55" t="s">
        <v>3483</v>
      </c>
      <c r="E1229" s="17" t="s">
        <v>3291</v>
      </c>
      <c r="F1229" s="17" t="s">
        <v>9</v>
      </c>
      <c r="G1229" s="17" t="s">
        <v>9</v>
      </c>
      <c r="H1229" s="17" t="s">
        <v>1544</v>
      </c>
      <c r="I1229" s="17" t="s">
        <v>3545</v>
      </c>
      <c r="J1229" s="17" t="s">
        <v>9</v>
      </c>
      <c r="K1229" s="49" t="s">
        <v>9</v>
      </c>
      <c r="P1229" s="89"/>
    </row>
    <row r="1230" spans="1:16">
      <c r="A1230" s="17" t="s">
        <v>4</v>
      </c>
      <c r="B1230" s="17" t="s">
        <v>3548</v>
      </c>
      <c r="C1230" s="57" t="s">
        <v>3557</v>
      </c>
      <c r="D1230" s="55" t="s">
        <v>3484</v>
      </c>
      <c r="E1230" s="17" t="s">
        <v>3292</v>
      </c>
      <c r="F1230" s="17" t="s">
        <v>9</v>
      </c>
      <c r="G1230" s="17" t="s">
        <v>9</v>
      </c>
      <c r="H1230" s="17" t="s">
        <v>1544</v>
      </c>
      <c r="I1230" s="17" t="s">
        <v>3545</v>
      </c>
      <c r="J1230" s="17" t="s">
        <v>9</v>
      </c>
      <c r="K1230" s="49" t="s">
        <v>9</v>
      </c>
      <c r="P1230" s="89"/>
    </row>
    <row r="1231" spans="1:16">
      <c r="A1231" s="17" t="s">
        <v>4</v>
      </c>
      <c r="B1231" s="17" t="s">
        <v>3549</v>
      </c>
      <c r="C1231" s="57" t="s">
        <v>3557</v>
      </c>
      <c r="D1231" s="55" t="s">
        <v>3491</v>
      </c>
      <c r="E1231" s="17" t="s">
        <v>3388</v>
      </c>
      <c r="F1231" s="52" t="s">
        <v>9</v>
      </c>
      <c r="G1231" s="52" t="s">
        <v>9</v>
      </c>
      <c r="H1231" s="52" t="s">
        <v>1544</v>
      </c>
      <c r="I1231" s="52" t="s">
        <v>3545</v>
      </c>
      <c r="J1231" s="52" t="s">
        <v>9</v>
      </c>
      <c r="K1231" s="49" t="s">
        <v>9</v>
      </c>
      <c r="P1231" s="93"/>
    </row>
    <row r="1232" spans="1:16">
      <c r="A1232" s="17" t="s">
        <v>4</v>
      </c>
      <c r="B1232" s="17" t="s">
        <v>3550</v>
      </c>
      <c r="C1232" s="57" t="s">
        <v>3557</v>
      </c>
      <c r="D1232" s="55" t="s">
        <v>3487</v>
      </c>
      <c r="E1232" s="17" t="s">
        <v>3305</v>
      </c>
      <c r="F1232" s="17" t="s">
        <v>9</v>
      </c>
      <c r="G1232" s="17" t="s">
        <v>9</v>
      </c>
      <c r="H1232" s="17" t="s">
        <v>1544</v>
      </c>
      <c r="I1232" s="17" t="s">
        <v>3545</v>
      </c>
      <c r="J1232" s="17" t="s">
        <v>9</v>
      </c>
      <c r="K1232" s="49" t="s">
        <v>9</v>
      </c>
      <c r="P1232" s="89"/>
    </row>
    <row r="1233" spans="1:16380">
      <c r="A1233" s="17" t="s">
        <v>4</v>
      </c>
      <c r="B1233" s="17" t="s">
        <v>3551</v>
      </c>
      <c r="C1233" s="57" t="s">
        <v>3557</v>
      </c>
      <c r="D1233" s="55" t="s">
        <v>3488</v>
      </c>
      <c r="E1233" s="17" t="s">
        <v>3306</v>
      </c>
      <c r="F1233" s="17" t="s">
        <v>9</v>
      </c>
      <c r="G1233" s="17" t="s">
        <v>9</v>
      </c>
      <c r="H1233" s="17" t="s">
        <v>1544</v>
      </c>
      <c r="I1233" s="17" t="s">
        <v>3545</v>
      </c>
      <c r="J1233" s="17" t="s">
        <v>9</v>
      </c>
      <c r="K1233" s="49" t="s">
        <v>9</v>
      </c>
      <c r="P1233" s="89"/>
    </row>
    <row r="1234" spans="1:16380">
      <c r="A1234" s="17" t="s">
        <v>4</v>
      </c>
      <c r="B1234" s="17" t="s">
        <v>3552</v>
      </c>
      <c r="C1234" s="57" t="s">
        <v>3557</v>
      </c>
      <c r="D1234" s="55" t="s">
        <v>3489</v>
      </c>
      <c r="E1234" s="17" t="s">
        <v>3307</v>
      </c>
      <c r="F1234" s="17" t="s">
        <v>9</v>
      </c>
      <c r="G1234" s="17" t="s">
        <v>9</v>
      </c>
      <c r="H1234" s="17" t="s">
        <v>1544</v>
      </c>
      <c r="I1234" s="17" t="s">
        <v>3545</v>
      </c>
      <c r="J1234" s="17" t="s">
        <v>9</v>
      </c>
      <c r="K1234" s="49" t="s">
        <v>9</v>
      </c>
      <c r="P1234" s="89"/>
    </row>
    <row r="1235" spans="1:16380">
      <c r="A1235" s="17" t="s">
        <v>4</v>
      </c>
      <c r="B1235" s="17" t="s">
        <v>3553</v>
      </c>
      <c r="C1235" s="57" t="s">
        <v>3557</v>
      </c>
      <c r="D1235" s="55" t="s">
        <v>3494</v>
      </c>
      <c r="E1235" s="17" t="s">
        <v>3389</v>
      </c>
      <c r="F1235" s="17" t="s">
        <v>9</v>
      </c>
      <c r="G1235" s="17" t="s">
        <v>9</v>
      </c>
      <c r="H1235" s="17" t="s">
        <v>1544</v>
      </c>
      <c r="I1235" s="17" t="s">
        <v>3545</v>
      </c>
      <c r="J1235" s="17" t="s">
        <v>9</v>
      </c>
      <c r="K1235" s="49" t="s">
        <v>9</v>
      </c>
      <c r="L1235" s="58"/>
      <c r="M1235" s="58"/>
      <c r="N1235" s="58"/>
      <c r="O1235" s="58"/>
      <c r="P1235" s="89"/>
    </row>
    <row r="1236" spans="1:16380">
      <c r="A1236" s="17" t="s">
        <v>4</v>
      </c>
      <c r="B1236" s="17" t="s">
        <v>3546</v>
      </c>
      <c r="C1236" s="57" t="s">
        <v>3557</v>
      </c>
      <c r="D1236" s="55" t="s">
        <v>3485</v>
      </c>
      <c r="E1236" s="17" t="s">
        <v>3294</v>
      </c>
      <c r="F1236" s="17" t="s">
        <v>9</v>
      </c>
      <c r="G1236" s="17" t="s">
        <v>9</v>
      </c>
      <c r="H1236" s="17" t="s">
        <v>1544</v>
      </c>
      <c r="I1236" s="17" t="s">
        <v>3545</v>
      </c>
      <c r="J1236" s="17" t="s">
        <v>9</v>
      </c>
      <c r="K1236" s="49" t="s">
        <v>9</v>
      </c>
      <c r="P1236" s="89"/>
    </row>
    <row r="1237" spans="1:16380">
      <c r="A1237" s="17" t="s">
        <v>4</v>
      </c>
      <c r="B1237" s="17" t="s">
        <v>3554</v>
      </c>
      <c r="C1237" s="57" t="s">
        <v>3557</v>
      </c>
      <c r="D1237" s="55" t="s">
        <v>3497</v>
      </c>
      <c r="E1237" s="17" t="s">
        <v>3327</v>
      </c>
      <c r="F1237" s="17" t="s">
        <v>9</v>
      </c>
      <c r="G1237" s="17" t="s">
        <v>9</v>
      </c>
      <c r="H1237" s="17" t="s">
        <v>1544</v>
      </c>
      <c r="I1237" s="17" t="s">
        <v>3545</v>
      </c>
      <c r="J1237" s="17" t="s">
        <v>9</v>
      </c>
      <c r="K1237" s="49" t="s">
        <v>9</v>
      </c>
      <c r="P1237" s="89"/>
    </row>
    <row r="1238" spans="1:16380">
      <c r="A1238" s="17" t="s">
        <v>4</v>
      </c>
      <c r="B1238" s="17" t="s">
        <v>3555</v>
      </c>
      <c r="C1238" s="57" t="s">
        <v>3557</v>
      </c>
      <c r="D1238" s="55" t="s">
        <v>3490</v>
      </c>
      <c r="E1238" s="17" t="s">
        <v>3309</v>
      </c>
      <c r="F1238" s="17" t="s">
        <v>9</v>
      </c>
      <c r="G1238" s="17" t="s">
        <v>9</v>
      </c>
      <c r="H1238" s="17" t="s">
        <v>1544</v>
      </c>
      <c r="I1238" s="17" t="s">
        <v>3545</v>
      </c>
      <c r="J1238" s="17" t="s">
        <v>9</v>
      </c>
      <c r="K1238" s="49" t="s">
        <v>9</v>
      </c>
      <c r="P1238" s="89"/>
    </row>
    <row r="1239" spans="1:16380">
      <c r="A1239" s="17" t="s">
        <v>4</v>
      </c>
      <c r="B1239" s="17" t="s">
        <v>3556</v>
      </c>
      <c r="C1239" s="57" t="s">
        <v>3557</v>
      </c>
      <c r="D1239" s="55" t="s">
        <v>3498</v>
      </c>
      <c r="E1239" s="17" t="s">
        <v>3330</v>
      </c>
      <c r="F1239" s="17" t="s">
        <v>9</v>
      </c>
      <c r="G1239" s="17" t="s">
        <v>9</v>
      </c>
      <c r="H1239" s="17" t="s">
        <v>1544</v>
      </c>
      <c r="I1239" s="17" t="s">
        <v>3545</v>
      </c>
      <c r="J1239" s="17" t="s">
        <v>9</v>
      </c>
      <c r="K1239" s="49" t="s">
        <v>9</v>
      </c>
      <c r="P1239" s="89"/>
    </row>
    <row r="1240" spans="1:16380" s="105" customFormat="1">
      <c r="A1240" s="3" t="s">
        <v>3</v>
      </c>
      <c r="B1240" s="3" t="s">
        <v>5863</v>
      </c>
      <c r="C1240" s="3" t="s">
        <v>4567</v>
      </c>
      <c r="D1240" s="86" t="s">
        <v>5862</v>
      </c>
      <c r="E1240" s="3" t="s">
        <v>3322</v>
      </c>
      <c r="F1240" s="3" t="s">
        <v>3391</v>
      </c>
      <c r="G1240" s="3" t="s">
        <v>3391</v>
      </c>
      <c r="H1240" s="3" t="s">
        <v>9</v>
      </c>
      <c r="I1240" s="3" t="s">
        <v>9</v>
      </c>
      <c r="J1240" s="3" t="s">
        <v>9</v>
      </c>
      <c r="K1240" s="4" t="s">
        <v>1211</v>
      </c>
      <c r="L1240" s="101"/>
      <c r="M1240" s="103"/>
      <c r="N1240" s="103"/>
      <c r="O1240" s="103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  <c r="AI1240" s="30"/>
      <c r="AJ1240" s="30"/>
      <c r="AK1240" s="30"/>
      <c r="AL1240" s="30"/>
      <c r="AM1240" s="30"/>
      <c r="AN1240" s="30"/>
      <c r="AO1240" s="30"/>
      <c r="AP1240" s="30"/>
      <c r="AQ1240" s="30"/>
      <c r="AR1240" s="30"/>
      <c r="AS1240" s="30"/>
      <c r="AT1240" s="30"/>
      <c r="AU1240" s="30"/>
      <c r="AV1240" s="30"/>
      <c r="AW1240" s="30"/>
      <c r="AX1240" s="30"/>
      <c r="AY1240" s="30"/>
      <c r="AZ1240" s="30"/>
      <c r="BA1240" s="30"/>
      <c r="BB1240" s="30"/>
      <c r="BC1240" s="30"/>
      <c r="BD1240" s="30"/>
      <c r="BE1240" s="30"/>
      <c r="BF1240" s="30"/>
      <c r="BG1240" s="30"/>
      <c r="BH1240" s="30"/>
      <c r="BI1240" s="30"/>
      <c r="BJ1240" s="30"/>
      <c r="BK1240" s="30"/>
      <c r="BL1240" s="30"/>
      <c r="BM1240" s="30"/>
      <c r="BN1240" s="30"/>
      <c r="BO1240" s="30"/>
      <c r="BP1240" s="30"/>
      <c r="BQ1240" s="30"/>
      <c r="BR1240" s="30"/>
      <c r="BS1240" s="30"/>
      <c r="BT1240" s="30"/>
      <c r="BU1240" s="30"/>
      <c r="BV1240" s="30"/>
      <c r="BW1240" s="30"/>
      <c r="BX1240" s="30"/>
      <c r="BY1240" s="30"/>
      <c r="BZ1240" s="30"/>
      <c r="CA1240" s="30"/>
      <c r="CB1240" s="30"/>
      <c r="CC1240" s="30"/>
      <c r="CD1240" s="30"/>
      <c r="CE1240" s="30"/>
      <c r="CF1240" s="30"/>
      <c r="CG1240" s="30"/>
      <c r="CH1240" s="30"/>
      <c r="CI1240" s="30"/>
      <c r="CJ1240" s="30"/>
      <c r="CK1240" s="30"/>
      <c r="CL1240" s="30"/>
      <c r="CM1240" s="30"/>
      <c r="CN1240" s="30"/>
      <c r="CO1240" s="30"/>
      <c r="CP1240" s="30"/>
      <c r="CQ1240" s="30"/>
      <c r="CR1240" s="30"/>
      <c r="CS1240" s="30"/>
      <c r="CT1240" s="30"/>
      <c r="CU1240" s="30"/>
      <c r="CV1240" s="30"/>
      <c r="CW1240" s="30"/>
      <c r="CX1240" s="30"/>
      <c r="CY1240" s="30"/>
      <c r="CZ1240" s="30"/>
      <c r="DA1240" s="30"/>
      <c r="DB1240" s="30"/>
      <c r="DC1240" s="30"/>
      <c r="DD1240" s="30"/>
      <c r="DE1240" s="30"/>
      <c r="DF1240" s="30"/>
      <c r="DG1240" s="30"/>
      <c r="DH1240" s="30"/>
      <c r="DI1240" s="30"/>
      <c r="DJ1240" s="30"/>
      <c r="DK1240" s="30"/>
      <c r="DL1240" s="30"/>
      <c r="DM1240" s="30"/>
      <c r="DN1240" s="30"/>
      <c r="DO1240" s="30"/>
      <c r="DP1240" s="30"/>
      <c r="DQ1240" s="30"/>
      <c r="DR1240" s="30"/>
      <c r="DS1240" s="30"/>
      <c r="DT1240" s="30"/>
      <c r="DU1240" s="30"/>
      <c r="DV1240" s="30"/>
      <c r="DW1240" s="30"/>
      <c r="DX1240" s="30"/>
      <c r="DY1240" s="30"/>
      <c r="DZ1240" s="30"/>
      <c r="EA1240" s="30"/>
      <c r="EB1240" s="30"/>
      <c r="EC1240" s="30"/>
      <c r="ED1240" s="30"/>
      <c r="EE1240" s="30"/>
      <c r="EF1240" s="30"/>
      <c r="EG1240" s="30"/>
      <c r="EH1240" s="30"/>
      <c r="EI1240" s="30"/>
      <c r="EJ1240" s="30"/>
      <c r="EK1240" s="30"/>
      <c r="EL1240" s="30"/>
      <c r="EM1240" s="30"/>
      <c r="EN1240" s="30"/>
      <c r="EO1240" s="30"/>
      <c r="EP1240" s="30"/>
      <c r="EQ1240" s="30"/>
      <c r="ER1240" s="30"/>
      <c r="ES1240" s="30"/>
      <c r="ET1240" s="30"/>
      <c r="EU1240" s="30"/>
      <c r="EV1240" s="30"/>
      <c r="EW1240" s="30"/>
      <c r="EX1240" s="30"/>
      <c r="EY1240" s="30"/>
      <c r="EZ1240" s="30"/>
      <c r="FA1240" s="30"/>
      <c r="FB1240" s="30"/>
      <c r="FC1240" s="30"/>
      <c r="FD1240" s="30"/>
      <c r="FE1240" s="30"/>
      <c r="FF1240" s="30"/>
      <c r="FG1240" s="30"/>
      <c r="FH1240" s="30"/>
      <c r="FI1240" s="30"/>
      <c r="FJ1240" s="30"/>
      <c r="FK1240" s="30"/>
      <c r="FL1240" s="30"/>
      <c r="FM1240" s="30"/>
      <c r="FN1240" s="30"/>
      <c r="FO1240" s="30"/>
      <c r="FP1240" s="30"/>
      <c r="FQ1240" s="30"/>
      <c r="FR1240" s="30"/>
      <c r="FS1240" s="30"/>
      <c r="FT1240" s="30"/>
      <c r="FU1240" s="30"/>
      <c r="FV1240" s="30"/>
      <c r="FW1240" s="30"/>
      <c r="FX1240" s="30"/>
      <c r="FY1240" s="30"/>
      <c r="FZ1240" s="30"/>
      <c r="GA1240" s="30"/>
      <c r="GB1240" s="30"/>
      <c r="GC1240" s="30"/>
      <c r="GD1240" s="30"/>
      <c r="GE1240" s="30"/>
      <c r="GF1240" s="30"/>
      <c r="GG1240" s="30"/>
      <c r="GH1240" s="30"/>
      <c r="GI1240" s="30"/>
      <c r="GJ1240" s="30"/>
      <c r="GK1240" s="30"/>
      <c r="GL1240" s="30"/>
      <c r="GM1240" s="30"/>
      <c r="GN1240" s="30"/>
      <c r="GO1240" s="30"/>
      <c r="GP1240" s="30"/>
      <c r="GQ1240" s="30"/>
      <c r="GR1240" s="30"/>
      <c r="GS1240" s="30"/>
      <c r="GT1240" s="30"/>
      <c r="GU1240" s="30"/>
      <c r="GV1240" s="30"/>
      <c r="GW1240" s="30"/>
      <c r="GX1240" s="30"/>
      <c r="GY1240" s="30"/>
      <c r="GZ1240" s="30"/>
      <c r="HA1240" s="30"/>
      <c r="HB1240" s="30"/>
      <c r="HC1240" s="30"/>
      <c r="HD1240" s="30"/>
      <c r="HE1240" s="30"/>
      <c r="HF1240" s="30"/>
      <c r="HG1240" s="30"/>
      <c r="HH1240" s="30"/>
      <c r="HI1240" s="30"/>
      <c r="HJ1240" s="30"/>
      <c r="HK1240" s="30"/>
      <c r="HL1240" s="30"/>
      <c r="HM1240" s="30"/>
      <c r="HN1240" s="30"/>
      <c r="HO1240" s="30"/>
      <c r="HP1240" s="30"/>
      <c r="HQ1240" s="30"/>
      <c r="HR1240" s="30"/>
      <c r="HS1240" s="30"/>
      <c r="HT1240" s="30"/>
      <c r="HU1240" s="30"/>
      <c r="HV1240" s="30"/>
      <c r="HW1240" s="30"/>
      <c r="HX1240" s="30"/>
      <c r="HY1240" s="30"/>
      <c r="HZ1240" s="30"/>
      <c r="IA1240" s="30"/>
      <c r="IB1240" s="30"/>
      <c r="IC1240" s="30"/>
      <c r="ID1240" s="30"/>
      <c r="IE1240" s="30"/>
      <c r="IF1240" s="30"/>
      <c r="IG1240" s="30"/>
      <c r="IH1240" s="30"/>
      <c r="II1240" s="30"/>
      <c r="IJ1240" s="30"/>
      <c r="IK1240" s="30"/>
      <c r="IL1240" s="30"/>
      <c r="IM1240" s="30"/>
      <c r="IN1240" s="30"/>
      <c r="IO1240" s="30"/>
      <c r="IP1240" s="30"/>
      <c r="IQ1240" s="30"/>
      <c r="IR1240" s="30"/>
      <c r="IS1240" s="30"/>
      <c r="IT1240" s="30"/>
      <c r="IU1240" s="30"/>
      <c r="IV1240" s="30"/>
      <c r="IW1240" s="30"/>
      <c r="IX1240" s="30"/>
      <c r="IY1240" s="30"/>
      <c r="IZ1240" s="30"/>
      <c r="JA1240" s="30"/>
      <c r="JB1240" s="30"/>
      <c r="JC1240" s="30"/>
      <c r="JD1240" s="30"/>
      <c r="JE1240" s="30"/>
      <c r="JF1240" s="30"/>
      <c r="JG1240" s="30"/>
      <c r="JH1240" s="30"/>
      <c r="JI1240" s="30"/>
      <c r="JJ1240" s="30"/>
      <c r="JK1240" s="30"/>
      <c r="JL1240" s="30"/>
      <c r="JM1240" s="30"/>
      <c r="JN1240" s="30"/>
      <c r="JO1240" s="30"/>
      <c r="JP1240" s="30"/>
      <c r="JQ1240" s="30"/>
      <c r="JR1240" s="30"/>
      <c r="JS1240" s="30"/>
      <c r="JT1240" s="30"/>
      <c r="JU1240" s="30"/>
      <c r="JV1240" s="30"/>
      <c r="JW1240" s="30"/>
      <c r="JX1240" s="30"/>
      <c r="JY1240" s="30"/>
      <c r="JZ1240" s="30"/>
      <c r="KA1240" s="30"/>
      <c r="KB1240" s="30"/>
      <c r="KC1240" s="30"/>
      <c r="KD1240" s="30"/>
      <c r="KE1240" s="30"/>
      <c r="KF1240" s="30"/>
      <c r="KG1240" s="30"/>
      <c r="KH1240" s="30"/>
      <c r="KI1240" s="30"/>
      <c r="KJ1240" s="30"/>
      <c r="KK1240" s="30"/>
      <c r="KL1240" s="30"/>
      <c r="KM1240" s="30"/>
      <c r="KN1240" s="30"/>
      <c r="KO1240" s="30"/>
      <c r="KP1240" s="30"/>
      <c r="KQ1240" s="30"/>
      <c r="KR1240" s="30"/>
      <c r="KS1240" s="30"/>
      <c r="KT1240" s="30"/>
      <c r="KU1240" s="30"/>
      <c r="KV1240" s="30"/>
      <c r="KW1240" s="30"/>
      <c r="KX1240" s="30"/>
      <c r="KY1240" s="30"/>
      <c r="KZ1240" s="30"/>
      <c r="LA1240" s="30"/>
      <c r="LB1240" s="30"/>
      <c r="LC1240" s="30"/>
      <c r="LD1240" s="30"/>
      <c r="LE1240" s="30"/>
      <c r="LF1240" s="30"/>
      <c r="LG1240" s="30"/>
      <c r="LH1240" s="30"/>
      <c r="LI1240" s="30"/>
      <c r="LJ1240" s="30"/>
      <c r="LK1240" s="30"/>
      <c r="LL1240" s="30"/>
      <c r="LM1240" s="30"/>
      <c r="LN1240" s="30"/>
      <c r="LO1240" s="30"/>
      <c r="LP1240" s="30"/>
      <c r="LQ1240" s="30"/>
      <c r="LR1240" s="30"/>
      <c r="LS1240" s="30"/>
      <c r="LT1240" s="30"/>
      <c r="LU1240" s="30"/>
      <c r="LV1240" s="30"/>
      <c r="LW1240" s="30"/>
      <c r="LX1240" s="30"/>
      <c r="LY1240" s="30"/>
      <c r="LZ1240" s="30"/>
      <c r="MA1240" s="30"/>
      <c r="MB1240" s="30"/>
      <c r="MC1240" s="30"/>
      <c r="MD1240" s="30"/>
      <c r="ME1240" s="30"/>
      <c r="MF1240" s="30"/>
      <c r="MG1240" s="30"/>
      <c r="MH1240" s="30"/>
      <c r="MI1240" s="30"/>
      <c r="MJ1240" s="30"/>
      <c r="MK1240" s="30"/>
      <c r="ML1240" s="30"/>
      <c r="MM1240" s="30"/>
      <c r="MN1240" s="30"/>
      <c r="MO1240" s="30"/>
      <c r="MP1240" s="30"/>
      <c r="MQ1240" s="30"/>
      <c r="MR1240" s="30"/>
      <c r="MS1240" s="30"/>
      <c r="MT1240" s="30"/>
      <c r="MU1240" s="30"/>
      <c r="MV1240" s="30"/>
      <c r="MW1240" s="30"/>
      <c r="MX1240" s="30"/>
      <c r="MY1240" s="30"/>
      <c r="MZ1240" s="30"/>
      <c r="NA1240" s="30"/>
      <c r="NB1240" s="30"/>
      <c r="NC1240" s="30"/>
      <c r="ND1240" s="30"/>
      <c r="NE1240" s="30"/>
      <c r="NF1240" s="30"/>
      <c r="NG1240" s="30"/>
      <c r="NH1240" s="30"/>
      <c r="NI1240" s="30"/>
      <c r="NJ1240" s="30"/>
      <c r="NK1240" s="30"/>
      <c r="NL1240" s="30"/>
      <c r="NM1240" s="30"/>
      <c r="NN1240" s="30"/>
      <c r="NO1240" s="30"/>
      <c r="NP1240" s="30"/>
      <c r="NQ1240" s="30"/>
      <c r="NR1240" s="30"/>
      <c r="NS1240" s="30"/>
      <c r="NT1240" s="30"/>
      <c r="NU1240" s="30"/>
      <c r="NV1240" s="30"/>
      <c r="NW1240" s="30"/>
      <c r="NX1240" s="30"/>
      <c r="NY1240" s="30"/>
      <c r="NZ1240" s="30"/>
      <c r="OA1240" s="30"/>
      <c r="OB1240" s="30"/>
      <c r="OC1240" s="30"/>
      <c r="OD1240" s="30"/>
      <c r="OE1240" s="30"/>
      <c r="OF1240" s="30"/>
      <c r="OG1240" s="30"/>
      <c r="OH1240" s="30"/>
      <c r="OI1240" s="30"/>
      <c r="OJ1240" s="30"/>
      <c r="OK1240" s="30"/>
      <c r="OL1240" s="30"/>
      <c r="OM1240" s="30"/>
      <c r="ON1240" s="30"/>
      <c r="OO1240" s="30"/>
      <c r="OP1240" s="30"/>
      <c r="OQ1240" s="30"/>
      <c r="OR1240" s="30"/>
      <c r="OS1240" s="30"/>
      <c r="OT1240" s="30"/>
      <c r="OU1240" s="30"/>
      <c r="OV1240" s="30"/>
      <c r="OW1240" s="30"/>
      <c r="OX1240" s="30"/>
      <c r="OY1240" s="30"/>
      <c r="OZ1240" s="30"/>
      <c r="PA1240" s="30"/>
      <c r="PB1240" s="30"/>
      <c r="PC1240" s="30"/>
      <c r="PD1240" s="30"/>
      <c r="PE1240" s="30"/>
      <c r="PF1240" s="30"/>
      <c r="PG1240" s="30"/>
      <c r="PH1240" s="30"/>
      <c r="PI1240" s="30"/>
      <c r="PJ1240" s="30"/>
      <c r="PK1240" s="30"/>
      <c r="PL1240" s="30"/>
      <c r="PM1240" s="30"/>
      <c r="PN1240" s="30"/>
      <c r="PO1240" s="30"/>
      <c r="PP1240" s="30"/>
      <c r="PQ1240" s="30"/>
      <c r="PR1240" s="30"/>
      <c r="PS1240" s="30"/>
      <c r="PT1240" s="30"/>
      <c r="PU1240" s="30"/>
      <c r="PV1240" s="30"/>
      <c r="PW1240" s="30"/>
      <c r="PX1240" s="30"/>
      <c r="PY1240" s="30"/>
      <c r="PZ1240" s="30"/>
      <c r="QA1240" s="30"/>
      <c r="QB1240" s="30"/>
      <c r="QC1240" s="30"/>
      <c r="QD1240" s="30"/>
      <c r="QE1240" s="30"/>
      <c r="QF1240" s="30"/>
      <c r="QG1240" s="30"/>
      <c r="QH1240" s="30"/>
      <c r="QI1240" s="30"/>
      <c r="QJ1240" s="30"/>
      <c r="QK1240" s="30"/>
      <c r="QL1240" s="30"/>
      <c r="QM1240" s="30"/>
      <c r="QN1240" s="30"/>
      <c r="QO1240" s="30"/>
      <c r="QP1240" s="30"/>
      <c r="QQ1240" s="30"/>
      <c r="QR1240" s="30"/>
      <c r="QS1240" s="30"/>
      <c r="QT1240" s="30"/>
      <c r="QU1240" s="30"/>
      <c r="QV1240" s="30"/>
      <c r="QW1240" s="30"/>
      <c r="QX1240" s="30"/>
      <c r="QY1240" s="30"/>
      <c r="QZ1240" s="30"/>
      <c r="RA1240" s="30"/>
      <c r="RB1240" s="30"/>
      <c r="RC1240" s="30"/>
      <c r="RD1240" s="30"/>
      <c r="RE1240" s="30"/>
      <c r="RF1240" s="30"/>
      <c r="RG1240" s="30"/>
      <c r="RH1240" s="30"/>
      <c r="RI1240" s="30"/>
      <c r="RJ1240" s="30"/>
      <c r="RK1240" s="30"/>
      <c r="RL1240" s="30"/>
      <c r="RM1240" s="30"/>
      <c r="RN1240" s="30"/>
      <c r="RO1240" s="30"/>
      <c r="RP1240" s="30"/>
      <c r="RQ1240" s="30"/>
      <c r="RR1240" s="30"/>
      <c r="RS1240" s="30"/>
      <c r="RT1240" s="30"/>
      <c r="RU1240" s="30"/>
      <c r="RV1240" s="30"/>
      <c r="RW1240" s="30"/>
      <c r="RX1240" s="30"/>
      <c r="RY1240" s="30"/>
      <c r="RZ1240" s="30"/>
      <c r="SA1240" s="30"/>
      <c r="SB1240" s="30"/>
      <c r="SC1240" s="30"/>
      <c r="SD1240" s="30"/>
      <c r="SE1240" s="30"/>
      <c r="SF1240" s="30"/>
      <c r="SG1240" s="30"/>
      <c r="SH1240" s="30"/>
      <c r="SI1240" s="30"/>
      <c r="SJ1240" s="30"/>
      <c r="SK1240" s="30"/>
      <c r="SL1240" s="30"/>
      <c r="SM1240" s="30"/>
      <c r="SN1240" s="30"/>
      <c r="SO1240" s="30"/>
      <c r="SP1240" s="30"/>
      <c r="SQ1240" s="30"/>
      <c r="SR1240" s="30"/>
      <c r="SS1240" s="30"/>
      <c r="ST1240" s="30"/>
      <c r="SU1240" s="30"/>
      <c r="SV1240" s="30"/>
      <c r="SW1240" s="30"/>
      <c r="SX1240" s="30"/>
      <c r="SY1240" s="30"/>
      <c r="SZ1240" s="30"/>
      <c r="TA1240" s="30"/>
      <c r="TB1240" s="30"/>
      <c r="TC1240" s="30"/>
      <c r="TD1240" s="30"/>
      <c r="TE1240" s="30"/>
      <c r="TF1240" s="30"/>
      <c r="TG1240" s="30"/>
      <c r="TH1240" s="30"/>
      <c r="TI1240" s="30"/>
      <c r="TJ1240" s="30"/>
      <c r="TK1240" s="30"/>
      <c r="TL1240" s="30"/>
      <c r="TM1240" s="30"/>
      <c r="TN1240" s="30"/>
      <c r="TO1240" s="30"/>
      <c r="TP1240" s="30"/>
      <c r="TQ1240" s="30"/>
      <c r="TR1240" s="30"/>
      <c r="TS1240" s="30"/>
      <c r="TT1240" s="30"/>
      <c r="TU1240" s="30"/>
      <c r="TV1240" s="30"/>
      <c r="TW1240" s="30"/>
      <c r="TX1240" s="30"/>
      <c r="TY1240" s="30"/>
      <c r="TZ1240" s="30"/>
      <c r="UA1240" s="30"/>
      <c r="UB1240" s="30"/>
      <c r="UC1240" s="30"/>
      <c r="UD1240" s="30"/>
      <c r="UE1240" s="30"/>
      <c r="UF1240" s="30"/>
      <c r="UG1240" s="30"/>
      <c r="UH1240" s="30"/>
      <c r="UI1240" s="30"/>
      <c r="UJ1240" s="30"/>
      <c r="UK1240" s="30"/>
      <c r="UL1240" s="30"/>
      <c r="UM1240" s="30"/>
      <c r="UN1240" s="30"/>
      <c r="UO1240" s="30"/>
      <c r="UP1240" s="30"/>
      <c r="UQ1240" s="30"/>
      <c r="UR1240" s="30"/>
      <c r="US1240" s="30"/>
      <c r="UT1240" s="30"/>
      <c r="UU1240" s="30"/>
      <c r="UV1240" s="30"/>
      <c r="UW1240" s="30"/>
      <c r="UX1240" s="30"/>
      <c r="UY1240" s="30"/>
      <c r="UZ1240" s="30"/>
      <c r="VA1240" s="30"/>
      <c r="VB1240" s="30"/>
      <c r="VC1240" s="30"/>
      <c r="VD1240" s="30"/>
      <c r="VE1240" s="30"/>
      <c r="VF1240" s="30"/>
      <c r="VG1240" s="30"/>
      <c r="VH1240" s="30"/>
      <c r="VI1240" s="30"/>
      <c r="VJ1240" s="30"/>
      <c r="VK1240" s="30"/>
      <c r="VL1240" s="30"/>
      <c r="VM1240" s="30"/>
      <c r="VN1240" s="30"/>
      <c r="VO1240" s="30"/>
      <c r="VP1240" s="30"/>
      <c r="VQ1240" s="30"/>
      <c r="VR1240" s="30"/>
      <c r="VS1240" s="30"/>
      <c r="VT1240" s="30"/>
      <c r="VU1240" s="30"/>
      <c r="VV1240" s="30"/>
      <c r="VW1240" s="30"/>
      <c r="VX1240" s="30"/>
      <c r="VY1240" s="30"/>
      <c r="VZ1240" s="30"/>
      <c r="WA1240" s="30"/>
      <c r="WB1240" s="30"/>
      <c r="WC1240" s="30"/>
      <c r="WD1240" s="30"/>
      <c r="WE1240" s="30"/>
      <c r="WF1240" s="30"/>
      <c r="WG1240" s="30"/>
      <c r="WH1240" s="30"/>
      <c r="WI1240" s="30"/>
      <c r="WJ1240" s="30"/>
      <c r="WK1240" s="30"/>
      <c r="WL1240" s="30"/>
      <c r="WM1240" s="30"/>
      <c r="WN1240" s="30"/>
      <c r="WO1240" s="30"/>
      <c r="WP1240" s="30"/>
      <c r="WQ1240" s="30"/>
      <c r="WR1240" s="30"/>
      <c r="WS1240" s="30"/>
      <c r="WT1240" s="30"/>
      <c r="WU1240" s="30"/>
      <c r="WV1240" s="30"/>
      <c r="WW1240" s="30"/>
      <c r="WX1240" s="30"/>
      <c r="WY1240" s="30"/>
      <c r="WZ1240" s="30"/>
      <c r="XA1240" s="30"/>
      <c r="XB1240" s="30"/>
      <c r="XC1240" s="30"/>
      <c r="XD1240" s="30"/>
      <c r="XE1240" s="30"/>
      <c r="XF1240" s="30"/>
      <c r="XG1240" s="30"/>
      <c r="XH1240" s="30"/>
      <c r="XI1240" s="30"/>
      <c r="XJ1240" s="30"/>
      <c r="XK1240" s="30"/>
      <c r="XL1240" s="30"/>
      <c r="XM1240" s="30"/>
      <c r="XN1240" s="30"/>
      <c r="XO1240" s="30"/>
      <c r="XP1240" s="30"/>
      <c r="XQ1240" s="30"/>
      <c r="XR1240" s="30"/>
      <c r="XS1240" s="30"/>
      <c r="XT1240" s="30"/>
      <c r="XU1240" s="30"/>
      <c r="XV1240" s="30"/>
      <c r="XW1240" s="30"/>
      <c r="XX1240" s="30"/>
      <c r="XY1240" s="30"/>
      <c r="XZ1240" s="30"/>
      <c r="YA1240" s="30"/>
      <c r="YB1240" s="30"/>
      <c r="YC1240" s="30"/>
      <c r="YD1240" s="30"/>
      <c r="YE1240" s="30"/>
      <c r="YF1240" s="30"/>
      <c r="YG1240" s="30"/>
      <c r="YH1240" s="30"/>
      <c r="YI1240" s="30"/>
      <c r="YJ1240" s="30"/>
      <c r="YK1240" s="30"/>
      <c r="YL1240" s="30"/>
      <c r="YM1240" s="30"/>
      <c r="YN1240" s="30"/>
      <c r="YO1240" s="30"/>
      <c r="YP1240" s="30"/>
      <c r="YQ1240" s="30"/>
      <c r="YR1240" s="30"/>
      <c r="YS1240" s="30"/>
      <c r="YT1240" s="30"/>
      <c r="YU1240" s="30"/>
      <c r="YV1240" s="30"/>
      <c r="YW1240" s="30"/>
      <c r="YX1240" s="30"/>
      <c r="YY1240" s="30"/>
      <c r="YZ1240" s="30"/>
      <c r="ZA1240" s="30"/>
      <c r="ZB1240" s="30"/>
      <c r="ZC1240" s="30"/>
      <c r="ZD1240" s="30"/>
      <c r="ZE1240" s="30"/>
      <c r="ZF1240" s="30"/>
      <c r="ZG1240" s="30"/>
      <c r="ZH1240" s="30"/>
      <c r="ZI1240" s="30"/>
      <c r="ZJ1240" s="30"/>
      <c r="ZK1240" s="30"/>
      <c r="ZL1240" s="30"/>
      <c r="ZM1240" s="30"/>
      <c r="ZN1240" s="30"/>
      <c r="ZO1240" s="30"/>
      <c r="ZP1240" s="30"/>
      <c r="ZQ1240" s="30"/>
      <c r="ZR1240" s="30"/>
      <c r="ZS1240" s="30"/>
      <c r="ZT1240" s="30"/>
      <c r="ZU1240" s="30"/>
      <c r="ZV1240" s="30"/>
      <c r="ZW1240" s="30"/>
      <c r="ZX1240" s="30"/>
      <c r="ZY1240" s="30"/>
      <c r="ZZ1240" s="30"/>
      <c r="AAA1240" s="30"/>
      <c r="AAB1240" s="30"/>
      <c r="AAC1240" s="30"/>
      <c r="AAD1240" s="30"/>
      <c r="AAE1240" s="30"/>
      <c r="AAF1240" s="30"/>
      <c r="AAG1240" s="30"/>
      <c r="AAH1240" s="30"/>
      <c r="AAI1240" s="30"/>
      <c r="AAJ1240" s="30"/>
      <c r="AAK1240" s="30"/>
      <c r="AAL1240" s="30"/>
      <c r="AAM1240" s="30"/>
      <c r="AAN1240" s="30"/>
      <c r="AAO1240" s="30"/>
      <c r="AAP1240" s="30"/>
      <c r="AAQ1240" s="30"/>
      <c r="AAR1240" s="30"/>
      <c r="AAS1240" s="30"/>
      <c r="AAT1240" s="30"/>
      <c r="AAU1240" s="30"/>
      <c r="AAV1240" s="30"/>
      <c r="AAW1240" s="30"/>
      <c r="AAX1240" s="30"/>
      <c r="AAY1240" s="30"/>
      <c r="AAZ1240" s="30"/>
      <c r="ABA1240" s="30"/>
      <c r="ABB1240" s="30"/>
      <c r="ABC1240" s="30"/>
      <c r="ABD1240" s="30"/>
      <c r="ABE1240" s="30"/>
      <c r="ABF1240" s="30"/>
      <c r="ABG1240" s="30"/>
      <c r="ABH1240" s="30"/>
      <c r="ABI1240" s="30"/>
      <c r="ABJ1240" s="30"/>
      <c r="ABK1240" s="30"/>
      <c r="ABL1240" s="30"/>
      <c r="ABM1240" s="30"/>
      <c r="ABN1240" s="30"/>
      <c r="ABO1240" s="30"/>
      <c r="ABP1240" s="30"/>
      <c r="ABQ1240" s="30"/>
      <c r="ABR1240" s="30"/>
      <c r="ABS1240" s="30"/>
      <c r="ABT1240" s="30"/>
      <c r="ABU1240" s="30"/>
      <c r="ABV1240" s="30"/>
      <c r="ABW1240" s="30"/>
      <c r="ABX1240" s="30"/>
      <c r="ABY1240" s="30"/>
      <c r="ABZ1240" s="30"/>
      <c r="ACA1240" s="30"/>
      <c r="ACB1240" s="30"/>
      <c r="ACC1240" s="30"/>
      <c r="ACD1240" s="30"/>
      <c r="ACE1240" s="30"/>
      <c r="ACF1240" s="30"/>
      <c r="ACG1240" s="30"/>
      <c r="ACH1240" s="30"/>
      <c r="ACI1240" s="30"/>
      <c r="ACJ1240" s="30"/>
      <c r="ACK1240" s="30"/>
      <c r="ACL1240" s="30"/>
      <c r="ACM1240" s="30"/>
      <c r="ACN1240" s="30"/>
      <c r="ACO1240" s="30"/>
      <c r="ACP1240" s="30"/>
      <c r="ACQ1240" s="30"/>
      <c r="ACR1240" s="30"/>
      <c r="ACS1240" s="30"/>
      <c r="ACT1240" s="30"/>
      <c r="ACU1240" s="30"/>
      <c r="ACV1240" s="30"/>
      <c r="ACW1240" s="30"/>
      <c r="ACX1240" s="30"/>
      <c r="ACY1240" s="30"/>
      <c r="ACZ1240" s="30"/>
      <c r="ADA1240" s="30"/>
      <c r="ADB1240" s="30"/>
      <c r="ADC1240" s="30"/>
      <c r="ADD1240" s="30"/>
      <c r="ADE1240" s="30"/>
      <c r="ADF1240" s="30"/>
      <c r="ADG1240" s="30"/>
      <c r="ADH1240" s="30"/>
      <c r="ADI1240" s="30"/>
      <c r="ADJ1240" s="30"/>
      <c r="ADK1240" s="30"/>
      <c r="ADL1240" s="30"/>
      <c r="ADM1240" s="30"/>
      <c r="ADN1240" s="30"/>
      <c r="ADO1240" s="30"/>
      <c r="ADP1240" s="30"/>
      <c r="ADQ1240" s="30"/>
      <c r="ADR1240" s="30"/>
      <c r="ADS1240" s="30"/>
      <c r="ADT1240" s="30"/>
      <c r="ADU1240" s="30"/>
      <c r="ADV1240" s="30"/>
      <c r="ADW1240" s="30"/>
      <c r="ADX1240" s="30"/>
      <c r="ADY1240" s="30"/>
      <c r="ADZ1240" s="30"/>
      <c r="AEA1240" s="30"/>
      <c r="AEB1240" s="30"/>
      <c r="AEC1240" s="30"/>
      <c r="AED1240" s="30"/>
      <c r="AEE1240" s="30"/>
      <c r="AEF1240" s="30"/>
      <c r="AEG1240" s="30"/>
      <c r="AEH1240" s="30"/>
      <c r="AEI1240" s="30"/>
      <c r="AEJ1240" s="30"/>
      <c r="AEK1240" s="30"/>
      <c r="AEL1240" s="30"/>
      <c r="AEM1240" s="30"/>
      <c r="AEN1240" s="30"/>
      <c r="AEO1240" s="30"/>
      <c r="AEP1240" s="30"/>
      <c r="AEQ1240" s="30"/>
      <c r="AER1240" s="30"/>
      <c r="AES1240" s="30"/>
      <c r="AET1240" s="30"/>
      <c r="AEU1240" s="30"/>
      <c r="AEV1240" s="30"/>
      <c r="AEW1240" s="30"/>
      <c r="AEX1240" s="30"/>
      <c r="AEY1240" s="30"/>
      <c r="AEZ1240" s="30"/>
      <c r="AFA1240" s="30"/>
      <c r="AFB1240" s="30"/>
      <c r="AFC1240" s="30"/>
      <c r="AFD1240" s="30"/>
      <c r="AFE1240" s="30"/>
      <c r="AFF1240" s="30"/>
      <c r="AFG1240" s="30"/>
      <c r="AFH1240" s="30"/>
      <c r="AFI1240" s="30"/>
      <c r="AFJ1240" s="30"/>
      <c r="AFK1240" s="30"/>
      <c r="AFL1240" s="30"/>
      <c r="AFM1240" s="30"/>
      <c r="AFN1240" s="30"/>
      <c r="AFO1240" s="30"/>
      <c r="AFP1240" s="30"/>
      <c r="AFQ1240" s="30"/>
      <c r="AFR1240" s="30"/>
      <c r="AFS1240" s="30"/>
      <c r="AFT1240" s="30"/>
      <c r="AFU1240" s="30"/>
      <c r="AFV1240" s="30"/>
      <c r="AFW1240" s="30"/>
      <c r="AFX1240" s="30"/>
      <c r="AFY1240" s="30"/>
      <c r="AFZ1240" s="30"/>
      <c r="AGA1240" s="30"/>
      <c r="AGB1240" s="30"/>
      <c r="AGC1240" s="30"/>
      <c r="AGD1240" s="30"/>
      <c r="AGE1240" s="30"/>
      <c r="AGF1240" s="30"/>
      <c r="AGG1240" s="30"/>
      <c r="AGH1240" s="30"/>
      <c r="AGI1240" s="30"/>
      <c r="AGJ1240" s="30"/>
      <c r="AGK1240" s="30"/>
      <c r="AGL1240" s="30"/>
      <c r="AGM1240" s="30"/>
      <c r="AGN1240" s="30"/>
      <c r="AGO1240" s="30"/>
      <c r="AGP1240" s="30"/>
      <c r="AGQ1240" s="30"/>
      <c r="AGR1240" s="30"/>
      <c r="AGS1240" s="30"/>
      <c r="AGT1240" s="30"/>
      <c r="AGU1240" s="30"/>
      <c r="AGV1240" s="30"/>
      <c r="AGW1240" s="30"/>
      <c r="AGX1240" s="30"/>
      <c r="AGY1240" s="30"/>
      <c r="AGZ1240" s="30"/>
      <c r="AHA1240" s="30"/>
      <c r="AHB1240" s="30"/>
      <c r="AHC1240" s="30"/>
      <c r="AHD1240" s="30"/>
      <c r="AHE1240" s="30"/>
      <c r="AHF1240" s="30"/>
      <c r="AHG1240" s="30"/>
      <c r="AHH1240" s="30"/>
      <c r="AHI1240" s="30"/>
      <c r="AHJ1240" s="30"/>
      <c r="AHK1240" s="30"/>
      <c r="AHL1240" s="30"/>
      <c r="AHM1240" s="30"/>
      <c r="AHN1240" s="30"/>
      <c r="AHO1240" s="30"/>
      <c r="AHP1240" s="30"/>
      <c r="AHQ1240" s="30"/>
      <c r="AHR1240" s="30"/>
      <c r="AHS1240" s="30"/>
      <c r="AHT1240" s="30"/>
      <c r="AHU1240" s="30"/>
      <c r="AHV1240" s="30"/>
      <c r="AHW1240" s="30"/>
      <c r="AHX1240" s="30"/>
      <c r="AHY1240" s="30"/>
      <c r="AHZ1240" s="30"/>
      <c r="AIA1240" s="30"/>
      <c r="AIB1240" s="30"/>
      <c r="AIC1240" s="30"/>
      <c r="AID1240" s="30"/>
      <c r="AIE1240" s="30"/>
      <c r="AIF1240" s="30"/>
      <c r="AIG1240" s="30"/>
      <c r="AIH1240" s="30"/>
      <c r="AII1240" s="30"/>
      <c r="AIJ1240" s="30"/>
      <c r="AIK1240" s="30"/>
      <c r="AIL1240" s="30"/>
      <c r="AIM1240" s="30"/>
      <c r="AIN1240" s="30"/>
      <c r="AIO1240" s="30"/>
      <c r="AIP1240" s="30"/>
      <c r="AIQ1240" s="30"/>
      <c r="AIR1240" s="30"/>
      <c r="AIS1240" s="30"/>
      <c r="AIT1240" s="30"/>
      <c r="AIU1240" s="30"/>
      <c r="AIV1240" s="30"/>
      <c r="AIW1240" s="30"/>
      <c r="AIX1240" s="30"/>
      <c r="AIY1240" s="30"/>
      <c r="AIZ1240" s="30"/>
      <c r="AJA1240" s="30"/>
      <c r="AJB1240" s="30"/>
      <c r="AJC1240" s="30"/>
      <c r="AJD1240" s="30"/>
      <c r="AJE1240" s="30"/>
      <c r="AJF1240" s="30"/>
      <c r="AJG1240" s="30"/>
      <c r="AJH1240" s="30"/>
      <c r="AJI1240" s="30"/>
      <c r="AJJ1240" s="30"/>
      <c r="AJK1240" s="30"/>
      <c r="AJL1240" s="30"/>
      <c r="AJM1240" s="30"/>
      <c r="AJN1240" s="30"/>
      <c r="AJO1240" s="30"/>
      <c r="AJP1240" s="30"/>
      <c r="AJQ1240" s="30"/>
      <c r="AJR1240" s="30"/>
      <c r="AJS1240" s="30"/>
      <c r="AJT1240" s="30"/>
      <c r="AJU1240" s="30"/>
      <c r="AJV1240" s="30"/>
      <c r="AJW1240" s="30"/>
      <c r="AJX1240" s="30"/>
      <c r="AJY1240" s="30"/>
      <c r="AJZ1240" s="30"/>
      <c r="AKA1240" s="30"/>
      <c r="AKB1240" s="30"/>
      <c r="AKC1240" s="30"/>
      <c r="AKD1240" s="30"/>
      <c r="AKE1240" s="30"/>
      <c r="AKF1240" s="30"/>
      <c r="AKG1240" s="30"/>
      <c r="AKH1240" s="30"/>
      <c r="AKI1240" s="30"/>
      <c r="AKJ1240" s="30"/>
      <c r="AKK1240" s="30"/>
      <c r="AKL1240" s="30"/>
      <c r="AKM1240" s="30"/>
      <c r="AKN1240" s="30"/>
      <c r="AKO1240" s="30"/>
      <c r="AKP1240" s="30"/>
      <c r="AKQ1240" s="30"/>
      <c r="AKR1240" s="30"/>
      <c r="AKS1240" s="30"/>
      <c r="AKT1240" s="30"/>
      <c r="AKU1240" s="30"/>
      <c r="AKV1240" s="30"/>
      <c r="AKW1240" s="30"/>
      <c r="AKX1240" s="30"/>
      <c r="AKY1240" s="30"/>
      <c r="AKZ1240" s="30"/>
      <c r="ALA1240" s="30"/>
      <c r="ALB1240" s="30"/>
      <c r="ALC1240" s="30"/>
      <c r="ALD1240" s="30"/>
      <c r="ALE1240" s="30"/>
      <c r="ALF1240" s="30"/>
      <c r="ALG1240" s="30"/>
      <c r="ALH1240" s="30"/>
      <c r="ALI1240" s="30"/>
      <c r="ALJ1240" s="30"/>
      <c r="ALK1240" s="30"/>
      <c r="ALL1240" s="30"/>
      <c r="ALM1240" s="30"/>
      <c r="ALN1240" s="30"/>
      <c r="ALO1240" s="30"/>
      <c r="ALP1240" s="30"/>
      <c r="ALQ1240" s="30"/>
      <c r="ALR1240" s="30"/>
      <c r="ALS1240" s="30"/>
      <c r="ALT1240" s="30"/>
      <c r="ALU1240" s="30"/>
      <c r="ALV1240" s="30"/>
      <c r="ALW1240" s="30"/>
      <c r="ALX1240" s="30"/>
      <c r="ALY1240" s="30"/>
      <c r="ALZ1240" s="30"/>
      <c r="AMA1240" s="30"/>
      <c r="AMB1240" s="30"/>
      <c r="AMC1240" s="30"/>
      <c r="AMD1240" s="30"/>
      <c r="AME1240" s="30"/>
      <c r="AMF1240" s="30"/>
      <c r="AMG1240" s="30"/>
      <c r="AMH1240" s="30"/>
      <c r="AMI1240" s="30"/>
      <c r="AMJ1240" s="30"/>
      <c r="AMK1240" s="30"/>
      <c r="AML1240" s="30"/>
      <c r="AMM1240" s="30"/>
      <c r="AMN1240" s="30"/>
      <c r="AMO1240" s="30"/>
      <c r="AMP1240" s="30"/>
      <c r="AMQ1240" s="30"/>
      <c r="AMR1240" s="30"/>
      <c r="AMS1240" s="30"/>
      <c r="AMT1240" s="30"/>
      <c r="AMU1240" s="30"/>
      <c r="AMV1240" s="30"/>
      <c r="AMW1240" s="30"/>
      <c r="AMX1240" s="30"/>
      <c r="AMY1240" s="30"/>
      <c r="AMZ1240" s="30"/>
      <c r="ANA1240" s="30"/>
      <c r="ANB1240" s="30"/>
      <c r="ANC1240" s="30"/>
      <c r="AND1240" s="30"/>
      <c r="ANE1240" s="30"/>
      <c r="ANF1240" s="30"/>
      <c r="ANG1240" s="30"/>
      <c r="ANH1240" s="30"/>
      <c r="ANI1240" s="30"/>
      <c r="ANJ1240" s="30"/>
      <c r="ANK1240" s="30"/>
      <c r="ANL1240" s="30"/>
      <c r="ANM1240" s="30"/>
      <c r="ANN1240" s="30"/>
      <c r="ANO1240" s="30"/>
      <c r="ANP1240" s="30"/>
      <c r="ANQ1240" s="30"/>
      <c r="ANR1240" s="30"/>
      <c r="ANS1240" s="30"/>
      <c r="ANT1240" s="30"/>
      <c r="ANU1240" s="30"/>
      <c r="ANV1240" s="30"/>
      <c r="ANW1240" s="30"/>
      <c r="ANX1240" s="30"/>
      <c r="ANY1240" s="30"/>
      <c r="ANZ1240" s="30"/>
      <c r="AOA1240" s="30"/>
      <c r="AOB1240" s="30"/>
      <c r="AOC1240" s="30"/>
      <c r="AOD1240" s="30"/>
      <c r="AOE1240" s="30"/>
      <c r="AOF1240" s="30"/>
      <c r="AOG1240" s="30"/>
      <c r="AOH1240" s="30"/>
      <c r="AOI1240" s="30"/>
      <c r="AOJ1240" s="30"/>
      <c r="AOK1240" s="30"/>
      <c r="AOL1240" s="30"/>
      <c r="AOM1240" s="30"/>
      <c r="AON1240" s="30"/>
      <c r="AOO1240" s="30"/>
      <c r="AOP1240" s="30"/>
      <c r="AOQ1240" s="30"/>
      <c r="AOR1240" s="30"/>
      <c r="AOS1240" s="30"/>
      <c r="AOT1240" s="30"/>
      <c r="AOU1240" s="30"/>
      <c r="AOV1240" s="30"/>
      <c r="AOW1240" s="30"/>
      <c r="AOX1240" s="30"/>
      <c r="AOY1240" s="30"/>
      <c r="AOZ1240" s="30"/>
      <c r="APA1240" s="30"/>
      <c r="APB1240" s="30"/>
      <c r="APC1240" s="30"/>
      <c r="APD1240" s="30"/>
      <c r="APE1240" s="30"/>
      <c r="APF1240" s="30"/>
      <c r="APG1240" s="30"/>
      <c r="APH1240" s="30"/>
      <c r="API1240" s="30"/>
      <c r="APJ1240" s="30"/>
      <c r="APK1240" s="30"/>
      <c r="APL1240" s="30"/>
      <c r="APM1240" s="30"/>
      <c r="APN1240" s="30"/>
      <c r="APO1240" s="30"/>
      <c r="APP1240" s="30"/>
      <c r="APQ1240" s="30"/>
      <c r="APR1240" s="30"/>
      <c r="APS1240" s="30"/>
      <c r="APT1240" s="30"/>
      <c r="APU1240" s="30"/>
      <c r="APV1240" s="30"/>
      <c r="APW1240" s="30"/>
      <c r="APX1240" s="30"/>
      <c r="APY1240" s="30"/>
      <c r="APZ1240" s="30"/>
      <c r="AQA1240" s="30"/>
      <c r="AQB1240" s="30"/>
      <c r="AQC1240" s="30"/>
      <c r="AQD1240" s="30"/>
      <c r="AQE1240" s="30"/>
      <c r="AQF1240" s="30"/>
      <c r="AQG1240" s="30"/>
      <c r="AQH1240" s="30"/>
      <c r="AQI1240" s="30"/>
      <c r="AQJ1240" s="30"/>
      <c r="AQK1240" s="30"/>
      <c r="AQL1240" s="30"/>
      <c r="AQM1240" s="30"/>
      <c r="AQN1240" s="30"/>
      <c r="AQO1240" s="30"/>
      <c r="AQP1240" s="30"/>
      <c r="AQQ1240" s="30"/>
      <c r="AQR1240" s="30"/>
      <c r="AQS1240" s="30"/>
      <c r="AQT1240" s="30"/>
      <c r="AQU1240" s="30"/>
      <c r="AQV1240" s="30"/>
      <c r="AQW1240" s="30"/>
      <c r="AQX1240" s="30"/>
      <c r="AQY1240" s="30"/>
      <c r="AQZ1240" s="30"/>
      <c r="ARA1240" s="30"/>
      <c r="ARB1240" s="30"/>
      <c r="ARC1240" s="30"/>
      <c r="ARD1240" s="30"/>
      <c r="ARE1240" s="30"/>
      <c r="ARF1240" s="30"/>
      <c r="ARG1240" s="30"/>
      <c r="ARH1240" s="30"/>
      <c r="ARI1240" s="30"/>
      <c r="ARJ1240" s="30"/>
      <c r="ARK1240" s="30"/>
      <c r="ARL1240" s="30"/>
      <c r="ARM1240" s="30"/>
      <c r="ARN1240" s="30"/>
      <c r="ARO1240" s="30"/>
      <c r="ARP1240" s="30"/>
      <c r="ARQ1240" s="30"/>
      <c r="ARR1240" s="30"/>
      <c r="ARS1240" s="30"/>
      <c r="ART1240" s="30"/>
      <c r="ARU1240" s="30"/>
      <c r="ARV1240" s="30"/>
      <c r="ARW1240" s="30"/>
      <c r="ARX1240" s="30"/>
      <c r="ARY1240" s="30"/>
      <c r="ARZ1240" s="30"/>
      <c r="ASA1240" s="30"/>
      <c r="ASB1240" s="30"/>
      <c r="ASC1240" s="30"/>
      <c r="ASD1240" s="30"/>
      <c r="ASE1240" s="30"/>
      <c r="ASF1240" s="30"/>
      <c r="ASG1240" s="30"/>
      <c r="ASH1240" s="30"/>
      <c r="ASI1240" s="30"/>
      <c r="ASJ1240" s="30"/>
      <c r="ASK1240" s="30"/>
      <c r="ASL1240" s="30"/>
      <c r="ASM1240" s="30"/>
      <c r="ASN1240" s="30"/>
      <c r="ASO1240" s="30"/>
      <c r="ASP1240" s="30"/>
      <c r="ASQ1240" s="30"/>
      <c r="ASR1240" s="30"/>
      <c r="ASS1240" s="30"/>
      <c r="AST1240" s="30"/>
      <c r="ASU1240" s="30"/>
      <c r="ASV1240" s="30"/>
      <c r="ASW1240" s="30"/>
      <c r="ASX1240" s="30"/>
      <c r="ASY1240" s="30"/>
      <c r="ASZ1240" s="30"/>
      <c r="ATA1240" s="30"/>
      <c r="ATB1240" s="30"/>
      <c r="ATC1240" s="30"/>
      <c r="ATD1240" s="30"/>
      <c r="ATE1240" s="30"/>
      <c r="ATF1240" s="30"/>
      <c r="ATG1240" s="30"/>
      <c r="ATH1240" s="30"/>
      <c r="ATI1240" s="30"/>
      <c r="ATJ1240" s="30"/>
      <c r="ATK1240" s="30"/>
      <c r="ATL1240" s="30"/>
      <c r="ATM1240" s="30"/>
      <c r="ATN1240" s="30"/>
      <c r="ATO1240" s="30"/>
      <c r="ATP1240" s="30"/>
      <c r="ATQ1240" s="30"/>
      <c r="ATR1240" s="30"/>
      <c r="ATS1240" s="30"/>
      <c r="ATT1240" s="30"/>
      <c r="ATU1240" s="30"/>
      <c r="ATV1240" s="30"/>
      <c r="ATW1240" s="30"/>
      <c r="ATX1240" s="30"/>
      <c r="ATY1240" s="30"/>
      <c r="ATZ1240" s="30"/>
      <c r="AUA1240" s="30"/>
      <c r="AUB1240" s="30"/>
      <c r="AUC1240" s="30"/>
      <c r="AUD1240" s="30"/>
      <c r="AUE1240" s="30"/>
      <c r="AUF1240" s="30"/>
      <c r="AUG1240" s="30"/>
      <c r="AUH1240" s="30"/>
      <c r="AUI1240" s="30"/>
      <c r="AUJ1240" s="30"/>
      <c r="AUK1240" s="30"/>
      <c r="AUL1240" s="30"/>
      <c r="AUM1240" s="30"/>
      <c r="AUN1240" s="30"/>
      <c r="AUO1240" s="30"/>
      <c r="AUP1240" s="30"/>
      <c r="AUQ1240" s="30"/>
      <c r="AUR1240" s="30"/>
      <c r="AUS1240" s="30"/>
      <c r="AUT1240" s="30"/>
      <c r="AUU1240" s="30"/>
      <c r="AUV1240" s="30"/>
      <c r="AUW1240" s="30"/>
      <c r="AUX1240" s="30"/>
      <c r="AUY1240" s="30"/>
      <c r="AUZ1240" s="30"/>
      <c r="AVA1240" s="30"/>
      <c r="AVB1240" s="30"/>
      <c r="AVC1240" s="30"/>
      <c r="AVD1240" s="30"/>
      <c r="AVE1240" s="30"/>
      <c r="AVF1240" s="30"/>
      <c r="AVG1240" s="30"/>
      <c r="AVH1240" s="30"/>
      <c r="AVI1240" s="30"/>
      <c r="AVJ1240" s="30"/>
      <c r="AVK1240" s="30"/>
      <c r="AVL1240" s="30"/>
      <c r="AVM1240" s="30"/>
      <c r="AVN1240" s="30"/>
      <c r="AVO1240" s="30"/>
      <c r="AVP1240" s="30"/>
      <c r="AVQ1240" s="30"/>
      <c r="AVR1240" s="30"/>
      <c r="AVS1240" s="30"/>
      <c r="AVT1240" s="30"/>
      <c r="AVU1240" s="30"/>
      <c r="AVV1240" s="30"/>
      <c r="AVW1240" s="30"/>
      <c r="AVX1240" s="30"/>
      <c r="AVY1240" s="30"/>
      <c r="AVZ1240" s="30"/>
      <c r="AWA1240" s="30"/>
      <c r="AWB1240" s="30"/>
      <c r="AWC1240" s="30"/>
      <c r="AWD1240" s="30"/>
      <c r="AWE1240" s="30"/>
      <c r="AWF1240" s="30"/>
      <c r="AWG1240" s="30"/>
      <c r="AWH1240" s="30"/>
      <c r="AWI1240" s="30"/>
      <c r="AWJ1240" s="30"/>
      <c r="AWK1240" s="30"/>
      <c r="AWL1240" s="30"/>
      <c r="AWM1240" s="30"/>
      <c r="AWN1240" s="30"/>
      <c r="AWO1240" s="30"/>
      <c r="AWP1240" s="30"/>
      <c r="AWQ1240" s="30"/>
      <c r="AWR1240" s="30"/>
      <c r="AWS1240" s="30"/>
      <c r="AWT1240" s="30"/>
      <c r="AWU1240" s="30"/>
      <c r="AWV1240" s="30"/>
      <c r="AWW1240" s="30"/>
      <c r="AWX1240" s="30"/>
      <c r="AWY1240" s="30"/>
      <c r="AWZ1240" s="30"/>
      <c r="AXA1240" s="30"/>
      <c r="AXB1240" s="30"/>
      <c r="AXC1240" s="30"/>
      <c r="AXD1240" s="30"/>
      <c r="AXE1240" s="30"/>
      <c r="AXF1240" s="30"/>
      <c r="AXG1240" s="30"/>
      <c r="AXH1240" s="30"/>
      <c r="AXI1240" s="30"/>
      <c r="AXJ1240" s="30"/>
      <c r="AXK1240" s="30"/>
      <c r="AXL1240" s="30"/>
      <c r="AXM1240" s="30"/>
      <c r="AXN1240" s="30"/>
      <c r="AXO1240" s="30"/>
      <c r="AXP1240" s="30"/>
      <c r="AXQ1240" s="30"/>
      <c r="AXR1240" s="30"/>
      <c r="AXS1240" s="30"/>
      <c r="AXT1240" s="30"/>
      <c r="AXU1240" s="30"/>
      <c r="AXV1240" s="30"/>
      <c r="AXW1240" s="30"/>
      <c r="AXX1240" s="30"/>
      <c r="AXY1240" s="30"/>
      <c r="AXZ1240" s="30"/>
      <c r="AYA1240" s="30"/>
      <c r="AYB1240" s="30"/>
      <c r="AYC1240" s="30"/>
      <c r="AYD1240" s="30"/>
      <c r="AYE1240" s="30"/>
      <c r="AYF1240" s="30"/>
      <c r="AYG1240" s="30"/>
      <c r="AYH1240" s="30"/>
      <c r="AYI1240" s="30"/>
      <c r="AYJ1240" s="30"/>
      <c r="AYK1240" s="30"/>
      <c r="AYL1240" s="30"/>
      <c r="AYM1240" s="30"/>
      <c r="AYN1240" s="30"/>
      <c r="AYO1240" s="30"/>
      <c r="AYP1240" s="30"/>
      <c r="AYQ1240" s="30"/>
      <c r="AYR1240" s="30"/>
      <c r="AYS1240" s="30"/>
      <c r="AYT1240" s="30"/>
      <c r="AYU1240" s="30"/>
      <c r="AYV1240" s="30"/>
      <c r="AYW1240" s="30"/>
      <c r="AYX1240" s="30"/>
      <c r="AYY1240" s="30"/>
      <c r="AYZ1240" s="30"/>
      <c r="AZA1240" s="30"/>
      <c r="AZB1240" s="30"/>
      <c r="AZC1240" s="30"/>
      <c r="AZD1240" s="30"/>
      <c r="AZE1240" s="30"/>
      <c r="AZF1240" s="30"/>
      <c r="AZG1240" s="30"/>
      <c r="AZH1240" s="30"/>
      <c r="AZI1240" s="30"/>
      <c r="AZJ1240" s="30"/>
      <c r="AZK1240" s="30"/>
      <c r="AZL1240" s="30"/>
      <c r="AZM1240" s="30"/>
      <c r="AZN1240" s="30"/>
      <c r="AZO1240" s="30"/>
      <c r="AZP1240" s="30"/>
      <c r="AZQ1240" s="30"/>
      <c r="AZR1240" s="30"/>
      <c r="AZS1240" s="30"/>
      <c r="AZT1240" s="30"/>
      <c r="AZU1240" s="30"/>
      <c r="AZV1240" s="30"/>
      <c r="AZW1240" s="30"/>
      <c r="AZX1240" s="30"/>
      <c r="AZY1240" s="30"/>
      <c r="AZZ1240" s="30"/>
      <c r="BAA1240" s="30"/>
      <c r="BAB1240" s="30"/>
      <c r="BAC1240" s="30"/>
      <c r="BAD1240" s="30"/>
      <c r="BAE1240" s="30"/>
      <c r="BAF1240" s="30"/>
      <c r="BAG1240" s="30"/>
      <c r="BAH1240" s="30"/>
      <c r="BAI1240" s="30"/>
      <c r="BAJ1240" s="30"/>
      <c r="BAK1240" s="30"/>
      <c r="BAL1240" s="30"/>
      <c r="BAM1240" s="30"/>
      <c r="BAN1240" s="30"/>
      <c r="BAO1240" s="30"/>
      <c r="BAP1240" s="30"/>
      <c r="BAQ1240" s="30"/>
      <c r="BAR1240" s="30"/>
      <c r="BAS1240" s="30"/>
      <c r="BAT1240" s="30"/>
      <c r="BAU1240" s="30"/>
      <c r="BAV1240" s="30"/>
      <c r="BAW1240" s="30"/>
      <c r="BAX1240" s="30"/>
      <c r="BAY1240" s="30"/>
      <c r="BAZ1240" s="30"/>
      <c r="BBA1240" s="30"/>
      <c r="BBB1240" s="30"/>
      <c r="BBC1240" s="30"/>
      <c r="BBD1240" s="30"/>
      <c r="BBE1240" s="30"/>
      <c r="BBF1240" s="30"/>
      <c r="BBG1240" s="30"/>
      <c r="BBH1240" s="30"/>
      <c r="BBI1240" s="30"/>
      <c r="BBJ1240" s="30"/>
      <c r="BBK1240" s="30"/>
      <c r="BBL1240" s="30"/>
      <c r="BBM1240" s="30"/>
      <c r="BBN1240" s="30"/>
      <c r="BBO1240" s="30"/>
      <c r="BBP1240" s="30"/>
      <c r="BBQ1240" s="30"/>
      <c r="BBR1240" s="30"/>
      <c r="BBS1240" s="30"/>
      <c r="BBT1240" s="30"/>
      <c r="BBU1240" s="30"/>
      <c r="BBV1240" s="30"/>
      <c r="BBW1240" s="30"/>
      <c r="BBX1240" s="30"/>
      <c r="BBY1240" s="30"/>
      <c r="BBZ1240" s="30"/>
      <c r="BCA1240" s="30"/>
      <c r="BCB1240" s="30"/>
      <c r="BCC1240" s="30"/>
      <c r="BCD1240" s="30"/>
      <c r="BCE1240" s="30"/>
      <c r="BCF1240" s="30"/>
      <c r="BCG1240" s="30"/>
      <c r="BCH1240" s="30"/>
      <c r="BCI1240" s="30"/>
      <c r="BCJ1240" s="30"/>
      <c r="BCK1240" s="30"/>
      <c r="BCL1240" s="30"/>
      <c r="BCM1240" s="30"/>
      <c r="BCN1240" s="30"/>
      <c r="BCO1240" s="30"/>
      <c r="BCP1240" s="30"/>
      <c r="BCQ1240" s="30"/>
      <c r="BCR1240" s="30"/>
      <c r="BCS1240" s="30"/>
      <c r="BCT1240" s="30"/>
      <c r="BCU1240" s="30"/>
      <c r="BCV1240" s="30"/>
      <c r="BCW1240" s="30"/>
      <c r="BCX1240" s="30"/>
      <c r="BCY1240" s="30"/>
      <c r="BCZ1240" s="30"/>
      <c r="BDA1240" s="30"/>
      <c r="BDB1240" s="30"/>
      <c r="BDC1240" s="30"/>
      <c r="BDD1240" s="30"/>
      <c r="BDE1240" s="30"/>
      <c r="BDF1240" s="30"/>
      <c r="BDG1240" s="30"/>
      <c r="BDH1240" s="30"/>
      <c r="BDI1240" s="30"/>
      <c r="BDJ1240" s="30"/>
      <c r="BDK1240" s="30"/>
      <c r="BDL1240" s="30"/>
      <c r="BDM1240" s="30"/>
      <c r="BDN1240" s="30"/>
      <c r="BDO1240" s="30"/>
      <c r="BDP1240" s="30"/>
      <c r="BDQ1240" s="30"/>
      <c r="BDR1240" s="30"/>
      <c r="BDS1240" s="30"/>
      <c r="BDT1240" s="30"/>
      <c r="BDU1240" s="30"/>
      <c r="BDV1240" s="30"/>
      <c r="BDW1240" s="30"/>
      <c r="BDX1240" s="30"/>
      <c r="BDY1240" s="30"/>
      <c r="BDZ1240" s="30"/>
      <c r="BEA1240" s="30"/>
      <c r="BEB1240" s="30"/>
      <c r="BEC1240" s="30"/>
      <c r="BED1240" s="30"/>
      <c r="BEE1240" s="30"/>
      <c r="BEF1240" s="30"/>
      <c r="BEG1240" s="30"/>
      <c r="BEH1240" s="30"/>
      <c r="BEI1240" s="30"/>
      <c r="BEJ1240" s="30"/>
      <c r="BEK1240" s="30"/>
      <c r="BEL1240" s="30"/>
      <c r="BEM1240" s="30"/>
      <c r="BEN1240" s="30"/>
      <c r="BEO1240" s="30"/>
      <c r="BEP1240" s="30"/>
      <c r="BEQ1240" s="30"/>
      <c r="BER1240" s="30"/>
      <c r="BES1240" s="30"/>
      <c r="BET1240" s="30"/>
      <c r="BEU1240" s="30"/>
      <c r="BEV1240" s="30"/>
      <c r="BEW1240" s="30"/>
      <c r="BEX1240" s="30"/>
      <c r="BEY1240" s="30"/>
      <c r="BEZ1240" s="30"/>
      <c r="BFA1240" s="30"/>
      <c r="BFB1240" s="30"/>
      <c r="BFC1240" s="30"/>
      <c r="BFD1240" s="30"/>
      <c r="BFE1240" s="30"/>
      <c r="BFF1240" s="30"/>
      <c r="BFG1240" s="30"/>
      <c r="BFH1240" s="30"/>
      <c r="BFI1240" s="30"/>
      <c r="BFJ1240" s="30"/>
      <c r="BFK1240" s="30"/>
      <c r="BFL1240" s="30"/>
      <c r="BFM1240" s="30"/>
      <c r="BFN1240" s="30"/>
      <c r="BFO1240" s="30"/>
      <c r="BFP1240" s="30"/>
      <c r="BFQ1240" s="30"/>
      <c r="BFR1240" s="30"/>
      <c r="BFS1240" s="30"/>
      <c r="BFT1240" s="30"/>
      <c r="BFU1240" s="30"/>
      <c r="BFV1240" s="30"/>
      <c r="BFW1240" s="30"/>
      <c r="BFX1240" s="30"/>
      <c r="BFY1240" s="30"/>
      <c r="BFZ1240" s="30"/>
      <c r="BGA1240" s="30"/>
      <c r="BGB1240" s="30"/>
      <c r="BGC1240" s="30"/>
      <c r="BGD1240" s="30"/>
      <c r="BGE1240" s="30"/>
      <c r="BGF1240" s="30"/>
      <c r="BGG1240" s="30"/>
      <c r="BGH1240" s="30"/>
      <c r="BGI1240" s="30"/>
      <c r="BGJ1240" s="30"/>
      <c r="BGK1240" s="30"/>
      <c r="BGL1240" s="30"/>
      <c r="BGM1240" s="30"/>
      <c r="BGN1240" s="30"/>
      <c r="BGO1240" s="30"/>
      <c r="BGP1240" s="30"/>
      <c r="BGQ1240" s="30"/>
      <c r="BGR1240" s="30"/>
      <c r="BGS1240" s="30"/>
      <c r="BGT1240" s="30"/>
      <c r="BGU1240" s="30"/>
      <c r="BGV1240" s="30"/>
      <c r="BGW1240" s="30"/>
      <c r="BGX1240" s="30"/>
      <c r="BGY1240" s="30"/>
      <c r="BGZ1240" s="30"/>
      <c r="BHA1240" s="30"/>
      <c r="BHB1240" s="30"/>
      <c r="BHC1240" s="30"/>
      <c r="BHD1240" s="30"/>
      <c r="BHE1240" s="30"/>
      <c r="BHF1240" s="30"/>
      <c r="BHG1240" s="30"/>
      <c r="BHH1240" s="30"/>
      <c r="BHI1240" s="30"/>
      <c r="BHJ1240" s="30"/>
      <c r="BHK1240" s="30"/>
      <c r="BHL1240" s="30"/>
      <c r="BHM1240" s="30"/>
      <c r="BHN1240" s="30"/>
      <c r="BHO1240" s="30"/>
      <c r="BHP1240" s="30"/>
      <c r="BHQ1240" s="30"/>
      <c r="BHR1240" s="30"/>
      <c r="BHS1240" s="30"/>
      <c r="BHT1240" s="30"/>
      <c r="BHU1240" s="30"/>
      <c r="BHV1240" s="30"/>
      <c r="BHW1240" s="30"/>
      <c r="BHX1240" s="30"/>
      <c r="BHY1240" s="30"/>
      <c r="BHZ1240" s="30"/>
      <c r="BIA1240" s="30"/>
      <c r="BIB1240" s="30"/>
      <c r="BIC1240" s="30"/>
      <c r="BID1240" s="30"/>
      <c r="BIE1240" s="30"/>
      <c r="BIF1240" s="30"/>
      <c r="BIG1240" s="30"/>
      <c r="BIH1240" s="30"/>
      <c r="BII1240" s="30"/>
      <c r="BIJ1240" s="30"/>
      <c r="BIK1240" s="30"/>
      <c r="BIL1240" s="30"/>
      <c r="BIM1240" s="30"/>
      <c r="BIN1240" s="30"/>
      <c r="BIO1240" s="30"/>
      <c r="BIP1240" s="30"/>
      <c r="BIQ1240" s="30"/>
      <c r="BIR1240" s="30"/>
      <c r="BIS1240" s="30"/>
      <c r="BIT1240" s="30"/>
      <c r="BIU1240" s="30"/>
      <c r="BIV1240" s="30"/>
      <c r="BIW1240" s="30"/>
      <c r="BIX1240" s="30"/>
      <c r="BIY1240" s="30"/>
      <c r="BIZ1240" s="30"/>
      <c r="BJA1240" s="30"/>
      <c r="BJB1240" s="30"/>
      <c r="BJC1240" s="30"/>
      <c r="BJD1240" s="30"/>
      <c r="BJE1240" s="30"/>
      <c r="BJF1240" s="30"/>
      <c r="BJG1240" s="30"/>
      <c r="BJH1240" s="30"/>
      <c r="BJI1240" s="30"/>
      <c r="BJJ1240" s="30"/>
      <c r="BJK1240" s="30"/>
      <c r="BJL1240" s="30"/>
      <c r="BJM1240" s="30"/>
      <c r="BJN1240" s="30"/>
      <c r="BJO1240" s="30"/>
      <c r="BJP1240" s="30"/>
      <c r="BJQ1240" s="30"/>
      <c r="BJR1240" s="30"/>
      <c r="BJS1240" s="30"/>
      <c r="BJT1240" s="30"/>
      <c r="BJU1240" s="30"/>
      <c r="BJV1240" s="30"/>
      <c r="BJW1240" s="30"/>
      <c r="BJX1240" s="30"/>
      <c r="BJY1240" s="30"/>
      <c r="BJZ1240" s="30"/>
      <c r="BKA1240" s="30"/>
      <c r="BKB1240" s="30"/>
      <c r="BKC1240" s="30"/>
      <c r="BKD1240" s="30"/>
      <c r="BKE1240" s="30"/>
      <c r="BKF1240" s="30"/>
      <c r="BKG1240" s="30"/>
      <c r="BKH1240" s="30"/>
      <c r="BKI1240" s="30"/>
      <c r="BKJ1240" s="30"/>
      <c r="BKK1240" s="30"/>
      <c r="BKL1240" s="30"/>
      <c r="BKM1240" s="30"/>
      <c r="BKN1240" s="30"/>
      <c r="BKO1240" s="30"/>
      <c r="BKP1240" s="30"/>
      <c r="BKQ1240" s="30"/>
      <c r="BKR1240" s="30"/>
      <c r="BKS1240" s="30"/>
      <c r="BKT1240" s="30"/>
      <c r="BKU1240" s="30"/>
      <c r="BKV1240" s="30"/>
      <c r="BKW1240" s="30"/>
      <c r="BKX1240" s="30"/>
      <c r="BKY1240" s="30"/>
      <c r="BKZ1240" s="30"/>
      <c r="BLA1240" s="30"/>
      <c r="BLB1240" s="30"/>
      <c r="BLC1240" s="30"/>
      <c r="BLD1240" s="30"/>
      <c r="BLE1240" s="30"/>
      <c r="BLF1240" s="30"/>
      <c r="BLG1240" s="30"/>
      <c r="BLH1240" s="30"/>
      <c r="BLI1240" s="30"/>
      <c r="BLJ1240" s="30"/>
      <c r="BLK1240" s="30"/>
      <c r="BLL1240" s="30"/>
      <c r="BLM1240" s="30"/>
      <c r="BLN1240" s="30"/>
      <c r="BLO1240" s="30"/>
      <c r="BLP1240" s="30"/>
      <c r="BLQ1240" s="30"/>
      <c r="BLR1240" s="30"/>
      <c r="BLS1240" s="30"/>
      <c r="BLT1240" s="30"/>
      <c r="BLU1240" s="30"/>
      <c r="BLV1240" s="30"/>
      <c r="BLW1240" s="30"/>
      <c r="BLX1240" s="30"/>
      <c r="BLY1240" s="30"/>
      <c r="BLZ1240" s="30"/>
      <c r="BMA1240" s="30"/>
      <c r="BMB1240" s="30"/>
      <c r="BMC1240" s="30"/>
      <c r="BMD1240" s="30"/>
      <c r="BME1240" s="30"/>
      <c r="BMF1240" s="30"/>
      <c r="BMG1240" s="30"/>
      <c r="BMH1240" s="30"/>
      <c r="BMI1240" s="30"/>
      <c r="BMJ1240" s="30"/>
      <c r="BMK1240" s="30"/>
      <c r="BML1240" s="30"/>
      <c r="BMM1240" s="30"/>
      <c r="BMN1240" s="30"/>
      <c r="BMO1240" s="30"/>
      <c r="BMP1240" s="30"/>
      <c r="BMQ1240" s="30"/>
      <c r="BMR1240" s="30"/>
      <c r="BMS1240" s="30"/>
      <c r="BMT1240" s="30"/>
      <c r="BMU1240" s="30"/>
      <c r="BMV1240" s="30"/>
      <c r="BMW1240" s="30"/>
      <c r="BMX1240" s="30"/>
      <c r="BMY1240" s="30"/>
      <c r="BMZ1240" s="30"/>
      <c r="BNA1240" s="30"/>
      <c r="BNB1240" s="30"/>
      <c r="BNC1240" s="30"/>
      <c r="BND1240" s="30"/>
      <c r="BNE1240" s="30"/>
      <c r="BNF1240" s="30"/>
      <c r="BNG1240" s="30"/>
      <c r="BNH1240" s="30"/>
      <c r="BNI1240" s="30"/>
      <c r="BNJ1240" s="30"/>
      <c r="BNK1240" s="30"/>
      <c r="BNL1240" s="30"/>
      <c r="BNM1240" s="30"/>
      <c r="BNN1240" s="30"/>
      <c r="BNO1240" s="30"/>
      <c r="BNP1240" s="30"/>
      <c r="BNQ1240" s="30"/>
      <c r="BNR1240" s="30"/>
      <c r="BNS1240" s="30"/>
      <c r="BNT1240" s="30"/>
      <c r="BNU1240" s="30"/>
      <c r="BNV1240" s="30"/>
      <c r="BNW1240" s="30"/>
      <c r="BNX1240" s="30"/>
      <c r="BNY1240" s="30"/>
      <c r="BNZ1240" s="30"/>
      <c r="BOA1240" s="30"/>
      <c r="BOB1240" s="30"/>
      <c r="BOC1240" s="30"/>
      <c r="BOD1240" s="30"/>
      <c r="BOE1240" s="30"/>
      <c r="BOF1240" s="30"/>
      <c r="BOG1240" s="30"/>
      <c r="BOH1240" s="30"/>
      <c r="BOI1240" s="30"/>
      <c r="BOJ1240" s="30"/>
      <c r="BOK1240" s="30"/>
      <c r="BOL1240" s="30"/>
      <c r="BOM1240" s="30"/>
      <c r="BON1240" s="30"/>
      <c r="BOO1240" s="30"/>
      <c r="BOP1240" s="30"/>
      <c r="BOQ1240" s="30"/>
      <c r="BOR1240" s="30"/>
      <c r="BOS1240" s="30"/>
      <c r="BOT1240" s="30"/>
      <c r="BOU1240" s="30"/>
      <c r="BOV1240" s="30"/>
      <c r="BOW1240" s="30"/>
      <c r="BOX1240" s="30"/>
      <c r="BOY1240" s="30"/>
      <c r="BOZ1240" s="30"/>
      <c r="BPA1240" s="30"/>
      <c r="BPB1240" s="30"/>
      <c r="BPC1240" s="30"/>
      <c r="BPD1240" s="30"/>
      <c r="BPE1240" s="30"/>
      <c r="BPF1240" s="30"/>
      <c r="BPG1240" s="30"/>
      <c r="BPH1240" s="30"/>
      <c r="BPI1240" s="30"/>
      <c r="BPJ1240" s="30"/>
      <c r="BPK1240" s="30"/>
      <c r="BPL1240" s="30"/>
      <c r="BPM1240" s="30"/>
      <c r="BPN1240" s="30"/>
      <c r="BPO1240" s="30"/>
      <c r="BPP1240" s="30"/>
      <c r="BPQ1240" s="30"/>
      <c r="BPR1240" s="30"/>
      <c r="BPS1240" s="30"/>
      <c r="BPT1240" s="30"/>
      <c r="BPU1240" s="30"/>
      <c r="BPV1240" s="30"/>
      <c r="BPW1240" s="30"/>
      <c r="BPX1240" s="30"/>
      <c r="BPY1240" s="30"/>
      <c r="BPZ1240" s="30"/>
      <c r="BQA1240" s="30"/>
      <c r="BQB1240" s="30"/>
      <c r="BQC1240" s="30"/>
      <c r="BQD1240" s="30"/>
      <c r="BQE1240" s="30"/>
      <c r="BQF1240" s="30"/>
      <c r="BQG1240" s="30"/>
      <c r="BQH1240" s="30"/>
      <c r="BQI1240" s="30"/>
      <c r="BQJ1240" s="30"/>
      <c r="BQK1240" s="30"/>
      <c r="BQL1240" s="30"/>
      <c r="BQM1240" s="30"/>
      <c r="BQN1240" s="30"/>
      <c r="BQO1240" s="30"/>
      <c r="BQP1240" s="30"/>
      <c r="BQQ1240" s="30"/>
      <c r="BQR1240" s="30"/>
      <c r="BQS1240" s="30"/>
      <c r="BQT1240" s="30"/>
      <c r="BQU1240" s="30"/>
      <c r="BQV1240" s="30"/>
      <c r="BQW1240" s="30"/>
      <c r="BQX1240" s="30"/>
      <c r="BQY1240" s="30"/>
      <c r="BQZ1240" s="30"/>
      <c r="BRA1240" s="30"/>
      <c r="BRB1240" s="30"/>
      <c r="BRC1240" s="30"/>
      <c r="BRD1240" s="30"/>
      <c r="BRE1240" s="30"/>
      <c r="BRF1240" s="30"/>
      <c r="BRG1240" s="30"/>
      <c r="BRH1240" s="30"/>
      <c r="BRI1240" s="30"/>
      <c r="BRJ1240" s="30"/>
      <c r="BRK1240" s="30"/>
      <c r="BRL1240" s="30"/>
      <c r="BRM1240" s="30"/>
      <c r="BRN1240" s="30"/>
      <c r="BRO1240" s="30"/>
      <c r="BRP1240" s="30"/>
      <c r="BRQ1240" s="30"/>
      <c r="BRR1240" s="30"/>
      <c r="BRS1240" s="30"/>
      <c r="BRT1240" s="30"/>
      <c r="BRU1240" s="30"/>
      <c r="BRV1240" s="30"/>
      <c r="BRW1240" s="30"/>
      <c r="BRX1240" s="30"/>
      <c r="BRY1240" s="30"/>
      <c r="BRZ1240" s="30"/>
      <c r="BSA1240" s="30"/>
      <c r="BSB1240" s="30"/>
      <c r="BSC1240" s="30"/>
      <c r="BSD1240" s="30"/>
      <c r="BSE1240" s="30"/>
      <c r="BSF1240" s="30"/>
      <c r="BSG1240" s="30"/>
      <c r="BSH1240" s="30"/>
      <c r="BSI1240" s="30"/>
      <c r="BSJ1240" s="30"/>
      <c r="BSK1240" s="30"/>
      <c r="BSL1240" s="30"/>
      <c r="BSM1240" s="30"/>
      <c r="BSN1240" s="30"/>
      <c r="BSO1240" s="30"/>
      <c r="BSP1240" s="30"/>
      <c r="BSQ1240" s="30"/>
      <c r="BSR1240" s="30"/>
      <c r="BSS1240" s="30"/>
      <c r="BST1240" s="30"/>
      <c r="BSU1240" s="30"/>
      <c r="BSV1240" s="30"/>
      <c r="BSW1240" s="30"/>
      <c r="BSX1240" s="30"/>
      <c r="BSY1240" s="30"/>
      <c r="BSZ1240" s="30"/>
      <c r="BTA1240" s="30"/>
      <c r="BTB1240" s="30"/>
      <c r="BTC1240" s="30"/>
      <c r="BTD1240" s="30"/>
      <c r="BTE1240" s="30"/>
      <c r="BTF1240" s="30"/>
      <c r="BTG1240" s="30"/>
      <c r="BTH1240" s="30"/>
      <c r="BTI1240" s="30"/>
      <c r="BTJ1240" s="30"/>
      <c r="BTK1240" s="30"/>
      <c r="BTL1240" s="30"/>
      <c r="BTM1240" s="30"/>
      <c r="BTN1240" s="30"/>
      <c r="BTO1240" s="30"/>
      <c r="BTP1240" s="30"/>
      <c r="BTQ1240" s="30"/>
      <c r="BTR1240" s="30"/>
      <c r="BTS1240" s="30"/>
      <c r="BTT1240" s="30"/>
      <c r="BTU1240" s="30"/>
      <c r="BTV1240" s="30"/>
      <c r="BTW1240" s="30"/>
      <c r="BTX1240" s="30"/>
      <c r="BTY1240" s="30"/>
      <c r="BTZ1240" s="30"/>
      <c r="BUA1240" s="30"/>
      <c r="BUB1240" s="30"/>
      <c r="BUC1240" s="30"/>
      <c r="BUD1240" s="30"/>
      <c r="BUE1240" s="30"/>
      <c r="BUF1240" s="30"/>
      <c r="BUG1240" s="30"/>
      <c r="BUH1240" s="30"/>
      <c r="BUI1240" s="30"/>
      <c r="BUJ1240" s="30"/>
      <c r="BUK1240" s="30"/>
      <c r="BUL1240" s="30"/>
      <c r="BUM1240" s="30"/>
      <c r="BUN1240" s="30"/>
      <c r="BUO1240" s="30"/>
      <c r="BUP1240" s="30"/>
      <c r="BUQ1240" s="30"/>
      <c r="BUR1240" s="30"/>
      <c r="BUS1240" s="30"/>
      <c r="BUT1240" s="30"/>
      <c r="BUU1240" s="30"/>
      <c r="BUV1240" s="30"/>
      <c r="BUW1240" s="30"/>
      <c r="BUX1240" s="30"/>
      <c r="BUY1240" s="30"/>
      <c r="BUZ1240" s="30"/>
      <c r="BVA1240" s="30"/>
      <c r="BVB1240" s="30"/>
      <c r="BVC1240" s="30"/>
      <c r="BVD1240" s="30"/>
      <c r="BVE1240" s="30"/>
      <c r="BVF1240" s="30"/>
      <c r="BVG1240" s="30"/>
      <c r="BVH1240" s="30"/>
      <c r="BVI1240" s="30"/>
      <c r="BVJ1240" s="30"/>
      <c r="BVK1240" s="30"/>
      <c r="BVL1240" s="30"/>
      <c r="BVM1240" s="30"/>
      <c r="BVN1240" s="30"/>
      <c r="BVO1240" s="30"/>
      <c r="BVP1240" s="30"/>
      <c r="BVQ1240" s="30"/>
      <c r="BVR1240" s="30"/>
      <c r="BVS1240" s="30"/>
      <c r="BVT1240" s="30"/>
      <c r="BVU1240" s="30"/>
      <c r="BVV1240" s="30"/>
      <c r="BVW1240" s="30"/>
      <c r="BVX1240" s="30"/>
      <c r="BVY1240" s="30"/>
      <c r="BVZ1240" s="30"/>
      <c r="BWA1240" s="30"/>
      <c r="BWB1240" s="30"/>
      <c r="BWC1240" s="30"/>
      <c r="BWD1240" s="30"/>
      <c r="BWE1240" s="30"/>
      <c r="BWF1240" s="30"/>
      <c r="BWG1240" s="30"/>
      <c r="BWH1240" s="30"/>
      <c r="BWI1240" s="30"/>
      <c r="BWJ1240" s="30"/>
      <c r="BWK1240" s="30"/>
      <c r="BWL1240" s="30"/>
      <c r="BWM1240" s="30"/>
      <c r="BWN1240" s="30"/>
      <c r="BWO1240" s="30"/>
      <c r="BWP1240" s="30"/>
      <c r="BWQ1240" s="30"/>
      <c r="BWR1240" s="30"/>
      <c r="BWS1240" s="30"/>
      <c r="BWT1240" s="30"/>
      <c r="BWU1240" s="30"/>
      <c r="BWV1240" s="30"/>
      <c r="BWW1240" s="30"/>
      <c r="BWX1240" s="30"/>
      <c r="BWY1240" s="30"/>
      <c r="BWZ1240" s="30"/>
      <c r="BXA1240" s="30"/>
      <c r="BXB1240" s="30"/>
      <c r="BXC1240" s="30"/>
      <c r="BXD1240" s="30"/>
      <c r="BXE1240" s="30"/>
      <c r="BXF1240" s="30"/>
      <c r="BXG1240" s="30"/>
      <c r="BXH1240" s="30"/>
      <c r="BXI1240" s="30"/>
      <c r="BXJ1240" s="30"/>
      <c r="BXK1240" s="30"/>
      <c r="BXL1240" s="30"/>
      <c r="BXM1240" s="30"/>
      <c r="BXN1240" s="30"/>
      <c r="BXO1240" s="30"/>
      <c r="BXP1240" s="30"/>
      <c r="BXQ1240" s="30"/>
      <c r="BXR1240" s="30"/>
      <c r="BXS1240" s="30"/>
      <c r="BXT1240" s="30"/>
      <c r="BXU1240" s="30"/>
      <c r="BXV1240" s="30"/>
      <c r="BXW1240" s="30"/>
      <c r="BXX1240" s="30"/>
      <c r="BXY1240" s="30"/>
      <c r="BXZ1240" s="30"/>
      <c r="BYA1240" s="30"/>
      <c r="BYB1240" s="30"/>
      <c r="BYC1240" s="30"/>
      <c r="BYD1240" s="30"/>
      <c r="BYE1240" s="30"/>
      <c r="BYF1240" s="30"/>
      <c r="BYG1240" s="30"/>
      <c r="BYH1240" s="30"/>
      <c r="BYI1240" s="30"/>
      <c r="BYJ1240" s="30"/>
      <c r="BYK1240" s="30"/>
      <c r="BYL1240" s="30"/>
      <c r="BYM1240" s="30"/>
      <c r="BYN1240" s="30"/>
      <c r="BYO1240" s="30"/>
      <c r="BYP1240" s="30"/>
      <c r="BYQ1240" s="30"/>
      <c r="BYR1240" s="30"/>
      <c r="BYS1240" s="30"/>
      <c r="BYT1240" s="30"/>
      <c r="BYU1240" s="30"/>
      <c r="BYV1240" s="30"/>
      <c r="BYW1240" s="30"/>
      <c r="BYX1240" s="30"/>
      <c r="BYY1240" s="30"/>
      <c r="BYZ1240" s="30"/>
      <c r="BZA1240" s="30"/>
      <c r="BZB1240" s="30"/>
      <c r="BZC1240" s="30"/>
      <c r="BZD1240" s="30"/>
      <c r="BZE1240" s="30"/>
      <c r="BZF1240" s="30"/>
      <c r="BZG1240" s="30"/>
      <c r="BZH1240" s="30"/>
      <c r="BZI1240" s="30"/>
      <c r="BZJ1240" s="30"/>
      <c r="BZK1240" s="30"/>
      <c r="BZL1240" s="30"/>
      <c r="BZM1240" s="30"/>
      <c r="BZN1240" s="30"/>
      <c r="BZO1240" s="30"/>
      <c r="BZP1240" s="30"/>
      <c r="BZQ1240" s="30"/>
      <c r="BZR1240" s="30"/>
      <c r="BZS1240" s="30"/>
      <c r="BZT1240" s="30"/>
      <c r="BZU1240" s="30"/>
      <c r="BZV1240" s="30"/>
      <c r="BZW1240" s="30"/>
      <c r="BZX1240" s="30"/>
      <c r="BZY1240" s="30"/>
      <c r="BZZ1240" s="30"/>
      <c r="CAA1240" s="30"/>
      <c r="CAB1240" s="30"/>
      <c r="CAC1240" s="30"/>
      <c r="CAD1240" s="30"/>
      <c r="CAE1240" s="30"/>
      <c r="CAF1240" s="30"/>
      <c r="CAG1240" s="30"/>
      <c r="CAH1240" s="30"/>
      <c r="CAI1240" s="30"/>
      <c r="CAJ1240" s="30"/>
      <c r="CAK1240" s="30"/>
      <c r="CAL1240" s="30"/>
      <c r="CAM1240" s="30"/>
      <c r="CAN1240" s="30"/>
      <c r="CAO1240" s="30"/>
      <c r="CAP1240" s="30"/>
      <c r="CAQ1240" s="30"/>
      <c r="CAR1240" s="30"/>
      <c r="CAS1240" s="30"/>
      <c r="CAT1240" s="30"/>
      <c r="CAU1240" s="30"/>
      <c r="CAV1240" s="30"/>
      <c r="CAW1240" s="30"/>
      <c r="CAX1240" s="30"/>
      <c r="CAY1240" s="30"/>
      <c r="CAZ1240" s="30"/>
      <c r="CBA1240" s="30"/>
      <c r="CBB1240" s="30"/>
      <c r="CBC1240" s="30"/>
      <c r="CBD1240" s="30"/>
      <c r="CBE1240" s="30"/>
      <c r="CBF1240" s="30"/>
      <c r="CBG1240" s="30"/>
      <c r="CBH1240" s="30"/>
      <c r="CBI1240" s="30"/>
      <c r="CBJ1240" s="30"/>
      <c r="CBK1240" s="30"/>
      <c r="CBL1240" s="30"/>
      <c r="CBM1240" s="30"/>
      <c r="CBN1240" s="30"/>
      <c r="CBO1240" s="30"/>
      <c r="CBP1240" s="30"/>
      <c r="CBQ1240" s="30"/>
      <c r="CBR1240" s="30"/>
      <c r="CBS1240" s="30"/>
      <c r="CBT1240" s="30"/>
      <c r="CBU1240" s="30"/>
      <c r="CBV1240" s="30"/>
      <c r="CBW1240" s="30"/>
      <c r="CBX1240" s="30"/>
      <c r="CBY1240" s="30"/>
      <c r="CBZ1240" s="30"/>
      <c r="CCA1240" s="30"/>
      <c r="CCB1240" s="30"/>
      <c r="CCC1240" s="30"/>
      <c r="CCD1240" s="30"/>
      <c r="CCE1240" s="30"/>
      <c r="CCF1240" s="30"/>
      <c r="CCG1240" s="30"/>
      <c r="CCH1240" s="30"/>
      <c r="CCI1240" s="30"/>
      <c r="CCJ1240" s="30"/>
      <c r="CCK1240" s="30"/>
      <c r="CCL1240" s="30"/>
      <c r="CCM1240" s="30"/>
      <c r="CCN1240" s="30"/>
      <c r="CCO1240" s="30"/>
      <c r="CCP1240" s="30"/>
      <c r="CCQ1240" s="30"/>
      <c r="CCR1240" s="30"/>
      <c r="CCS1240" s="30"/>
      <c r="CCT1240" s="30"/>
      <c r="CCU1240" s="30"/>
      <c r="CCV1240" s="30"/>
      <c r="CCW1240" s="30"/>
      <c r="CCX1240" s="30"/>
      <c r="CCY1240" s="30"/>
      <c r="CCZ1240" s="30"/>
      <c r="CDA1240" s="30"/>
      <c r="CDB1240" s="30"/>
      <c r="CDC1240" s="30"/>
      <c r="CDD1240" s="30"/>
      <c r="CDE1240" s="30"/>
      <c r="CDF1240" s="30"/>
      <c r="CDG1240" s="30"/>
      <c r="CDH1240" s="30"/>
      <c r="CDI1240" s="30"/>
      <c r="CDJ1240" s="30"/>
      <c r="CDK1240" s="30"/>
      <c r="CDL1240" s="30"/>
      <c r="CDM1240" s="30"/>
      <c r="CDN1240" s="30"/>
      <c r="CDO1240" s="30"/>
      <c r="CDP1240" s="30"/>
      <c r="CDQ1240" s="30"/>
      <c r="CDR1240" s="30"/>
      <c r="CDS1240" s="30"/>
      <c r="CDT1240" s="30"/>
      <c r="CDU1240" s="30"/>
      <c r="CDV1240" s="30"/>
      <c r="CDW1240" s="30"/>
      <c r="CDX1240" s="30"/>
      <c r="CDY1240" s="30"/>
      <c r="CDZ1240" s="30"/>
      <c r="CEA1240" s="30"/>
      <c r="CEB1240" s="30"/>
      <c r="CEC1240" s="30"/>
      <c r="CED1240" s="30"/>
      <c r="CEE1240" s="30"/>
      <c r="CEF1240" s="30"/>
      <c r="CEG1240" s="30"/>
      <c r="CEH1240" s="30"/>
      <c r="CEI1240" s="30"/>
      <c r="CEJ1240" s="30"/>
      <c r="CEK1240" s="30"/>
      <c r="CEL1240" s="30"/>
      <c r="CEM1240" s="30"/>
      <c r="CEN1240" s="30"/>
      <c r="CEO1240" s="30"/>
      <c r="CEP1240" s="30"/>
      <c r="CEQ1240" s="30"/>
      <c r="CER1240" s="30"/>
      <c r="CES1240" s="30"/>
      <c r="CET1240" s="30"/>
      <c r="CEU1240" s="30"/>
      <c r="CEV1240" s="30"/>
      <c r="CEW1240" s="30"/>
      <c r="CEX1240" s="30"/>
      <c r="CEY1240" s="30"/>
      <c r="CEZ1240" s="30"/>
      <c r="CFA1240" s="30"/>
      <c r="CFB1240" s="30"/>
      <c r="CFC1240" s="30"/>
      <c r="CFD1240" s="30"/>
      <c r="CFE1240" s="30"/>
      <c r="CFF1240" s="30"/>
      <c r="CFG1240" s="30"/>
      <c r="CFH1240" s="30"/>
      <c r="CFI1240" s="30"/>
      <c r="CFJ1240" s="30"/>
      <c r="CFK1240" s="30"/>
      <c r="CFL1240" s="30"/>
      <c r="CFM1240" s="30"/>
      <c r="CFN1240" s="30"/>
      <c r="CFO1240" s="30"/>
      <c r="CFP1240" s="30"/>
      <c r="CFQ1240" s="30"/>
      <c r="CFR1240" s="30"/>
      <c r="CFS1240" s="30"/>
      <c r="CFT1240" s="30"/>
      <c r="CFU1240" s="30"/>
      <c r="CFV1240" s="30"/>
      <c r="CFW1240" s="30"/>
      <c r="CFX1240" s="30"/>
      <c r="CFY1240" s="30"/>
      <c r="CFZ1240" s="30"/>
      <c r="CGA1240" s="30"/>
      <c r="CGB1240" s="30"/>
      <c r="CGC1240" s="30"/>
      <c r="CGD1240" s="30"/>
      <c r="CGE1240" s="30"/>
      <c r="CGF1240" s="30"/>
      <c r="CGG1240" s="30"/>
      <c r="CGH1240" s="30"/>
      <c r="CGI1240" s="30"/>
      <c r="CGJ1240" s="30"/>
      <c r="CGK1240" s="30"/>
      <c r="CGL1240" s="30"/>
      <c r="CGM1240" s="30"/>
      <c r="CGN1240" s="30"/>
      <c r="CGO1240" s="30"/>
      <c r="CGP1240" s="30"/>
      <c r="CGQ1240" s="30"/>
      <c r="CGR1240" s="30"/>
      <c r="CGS1240" s="30"/>
      <c r="CGT1240" s="30"/>
      <c r="CGU1240" s="30"/>
      <c r="CGV1240" s="30"/>
      <c r="CGW1240" s="30"/>
      <c r="CGX1240" s="30"/>
      <c r="CGY1240" s="30"/>
      <c r="CGZ1240" s="30"/>
      <c r="CHA1240" s="30"/>
      <c r="CHB1240" s="30"/>
      <c r="CHC1240" s="30"/>
      <c r="CHD1240" s="30"/>
      <c r="CHE1240" s="30"/>
      <c r="CHF1240" s="30"/>
      <c r="CHG1240" s="30"/>
      <c r="CHH1240" s="30"/>
      <c r="CHI1240" s="30"/>
      <c r="CHJ1240" s="30"/>
      <c r="CHK1240" s="30"/>
      <c r="CHL1240" s="30"/>
      <c r="CHM1240" s="30"/>
      <c r="CHN1240" s="30"/>
      <c r="CHO1240" s="30"/>
      <c r="CHP1240" s="30"/>
      <c r="CHQ1240" s="30"/>
      <c r="CHR1240" s="30"/>
      <c r="CHS1240" s="30"/>
      <c r="CHT1240" s="30"/>
      <c r="CHU1240" s="30"/>
      <c r="CHV1240" s="30"/>
      <c r="CHW1240" s="30"/>
      <c r="CHX1240" s="30"/>
      <c r="CHY1240" s="30"/>
      <c r="CHZ1240" s="30"/>
      <c r="CIA1240" s="30"/>
      <c r="CIB1240" s="30"/>
      <c r="CIC1240" s="30"/>
      <c r="CID1240" s="30"/>
      <c r="CIE1240" s="30"/>
      <c r="CIF1240" s="30"/>
      <c r="CIG1240" s="30"/>
      <c r="CIH1240" s="30"/>
      <c r="CII1240" s="30"/>
      <c r="CIJ1240" s="30"/>
      <c r="CIK1240" s="30"/>
      <c r="CIL1240" s="30"/>
      <c r="CIM1240" s="30"/>
      <c r="CIN1240" s="30"/>
      <c r="CIO1240" s="30"/>
      <c r="CIP1240" s="30"/>
      <c r="CIQ1240" s="30"/>
      <c r="CIR1240" s="30"/>
      <c r="CIS1240" s="30"/>
      <c r="CIT1240" s="30"/>
      <c r="CIU1240" s="30"/>
      <c r="CIV1240" s="30"/>
      <c r="CIW1240" s="30"/>
      <c r="CIX1240" s="30"/>
      <c r="CIY1240" s="30"/>
      <c r="CIZ1240" s="30"/>
      <c r="CJA1240" s="30"/>
      <c r="CJB1240" s="30"/>
      <c r="CJC1240" s="30"/>
      <c r="CJD1240" s="30"/>
      <c r="CJE1240" s="30"/>
      <c r="CJF1240" s="30"/>
      <c r="CJG1240" s="30"/>
      <c r="CJH1240" s="30"/>
      <c r="CJI1240" s="30"/>
      <c r="CJJ1240" s="30"/>
      <c r="CJK1240" s="30"/>
      <c r="CJL1240" s="30"/>
      <c r="CJM1240" s="30"/>
      <c r="CJN1240" s="30"/>
      <c r="CJO1240" s="30"/>
      <c r="CJP1240" s="30"/>
      <c r="CJQ1240" s="30"/>
      <c r="CJR1240" s="30"/>
      <c r="CJS1240" s="30"/>
      <c r="CJT1240" s="30"/>
      <c r="CJU1240" s="30"/>
      <c r="CJV1240" s="30"/>
      <c r="CJW1240" s="30"/>
      <c r="CJX1240" s="30"/>
      <c r="CJY1240" s="30"/>
      <c r="CJZ1240" s="30"/>
      <c r="CKA1240" s="30"/>
      <c r="CKB1240" s="30"/>
      <c r="CKC1240" s="30"/>
      <c r="CKD1240" s="30"/>
      <c r="CKE1240" s="30"/>
      <c r="CKF1240" s="30"/>
      <c r="CKG1240" s="30"/>
      <c r="CKH1240" s="30"/>
      <c r="CKI1240" s="30"/>
      <c r="CKJ1240" s="30"/>
      <c r="CKK1240" s="30"/>
      <c r="CKL1240" s="30"/>
      <c r="CKM1240" s="30"/>
      <c r="CKN1240" s="30"/>
      <c r="CKO1240" s="30"/>
      <c r="CKP1240" s="30"/>
      <c r="CKQ1240" s="30"/>
      <c r="CKR1240" s="30"/>
      <c r="CKS1240" s="30"/>
      <c r="CKT1240" s="30"/>
      <c r="CKU1240" s="30"/>
      <c r="CKV1240" s="30"/>
      <c r="CKW1240" s="30"/>
      <c r="CKX1240" s="30"/>
      <c r="CKY1240" s="30"/>
      <c r="CKZ1240" s="30"/>
      <c r="CLA1240" s="30"/>
      <c r="CLB1240" s="30"/>
      <c r="CLC1240" s="30"/>
      <c r="CLD1240" s="30"/>
      <c r="CLE1240" s="30"/>
      <c r="CLF1240" s="30"/>
      <c r="CLG1240" s="30"/>
      <c r="CLH1240" s="30"/>
      <c r="CLI1240" s="30"/>
      <c r="CLJ1240" s="30"/>
      <c r="CLK1240" s="30"/>
      <c r="CLL1240" s="30"/>
      <c r="CLM1240" s="30"/>
      <c r="CLN1240" s="30"/>
      <c r="CLO1240" s="30"/>
      <c r="CLP1240" s="30"/>
      <c r="CLQ1240" s="30"/>
      <c r="CLR1240" s="30"/>
      <c r="CLS1240" s="30"/>
      <c r="CLT1240" s="30"/>
      <c r="CLU1240" s="30"/>
      <c r="CLV1240" s="30"/>
      <c r="CLW1240" s="30"/>
      <c r="CLX1240" s="30"/>
      <c r="CLY1240" s="30"/>
      <c r="CLZ1240" s="30"/>
      <c r="CMA1240" s="30"/>
      <c r="CMB1240" s="30"/>
      <c r="CMC1240" s="30"/>
      <c r="CMD1240" s="30"/>
      <c r="CME1240" s="30"/>
      <c r="CMF1240" s="30"/>
      <c r="CMG1240" s="30"/>
      <c r="CMH1240" s="30"/>
      <c r="CMI1240" s="30"/>
      <c r="CMJ1240" s="30"/>
      <c r="CMK1240" s="30"/>
      <c r="CML1240" s="30"/>
      <c r="CMM1240" s="30"/>
      <c r="CMN1240" s="30"/>
      <c r="CMO1240" s="30"/>
      <c r="CMP1240" s="30"/>
      <c r="CMQ1240" s="30"/>
      <c r="CMR1240" s="30"/>
      <c r="CMS1240" s="30"/>
      <c r="CMT1240" s="30"/>
      <c r="CMU1240" s="30"/>
      <c r="CMV1240" s="30"/>
      <c r="CMW1240" s="30"/>
      <c r="CMX1240" s="30"/>
      <c r="CMY1240" s="30"/>
      <c r="CMZ1240" s="30"/>
      <c r="CNA1240" s="30"/>
      <c r="CNB1240" s="30"/>
      <c r="CNC1240" s="30"/>
      <c r="CND1240" s="30"/>
      <c r="CNE1240" s="30"/>
      <c r="CNF1240" s="30"/>
      <c r="CNG1240" s="30"/>
      <c r="CNH1240" s="30"/>
      <c r="CNI1240" s="30"/>
      <c r="CNJ1240" s="30"/>
      <c r="CNK1240" s="30"/>
      <c r="CNL1240" s="30"/>
      <c r="CNM1240" s="30"/>
      <c r="CNN1240" s="30"/>
      <c r="CNO1240" s="30"/>
      <c r="CNP1240" s="30"/>
      <c r="CNQ1240" s="30"/>
      <c r="CNR1240" s="30"/>
      <c r="CNS1240" s="30"/>
      <c r="CNT1240" s="30"/>
      <c r="CNU1240" s="30"/>
      <c r="CNV1240" s="30"/>
      <c r="CNW1240" s="30"/>
      <c r="CNX1240" s="30"/>
      <c r="CNY1240" s="30"/>
      <c r="CNZ1240" s="30"/>
      <c r="COA1240" s="30"/>
      <c r="COB1240" s="30"/>
      <c r="COC1240" s="30"/>
      <c r="COD1240" s="30"/>
      <c r="COE1240" s="30"/>
      <c r="COF1240" s="30"/>
      <c r="COG1240" s="30"/>
      <c r="COH1240" s="30"/>
      <c r="COI1240" s="30"/>
      <c r="COJ1240" s="30"/>
      <c r="COK1240" s="30"/>
      <c r="COL1240" s="30"/>
      <c r="COM1240" s="30"/>
      <c r="CON1240" s="30"/>
      <c r="COO1240" s="30"/>
      <c r="COP1240" s="30"/>
      <c r="COQ1240" s="30"/>
      <c r="COR1240" s="30"/>
      <c r="COS1240" s="30"/>
      <c r="COT1240" s="30"/>
      <c r="COU1240" s="30"/>
      <c r="COV1240" s="30"/>
      <c r="COW1240" s="30"/>
      <c r="COX1240" s="30"/>
      <c r="COY1240" s="30"/>
      <c r="COZ1240" s="30"/>
      <c r="CPA1240" s="30"/>
      <c r="CPB1240" s="30"/>
      <c r="CPC1240" s="30"/>
      <c r="CPD1240" s="30"/>
      <c r="CPE1240" s="30"/>
      <c r="CPF1240" s="30"/>
      <c r="CPG1240" s="30"/>
      <c r="CPH1240" s="30"/>
      <c r="CPI1240" s="30"/>
      <c r="CPJ1240" s="30"/>
      <c r="CPK1240" s="30"/>
      <c r="CPL1240" s="30"/>
      <c r="CPM1240" s="30"/>
      <c r="CPN1240" s="30"/>
      <c r="CPO1240" s="30"/>
      <c r="CPP1240" s="30"/>
      <c r="CPQ1240" s="30"/>
      <c r="CPR1240" s="30"/>
      <c r="CPS1240" s="30"/>
      <c r="CPT1240" s="30"/>
      <c r="CPU1240" s="30"/>
      <c r="CPV1240" s="30"/>
      <c r="CPW1240" s="30"/>
      <c r="CPX1240" s="30"/>
      <c r="CPY1240" s="30"/>
      <c r="CPZ1240" s="30"/>
      <c r="CQA1240" s="30"/>
      <c r="CQB1240" s="30"/>
      <c r="CQC1240" s="30"/>
      <c r="CQD1240" s="30"/>
      <c r="CQE1240" s="30"/>
      <c r="CQF1240" s="30"/>
      <c r="CQG1240" s="30"/>
      <c r="CQH1240" s="30"/>
      <c r="CQI1240" s="30"/>
      <c r="CQJ1240" s="30"/>
      <c r="CQK1240" s="30"/>
      <c r="CQL1240" s="30"/>
      <c r="CQM1240" s="30"/>
      <c r="CQN1240" s="30"/>
      <c r="CQO1240" s="30"/>
      <c r="CQP1240" s="30"/>
      <c r="CQQ1240" s="30"/>
      <c r="CQR1240" s="30"/>
      <c r="CQS1240" s="30"/>
      <c r="CQT1240" s="30"/>
      <c r="CQU1240" s="30"/>
      <c r="CQV1240" s="30"/>
      <c r="CQW1240" s="30"/>
      <c r="CQX1240" s="30"/>
      <c r="CQY1240" s="30"/>
      <c r="CQZ1240" s="30"/>
      <c r="CRA1240" s="30"/>
      <c r="CRB1240" s="30"/>
      <c r="CRC1240" s="30"/>
      <c r="CRD1240" s="30"/>
      <c r="CRE1240" s="30"/>
      <c r="CRF1240" s="30"/>
      <c r="CRG1240" s="30"/>
      <c r="CRH1240" s="30"/>
      <c r="CRI1240" s="30"/>
      <c r="CRJ1240" s="30"/>
      <c r="CRK1240" s="30"/>
      <c r="CRL1240" s="30"/>
      <c r="CRM1240" s="30"/>
      <c r="CRN1240" s="30"/>
      <c r="CRO1240" s="30"/>
      <c r="CRP1240" s="30"/>
      <c r="CRQ1240" s="30"/>
      <c r="CRR1240" s="30"/>
      <c r="CRS1240" s="30"/>
      <c r="CRT1240" s="30"/>
      <c r="CRU1240" s="30"/>
      <c r="CRV1240" s="30"/>
      <c r="CRW1240" s="30"/>
      <c r="CRX1240" s="30"/>
      <c r="CRY1240" s="30"/>
      <c r="CRZ1240" s="30"/>
      <c r="CSA1240" s="30"/>
      <c r="CSB1240" s="30"/>
      <c r="CSC1240" s="30"/>
      <c r="CSD1240" s="30"/>
      <c r="CSE1240" s="30"/>
      <c r="CSF1240" s="30"/>
      <c r="CSG1240" s="30"/>
      <c r="CSH1240" s="30"/>
      <c r="CSI1240" s="30"/>
      <c r="CSJ1240" s="30"/>
      <c r="CSK1240" s="30"/>
      <c r="CSL1240" s="30"/>
      <c r="CSM1240" s="30"/>
      <c r="CSN1240" s="30"/>
      <c r="CSO1240" s="30"/>
      <c r="CSP1240" s="30"/>
      <c r="CSQ1240" s="30"/>
      <c r="CSR1240" s="30"/>
      <c r="CSS1240" s="30"/>
      <c r="CST1240" s="30"/>
      <c r="CSU1240" s="30"/>
      <c r="CSV1240" s="30"/>
      <c r="CSW1240" s="30"/>
      <c r="CSX1240" s="30"/>
      <c r="CSY1240" s="30"/>
      <c r="CSZ1240" s="30"/>
      <c r="CTA1240" s="30"/>
      <c r="CTB1240" s="30"/>
      <c r="CTC1240" s="30"/>
      <c r="CTD1240" s="30"/>
      <c r="CTE1240" s="30"/>
      <c r="CTF1240" s="30"/>
      <c r="CTG1240" s="30"/>
      <c r="CTH1240" s="30"/>
      <c r="CTI1240" s="30"/>
      <c r="CTJ1240" s="30"/>
      <c r="CTK1240" s="30"/>
      <c r="CTL1240" s="30"/>
      <c r="CTM1240" s="30"/>
      <c r="CTN1240" s="30"/>
      <c r="CTO1240" s="30"/>
      <c r="CTP1240" s="30"/>
      <c r="CTQ1240" s="30"/>
      <c r="CTR1240" s="30"/>
      <c r="CTS1240" s="30"/>
      <c r="CTT1240" s="30"/>
      <c r="CTU1240" s="30"/>
      <c r="CTV1240" s="30"/>
      <c r="CTW1240" s="30"/>
      <c r="CTX1240" s="30"/>
      <c r="CTY1240" s="30"/>
      <c r="CTZ1240" s="30"/>
      <c r="CUA1240" s="30"/>
      <c r="CUB1240" s="30"/>
      <c r="CUC1240" s="30"/>
      <c r="CUD1240" s="30"/>
      <c r="CUE1240" s="30"/>
      <c r="CUF1240" s="30"/>
      <c r="CUG1240" s="30"/>
      <c r="CUH1240" s="30"/>
      <c r="CUI1240" s="30"/>
      <c r="CUJ1240" s="30"/>
      <c r="CUK1240" s="30"/>
      <c r="CUL1240" s="30"/>
      <c r="CUM1240" s="30"/>
      <c r="CUN1240" s="30"/>
      <c r="CUO1240" s="30"/>
      <c r="CUP1240" s="30"/>
      <c r="CUQ1240" s="30"/>
      <c r="CUR1240" s="30"/>
      <c r="CUS1240" s="30"/>
      <c r="CUT1240" s="30"/>
      <c r="CUU1240" s="30"/>
      <c r="CUV1240" s="30"/>
      <c r="CUW1240" s="30"/>
      <c r="CUX1240" s="30"/>
      <c r="CUY1240" s="30"/>
      <c r="CUZ1240" s="30"/>
      <c r="CVA1240" s="30"/>
      <c r="CVB1240" s="30"/>
      <c r="CVC1240" s="30"/>
      <c r="CVD1240" s="30"/>
      <c r="CVE1240" s="30"/>
      <c r="CVF1240" s="30"/>
      <c r="CVG1240" s="30"/>
      <c r="CVH1240" s="30"/>
      <c r="CVI1240" s="30"/>
      <c r="CVJ1240" s="30"/>
      <c r="CVK1240" s="30"/>
      <c r="CVL1240" s="30"/>
      <c r="CVM1240" s="30"/>
      <c r="CVN1240" s="30"/>
      <c r="CVO1240" s="30"/>
      <c r="CVP1240" s="30"/>
      <c r="CVQ1240" s="30"/>
      <c r="CVR1240" s="30"/>
      <c r="CVS1240" s="30"/>
      <c r="CVT1240" s="30"/>
      <c r="CVU1240" s="30"/>
      <c r="CVV1240" s="30"/>
      <c r="CVW1240" s="30"/>
      <c r="CVX1240" s="30"/>
      <c r="CVY1240" s="30"/>
      <c r="CVZ1240" s="30"/>
      <c r="CWA1240" s="30"/>
      <c r="CWB1240" s="30"/>
      <c r="CWC1240" s="30"/>
      <c r="CWD1240" s="30"/>
      <c r="CWE1240" s="30"/>
      <c r="CWF1240" s="30"/>
      <c r="CWG1240" s="30"/>
      <c r="CWH1240" s="30"/>
      <c r="CWI1240" s="30"/>
      <c r="CWJ1240" s="30"/>
      <c r="CWK1240" s="30"/>
      <c r="CWL1240" s="30"/>
      <c r="CWM1240" s="30"/>
      <c r="CWN1240" s="30"/>
      <c r="CWO1240" s="30"/>
      <c r="CWP1240" s="30"/>
      <c r="CWQ1240" s="30"/>
      <c r="CWR1240" s="30"/>
      <c r="CWS1240" s="30"/>
      <c r="CWT1240" s="30"/>
      <c r="CWU1240" s="30"/>
      <c r="CWV1240" s="30"/>
      <c r="CWW1240" s="30"/>
      <c r="CWX1240" s="30"/>
      <c r="CWY1240" s="30"/>
      <c r="CWZ1240" s="30"/>
      <c r="CXA1240" s="30"/>
      <c r="CXB1240" s="30"/>
      <c r="CXC1240" s="30"/>
      <c r="CXD1240" s="30"/>
      <c r="CXE1240" s="30"/>
      <c r="CXF1240" s="30"/>
      <c r="CXG1240" s="30"/>
      <c r="CXH1240" s="30"/>
      <c r="CXI1240" s="30"/>
      <c r="CXJ1240" s="30"/>
      <c r="CXK1240" s="30"/>
      <c r="CXL1240" s="30"/>
      <c r="CXM1240" s="30"/>
      <c r="CXN1240" s="30"/>
      <c r="CXO1240" s="30"/>
      <c r="CXP1240" s="30"/>
      <c r="CXQ1240" s="30"/>
      <c r="CXR1240" s="30"/>
      <c r="CXS1240" s="30"/>
      <c r="CXT1240" s="30"/>
      <c r="CXU1240" s="30"/>
      <c r="CXV1240" s="30"/>
      <c r="CXW1240" s="30"/>
      <c r="CXX1240" s="30"/>
      <c r="CXY1240" s="30"/>
      <c r="CXZ1240" s="30"/>
      <c r="CYA1240" s="30"/>
      <c r="CYB1240" s="30"/>
      <c r="CYC1240" s="30"/>
      <c r="CYD1240" s="30"/>
      <c r="CYE1240" s="30"/>
      <c r="CYF1240" s="30"/>
      <c r="CYG1240" s="30"/>
      <c r="CYH1240" s="30"/>
      <c r="CYI1240" s="30"/>
      <c r="CYJ1240" s="30"/>
      <c r="CYK1240" s="30"/>
      <c r="CYL1240" s="30"/>
      <c r="CYM1240" s="30"/>
      <c r="CYN1240" s="30"/>
      <c r="CYO1240" s="30"/>
      <c r="CYP1240" s="30"/>
      <c r="CYQ1240" s="30"/>
      <c r="CYR1240" s="30"/>
      <c r="CYS1240" s="30"/>
      <c r="CYT1240" s="30"/>
      <c r="CYU1240" s="30"/>
      <c r="CYV1240" s="30"/>
      <c r="CYW1240" s="30"/>
      <c r="CYX1240" s="30"/>
      <c r="CYY1240" s="30"/>
      <c r="CYZ1240" s="30"/>
      <c r="CZA1240" s="30"/>
      <c r="CZB1240" s="30"/>
      <c r="CZC1240" s="30"/>
      <c r="CZD1240" s="30"/>
      <c r="CZE1240" s="30"/>
      <c r="CZF1240" s="30"/>
      <c r="CZG1240" s="30"/>
      <c r="CZH1240" s="30"/>
      <c r="CZI1240" s="30"/>
      <c r="CZJ1240" s="30"/>
      <c r="CZK1240" s="30"/>
      <c r="CZL1240" s="30"/>
      <c r="CZM1240" s="30"/>
      <c r="CZN1240" s="30"/>
      <c r="CZO1240" s="30"/>
      <c r="CZP1240" s="30"/>
      <c r="CZQ1240" s="30"/>
      <c r="CZR1240" s="30"/>
      <c r="CZS1240" s="30"/>
      <c r="CZT1240" s="30"/>
      <c r="CZU1240" s="30"/>
      <c r="CZV1240" s="30"/>
      <c r="CZW1240" s="30"/>
      <c r="CZX1240" s="30"/>
      <c r="CZY1240" s="30"/>
      <c r="CZZ1240" s="30"/>
      <c r="DAA1240" s="30"/>
      <c r="DAB1240" s="30"/>
      <c r="DAC1240" s="30"/>
      <c r="DAD1240" s="30"/>
      <c r="DAE1240" s="30"/>
      <c r="DAF1240" s="30"/>
      <c r="DAG1240" s="30"/>
      <c r="DAH1240" s="30"/>
      <c r="DAI1240" s="30"/>
      <c r="DAJ1240" s="30"/>
      <c r="DAK1240" s="30"/>
      <c r="DAL1240" s="30"/>
      <c r="DAM1240" s="30"/>
      <c r="DAN1240" s="30"/>
      <c r="DAO1240" s="30"/>
      <c r="DAP1240" s="30"/>
      <c r="DAQ1240" s="30"/>
      <c r="DAR1240" s="30"/>
      <c r="DAS1240" s="30"/>
      <c r="DAT1240" s="30"/>
      <c r="DAU1240" s="30"/>
      <c r="DAV1240" s="30"/>
      <c r="DAW1240" s="30"/>
      <c r="DAX1240" s="30"/>
      <c r="DAY1240" s="30"/>
      <c r="DAZ1240" s="30"/>
      <c r="DBA1240" s="30"/>
      <c r="DBB1240" s="30"/>
      <c r="DBC1240" s="30"/>
      <c r="DBD1240" s="30"/>
      <c r="DBE1240" s="30"/>
      <c r="DBF1240" s="30"/>
      <c r="DBG1240" s="30"/>
      <c r="DBH1240" s="30"/>
      <c r="DBI1240" s="30"/>
      <c r="DBJ1240" s="30"/>
      <c r="DBK1240" s="30"/>
      <c r="DBL1240" s="30"/>
      <c r="DBM1240" s="30"/>
      <c r="DBN1240" s="30"/>
      <c r="DBO1240" s="30"/>
      <c r="DBP1240" s="30"/>
      <c r="DBQ1240" s="30"/>
      <c r="DBR1240" s="30"/>
      <c r="DBS1240" s="30"/>
      <c r="DBT1240" s="30"/>
      <c r="DBU1240" s="30"/>
      <c r="DBV1240" s="30"/>
      <c r="DBW1240" s="30"/>
      <c r="DBX1240" s="30"/>
      <c r="DBY1240" s="30"/>
      <c r="DBZ1240" s="30"/>
      <c r="DCA1240" s="30"/>
      <c r="DCB1240" s="30"/>
      <c r="DCC1240" s="30"/>
      <c r="DCD1240" s="30"/>
      <c r="DCE1240" s="30"/>
      <c r="DCF1240" s="30"/>
      <c r="DCG1240" s="30"/>
      <c r="DCH1240" s="30"/>
      <c r="DCI1240" s="30"/>
      <c r="DCJ1240" s="30"/>
      <c r="DCK1240" s="30"/>
      <c r="DCL1240" s="30"/>
      <c r="DCM1240" s="30"/>
      <c r="DCN1240" s="30"/>
      <c r="DCO1240" s="30"/>
      <c r="DCP1240" s="30"/>
      <c r="DCQ1240" s="30"/>
      <c r="DCR1240" s="30"/>
      <c r="DCS1240" s="30"/>
      <c r="DCT1240" s="30"/>
      <c r="DCU1240" s="30"/>
      <c r="DCV1240" s="30"/>
      <c r="DCW1240" s="30"/>
      <c r="DCX1240" s="30"/>
      <c r="DCY1240" s="30"/>
      <c r="DCZ1240" s="30"/>
      <c r="DDA1240" s="30"/>
      <c r="DDB1240" s="30"/>
      <c r="DDC1240" s="30"/>
      <c r="DDD1240" s="30"/>
      <c r="DDE1240" s="30"/>
      <c r="DDF1240" s="30"/>
      <c r="DDG1240" s="30"/>
      <c r="DDH1240" s="30"/>
      <c r="DDI1240" s="30"/>
      <c r="DDJ1240" s="30"/>
      <c r="DDK1240" s="30"/>
      <c r="DDL1240" s="30"/>
      <c r="DDM1240" s="30"/>
      <c r="DDN1240" s="30"/>
      <c r="DDO1240" s="30"/>
      <c r="DDP1240" s="30"/>
      <c r="DDQ1240" s="30"/>
      <c r="DDR1240" s="30"/>
      <c r="DDS1240" s="30"/>
      <c r="DDT1240" s="30"/>
      <c r="DDU1240" s="30"/>
      <c r="DDV1240" s="30"/>
      <c r="DDW1240" s="30"/>
      <c r="DDX1240" s="30"/>
      <c r="DDY1240" s="30"/>
      <c r="DDZ1240" s="30"/>
      <c r="DEA1240" s="30"/>
      <c r="DEB1240" s="30"/>
      <c r="DEC1240" s="30"/>
      <c r="DED1240" s="30"/>
      <c r="DEE1240" s="30"/>
      <c r="DEF1240" s="30"/>
      <c r="DEG1240" s="30"/>
      <c r="DEH1240" s="30"/>
      <c r="DEI1240" s="30"/>
      <c r="DEJ1240" s="30"/>
      <c r="DEK1240" s="30"/>
      <c r="DEL1240" s="30"/>
      <c r="DEM1240" s="30"/>
      <c r="DEN1240" s="30"/>
      <c r="DEO1240" s="30"/>
      <c r="DEP1240" s="30"/>
      <c r="DEQ1240" s="30"/>
      <c r="DER1240" s="30"/>
      <c r="DES1240" s="30"/>
      <c r="DET1240" s="30"/>
      <c r="DEU1240" s="30"/>
      <c r="DEV1240" s="30"/>
      <c r="DEW1240" s="30"/>
      <c r="DEX1240" s="30"/>
      <c r="DEY1240" s="30"/>
      <c r="DEZ1240" s="30"/>
      <c r="DFA1240" s="30"/>
      <c r="DFB1240" s="30"/>
      <c r="DFC1240" s="30"/>
      <c r="DFD1240" s="30"/>
      <c r="DFE1240" s="30"/>
      <c r="DFF1240" s="30"/>
      <c r="DFG1240" s="30"/>
      <c r="DFH1240" s="30"/>
      <c r="DFI1240" s="30"/>
      <c r="DFJ1240" s="30"/>
      <c r="DFK1240" s="30"/>
      <c r="DFL1240" s="30"/>
      <c r="DFM1240" s="30"/>
      <c r="DFN1240" s="30"/>
      <c r="DFO1240" s="30"/>
      <c r="DFP1240" s="30"/>
      <c r="DFQ1240" s="30"/>
      <c r="DFR1240" s="30"/>
      <c r="DFS1240" s="30"/>
      <c r="DFT1240" s="30"/>
      <c r="DFU1240" s="30"/>
      <c r="DFV1240" s="30"/>
      <c r="DFW1240" s="30"/>
      <c r="DFX1240" s="30"/>
      <c r="DFY1240" s="30"/>
      <c r="DFZ1240" s="30"/>
      <c r="DGA1240" s="30"/>
      <c r="DGB1240" s="30"/>
      <c r="DGC1240" s="30"/>
      <c r="DGD1240" s="30"/>
      <c r="DGE1240" s="30"/>
      <c r="DGF1240" s="30"/>
      <c r="DGG1240" s="30"/>
      <c r="DGH1240" s="30"/>
      <c r="DGI1240" s="30"/>
      <c r="DGJ1240" s="30"/>
      <c r="DGK1240" s="30"/>
      <c r="DGL1240" s="30"/>
      <c r="DGM1240" s="30"/>
      <c r="DGN1240" s="30"/>
      <c r="DGO1240" s="30"/>
      <c r="DGP1240" s="30"/>
      <c r="DGQ1240" s="30"/>
      <c r="DGR1240" s="30"/>
      <c r="DGS1240" s="30"/>
      <c r="DGT1240" s="30"/>
      <c r="DGU1240" s="30"/>
      <c r="DGV1240" s="30"/>
      <c r="DGW1240" s="30"/>
      <c r="DGX1240" s="30"/>
      <c r="DGY1240" s="30"/>
      <c r="DGZ1240" s="30"/>
      <c r="DHA1240" s="30"/>
      <c r="DHB1240" s="30"/>
      <c r="DHC1240" s="30"/>
      <c r="DHD1240" s="30"/>
      <c r="DHE1240" s="30"/>
      <c r="DHF1240" s="30"/>
      <c r="DHG1240" s="30"/>
      <c r="DHH1240" s="30"/>
      <c r="DHI1240" s="30"/>
      <c r="DHJ1240" s="30"/>
      <c r="DHK1240" s="30"/>
      <c r="DHL1240" s="30"/>
      <c r="DHM1240" s="30"/>
      <c r="DHN1240" s="30"/>
      <c r="DHO1240" s="30"/>
      <c r="DHP1240" s="30"/>
      <c r="DHQ1240" s="30"/>
      <c r="DHR1240" s="30"/>
      <c r="DHS1240" s="30"/>
      <c r="DHT1240" s="30"/>
      <c r="DHU1240" s="30"/>
      <c r="DHV1240" s="30"/>
      <c r="DHW1240" s="30"/>
      <c r="DHX1240" s="30"/>
      <c r="DHY1240" s="30"/>
      <c r="DHZ1240" s="30"/>
      <c r="DIA1240" s="30"/>
      <c r="DIB1240" s="30"/>
      <c r="DIC1240" s="30"/>
      <c r="DID1240" s="30"/>
      <c r="DIE1240" s="30"/>
      <c r="DIF1240" s="30"/>
      <c r="DIG1240" s="30"/>
      <c r="DIH1240" s="30"/>
      <c r="DII1240" s="30"/>
      <c r="DIJ1240" s="30"/>
      <c r="DIK1240" s="30"/>
      <c r="DIL1240" s="30"/>
      <c r="DIM1240" s="30"/>
      <c r="DIN1240" s="30"/>
      <c r="DIO1240" s="30"/>
      <c r="DIP1240" s="30"/>
      <c r="DIQ1240" s="30"/>
      <c r="DIR1240" s="30"/>
      <c r="DIS1240" s="30"/>
      <c r="DIT1240" s="30"/>
      <c r="DIU1240" s="30"/>
      <c r="DIV1240" s="30"/>
      <c r="DIW1240" s="30"/>
      <c r="DIX1240" s="30"/>
      <c r="DIY1240" s="30"/>
      <c r="DIZ1240" s="30"/>
      <c r="DJA1240" s="30"/>
      <c r="DJB1240" s="30"/>
      <c r="DJC1240" s="30"/>
      <c r="DJD1240" s="30"/>
      <c r="DJE1240" s="30"/>
      <c r="DJF1240" s="30"/>
      <c r="DJG1240" s="30"/>
      <c r="DJH1240" s="30"/>
      <c r="DJI1240" s="30"/>
      <c r="DJJ1240" s="30"/>
      <c r="DJK1240" s="30"/>
      <c r="DJL1240" s="30"/>
      <c r="DJM1240" s="30"/>
      <c r="DJN1240" s="30"/>
      <c r="DJO1240" s="30"/>
      <c r="DJP1240" s="30"/>
      <c r="DJQ1240" s="30"/>
      <c r="DJR1240" s="30"/>
      <c r="DJS1240" s="30"/>
      <c r="DJT1240" s="30"/>
      <c r="DJU1240" s="30"/>
      <c r="DJV1240" s="30"/>
      <c r="DJW1240" s="30"/>
      <c r="DJX1240" s="30"/>
      <c r="DJY1240" s="30"/>
      <c r="DJZ1240" s="30"/>
      <c r="DKA1240" s="30"/>
      <c r="DKB1240" s="30"/>
      <c r="DKC1240" s="30"/>
      <c r="DKD1240" s="30"/>
      <c r="DKE1240" s="30"/>
      <c r="DKF1240" s="30"/>
      <c r="DKG1240" s="30"/>
      <c r="DKH1240" s="30"/>
      <c r="DKI1240" s="30"/>
      <c r="DKJ1240" s="30"/>
      <c r="DKK1240" s="30"/>
      <c r="DKL1240" s="30"/>
      <c r="DKM1240" s="30"/>
      <c r="DKN1240" s="30"/>
      <c r="DKO1240" s="30"/>
      <c r="DKP1240" s="30"/>
      <c r="DKQ1240" s="30"/>
      <c r="DKR1240" s="30"/>
      <c r="DKS1240" s="30"/>
      <c r="DKT1240" s="30"/>
      <c r="DKU1240" s="30"/>
      <c r="DKV1240" s="30"/>
      <c r="DKW1240" s="30"/>
      <c r="DKX1240" s="30"/>
      <c r="DKY1240" s="30"/>
      <c r="DKZ1240" s="30"/>
      <c r="DLA1240" s="30"/>
      <c r="DLB1240" s="30"/>
      <c r="DLC1240" s="30"/>
      <c r="DLD1240" s="30"/>
      <c r="DLE1240" s="30"/>
      <c r="DLF1240" s="30"/>
      <c r="DLG1240" s="30"/>
      <c r="DLH1240" s="30"/>
      <c r="DLI1240" s="30"/>
      <c r="DLJ1240" s="30"/>
      <c r="DLK1240" s="30"/>
      <c r="DLL1240" s="30"/>
      <c r="DLM1240" s="30"/>
      <c r="DLN1240" s="30"/>
      <c r="DLO1240" s="30"/>
      <c r="DLP1240" s="30"/>
      <c r="DLQ1240" s="30"/>
      <c r="DLR1240" s="30"/>
      <c r="DLS1240" s="30"/>
      <c r="DLT1240" s="30"/>
      <c r="DLU1240" s="30"/>
      <c r="DLV1240" s="30"/>
      <c r="DLW1240" s="30"/>
      <c r="DLX1240" s="30"/>
      <c r="DLY1240" s="30"/>
      <c r="DLZ1240" s="30"/>
      <c r="DMA1240" s="30"/>
      <c r="DMB1240" s="30"/>
      <c r="DMC1240" s="30"/>
      <c r="DMD1240" s="30"/>
      <c r="DME1240" s="30"/>
      <c r="DMF1240" s="30"/>
      <c r="DMG1240" s="30"/>
      <c r="DMH1240" s="30"/>
      <c r="DMI1240" s="30"/>
      <c r="DMJ1240" s="30"/>
      <c r="DMK1240" s="30"/>
      <c r="DML1240" s="30"/>
      <c r="DMM1240" s="30"/>
      <c r="DMN1240" s="30"/>
      <c r="DMO1240" s="30"/>
      <c r="DMP1240" s="30"/>
      <c r="DMQ1240" s="30"/>
      <c r="DMR1240" s="30"/>
      <c r="DMS1240" s="30"/>
      <c r="DMT1240" s="30"/>
      <c r="DMU1240" s="30"/>
      <c r="DMV1240" s="30"/>
      <c r="DMW1240" s="30"/>
      <c r="DMX1240" s="30"/>
      <c r="DMY1240" s="30"/>
      <c r="DMZ1240" s="30"/>
      <c r="DNA1240" s="30"/>
      <c r="DNB1240" s="30"/>
      <c r="DNC1240" s="30"/>
      <c r="DND1240" s="30"/>
      <c r="DNE1240" s="30"/>
      <c r="DNF1240" s="30"/>
      <c r="DNG1240" s="30"/>
      <c r="DNH1240" s="30"/>
      <c r="DNI1240" s="30"/>
      <c r="DNJ1240" s="30"/>
      <c r="DNK1240" s="30"/>
      <c r="DNL1240" s="30"/>
      <c r="DNM1240" s="30"/>
      <c r="DNN1240" s="30"/>
      <c r="DNO1240" s="30"/>
      <c r="DNP1240" s="30"/>
      <c r="DNQ1240" s="30"/>
      <c r="DNR1240" s="30"/>
      <c r="DNS1240" s="30"/>
      <c r="DNT1240" s="30"/>
      <c r="DNU1240" s="30"/>
      <c r="DNV1240" s="30"/>
      <c r="DNW1240" s="30"/>
      <c r="DNX1240" s="30"/>
      <c r="DNY1240" s="30"/>
      <c r="DNZ1240" s="30"/>
      <c r="DOA1240" s="30"/>
      <c r="DOB1240" s="30"/>
      <c r="DOC1240" s="30"/>
      <c r="DOD1240" s="30"/>
      <c r="DOE1240" s="30"/>
      <c r="DOF1240" s="30"/>
      <c r="DOG1240" s="30"/>
      <c r="DOH1240" s="30"/>
      <c r="DOI1240" s="30"/>
      <c r="DOJ1240" s="30"/>
      <c r="DOK1240" s="30"/>
      <c r="DOL1240" s="30"/>
      <c r="DOM1240" s="30"/>
      <c r="DON1240" s="30"/>
      <c r="DOO1240" s="30"/>
      <c r="DOP1240" s="30"/>
      <c r="DOQ1240" s="30"/>
      <c r="DOR1240" s="30"/>
      <c r="DOS1240" s="30"/>
      <c r="DOT1240" s="30"/>
      <c r="DOU1240" s="30"/>
      <c r="DOV1240" s="30"/>
      <c r="DOW1240" s="30"/>
      <c r="DOX1240" s="30"/>
      <c r="DOY1240" s="30"/>
      <c r="DOZ1240" s="30"/>
      <c r="DPA1240" s="30"/>
      <c r="DPB1240" s="30"/>
      <c r="DPC1240" s="30"/>
      <c r="DPD1240" s="30"/>
      <c r="DPE1240" s="30"/>
      <c r="DPF1240" s="30"/>
      <c r="DPG1240" s="30"/>
      <c r="DPH1240" s="30"/>
      <c r="DPI1240" s="30"/>
      <c r="DPJ1240" s="30"/>
      <c r="DPK1240" s="30"/>
      <c r="DPL1240" s="30"/>
      <c r="DPM1240" s="30"/>
      <c r="DPN1240" s="30"/>
      <c r="DPO1240" s="30"/>
      <c r="DPP1240" s="30"/>
      <c r="DPQ1240" s="30"/>
      <c r="DPR1240" s="30"/>
      <c r="DPS1240" s="30"/>
      <c r="DPT1240" s="30"/>
      <c r="DPU1240" s="30"/>
      <c r="DPV1240" s="30"/>
      <c r="DPW1240" s="30"/>
      <c r="DPX1240" s="30"/>
      <c r="DPY1240" s="30"/>
      <c r="DPZ1240" s="30"/>
      <c r="DQA1240" s="30"/>
      <c r="DQB1240" s="30"/>
      <c r="DQC1240" s="30"/>
      <c r="DQD1240" s="30"/>
      <c r="DQE1240" s="30"/>
      <c r="DQF1240" s="30"/>
      <c r="DQG1240" s="30"/>
      <c r="DQH1240" s="30"/>
      <c r="DQI1240" s="30"/>
      <c r="DQJ1240" s="30"/>
      <c r="DQK1240" s="30"/>
      <c r="DQL1240" s="30"/>
      <c r="DQM1240" s="30"/>
      <c r="DQN1240" s="30"/>
      <c r="DQO1240" s="30"/>
      <c r="DQP1240" s="30"/>
      <c r="DQQ1240" s="30"/>
      <c r="DQR1240" s="30"/>
      <c r="DQS1240" s="30"/>
      <c r="DQT1240" s="30"/>
      <c r="DQU1240" s="30"/>
      <c r="DQV1240" s="30"/>
      <c r="DQW1240" s="30"/>
      <c r="DQX1240" s="30"/>
      <c r="DQY1240" s="30"/>
      <c r="DQZ1240" s="30"/>
      <c r="DRA1240" s="30"/>
      <c r="DRB1240" s="30"/>
      <c r="DRC1240" s="30"/>
      <c r="DRD1240" s="30"/>
      <c r="DRE1240" s="30"/>
      <c r="DRF1240" s="30"/>
      <c r="DRG1240" s="30"/>
      <c r="DRH1240" s="30"/>
      <c r="DRI1240" s="30"/>
      <c r="DRJ1240" s="30"/>
      <c r="DRK1240" s="30"/>
      <c r="DRL1240" s="30"/>
      <c r="DRM1240" s="30"/>
      <c r="DRN1240" s="30"/>
      <c r="DRO1240" s="30"/>
      <c r="DRP1240" s="30"/>
      <c r="DRQ1240" s="30"/>
      <c r="DRR1240" s="30"/>
      <c r="DRS1240" s="30"/>
      <c r="DRT1240" s="30"/>
      <c r="DRU1240" s="30"/>
      <c r="DRV1240" s="30"/>
      <c r="DRW1240" s="30"/>
      <c r="DRX1240" s="30"/>
      <c r="DRY1240" s="30"/>
      <c r="DRZ1240" s="30"/>
      <c r="DSA1240" s="30"/>
      <c r="DSB1240" s="30"/>
      <c r="DSC1240" s="30"/>
      <c r="DSD1240" s="30"/>
      <c r="DSE1240" s="30"/>
      <c r="DSF1240" s="30"/>
      <c r="DSG1240" s="30"/>
      <c r="DSH1240" s="30"/>
      <c r="DSI1240" s="30"/>
      <c r="DSJ1240" s="30"/>
      <c r="DSK1240" s="30"/>
      <c r="DSL1240" s="30"/>
      <c r="DSM1240" s="30"/>
      <c r="DSN1240" s="30"/>
      <c r="DSO1240" s="30"/>
      <c r="DSP1240" s="30"/>
      <c r="DSQ1240" s="30"/>
      <c r="DSR1240" s="30"/>
      <c r="DSS1240" s="30"/>
      <c r="DST1240" s="30"/>
      <c r="DSU1240" s="30"/>
      <c r="DSV1240" s="30"/>
      <c r="DSW1240" s="30"/>
      <c r="DSX1240" s="30"/>
      <c r="DSY1240" s="30"/>
      <c r="DSZ1240" s="30"/>
      <c r="DTA1240" s="30"/>
      <c r="DTB1240" s="30"/>
      <c r="DTC1240" s="30"/>
      <c r="DTD1240" s="30"/>
      <c r="DTE1240" s="30"/>
      <c r="DTF1240" s="30"/>
      <c r="DTG1240" s="30"/>
      <c r="DTH1240" s="30"/>
      <c r="DTI1240" s="30"/>
      <c r="DTJ1240" s="30"/>
      <c r="DTK1240" s="30"/>
      <c r="DTL1240" s="30"/>
      <c r="DTM1240" s="30"/>
      <c r="DTN1240" s="30"/>
      <c r="DTO1240" s="30"/>
      <c r="DTP1240" s="30"/>
      <c r="DTQ1240" s="30"/>
      <c r="DTR1240" s="30"/>
      <c r="DTS1240" s="30"/>
      <c r="DTT1240" s="30"/>
      <c r="DTU1240" s="30"/>
      <c r="DTV1240" s="30"/>
      <c r="DTW1240" s="30"/>
      <c r="DTX1240" s="30"/>
      <c r="DTY1240" s="30"/>
      <c r="DTZ1240" s="30"/>
      <c r="DUA1240" s="30"/>
      <c r="DUB1240" s="30"/>
      <c r="DUC1240" s="30"/>
      <c r="DUD1240" s="30"/>
      <c r="DUE1240" s="30"/>
      <c r="DUF1240" s="30"/>
      <c r="DUG1240" s="30"/>
      <c r="DUH1240" s="30"/>
      <c r="DUI1240" s="30"/>
      <c r="DUJ1240" s="30"/>
      <c r="DUK1240" s="30"/>
      <c r="DUL1240" s="30"/>
      <c r="DUM1240" s="30"/>
      <c r="DUN1240" s="30"/>
      <c r="DUO1240" s="30"/>
      <c r="DUP1240" s="30"/>
      <c r="DUQ1240" s="30"/>
      <c r="DUR1240" s="30"/>
      <c r="DUS1240" s="30"/>
      <c r="DUT1240" s="30"/>
      <c r="DUU1240" s="30"/>
      <c r="DUV1240" s="30"/>
      <c r="DUW1240" s="30"/>
      <c r="DUX1240" s="30"/>
      <c r="DUY1240" s="30"/>
      <c r="DUZ1240" s="30"/>
      <c r="DVA1240" s="30"/>
      <c r="DVB1240" s="30"/>
      <c r="DVC1240" s="30"/>
      <c r="DVD1240" s="30"/>
      <c r="DVE1240" s="30"/>
      <c r="DVF1240" s="30"/>
      <c r="DVG1240" s="30"/>
      <c r="DVH1240" s="30"/>
      <c r="DVI1240" s="30"/>
      <c r="DVJ1240" s="30"/>
      <c r="DVK1240" s="30"/>
      <c r="DVL1240" s="30"/>
      <c r="DVM1240" s="30"/>
      <c r="DVN1240" s="30"/>
      <c r="DVO1240" s="30"/>
      <c r="DVP1240" s="30"/>
      <c r="DVQ1240" s="30"/>
      <c r="DVR1240" s="30"/>
      <c r="DVS1240" s="30"/>
      <c r="DVT1240" s="30"/>
      <c r="DVU1240" s="30"/>
      <c r="DVV1240" s="30"/>
      <c r="DVW1240" s="30"/>
      <c r="DVX1240" s="30"/>
      <c r="DVY1240" s="30"/>
      <c r="DVZ1240" s="30"/>
      <c r="DWA1240" s="30"/>
      <c r="DWB1240" s="30"/>
      <c r="DWC1240" s="30"/>
      <c r="DWD1240" s="30"/>
      <c r="DWE1240" s="30"/>
      <c r="DWF1240" s="30"/>
      <c r="DWG1240" s="30"/>
      <c r="DWH1240" s="30"/>
      <c r="DWI1240" s="30"/>
      <c r="DWJ1240" s="30"/>
      <c r="DWK1240" s="30"/>
      <c r="DWL1240" s="30"/>
      <c r="DWM1240" s="30"/>
      <c r="DWN1240" s="30"/>
      <c r="DWO1240" s="30"/>
      <c r="DWP1240" s="30"/>
      <c r="DWQ1240" s="30"/>
      <c r="DWR1240" s="30"/>
      <c r="DWS1240" s="30"/>
      <c r="DWT1240" s="30"/>
      <c r="DWU1240" s="30"/>
      <c r="DWV1240" s="30"/>
      <c r="DWW1240" s="30"/>
      <c r="DWX1240" s="30"/>
      <c r="DWY1240" s="30"/>
      <c r="DWZ1240" s="30"/>
      <c r="DXA1240" s="30"/>
      <c r="DXB1240" s="30"/>
      <c r="DXC1240" s="30"/>
      <c r="DXD1240" s="30"/>
      <c r="DXE1240" s="30"/>
      <c r="DXF1240" s="30"/>
      <c r="DXG1240" s="30"/>
      <c r="DXH1240" s="30"/>
      <c r="DXI1240" s="30"/>
      <c r="DXJ1240" s="30"/>
      <c r="DXK1240" s="30"/>
      <c r="DXL1240" s="30"/>
      <c r="DXM1240" s="30"/>
      <c r="DXN1240" s="30"/>
      <c r="DXO1240" s="30"/>
      <c r="DXP1240" s="30"/>
      <c r="DXQ1240" s="30"/>
      <c r="DXR1240" s="30"/>
      <c r="DXS1240" s="30"/>
      <c r="DXT1240" s="30"/>
      <c r="DXU1240" s="30"/>
      <c r="DXV1240" s="30"/>
      <c r="DXW1240" s="30"/>
      <c r="DXX1240" s="30"/>
      <c r="DXY1240" s="30"/>
      <c r="DXZ1240" s="30"/>
      <c r="DYA1240" s="30"/>
      <c r="DYB1240" s="30"/>
      <c r="DYC1240" s="30"/>
      <c r="DYD1240" s="30"/>
      <c r="DYE1240" s="30"/>
      <c r="DYF1240" s="30"/>
      <c r="DYG1240" s="30"/>
      <c r="DYH1240" s="30"/>
      <c r="DYI1240" s="30"/>
      <c r="DYJ1240" s="30"/>
      <c r="DYK1240" s="30"/>
      <c r="DYL1240" s="30"/>
      <c r="DYM1240" s="30"/>
      <c r="DYN1240" s="30"/>
      <c r="DYO1240" s="30"/>
      <c r="DYP1240" s="30"/>
      <c r="DYQ1240" s="30"/>
      <c r="DYR1240" s="30"/>
      <c r="DYS1240" s="30"/>
      <c r="DYT1240" s="30"/>
      <c r="DYU1240" s="30"/>
      <c r="DYV1240" s="30"/>
      <c r="DYW1240" s="30"/>
      <c r="DYX1240" s="30"/>
      <c r="DYY1240" s="30"/>
      <c r="DYZ1240" s="30"/>
      <c r="DZA1240" s="30"/>
      <c r="DZB1240" s="30"/>
      <c r="DZC1240" s="30"/>
      <c r="DZD1240" s="30"/>
      <c r="DZE1240" s="30"/>
      <c r="DZF1240" s="30"/>
      <c r="DZG1240" s="30"/>
      <c r="DZH1240" s="30"/>
      <c r="DZI1240" s="30"/>
      <c r="DZJ1240" s="30"/>
      <c r="DZK1240" s="30"/>
      <c r="DZL1240" s="30"/>
      <c r="DZM1240" s="30"/>
      <c r="DZN1240" s="30"/>
      <c r="DZO1240" s="30"/>
      <c r="DZP1240" s="30"/>
      <c r="DZQ1240" s="30"/>
      <c r="DZR1240" s="30"/>
      <c r="DZS1240" s="30"/>
      <c r="DZT1240" s="30"/>
      <c r="DZU1240" s="30"/>
      <c r="DZV1240" s="30"/>
      <c r="DZW1240" s="30"/>
      <c r="DZX1240" s="30"/>
      <c r="DZY1240" s="30"/>
      <c r="DZZ1240" s="30"/>
      <c r="EAA1240" s="30"/>
      <c r="EAB1240" s="30"/>
      <c r="EAC1240" s="30"/>
      <c r="EAD1240" s="30"/>
      <c r="EAE1240" s="30"/>
      <c r="EAF1240" s="30"/>
      <c r="EAG1240" s="30"/>
      <c r="EAH1240" s="30"/>
      <c r="EAI1240" s="30"/>
      <c r="EAJ1240" s="30"/>
      <c r="EAK1240" s="30"/>
      <c r="EAL1240" s="30"/>
      <c r="EAM1240" s="30"/>
      <c r="EAN1240" s="30"/>
      <c r="EAO1240" s="30"/>
      <c r="EAP1240" s="30"/>
      <c r="EAQ1240" s="30"/>
      <c r="EAR1240" s="30"/>
      <c r="EAS1240" s="30"/>
      <c r="EAT1240" s="30"/>
      <c r="EAU1240" s="30"/>
      <c r="EAV1240" s="30"/>
      <c r="EAW1240" s="30"/>
      <c r="EAX1240" s="30"/>
      <c r="EAY1240" s="30"/>
      <c r="EAZ1240" s="30"/>
      <c r="EBA1240" s="30"/>
      <c r="EBB1240" s="30"/>
      <c r="EBC1240" s="30"/>
      <c r="EBD1240" s="30"/>
      <c r="EBE1240" s="30"/>
      <c r="EBF1240" s="30"/>
      <c r="EBG1240" s="30"/>
      <c r="EBH1240" s="30"/>
      <c r="EBI1240" s="30"/>
      <c r="EBJ1240" s="30"/>
      <c r="EBK1240" s="30"/>
      <c r="EBL1240" s="30"/>
      <c r="EBM1240" s="30"/>
      <c r="EBN1240" s="30"/>
      <c r="EBO1240" s="30"/>
      <c r="EBP1240" s="30"/>
      <c r="EBQ1240" s="30"/>
      <c r="EBR1240" s="30"/>
      <c r="EBS1240" s="30"/>
      <c r="EBT1240" s="30"/>
      <c r="EBU1240" s="30"/>
      <c r="EBV1240" s="30"/>
      <c r="EBW1240" s="30"/>
      <c r="EBX1240" s="30"/>
      <c r="EBY1240" s="30"/>
      <c r="EBZ1240" s="30"/>
      <c r="ECA1240" s="30"/>
      <c r="ECB1240" s="30"/>
      <c r="ECC1240" s="30"/>
      <c r="ECD1240" s="30"/>
      <c r="ECE1240" s="30"/>
      <c r="ECF1240" s="30"/>
      <c r="ECG1240" s="30"/>
      <c r="ECH1240" s="30"/>
      <c r="ECI1240" s="30"/>
      <c r="ECJ1240" s="30"/>
      <c r="ECK1240" s="30"/>
      <c r="ECL1240" s="30"/>
      <c r="ECM1240" s="30"/>
      <c r="ECN1240" s="30"/>
      <c r="ECO1240" s="30"/>
      <c r="ECP1240" s="30"/>
      <c r="ECQ1240" s="30"/>
      <c r="ECR1240" s="30"/>
      <c r="ECS1240" s="30"/>
      <c r="ECT1240" s="30"/>
      <c r="ECU1240" s="30"/>
      <c r="ECV1240" s="30"/>
      <c r="ECW1240" s="30"/>
      <c r="ECX1240" s="30"/>
      <c r="ECY1240" s="30"/>
      <c r="ECZ1240" s="30"/>
      <c r="EDA1240" s="30"/>
      <c r="EDB1240" s="30"/>
      <c r="EDC1240" s="30"/>
      <c r="EDD1240" s="30"/>
      <c r="EDE1240" s="30"/>
      <c r="EDF1240" s="30"/>
      <c r="EDG1240" s="30"/>
      <c r="EDH1240" s="30"/>
      <c r="EDI1240" s="30"/>
      <c r="EDJ1240" s="30"/>
      <c r="EDK1240" s="30"/>
      <c r="EDL1240" s="30"/>
      <c r="EDM1240" s="30"/>
      <c r="EDN1240" s="30"/>
      <c r="EDO1240" s="30"/>
      <c r="EDP1240" s="30"/>
      <c r="EDQ1240" s="30"/>
      <c r="EDR1240" s="30"/>
      <c r="EDS1240" s="30"/>
      <c r="EDT1240" s="30"/>
      <c r="EDU1240" s="30"/>
      <c r="EDV1240" s="30"/>
      <c r="EDW1240" s="30"/>
      <c r="EDX1240" s="30"/>
      <c r="EDY1240" s="30"/>
      <c r="EDZ1240" s="30"/>
      <c r="EEA1240" s="30"/>
      <c r="EEB1240" s="30"/>
      <c r="EEC1240" s="30"/>
      <c r="EED1240" s="30"/>
      <c r="EEE1240" s="30"/>
      <c r="EEF1240" s="30"/>
      <c r="EEG1240" s="30"/>
      <c r="EEH1240" s="30"/>
      <c r="EEI1240" s="30"/>
      <c r="EEJ1240" s="30"/>
      <c r="EEK1240" s="30"/>
      <c r="EEL1240" s="30"/>
      <c r="EEM1240" s="30"/>
      <c r="EEN1240" s="30"/>
      <c r="EEO1240" s="30"/>
      <c r="EEP1240" s="30"/>
      <c r="EEQ1240" s="30"/>
      <c r="EER1240" s="30"/>
      <c r="EES1240" s="30"/>
      <c r="EET1240" s="30"/>
      <c r="EEU1240" s="30"/>
      <c r="EEV1240" s="30"/>
      <c r="EEW1240" s="30"/>
      <c r="EEX1240" s="30"/>
      <c r="EEY1240" s="30"/>
      <c r="EEZ1240" s="30"/>
      <c r="EFA1240" s="30"/>
      <c r="EFB1240" s="30"/>
      <c r="EFC1240" s="30"/>
      <c r="EFD1240" s="30"/>
      <c r="EFE1240" s="30"/>
      <c r="EFF1240" s="30"/>
      <c r="EFG1240" s="30"/>
      <c r="EFH1240" s="30"/>
      <c r="EFI1240" s="30"/>
      <c r="EFJ1240" s="30"/>
      <c r="EFK1240" s="30"/>
      <c r="EFL1240" s="30"/>
      <c r="EFM1240" s="30"/>
      <c r="EFN1240" s="30"/>
      <c r="EFO1240" s="30"/>
      <c r="EFP1240" s="30"/>
      <c r="EFQ1240" s="30"/>
      <c r="EFR1240" s="30"/>
      <c r="EFS1240" s="30"/>
      <c r="EFT1240" s="30"/>
      <c r="EFU1240" s="30"/>
      <c r="EFV1240" s="30"/>
      <c r="EFW1240" s="30"/>
      <c r="EFX1240" s="30"/>
      <c r="EFY1240" s="30"/>
      <c r="EFZ1240" s="30"/>
      <c r="EGA1240" s="30"/>
      <c r="EGB1240" s="30"/>
      <c r="EGC1240" s="30"/>
      <c r="EGD1240" s="30"/>
      <c r="EGE1240" s="30"/>
      <c r="EGF1240" s="30"/>
      <c r="EGG1240" s="30"/>
      <c r="EGH1240" s="30"/>
      <c r="EGI1240" s="30"/>
      <c r="EGJ1240" s="30"/>
      <c r="EGK1240" s="30"/>
      <c r="EGL1240" s="30"/>
      <c r="EGM1240" s="30"/>
      <c r="EGN1240" s="30"/>
      <c r="EGO1240" s="30"/>
      <c r="EGP1240" s="30"/>
      <c r="EGQ1240" s="30"/>
      <c r="EGR1240" s="30"/>
      <c r="EGS1240" s="30"/>
      <c r="EGT1240" s="30"/>
      <c r="EGU1240" s="30"/>
      <c r="EGV1240" s="30"/>
      <c r="EGW1240" s="30"/>
      <c r="EGX1240" s="30"/>
      <c r="EGY1240" s="30"/>
      <c r="EGZ1240" s="30"/>
      <c r="EHA1240" s="30"/>
      <c r="EHB1240" s="30"/>
      <c r="EHC1240" s="30"/>
      <c r="EHD1240" s="30"/>
      <c r="EHE1240" s="30"/>
      <c r="EHF1240" s="30"/>
      <c r="EHG1240" s="30"/>
      <c r="EHH1240" s="30"/>
      <c r="EHI1240" s="30"/>
      <c r="EHJ1240" s="30"/>
      <c r="EHK1240" s="30"/>
      <c r="EHL1240" s="30"/>
      <c r="EHM1240" s="30"/>
      <c r="EHN1240" s="30"/>
      <c r="EHO1240" s="30"/>
      <c r="EHP1240" s="30"/>
      <c r="EHQ1240" s="30"/>
      <c r="EHR1240" s="30"/>
      <c r="EHS1240" s="30"/>
      <c r="EHT1240" s="30"/>
      <c r="EHU1240" s="30"/>
      <c r="EHV1240" s="30"/>
      <c r="EHW1240" s="30"/>
      <c r="EHX1240" s="30"/>
      <c r="EHY1240" s="30"/>
      <c r="EHZ1240" s="30"/>
      <c r="EIA1240" s="30"/>
      <c r="EIB1240" s="30"/>
      <c r="EIC1240" s="30"/>
      <c r="EID1240" s="30"/>
      <c r="EIE1240" s="30"/>
      <c r="EIF1240" s="30"/>
      <c r="EIG1240" s="30"/>
      <c r="EIH1240" s="30"/>
      <c r="EII1240" s="30"/>
      <c r="EIJ1240" s="30"/>
      <c r="EIK1240" s="30"/>
      <c r="EIL1240" s="30"/>
      <c r="EIM1240" s="30"/>
      <c r="EIN1240" s="30"/>
      <c r="EIO1240" s="30"/>
      <c r="EIP1240" s="30"/>
      <c r="EIQ1240" s="30"/>
      <c r="EIR1240" s="30"/>
      <c r="EIS1240" s="30"/>
      <c r="EIT1240" s="30"/>
      <c r="EIU1240" s="30"/>
      <c r="EIV1240" s="30"/>
      <c r="EIW1240" s="30"/>
      <c r="EIX1240" s="30"/>
      <c r="EIY1240" s="30"/>
      <c r="EIZ1240" s="30"/>
      <c r="EJA1240" s="30"/>
      <c r="EJB1240" s="30"/>
      <c r="EJC1240" s="30"/>
      <c r="EJD1240" s="30"/>
      <c r="EJE1240" s="30"/>
      <c r="EJF1240" s="30"/>
      <c r="EJG1240" s="30"/>
      <c r="EJH1240" s="30"/>
      <c r="EJI1240" s="30"/>
      <c r="EJJ1240" s="30"/>
      <c r="EJK1240" s="30"/>
      <c r="EJL1240" s="30"/>
      <c r="EJM1240" s="30"/>
      <c r="EJN1240" s="30"/>
      <c r="EJO1240" s="30"/>
      <c r="EJP1240" s="30"/>
      <c r="EJQ1240" s="30"/>
      <c r="EJR1240" s="30"/>
      <c r="EJS1240" s="30"/>
      <c r="EJT1240" s="30"/>
      <c r="EJU1240" s="30"/>
      <c r="EJV1240" s="30"/>
      <c r="EJW1240" s="30"/>
      <c r="EJX1240" s="30"/>
      <c r="EJY1240" s="30"/>
      <c r="EJZ1240" s="30"/>
      <c r="EKA1240" s="30"/>
      <c r="EKB1240" s="30"/>
      <c r="EKC1240" s="30"/>
      <c r="EKD1240" s="30"/>
      <c r="EKE1240" s="30"/>
      <c r="EKF1240" s="30"/>
      <c r="EKG1240" s="30"/>
      <c r="EKH1240" s="30"/>
      <c r="EKI1240" s="30"/>
      <c r="EKJ1240" s="30"/>
      <c r="EKK1240" s="30"/>
      <c r="EKL1240" s="30"/>
      <c r="EKM1240" s="30"/>
      <c r="EKN1240" s="30"/>
      <c r="EKO1240" s="30"/>
      <c r="EKP1240" s="30"/>
      <c r="EKQ1240" s="30"/>
      <c r="EKR1240" s="30"/>
      <c r="EKS1240" s="30"/>
      <c r="EKT1240" s="30"/>
      <c r="EKU1240" s="30"/>
      <c r="EKV1240" s="30"/>
      <c r="EKW1240" s="30"/>
      <c r="EKX1240" s="30"/>
      <c r="EKY1240" s="30"/>
      <c r="EKZ1240" s="30"/>
      <c r="ELA1240" s="30"/>
      <c r="ELB1240" s="30"/>
      <c r="ELC1240" s="30"/>
      <c r="ELD1240" s="30"/>
      <c r="ELE1240" s="30"/>
      <c r="ELF1240" s="30"/>
      <c r="ELG1240" s="30"/>
      <c r="ELH1240" s="30"/>
      <c r="ELI1240" s="30"/>
      <c r="ELJ1240" s="30"/>
      <c r="ELK1240" s="30"/>
      <c r="ELL1240" s="30"/>
      <c r="ELM1240" s="30"/>
      <c r="ELN1240" s="30"/>
      <c r="ELO1240" s="30"/>
      <c r="ELP1240" s="30"/>
      <c r="ELQ1240" s="30"/>
      <c r="ELR1240" s="30"/>
      <c r="ELS1240" s="30"/>
      <c r="ELT1240" s="30"/>
      <c r="ELU1240" s="30"/>
      <c r="ELV1240" s="30"/>
      <c r="ELW1240" s="30"/>
      <c r="ELX1240" s="30"/>
      <c r="ELY1240" s="30"/>
      <c r="ELZ1240" s="30"/>
      <c r="EMA1240" s="30"/>
      <c r="EMB1240" s="30"/>
      <c r="EMC1240" s="30"/>
      <c r="EMD1240" s="30"/>
      <c r="EME1240" s="30"/>
      <c r="EMF1240" s="30"/>
      <c r="EMG1240" s="30"/>
      <c r="EMH1240" s="30"/>
      <c r="EMI1240" s="30"/>
      <c r="EMJ1240" s="30"/>
      <c r="EMK1240" s="30"/>
      <c r="EML1240" s="30"/>
      <c r="EMM1240" s="30"/>
      <c r="EMN1240" s="30"/>
      <c r="EMO1240" s="30"/>
      <c r="EMP1240" s="30"/>
      <c r="EMQ1240" s="30"/>
      <c r="EMR1240" s="30"/>
      <c r="EMS1240" s="30"/>
      <c r="EMT1240" s="30"/>
      <c r="EMU1240" s="30"/>
      <c r="EMV1240" s="30"/>
      <c r="EMW1240" s="30"/>
      <c r="EMX1240" s="30"/>
      <c r="EMY1240" s="30"/>
      <c r="EMZ1240" s="30"/>
      <c r="ENA1240" s="30"/>
      <c r="ENB1240" s="30"/>
      <c r="ENC1240" s="30"/>
      <c r="END1240" s="30"/>
      <c r="ENE1240" s="30"/>
      <c r="ENF1240" s="30"/>
      <c r="ENG1240" s="30"/>
      <c r="ENH1240" s="30"/>
      <c r="ENI1240" s="30"/>
      <c r="ENJ1240" s="30"/>
      <c r="ENK1240" s="30"/>
      <c r="ENL1240" s="30"/>
      <c r="ENM1240" s="30"/>
      <c r="ENN1240" s="30"/>
      <c r="ENO1240" s="30"/>
      <c r="ENP1240" s="30"/>
      <c r="ENQ1240" s="30"/>
      <c r="ENR1240" s="30"/>
      <c r="ENS1240" s="30"/>
      <c r="ENT1240" s="30"/>
      <c r="ENU1240" s="30"/>
      <c r="ENV1240" s="30"/>
      <c r="ENW1240" s="30"/>
      <c r="ENX1240" s="30"/>
      <c r="ENY1240" s="30"/>
      <c r="ENZ1240" s="30"/>
      <c r="EOA1240" s="30"/>
      <c r="EOB1240" s="30"/>
      <c r="EOC1240" s="30"/>
      <c r="EOD1240" s="30"/>
      <c r="EOE1240" s="30"/>
      <c r="EOF1240" s="30"/>
      <c r="EOG1240" s="30"/>
      <c r="EOH1240" s="30"/>
      <c r="EOI1240" s="30"/>
      <c r="EOJ1240" s="30"/>
      <c r="EOK1240" s="30"/>
      <c r="EOL1240" s="30"/>
      <c r="EOM1240" s="30"/>
      <c r="EON1240" s="30"/>
      <c r="EOO1240" s="30"/>
      <c r="EOP1240" s="30"/>
      <c r="EOQ1240" s="30"/>
      <c r="EOR1240" s="30"/>
      <c r="EOS1240" s="30"/>
      <c r="EOT1240" s="30"/>
      <c r="EOU1240" s="30"/>
      <c r="EOV1240" s="30"/>
      <c r="EOW1240" s="30"/>
      <c r="EOX1240" s="30"/>
      <c r="EOY1240" s="30"/>
      <c r="EOZ1240" s="30"/>
      <c r="EPA1240" s="30"/>
      <c r="EPB1240" s="30"/>
      <c r="EPC1240" s="30"/>
      <c r="EPD1240" s="30"/>
      <c r="EPE1240" s="30"/>
      <c r="EPF1240" s="30"/>
      <c r="EPG1240" s="30"/>
      <c r="EPH1240" s="30"/>
      <c r="EPI1240" s="30"/>
      <c r="EPJ1240" s="30"/>
      <c r="EPK1240" s="30"/>
      <c r="EPL1240" s="30"/>
      <c r="EPM1240" s="30"/>
      <c r="EPN1240" s="30"/>
      <c r="EPO1240" s="30"/>
      <c r="EPP1240" s="30"/>
      <c r="EPQ1240" s="30"/>
      <c r="EPR1240" s="30"/>
      <c r="EPS1240" s="30"/>
      <c r="EPT1240" s="30"/>
      <c r="EPU1240" s="30"/>
      <c r="EPV1240" s="30"/>
      <c r="EPW1240" s="30"/>
      <c r="EPX1240" s="30"/>
      <c r="EPY1240" s="30"/>
      <c r="EPZ1240" s="30"/>
      <c r="EQA1240" s="30"/>
      <c r="EQB1240" s="30"/>
      <c r="EQC1240" s="30"/>
      <c r="EQD1240" s="30"/>
      <c r="EQE1240" s="30"/>
      <c r="EQF1240" s="30"/>
      <c r="EQG1240" s="30"/>
      <c r="EQH1240" s="30"/>
      <c r="EQI1240" s="30"/>
      <c r="EQJ1240" s="30"/>
      <c r="EQK1240" s="30"/>
      <c r="EQL1240" s="30"/>
      <c r="EQM1240" s="30"/>
      <c r="EQN1240" s="30"/>
      <c r="EQO1240" s="30"/>
      <c r="EQP1240" s="30"/>
      <c r="EQQ1240" s="30"/>
      <c r="EQR1240" s="30"/>
      <c r="EQS1240" s="30"/>
      <c r="EQT1240" s="30"/>
      <c r="EQU1240" s="30"/>
      <c r="EQV1240" s="30"/>
      <c r="EQW1240" s="30"/>
      <c r="EQX1240" s="30"/>
      <c r="EQY1240" s="30"/>
      <c r="EQZ1240" s="30"/>
      <c r="ERA1240" s="30"/>
      <c r="ERB1240" s="30"/>
      <c r="ERC1240" s="30"/>
      <c r="ERD1240" s="30"/>
      <c r="ERE1240" s="30"/>
      <c r="ERF1240" s="30"/>
      <c r="ERG1240" s="30"/>
      <c r="ERH1240" s="30"/>
      <c r="ERI1240" s="30"/>
      <c r="ERJ1240" s="30"/>
      <c r="ERK1240" s="30"/>
      <c r="ERL1240" s="30"/>
      <c r="ERM1240" s="30"/>
      <c r="ERN1240" s="30"/>
      <c r="ERO1240" s="30"/>
      <c r="ERP1240" s="30"/>
      <c r="ERQ1240" s="30"/>
      <c r="ERR1240" s="30"/>
      <c r="ERS1240" s="30"/>
      <c r="ERT1240" s="30"/>
      <c r="ERU1240" s="30"/>
      <c r="ERV1240" s="30"/>
      <c r="ERW1240" s="30"/>
      <c r="ERX1240" s="30"/>
      <c r="ERY1240" s="30"/>
      <c r="ERZ1240" s="30"/>
      <c r="ESA1240" s="30"/>
      <c r="ESB1240" s="30"/>
      <c r="ESC1240" s="30"/>
      <c r="ESD1240" s="30"/>
      <c r="ESE1240" s="30"/>
      <c r="ESF1240" s="30"/>
      <c r="ESG1240" s="30"/>
      <c r="ESH1240" s="30"/>
      <c r="ESI1240" s="30"/>
      <c r="ESJ1240" s="30"/>
      <c r="ESK1240" s="30"/>
      <c r="ESL1240" s="30"/>
      <c r="ESM1240" s="30"/>
      <c r="ESN1240" s="30"/>
      <c r="ESO1240" s="30"/>
      <c r="ESP1240" s="30"/>
      <c r="ESQ1240" s="30"/>
      <c r="ESR1240" s="30"/>
      <c r="ESS1240" s="30"/>
      <c r="EST1240" s="30"/>
      <c r="ESU1240" s="30"/>
      <c r="ESV1240" s="30"/>
      <c r="ESW1240" s="30"/>
      <c r="ESX1240" s="30"/>
      <c r="ESY1240" s="30"/>
      <c r="ESZ1240" s="30"/>
      <c r="ETA1240" s="30"/>
      <c r="ETB1240" s="30"/>
      <c r="ETC1240" s="30"/>
      <c r="ETD1240" s="30"/>
      <c r="ETE1240" s="30"/>
      <c r="ETF1240" s="30"/>
      <c r="ETG1240" s="30"/>
      <c r="ETH1240" s="30"/>
      <c r="ETI1240" s="30"/>
      <c r="ETJ1240" s="30"/>
      <c r="ETK1240" s="30"/>
      <c r="ETL1240" s="30"/>
      <c r="ETM1240" s="30"/>
      <c r="ETN1240" s="30"/>
      <c r="ETO1240" s="30"/>
      <c r="ETP1240" s="30"/>
      <c r="ETQ1240" s="30"/>
      <c r="ETR1240" s="30"/>
      <c r="ETS1240" s="30"/>
      <c r="ETT1240" s="30"/>
      <c r="ETU1240" s="30"/>
      <c r="ETV1240" s="30"/>
      <c r="ETW1240" s="30"/>
      <c r="ETX1240" s="30"/>
      <c r="ETY1240" s="30"/>
      <c r="ETZ1240" s="30"/>
      <c r="EUA1240" s="30"/>
      <c r="EUB1240" s="30"/>
      <c r="EUC1240" s="30"/>
      <c r="EUD1240" s="30"/>
      <c r="EUE1240" s="30"/>
      <c r="EUF1240" s="30"/>
      <c r="EUG1240" s="30"/>
      <c r="EUH1240" s="30"/>
      <c r="EUI1240" s="30"/>
      <c r="EUJ1240" s="30"/>
      <c r="EUK1240" s="30"/>
      <c r="EUL1240" s="30"/>
      <c r="EUM1240" s="30"/>
      <c r="EUN1240" s="30"/>
      <c r="EUO1240" s="30"/>
      <c r="EUP1240" s="30"/>
      <c r="EUQ1240" s="30"/>
      <c r="EUR1240" s="30"/>
      <c r="EUS1240" s="30"/>
      <c r="EUT1240" s="30"/>
      <c r="EUU1240" s="30"/>
      <c r="EUV1240" s="30"/>
      <c r="EUW1240" s="30"/>
      <c r="EUX1240" s="30"/>
      <c r="EUY1240" s="30"/>
      <c r="EUZ1240" s="30"/>
      <c r="EVA1240" s="30"/>
      <c r="EVB1240" s="30"/>
      <c r="EVC1240" s="30"/>
      <c r="EVD1240" s="30"/>
      <c r="EVE1240" s="30"/>
      <c r="EVF1240" s="30"/>
      <c r="EVG1240" s="30"/>
      <c r="EVH1240" s="30"/>
      <c r="EVI1240" s="30"/>
      <c r="EVJ1240" s="30"/>
      <c r="EVK1240" s="30"/>
      <c r="EVL1240" s="30"/>
      <c r="EVM1240" s="30"/>
      <c r="EVN1240" s="30"/>
      <c r="EVO1240" s="30"/>
      <c r="EVP1240" s="30"/>
      <c r="EVQ1240" s="30"/>
      <c r="EVR1240" s="30"/>
      <c r="EVS1240" s="30"/>
      <c r="EVT1240" s="30"/>
      <c r="EVU1240" s="30"/>
      <c r="EVV1240" s="30"/>
      <c r="EVW1240" s="30"/>
      <c r="EVX1240" s="30"/>
      <c r="EVY1240" s="30"/>
      <c r="EVZ1240" s="30"/>
      <c r="EWA1240" s="30"/>
      <c r="EWB1240" s="30"/>
      <c r="EWC1240" s="30"/>
      <c r="EWD1240" s="30"/>
      <c r="EWE1240" s="30"/>
      <c r="EWF1240" s="30"/>
      <c r="EWG1240" s="30"/>
      <c r="EWH1240" s="30"/>
      <c r="EWI1240" s="30"/>
      <c r="EWJ1240" s="30"/>
      <c r="EWK1240" s="30"/>
      <c r="EWL1240" s="30"/>
      <c r="EWM1240" s="30"/>
      <c r="EWN1240" s="30"/>
      <c r="EWO1240" s="30"/>
      <c r="EWP1240" s="30"/>
      <c r="EWQ1240" s="30"/>
      <c r="EWR1240" s="30"/>
      <c r="EWS1240" s="30"/>
      <c r="EWT1240" s="30"/>
      <c r="EWU1240" s="30"/>
      <c r="EWV1240" s="30"/>
      <c r="EWW1240" s="30"/>
      <c r="EWX1240" s="30"/>
      <c r="EWY1240" s="30"/>
      <c r="EWZ1240" s="30"/>
      <c r="EXA1240" s="30"/>
      <c r="EXB1240" s="30"/>
      <c r="EXC1240" s="30"/>
      <c r="EXD1240" s="30"/>
      <c r="EXE1240" s="30"/>
      <c r="EXF1240" s="30"/>
      <c r="EXG1240" s="30"/>
      <c r="EXH1240" s="30"/>
      <c r="EXI1240" s="30"/>
      <c r="EXJ1240" s="30"/>
      <c r="EXK1240" s="30"/>
      <c r="EXL1240" s="30"/>
      <c r="EXM1240" s="30"/>
      <c r="EXN1240" s="30"/>
      <c r="EXO1240" s="30"/>
      <c r="EXP1240" s="30"/>
      <c r="EXQ1240" s="30"/>
      <c r="EXR1240" s="30"/>
      <c r="EXS1240" s="30"/>
      <c r="EXT1240" s="30"/>
      <c r="EXU1240" s="30"/>
      <c r="EXV1240" s="30"/>
      <c r="EXW1240" s="30"/>
      <c r="EXX1240" s="30"/>
      <c r="EXY1240" s="30"/>
      <c r="EXZ1240" s="30"/>
      <c r="EYA1240" s="30"/>
      <c r="EYB1240" s="30"/>
      <c r="EYC1240" s="30"/>
      <c r="EYD1240" s="30"/>
      <c r="EYE1240" s="30"/>
      <c r="EYF1240" s="30"/>
      <c r="EYG1240" s="30"/>
      <c r="EYH1240" s="30"/>
      <c r="EYI1240" s="30"/>
      <c r="EYJ1240" s="30"/>
      <c r="EYK1240" s="30"/>
      <c r="EYL1240" s="30"/>
      <c r="EYM1240" s="30"/>
      <c r="EYN1240" s="30"/>
      <c r="EYO1240" s="30"/>
      <c r="EYP1240" s="30"/>
      <c r="EYQ1240" s="30"/>
      <c r="EYR1240" s="30"/>
      <c r="EYS1240" s="30"/>
      <c r="EYT1240" s="30"/>
      <c r="EYU1240" s="30"/>
      <c r="EYV1240" s="30"/>
      <c r="EYW1240" s="30"/>
      <c r="EYX1240" s="30"/>
      <c r="EYY1240" s="30"/>
      <c r="EYZ1240" s="30"/>
      <c r="EZA1240" s="30"/>
      <c r="EZB1240" s="30"/>
      <c r="EZC1240" s="30"/>
      <c r="EZD1240" s="30"/>
      <c r="EZE1240" s="30"/>
      <c r="EZF1240" s="30"/>
      <c r="EZG1240" s="30"/>
      <c r="EZH1240" s="30"/>
      <c r="EZI1240" s="30"/>
      <c r="EZJ1240" s="30"/>
      <c r="EZK1240" s="30"/>
      <c r="EZL1240" s="30"/>
      <c r="EZM1240" s="30"/>
      <c r="EZN1240" s="30"/>
      <c r="EZO1240" s="30"/>
      <c r="EZP1240" s="30"/>
      <c r="EZQ1240" s="30"/>
      <c r="EZR1240" s="30"/>
      <c r="EZS1240" s="30"/>
      <c r="EZT1240" s="30"/>
      <c r="EZU1240" s="30"/>
      <c r="EZV1240" s="30"/>
      <c r="EZW1240" s="30"/>
      <c r="EZX1240" s="30"/>
      <c r="EZY1240" s="30"/>
      <c r="EZZ1240" s="30"/>
      <c r="FAA1240" s="30"/>
      <c r="FAB1240" s="30"/>
      <c r="FAC1240" s="30"/>
      <c r="FAD1240" s="30"/>
      <c r="FAE1240" s="30"/>
      <c r="FAF1240" s="30"/>
      <c r="FAG1240" s="30"/>
      <c r="FAH1240" s="30"/>
      <c r="FAI1240" s="30"/>
      <c r="FAJ1240" s="30"/>
      <c r="FAK1240" s="30"/>
      <c r="FAL1240" s="30"/>
      <c r="FAM1240" s="30"/>
      <c r="FAN1240" s="30"/>
      <c r="FAO1240" s="30"/>
      <c r="FAP1240" s="30"/>
      <c r="FAQ1240" s="30"/>
      <c r="FAR1240" s="30"/>
      <c r="FAS1240" s="30"/>
      <c r="FAT1240" s="30"/>
      <c r="FAU1240" s="30"/>
      <c r="FAV1240" s="30"/>
      <c r="FAW1240" s="30"/>
      <c r="FAX1240" s="30"/>
      <c r="FAY1240" s="30"/>
      <c r="FAZ1240" s="30"/>
      <c r="FBA1240" s="30"/>
      <c r="FBB1240" s="30"/>
      <c r="FBC1240" s="30"/>
      <c r="FBD1240" s="30"/>
      <c r="FBE1240" s="30"/>
      <c r="FBF1240" s="30"/>
      <c r="FBG1240" s="30"/>
      <c r="FBH1240" s="30"/>
      <c r="FBI1240" s="30"/>
      <c r="FBJ1240" s="30"/>
      <c r="FBK1240" s="30"/>
      <c r="FBL1240" s="30"/>
      <c r="FBM1240" s="30"/>
      <c r="FBN1240" s="30"/>
      <c r="FBO1240" s="30"/>
      <c r="FBP1240" s="30"/>
      <c r="FBQ1240" s="30"/>
      <c r="FBR1240" s="30"/>
      <c r="FBS1240" s="30"/>
      <c r="FBT1240" s="30"/>
      <c r="FBU1240" s="30"/>
      <c r="FBV1240" s="30"/>
      <c r="FBW1240" s="30"/>
      <c r="FBX1240" s="30"/>
      <c r="FBY1240" s="30"/>
      <c r="FBZ1240" s="30"/>
      <c r="FCA1240" s="30"/>
      <c r="FCB1240" s="30"/>
      <c r="FCC1240" s="30"/>
      <c r="FCD1240" s="30"/>
      <c r="FCE1240" s="30"/>
      <c r="FCF1240" s="30"/>
      <c r="FCG1240" s="30"/>
      <c r="FCH1240" s="30"/>
      <c r="FCI1240" s="30"/>
      <c r="FCJ1240" s="30"/>
      <c r="FCK1240" s="30"/>
      <c r="FCL1240" s="30"/>
      <c r="FCM1240" s="30"/>
      <c r="FCN1240" s="30"/>
      <c r="FCO1240" s="30"/>
      <c r="FCP1240" s="30"/>
      <c r="FCQ1240" s="30"/>
      <c r="FCR1240" s="30"/>
      <c r="FCS1240" s="30"/>
      <c r="FCT1240" s="30"/>
      <c r="FCU1240" s="30"/>
      <c r="FCV1240" s="30"/>
      <c r="FCW1240" s="30"/>
      <c r="FCX1240" s="30"/>
      <c r="FCY1240" s="30"/>
      <c r="FCZ1240" s="30"/>
      <c r="FDA1240" s="30"/>
      <c r="FDB1240" s="30"/>
      <c r="FDC1240" s="30"/>
      <c r="FDD1240" s="30"/>
      <c r="FDE1240" s="30"/>
      <c r="FDF1240" s="30"/>
      <c r="FDG1240" s="30"/>
      <c r="FDH1240" s="30"/>
      <c r="FDI1240" s="30"/>
      <c r="FDJ1240" s="30"/>
      <c r="FDK1240" s="30"/>
      <c r="FDL1240" s="30"/>
      <c r="FDM1240" s="30"/>
      <c r="FDN1240" s="30"/>
      <c r="FDO1240" s="30"/>
      <c r="FDP1240" s="30"/>
      <c r="FDQ1240" s="30"/>
      <c r="FDR1240" s="30"/>
      <c r="FDS1240" s="30"/>
      <c r="FDT1240" s="30"/>
      <c r="FDU1240" s="30"/>
      <c r="FDV1240" s="30"/>
      <c r="FDW1240" s="30"/>
      <c r="FDX1240" s="30"/>
      <c r="FDY1240" s="30"/>
      <c r="FDZ1240" s="30"/>
      <c r="FEA1240" s="30"/>
      <c r="FEB1240" s="30"/>
      <c r="FEC1240" s="30"/>
      <c r="FED1240" s="30"/>
      <c r="FEE1240" s="30"/>
      <c r="FEF1240" s="30"/>
      <c r="FEG1240" s="30"/>
      <c r="FEH1240" s="30"/>
      <c r="FEI1240" s="30"/>
      <c r="FEJ1240" s="30"/>
      <c r="FEK1240" s="30"/>
      <c r="FEL1240" s="30"/>
      <c r="FEM1240" s="30"/>
      <c r="FEN1240" s="30"/>
      <c r="FEO1240" s="30"/>
      <c r="FEP1240" s="30"/>
      <c r="FEQ1240" s="30"/>
      <c r="FER1240" s="30"/>
      <c r="FES1240" s="30"/>
      <c r="FET1240" s="30"/>
      <c r="FEU1240" s="30"/>
      <c r="FEV1240" s="30"/>
      <c r="FEW1240" s="30"/>
      <c r="FEX1240" s="30"/>
      <c r="FEY1240" s="30"/>
      <c r="FEZ1240" s="30"/>
      <c r="FFA1240" s="30"/>
      <c r="FFB1240" s="30"/>
      <c r="FFC1240" s="30"/>
      <c r="FFD1240" s="30"/>
      <c r="FFE1240" s="30"/>
      <c r="FFF1240" s="30"/>
      <c r="FFG1240" s="30"/>
      <c r="FFH1240" s="30"/>
      <c r="FFI1240" s="30"/>
      <c r="FFJ1240" s="30"/>
      <c r="FFK1240" s="30"/>
      <c r="FFL1240" s="30"/>
      <c r="FFM1240" s="30"/>
      <c r="FFN1240" s="30"/>
      <c r="FFO1240" s="30"/>
      <c r="FFP1240" s="30"/>
      <c r="FFQ1240" s="30"/>
      <c r="FFR1240" s="30"/>
      <c r="FFS1240" s="30"/>
      <c r="FFT1240" s="30"/>
      <c r="FFU1240" s="30"/>
      <c r="FFV1240" s="30"/>
      <c r="FFW1240" s="30"/>
      <c r="FFX1240" s="30"/>
      <c r="FFY1240" s="30"/>
      <c r="FFZ1240" s="30"/>
      <c r="FGA1240" s="30"/>
      <c r="FGB1240" s="30"/>
      <c r="FGC1240" s="30"/>
      <c r="FGD1240" s="30"/>
      <c r="FGE1240" s="30"/>
      <c r="FGF1240" s="30"/>
      <c r="FGG1240" s="30"/>
      <c r="FGH1240" s="30"/>
      <c r="FGI1240" s="30"/>
      <c r="FGJ1240" s="30"/>
      <c r="FGK1240" s="30"/>
      <c r="FGL1240" s="30"/>
      <c r="FGM1240" s="30"/>
      <c r="FGN1240" s="30"/>
      <c r="FGO1240" s="30"/>
      <c r="FGP1240" s="30"/>
      <c r="FGQ1240" s="30"/>
      <c r="FGR1240" s="30"/>
      <c r="FGS1240" s="30"/>
      <c r="FGT1240" s="30"/>
      <c r="FGU1240" s="30"/>
      <c r="FGV1240" s="30"/>
      <c r="FGW1240" s="30"/>
      <c r="FGX1240" s="30"/>
      <c r="FGY1240" s="30"/>
      <c r="FGZ1240" s="30"/>
      <c r="FHA1240" s="30"/>
      <c r="FHB1240" s="30"/>
      <c r="FHC1240" s="30"/>
      <c r="FHD1240" s="30"/>
      <c r="FHE1240" s="30"/>
      <c r="FHF1240" s="30"/>
      <c r="FHG1240" s="30"/>
      <c r="FHH1240" s="30"/>
      <c r="FHI1240" s="30"/>
      <c r="FHJ1240" s="30"/>
      <c r="FHK1240" s="30"/>
      <c r="FHL1240" s="30"/>
      <c r="FHM1240" s="30"/>
      <c r="FHN1240" s="30"/>
      <c r="FHO1240" s="30"/>
      <c r="FHP1240" s="30"/>
      <c r="FHQ1240" s="30"/>
      <c r="FHR1240" s="30"/>
      <c r="FHS1240" s="30"/>
      <c r="FHT1240" s="30"/>
      <c r="FHU1240" s="30"/>
      <c r="FHV1240" s="30"/>
      <c r="FHW1240" s="30"/>
      <c r="FHX1240" s="30"/>
      <c r="FHY1240" s="30"/>
      <c r="FHZ1240" s="30"/>
      <c r="FIA1240" s="30"/>
      <c r="FIB1240" s="30"/>
      <c r="FIC1240" s="30"/>
      <c r="FID1240" s="30"/>
      <c r="FIE1240" s="30"/>
      <c r="FIF1240" s="30"/>
      <c r="FIG1240" s="30"/>
      <c r="FIH1240" s="30"/>
      <c r="FII1240" s="30"/>
      <c r="FIJ1240" s="30"/>
      <c r="FIK1240" s="30"/>
      <c r="FIL1240" s="30"/>
      <c r="FIM1240" s="30"/>
      <c r="FIN1240" s="30"/>
      <c r="FIO1240" s="30"/>
      <c r="FIP1240" s="30"/>
      <c r="FIQ1240" s="30"/>
      <c r="FIR1240" s="30"/>
      <c r="FIS1240" s="30"/>
      <c r="FIT1240" s="30"/>
      <c r="FIU1240" s="30"/>
      <c r="FIV1240" s="30"/>
      <c r="FIW1240" s="30"/>
      <c r="FIX1240" s="30"/>
      <c r="FIY1240" s="30"/>
      <c r="FIZ1240" s="30"/>
      <c r="FJA1240" s="30"/>
      <c r="FJB1240" s="30"/>
      <c r="FJC1240" s="30"/>
      <c r="FJD1240" s="30"/>
      <c r="FJE1240" s="30"/>
      <c r="FJF1240" s="30"/>
      <c r="FJG1240" s="30"/>
      <c r="FJH1240" s="30"/>
      <c r="FJI1240" s="30"/>
      <c r="FJJ1240" s="30"/>
      <c r="FJK1240" s="30"/>
      <c r="FJL1240" s="30"/>
      <c r="FJM1240" s="30"/>
      <c r="FJN1240" s="30"/>
      <c r="FJO1240" s="30"/>
      <c r="FJP1240" s="30"/>
      <c r="FJQ1240" s="30"/>
      <c r="FJR1240" s="30"/>
      <c r="FJS1240" s="30"/>
      <c r="FJT1240" s="30"/>
      <c r="FJU1240" s="30"/>
      <c r="FJV1240" s="30"/>
      <c r="FJW1240" s="30"/>
      <c r="FJX1240" s="30"/>
      <c r="FJY1240" s="30"/>
      <c r="FJZ1240" s="30"/>
      <c r="FKA1240" s="30"/>
      <c r="FKB1240" s="30"/>
      <c r="FKC1240" s="30"/>
      <c r="FKD1240" s="30"/>
      <c r="FKE1240" s="30"/>
      <c r="FKF1240" s="30"/>
      <c r="FKG1240" s="30"/>
      <c r="FKH1240" s="30"/>
      <c r="FKI1240" s="30"/>
      <c r="FKJ1240" s="30"/>
      <c r="FKK1240" s="30"/>
      <c r="FKL1240" s="30"/>
      <c r="FKM1240" s="30"/>
      <c r="FKN1240" s="30"/>
      <c r="FKO1240" s="30"/>
      <c r="FKP1240" s="30"/>
      <c r="FKQ1240" s="30"/>
      <c r="FKR1240" s="30"/>
      <c r="FKS1240" s="30"/>
      <c r="FKT1240" s="30"/>
      <c r="FKU1240" s="30"/>
      <c r="FKV1240" s="30"/>
      <c r="FKW1240" s="30"/>
      <c r="FKX1240" s="30"/>
      <c r="FKY1240" s="30"/>
      <c r="FKZ1240" s="30"/>
      <c r="FLA1240" s="30"/>
      <c r="FLB1240" s="30"/>
      <c r="FLC1240" s="30"/>
      <c r="FLD1240" s="30"/>
      <c r="FLE1240" s="30"/>
      <c r="FLF1240" s="30"/>
      <c r="FLG1240" s="30"/>
      <c r="FLH1240" s="30"/>
      <c r="FLI1240" s="30"/>
      <c r="FLJ1240" s="30"/>
      <c r="FLK1240" s="30"/>
      <c r="FLL1240" s="30"/>
      <c r="FLM1240" s="30"/>
      <c r="FLN1240" s="30"/>
      <c r="FLO1240" s="30"/>
      <c r="FLP1240" s="30"/>
      <c r="FLQ1240" s="30"/>
      <c r="FLR1240" s="30"/>
      <c r="FLS1240" s="30"/>
      <c r="FLT1240" s="30"/>
      <c r="FLU1240" s="30"/>
      <c r="FLV1240" s="30"/>
      <c r="FLW1240" s="30"/>
      <c r="FLX1240" s="30"/>
      <c r="FLY1240" s="30"/>
      <c r="FLZ1240" s="30"/>
      <c r="FMA1240" s="30"/>
      <c r="FMB1240" s="30"/>
      <c r="FMC1240" s="30"/>
      <c r="FMD1240" s="30"/>
      <c r="FME1240" s="30"/>
      <c r="FMF1240" s="30"/>
      <c r="FMG1240" s="30"/>
      <c r="FMH1240" s="30"/>
      <c r="FMI1240" s="30"/>
      <c r="FMJ1240" s="30"/>
      <c r="FMK1240" s="30"/>
      <c r="FML1240" s="30"/>
      <c r="FMM1240" s="30"/>
      <c r="FMN1240" s="30"/>
      <c r="FMO1240" s="30"/>
      <c r="FMP1240" s="30"/>
      <c r="FMQ1240" s="30"/>
      <c r="FMR1240" s="30"/>
      <c r="FMS1240" s="30"/>
      <c r="FMT1240" s="30"/>
      <c r="FMU1240" s="30"/>
      <c r="FMV1240" s="30"/>
      <c r="FMW1240" s="30"/>
      <c r="FMX1240" s="30"/>
      <c r="FMY1240" s="30"/>
      <c r="FMZ1240" s="30"/>
      <c r="FNA1240" s="30"/>
      <c r="FNB1240" s="30"/>
      <c r="FNC1240" s="30"/>
      <c r="FND1240" s="30"/>
      <c r="FNE1240" s="30"/>
      <c r="FNF1240" s="30"/>
      <c r="FNG1240" s="30"/>
      <c r="FNH1240" s="30"/>
      <c r="FNI1240" s="30"/>
      <c r="FNJ1240" s="30"/>
      <c r="FNK1240" s="30"/>
      <c r="FNL1240" s="30"/>
      <c r="FNM1240" s="30"/>
      <c r="FNN1240" s="30"/>
      <c r="FNO1240" s="30"/>
      <c r="FNP1240" s="30"/>
      <c r="FNQ1240" s="30"/>
      <c r="FNR1240" s="30"/>
      <c r="FNS1240" s="30"/>
      <c r="FNT1240" s="30"/>
      <c r="FNU1240" s="30"/>
      <c r="FNV1240" s="30"/>
      <c r="FNW1240" s="30"/>
      <c r="FNX1240" s="30"/>
      <c r="FNY1240" s="30"/>
      <c r="FNZ1240" s="30"/>
      <c r="FOA1240" s="30"/>
      <c r="FOB1240" s="30"/>
      <c r="FOC1240" s="30"/>
      <c r="FOD1240" s="30"/>
      <c r="FOE1240" s="30"/>
      <c r="FOF1240" s="30"/>
      <c r="FOG1240" s="30"/>
      <c r="FOH1240" s="30"/>
      <c r="FOI1240" s="30"/>
      <c r="FOJ1240" s="30"/>
      <c r="FOK1240" s="30"/>
      <c r="FOL1240" s="30"/>
      <c r="FOM1240" s="30"/>
      <c r="FON1240" s="30"/>
      <c r="FOO1240" s="30"/>
      <c r="FOP1240" s="30"/>
      <c r="FOQ1240" s="30"/>
      <c r="FOR1240" s="30"/>
      <c r="FOS1240" s="30"/>
      <c r="FOT1240" s="30"/>
      <c r="FOU1240" s="30"/>
      <c r="FOV1240" s="30"/>
      <c r="FOW1240" s="30"/>
      <c r="FOX1240" s="30"/>
      <c r="FOY1240" s="30"/>
      <c r="FOZ1240" s="30"/>
      <c r="FPA1240" s="30"/>
      <c r="FPB1240" s="30"/>
      <c r="FPC1240" s="30"/>
      <c r="FPD1240" s="30"/>
      <c r="FPE1240" s="30"/>
      <c r="FPF1240" s="30"/>
      <c r="FPG1240" s="30"/>
      <c r="FPH1240" s="30"/>
      <c r="FPI1240" s="30"/>
      <c r="FPJ1240" s="30"/>
      <c r="FPK1240" s="30"/>
      <c r="FPL1240" s="30"/>
      <c r="FPM1240" s="30"/>
      <c r="FPN1240" s="30"/>
      <c r="FPO1240" s="30"/>
      <c r="FPP1240" s="30"/>
      <c r="FPQ1240" s="30"/>
      <c r="FPR1240" s="30"/>
      <c r="FPS1240" s="30"/>
      <c r="FPT1240" s="30"/>
      <c r="FPU1240" s="30"/>
      <c r="FPV1240" s="30"/>
      <c r="FPW1240" s="30"/>
      <c r="FPX1240" s="30"/>
      <c r="FPY1240" s="30"/>
      <c r="FPZ1240" s="30"/>
      <c r="FQA1240" s="30"/>
      <c r="FQB1240" s="30"/>
      <c r="FQC1240" s="30"/>
      <c r="FQD1240" s="30"/>
      <c r="FQE1240" s="30"/>
      <c r="FQF1240" s="30"/>
      <c r="FQG1240" s="30"/>
      <c r="FQH1240" s="30"/>
      <c r="FQI1240" s="30"/>
      <c r="FQJ1240" s="30"/>
      <c r="FQK1240" s="30"/>
      <c r="FQL1240" s="30"/>
      <c r="FQM1240" s="30"/>
      <c r="FQN1240" s="30"/>
      <c r="FQO1240" s="30"/>
      <c r="FQP1240" s="30"/>
      <c r="FQQ1240" s="30"/>
      <c r="FQR1240" s="30"/>
      <c r="FQS1240" s="30"/>
      <c r="FQT1240" s="30"/>
      <c r="FQU1240" s="30"/>
      <c r="FQV1240" s="30"/>
      <c r="FQW1240" s="30"/>
      <c r="FQX1240" s="30"/>
      <c r="FQY1240" s="30"/>
      <c r="FQZ1240" s="30"/>
      <c r="FRA1240" s="30"/>
      <c r="FRB1240" s="30"/>
      <c r="FRC1240" s="30"/>
      <c r="FRD1240" s="30"/>
      <c r="FRE1240" s="30"/>
      <c r="FRF1240" s="30"/>
      <c r="FRG1240" s="30"/>
      <c r="FRH1240" s="30"/>
      <c r="FRI1240" s="30"/>
      <c r="FRJ1240" s="30"/>
      <c r="FRK1240" s="30"/>
      <c r="FRL1240" s="30"/>
      <c r="FRM1240" s="30"/>
      <c r="FRN1240" s="30"/>
      <c r="FRO1240" s="30"/>
      <c r="FRP1240" s="30"/>
      <c r="FRQ1240" s="30"/>
      <c r="FRR1240" s="30"/>
      <c r="FRS1240" s="30"/>
      <c r="FRT1240" s="30"/>
      <c r="FRU1240" s="30"/>
      <c r="FRV1240" s="30"/>
      <c r="FRW1240" s="30"/>
      <c r="FRX1240" s="30"/>
      <c r="FRY1240" s="30"/>
      <c r="FRZ1240" s="30"/>
      <c r="FSA1240" s="30"/>
      <c r="FSB1240" s="30"/>
      <c r="FSC1240" s="30"/>
      <c r="FSD1240" s="30"/>
      <c r="FSE1240" s="30"/>
      <c r="FSF1240" s="30"/>
      <c r="FSG1240" s="30"/>
      <c r="FSH1240" s="30"/>
      <c r="FSI1240" s="30"/>
      <c r="FSJ1240" s="30"/>
      <c r="FSK1240" s="30"/>
      <c r="FSL1240" s="30"/>
      <c r="FSM1240" s="30"/>
      <c r="FSN1240" s="30"/>
      <c r="FSO1240" s="30"/>
      <c r="FSP1240" s="30"/>
      <c r="FSQ1240" s="30"/>
      <c r="FSR1240" s="30"/>
      <c r="FSS1240" s="30"/>
      <c r="FST1240" s="30"/>
      <c r="FSU1240" s="30"/>
      <c r="FSV1240" s="30"/>
      <c r="FSW1240" s="30"/>
      <c r="FSX1240" s="30"/>
      <c r="FSY1240" s="30"/>
      <c r="FSZ1240" s="30"/>
      <c r="FTA1240" s="30"/>
      <c r="FTB1240" s="30"/>
      <c r="FTC1240" s="30"/>
      <c r="FTD1240" s="30"/>
      <c r="FTE1240" s="30"/>
      <c r="FTF1240" s="30"/>
      <c r="FTG1240" s="30"/>
      <c r="FTH1240" s="30"/>
      <c r="FTI1240" s="30"/>
      <c r="FTJ1240" s="30"/>
      <c r="FTK1240" s="30"/>
      <c r="FTL1240" s="30"/>
      <c r="FTM1240" s="30"/>
      <c r="FTN1240" s="30"/>
      <c r="FTO1240" s="30"/>
      <c r="FTP1240" s="30"/>
      <c r="FTQ1240" s="30"/>
      <c r="FTR1240" s="30"/>
      <c r="FTS1240" s="30"/>
      <c r="FTT1240" s="30"/>
      <c r="FTU1240" s="30"/>
      <c r="FTV1240" s="30"/>
      <c r="FTW1240" s="30"/>
      <c r="FTX1240" s="30"/>
      <c r="FTY1240" s="30"/>
      <c r="FTZ1240" s="30"/>
      <c r="FUA1240" s="30"/>
      <c r="FUB1240" s="30"/>
      <c r="FUC1240" s="30"/>
      <c r="FUD1240" s="30"/>
      <c r="FUE1240" s="30"/>
      <c r="FUF1240" s="30"/>
      <c r="FUG1240" s="30"/>
      <c r="FUH1240" s="30"/>
      <c r="FUI1240" s="30"/>
      <c r="FUJ1240" s="30"/>
      <c r="FUK1240" s="30"/>
      <c r="FUL1240" s="30"/>
      <c r="FUM1240" s="30"/>
      <c r="FUN1240" s="30"/>
      <c r="FUO1240" s="30"/>
      <c r="FUP1240" s="30"/>
      <c r="FUQ1240" s="30"/>
      <c r="FUR1240" s="30"/>
      <c r="FUS1240" s="30"/>
      <c r="FUT1240" s="30"/>
      <c r="FUU1240" s="30"/>
      <c r="FUV1240" s="30"/>
      <c r="FUW1240" s="30"/>
      <c r="FUX1240" s="30"/>
      <c r="FUY1240" s="30"/>
      <c r="FUZ1240" s="30"/>
      <c r="FVA1240" s="30"/>
      <c r="FVB1240" s="30"/>
      <c r="FVC1240" s="30"/>
      <c r="FVD1240" s="30"/>
      <c r="FVE1240" s="30"/>
      <c r="FVF1240" s="30"/>
      <c r="FVG1240" s="30"/>
      <c r="FVH1240" s="30"/>
      <c r="FVI1240" s="30"/>
      <c r="FVJ1240" s="30"/>
      <c r="FVK1240" s="30"/>
      <c r="FVL1240" s="30"/>
      <c r="FVM1240" s="30"/>
      <c r="FVN1240" s="30"/>
      <c r="FVO1240" s="30"/>
      <c r="FVP1240" s="30"/>
      <c r="FVQ1240" s="30"/>
      <c r="FVR1240" s="30"/>
      <c r="FVS1240" s="30"/>
      <c r="FVT1240" s="30"/>
      <c r="FVU1240" s="30"/>
      <c r="FVV1240" s="30"/>
      <c r="FVW1240" s="30"/>
      <c r="FVX1240" s="30"/>
      <c r="FVY1240" s="30"/>
      <c r="FVZ1240" s="30"/>
      <c r="FWA1240" s="30"/>
      <c r="FWB1240" s="30"/>
      <c r="FWC1240" s="30"/>
      <c r="FWD1240" s="30"/>
      <c r="FWE1240" s="30"/>
      <c r="FWF1240" s="30"/>
      <c r="FWG1240" s="30"/>
      <c r="FWH1240" s="30"/>
      <c r="FWI1240" s="30"/>
      <c r="FWJ1240" s="30"/>
      <c r="FWK1240" s="30"/>
      <c r="FWL1240" s="30"/>
      <c r="FWM1240" s="30"/>
      <c r="FWN1240" s="30"/>
      <c r="FWO1240" s="30"/>
      <c r="FWP1240" s="30"/>
      <c r="FWQ1240" s="30"/>
      <c r="FWR1240" s="30"/>
      <c r="FWS1240" s="30"/>
      <c r="FWT1240" s="30"/>
      <c r="FWU1240" s="30"/>
      <c r="FWV1240" s="30"/>
      <c r="FWW1240" s="30"/>
      <c r="FWX1240" s="30"/>
      <c r="FWY1240" s="30"/>
      <c r="FWZ1240" s="30"/>
      <c r="FXA1240" s="30"/>
      <c r="FXB1240" s="30"/>
      <c r="FXC1240" s="30"/>
      <c r="FXD1240" s="30"/>
      <c r="FXE1240" s="30"/>
      <c r="FXF1240" s="30"/>
      <c r="FXG1240" s="30"/>
      <c r="FXH1240" s="30"/>
      <c r="FXI1240" s="30"/>
      <c r="FXJ1240" s="30"/>
      <c r="FXK1240" s="30"/>
      <c r="FXL1240" s="30"/>
      <c r="FXM1240" s="30"/>
      <c r="FXN1240" s="30"/>
      <c r="FXO1240" s="30"/>
      <c r="FXP1240" s="30"/>
      <c r="FXQ1240" s="30"/>
      <c r="FXR1240" s="30"/>
      <c r="FXS1240" s="30"/>
      <c r="FXT1240" s="30"/>
      <c r="FXU1240" s="30"/>
      <c r="FXV1240" s="30"/>
      <c r="FXW1240" s="30"/>
      <c r="FXX1240" s="30"/>
      <c r="FXY1240" s="30"/>
      <c r="FXZ1240" s="30"/>
      <c r="FYA1240" s="30"/>
      <c r="FYB1240" s="30"/>
      <c r="FYC1240" s="30"/>
      <c r="FYD1240" s="30"/>
      <c r="FYE1240" s="30"/>
      <c r="FYF1240" s="30"/>
      <c r="FYG1240" s="30"/>
      <c r="FYH1240" s="30"/>
      <c r="FYI1240" s="30"/>
      <c r="FYJ1240" s="30"/>
      <c r="FYK1240" s="30"/>
      <c r="FYL1240" s="30"/>
      <c r="FYM1240" s="30"/>
      <c r="FYN1240" s="30"/>
      <c r="FYO1240" s="30"/>
      <c r="FYP1240" s="30"/>
      <c r="FYQ1240" s="30"/>
      <c r="FYR1240" s="30"/>
      <c r="FYS1240" s="30"/>
      <c r="FYT1240" s="30"/>
      <c r="FYU1240" s="30"/>
      <c r="FYV1240" s="30"/>
      <c r="FYW1240" s="30"/>
      <c r="FYX1240" s="30"/>
      <c r="FYY1240" s="30"/>
      <c r="FYZ1240" s="30"/>
      <c r="FZA1240" s="30"/>
      <c r="FZB1240" s="30"/>
      <c r="FZC1240" s="30"/>
      <c r="FZD1240" s="30"/>
      <c r="FZE1240" s="30"/>
      <c r="FZF1240" s="30"/>
      <c r="FZG1240" s="30"/>
      <c r="FZH1240" s="30"/>
      <c r="FZI1240" s="30"/>
      <c r="FZJ1240" s="30"/>
      <c r="FZK1240" s="30"/>
      <c r="FZL1240" s="30"/>
      <c r="FZM1240" s="30"/>
      <c r="FZN1240" s="30"/>
      <c r="FZO1240" s="30"/>
      <c r="FZP1240" s="30"/>
      <c r="FZQ1240" s="30"/>
      <c r="FZR1240" s="30"/>
      <c r="FZS1240" s="30"/>
      <c r="FZT1240" s="30"/>
      <c r="FZU1240" s="30"/>
      <c r="FZV1240" s="30"/>
      <c r="FZW1240" s="30"/>
      <c r="FZX1240" s="30"/>
      <c r="FZY1240" s="30"/>
      <c r="FZZ1240" s="30"/>
      <c r="GAA1240" s="30"/>
      <c r="GAB1240" s="30"/>
      <c r="GAC1240" s="30"/>
      <c r="GAD1240" s="30"/>
      <c r="GAE1240" s="30"/>
      <c r="GAF1240" s="30"/>
      <c r="GAG1240" s="30"/>
      <c r="GAH1240" s="30"/>
      <c r="GAI1240" s="30"/>
      <c r="GAJ1240" s="30"/>
      <c r="GAK1240" s="30"/>
      <c r="GAL1240" s="30"/>
      <c r="GAM1240" s="30"/>
      <c r="GAN1240" s="30"/>
      <c r="GAO1240" s="30"/>
      <c r="GAP1240" s="30"/>
      <c r="GAQ1240" s="30"/>
      <c r="GAR1240" s="30"/>
      <c r="GAS1240" s="30"/>
      <c r="GAT1240" s="30"/>
      <c r="GAU1240" s="30"/>
      <c r="GAV1240" s="30"/>
      <c r="GAW1240" s="30"/>
      <c r="GAX1240" s="30"/>
      <c r="GAY1240" s="30"/>
      <c r="GAZ1240" s="30"/>
      <c r="GBA1240" s="30"/>
      <c r="GBB1240" s="30"/>
      <c r="GBC1240" s="30"/>
      <c r="GBD1240" s="30"/>
      <c r="GBE1240" s="30"/>
      <c r="GBF1240" s="30"/>
      <c r="GBG1240" s="30"/>
      <c r="GBH1240" s="30"/>
      <c r="GBI1240" s="30"/>
      <c r="GBJ1240" s="30"/>
      <c r="GBK1240" s="30"/>
      <c r="GBL1240" s="30"/>
      <c r="GBM1240" s="30"/>
      <c r="GBN1240" s="30"/>
      <c r="GBO1240" s="30"/>
      <c r="GBP1240" s="30"/>
      <c r="GBQ1240" s="30"/>
      <c r="GBR1240" s="30"/>
      <c r="GBS1240" s="30"/>
      <c r="GBT1240" s="30"/>
      <c r="GBU1240" s="30"/>
      <c r="GBV1240" s="30"/>
      <c r="GBW1240" s="30"/>
      <c r="GBX1240" s="30"/>
      <c r="GBY1240" s="30"/>
      <c r="GBZ1240" s="30"/>
      <c r="GCA1240" s="30"/>
      <c r="GCB1240" s="30"/>
      <c r="GCC1240" s="30"/>
      <c r="GCD1240" s="30"/>
      <c r="GCE1240" s="30"/>
      <c r="GCF1240" s="30"/>
      <c r="GCG1240" s="30"/>
      <c r="GCH1240" s="30"/>
      <c r="GCI1240" s="30"/>
      <c r="GCJ1240" s="30"/>
      <c r="GCK1240" s="30"/>
      <c r="GCL1240" s="30"/>
      <c r="GCM1240" s="30"/>
      <c r="GCN1240" s="30"/>
      <c r="GCO1240" s="30"/>
      <c r="GCP1240" s="30"/>
      <c r="GCQ1240" s="30"/>
      <c r="GCR1240" s="30"/>
      <c r="GCS1240" s="30"/>
      <c r="GCT1240" s="30"/>
      <c r="GCU1240" s="30"/>
      <c r="GCV1240" s="30"/>
      <c r="GCW1240" s="30"/>
      <c r="GCX1240" s="30"/>
      <c r="GCY1240" s="30"/>
      <c r="GCZ1240" s="30"/>
      <c r="GDA1240" s="30"/>
      <c r="GDB1240" s="30"/>
      <c r="GDC1240" s="30"/>
      <c r="GDD1240" s="30"/>
      <c r="GDE1240" s="30"/>
      <c r="GDF1240" s="30"/>
      <c r="GDG1240" s="30"/>
      <c r="GDH1240" s="30"/>
      <c r="GDI1240" s="30"/>
      <c r="GDJ1240" s="30"/>
      <c r="GDK1240" s="30"/>
      <c r="GDL1240" s="30"/>
      <c r="GDM1240" s="30"/>
      <c r="GDN1240" s="30"/>
      <c r="GDO1240" s="30"/>
      <c r="GDP1240" s="30"/>
      <c r="GDQ1240" s="30"/>
      <c r="GDR1240" s="30"/>
      <c r="GDS1240" s="30"/>
      <c r="GDT1240" s="30"/>
      <c r="GDU1240" s="30"/>
      <c r="GDV1240" s="30"/>
      <c r="GDW1240" s="30"/>
      <c r="GDX1240" s="30"/>
      <c r="GDY1240" s="30"/>
      <c r="GDZ1240" s="30"/>
      <c r="GEA1240" s="30"/>
      <c r="GEB1240" s="30"/>
      <c r="GEC1240" s="30"/>
      <c r="GED1240" s="30"/>
      <c r="GEE1240" s="30"/>
      <c r="GEF1240" s="30"/>
      <c r="GEG1240" s="30"/>
      <c r="GEH1240" s="30"/>
      <c r="GEI1240" s="30"/>
      <c r="GEJ1240" s="30"/>
      <c r="GEK1240" s="30"/>
      <c r="GEL1240" s="30"/>
      <c r="GEM1240" s="30"/>
      <c r="GEN1240" s="30"/>
      <c r="GEO1240" s="30"/>
      <c r="GEP1240" s="30"/>
      <c r="GEQ1240" s="30"/>
      <c r="GER1240" s="30"/>
      <c r="GES1240" s="30"/>
      <c r="GET1240" s="30"/>
      <c r="GEU1240" s="30"/>
      <c r="GEV1240" s="30"/>
      <c r="GEW1240" s="30"/>
      <c r="GEX1240" s="30"/>
      <c r="GEY1240" s="30"/>
      <c r="GEZ1240" s="30"/>
      <c r="GFA1240" s="30"/>
      <c r="GFB1240" s="30"/>
      <c r="GFC1240" s="30"/>
      <c r="GFD1240" s="30"/>
      <c r="GFE1240" s="30"/>
      <c r="GFF1240" s="30"/>
      <c r="GFG1240" s="30"/>
      <c r="GFH1240" s="30"/>
      <c r="GFI1240" s="30"/>
      <c r="GFJ1240" s="30"/>
      <c r="GFK1240" s="30"/>
      <c r="GFL1240" s="30"/>
      <c r="GFM1240" s="30"/>
      <c r="GFN1240" s="30"/>
      <c r="GFO1240" s="30"/>
      <c r="GFP1240" s="30"/>
      <c r="GFQ1240" s="30"/>
      <c r="GFR1240" s="30"/>
      <c r="GFS1240" s="30"/>
      <c r="GFT1240" s="30"/>
      <c r="GFU1240" s="30"/>
      <c r="GFV1240" s="30"/>
      <c r="GFW1240" s="30"/>
      <c r="GFX1240" s="30"/>
      <c r="GFY1240" s="30"/>
      <c r="GFZ1240" s="30"/>
      <c r="GGA1240" s="30"/>
      <c r="GGB1240" s="30"/>
      <c r="GGC1240" s="30"/>
      <c r="GGD1240" s="30"/>
      <c r="GGE1240" s="30"/>
      <c r="GGF1240" s="30"/>
      <c r="GGG1240" s="30"/>
      <c r="GGH1240" s="30"/>
      <c r="GGI1240" s="30"/>
      <c r="GGJ1240" s="30"/>
      <c r="GGK1240" s="30"/>
      <c r="GGL1240" s="30"/>
      <c r="GGM1240" s="30"/>
      <c r="GGN1240" s="30"/>
      <c r="GGO1240" s="30"/>
      <c r="GGP1240" s="30"/>
      <c r="GGQ1240" s="30"/>
      <c r="GGR1240" s="30"/>
      <c r="GGS1240" s="30"/>
      <c r="GGT1240" s="30"/>
      <c r="GGU1240" s="30"/>
      <c r="GGV1240" s="30"/>
      <c r="GGW1240" s="30"/>
      <c r="GGX1240" s="30"/>
      <c r="GGY1240" s="30"/>
      <c r="GGZ1240" s="30"/>
      <c r="GHA1240" s="30"/>
      <c r="GHB1240" s="30"/>
      <c r="GHC1240" s="30"/>
      <c r="GHD1240" s="30"/>
      <c r="GHE1240" s="30"/>
      <c r="GHF1240" s="30"/>
      <c r="GHG1240" s="30"/>
      <c r="GHH1240" s="30"/>
      <c r="GHI1240" s="30"/>
      <c r="GHJ1240" s="30"/>
      <c r="GHK1240" s="30"/>
      <c r="GHL1240" s="30"/>
      <c r="GHM1240" s="30"/>
      <c r="GHN1240" s="30"/>
      <c r="GHO1240" s="30"/>
      <c r="GHP1240" s="30"/>
      <c r="GHQ1240" s="30"/>
      <c r="GHR1240" s="30"/>
      <c r="GHS1240" s="30"/>
      <c r="GHT1240" s="30"/>
      <c r="GHU1240" s="30"/>
      <c r="GHV1240" s="30"/>
      <c r="GHW1240" s="30"/>
      <c r="GHX1240" s="30"/>
      <c r="GHY1240" s="30"/>
      <c r="GHZ1240" s="30"/>
      <c r="GIA1240" s="30"/>
      <c r="GIB1240" s="30"/>
      <c r="GIC1240" s="30"/>
      <c r="GID1240" s="30"/>
      <c r="GIE1240" s="30"/>
      <c r="GIF1240" s="30"/>
      <c r="GIG1240" s="30"/>
      <c r="GIH1240" s="30"/>
      <c r="GII1240" s="30"/>
      <c r="GIJ1240" s="30"/>
      <c r="GIK1240" s="30"/>
      <c r="GIL1240" s="30"/>
      <c r="GIM1240" s="30"/>
      <c r="GIN1240" s="30"/>
      <c r="GIO1240" s="30"/>
      <c r="GIP1240" s="30"/>
      <c r="GIQ1240" s="30"/>
      <c r="GIR1240" s="30"/>
      <c r="GIS1240" s="30"/>
      <c r="GIT1240" s="30"/>
      <c r="GIU1240" s="30"/>
      <c r="GIV1240" s="30"/>
      <c r="GIW1240" s="30"/>
      <c r="GIX1240" s="30"/>
      <c r="GIY1240" s="30"/>
      <c r="GIZ1240" s="30"/>
      <c r="GJA1240" s="30"/>
      <c r="GJB1240" s="30"/>
      <c r="GJC1240" s="30"/>
      <c r="GJD1240" s="30"/>
      <c r="GJE1240" s="30"/>
      <c r="GJF1240" s="30"/>
      <c r="GJG1240" s="30"/>
      <c r="GJH1240" s="30"/>
      <c r="GJI1240" s="30"/>
      <c r="GJJ1240" s="30"/>
      <c r="GJK1240" s="30"/>
      <c r="GJL1240" s="30"/>
      <c r="GJM1240" s="30"/>
      <c r="GJN1240" s="30"/>
      <c r="GJO1240" s="30"/>
      <c r="GJP1240" s="30"/>
      <c r="GJQ1240" s="30"/>
      <c r="GJR1240" s="30"/>
      <c r="GJS1240" s="30"/>
      <c r="GJT1240" s="30"/>
      <c r="GJU1240" s="30"/>
      <c r="GJV1240" s="30"/>
      <c r="GJW1240" s="30"/>
      <c r="GJX1240" s="30"/>
      <c r="GJY1240" s="30"/>
      <c r="GJZ1240" s="30"/>
      <c r="GKA1240" s="30"/>
      <c r="GKB1240" s="30"/>
      <c r="GKC1240" s="30"/>
      <c r="GKD1240" s="30"/>
      <c r="GKE1240" s="30"/>
      <c r="GKF1240" s="30"/>
      <c r="GKG1240" s="30"/>
      <c r="GKH1240" s="30"/>
      <c r="GKI1240" s="30"/>
      <c r="GKJ1240" s="30"/>
      <c r="GKK1240" s="30"/>
      <c r="GKL1240" s="30"/>
      <c r="GKM1240" s="30"/>
      <c r="GKN1240" s="30"/>
      <c r="GKO1240" s="30"/>
      <c r="GKP1240" s="30"/>
      <c r="GKQ1240" s="30"/>
      <c r="GKR1240" s="30"/>
      <c r="GKS1240" s="30"/>
      <c r="GKT1240" s="30"/>
      <c r="GKU1240" s="30"/>
      <c r="GKV1240" s="30"/>
      <c r="GKW1240" s="30"/>
      <c r="GKX1240" s="30"/>
      <c r="GKY1240" s="30"/>
      <c r="GKZ1240" s="30"/>
      <c r="GLA1240" s="30"/>
      <c r="GLB1240" s="30"/>
      <c r="GLC1240" s="30"/>
      <c r="GLD1240" s="30"/>
      <c r="GLE1240" s="30"/>
      <c r="GLF1240" s="30"/>
      <c r="GLG1240" s="30"/>
      <c r="GLH1240" s="30"/>
      <c r="GLI1240" s="30"/>
      <c r="GLJ1240" s="30"/>
      <c r="GLK1240" s="30"/>
      <c r="GLL1240" s="30"/>
      <c r="GLM1240" s="30"/>
      <c r="GLN1240" s="30"/>
      <c r="GLO1240" s="30"/>
      <c r="GLP1240" s="30"/>
      <c r="GLQ1240" s="30"/>
      <c r="GLR1240" s="30"/>
      <c r="GLS1240" s="30"/>
      <c r="GLT1240" s="30"/>
      <c r="GLU1240" s="30"/>
      <c r="GLV1240" s="30"/>
      <c r="GLW1240" s="30"/>
      <c r="GLX1240" s="30"/>
      <c r="GLY1240" s="30"/>
      <c r="GLZ1240" s="30"/>
      <c r="GMA1240" s="30"/>
      <c r="GMB1240" s="30"/>
      <c r="GMC1240" s="30"/>
      <c r="GMD1240" s="30"/>
      <c r="GME1240" s="30"/>
      <c r="GMF1240" s="30"/>
      <c r="GMG1240" s="30"/>
      <c r="GMH1240" s="30"/>
      <c r="GMI1240" s="30"/>
      <c r="GMJ1240" s="30"/>
      <c r="GMK1240" s="30"/>
      <c r="GML1240" s="30"/>
      <c r="GMM1240" s="30"/>
      <c r="GMN1240" s="30"/>
      <c r="GMO1240" s="30"/>
      <c r="GMP1240" s="30"/>
      <c r="GMQ1240" s="30"/>
      <c r="GMR1240" s="30"/>
      <c r="GMS1240" s="30"/>
      <c r="GMT1240" s="30"/>
      <c r="GMU1240" s="30"/>
      <c r="GMV1240" s="30"/>
      <c r="GMW1240" s="30"/>
      <c r="GMX1240" s="30"/>
      <c r="GMY1240" s="30"/>
      <c r="GMZ1240" s="30"/>
      <c r="GNA1240" s="30"/>
      <c r="GNB1240" s="30"/>
      <c r="GNC1240" s="30"/>
      <c r="GND1240" s="30"/>
      <c r="GNE1240" s="30"/>
      <c r="GNF1240" s="30"/>
      <c r="GNG1240" s="30"/>
      <c r="GNH1240" s="30"/>
      <c r="GNI1240" s="30"/>
      <c r="GNJ1240" s="30"/>
      <c r="GNK1240" s="30"/>
      <c r="GNL1240" s="30"/>
      <c r="GNM1240" s="30"/>
      <c r="GNN1240" s="30"/>
      <c r="GNO1240" s="30"/>
      <c r="GNP1240" s="30"/>
      <c r="GNQ1240" s="30"/>
      <c r="GNR1240" s="30"/>
      <c r="GNS1240" s="30"/>
      <c r="GNT1240" s="30"/>
      <c r="GNU1240" s="30"/>
      <c r="GNV1240" s="30"/>
      <c r="GNW1240" s="30"/>
      <c r="GNX1240" s="30"/>
      <c r="GNY1240" s="30"/>
      <c r="GNZ1240" s="30"/>
      <c r="GOA1240" s="30"/>
      <c r="GOB1240" s="30"/>
      <c r="GOC1240" s="30"/>
      <c r="GOD1240" s="30"/>
      <c r="GOE1240" s="30"/>
      <c r="GOF1240" s="30"/>
      <c r="GOG1240" s="30"/>
      <c r="GOH1240" s="30"/>
      <c r="GOI1240" s="30"/>
      <c r="GOJ1240" s="30"/>
      <c r="GOK1240" s="30"/>
      <c r="GOL1240" s="30"/>
      <c r="GOM1240" s="30"/>
      <c r="GON1240" s="30"/>
      <c r="GOO1240" s="30"/>
      <c r="GOP1240" s="30"/>
      <c r="GOQ1240" s="30"/>
      <c r="GOR1240" s="30"/>
      <c r="GOS1240" s="30"/>
      <c r="GOT1240" s="30"/>
      <c r="GOU1240" s="30"/>
      <c r="GOV1240" s="30"/>
      <c r="GOW1240" s="30"/>
      <c r="GOX1240" s="30"/>
      <c r="GOY1240" s="30"/>
      <c r="GOZ1240" s="30"/>
      <c r="GPA1240" s="30"/>
      <c r="GPB1240" s="30"/>
      <c r="GPC1240" s="30"/>
      <c r="GPD1240" s="30"/>
      <c r="GPE1240" s="30"/>
      <c r="GPF1240" s="30"/>
      <c r="GPG1240" s="30"/>
      <c r="GPH1240" s="30"/>
      <c r="GPI1240" s="30"/>
      <c r="GPJ1240" s="30"/>
      <c r="GPK1240" s="30"/>
      <c r="GPL1240" s="30"/>
      <c r="GPM1240" s="30"/>
      <c r="GPN1240" s="30"/>
      <c r="GPO1240" s="30"/>
      <c r="GPP1240" s="30"/>
      <c r="GPQ1240" s="30"/>
      <c r="GPR1240" s="30"/>
      <c r="GPS1240" s="30"/>
      <c r="GPT1240" s="30"/>
      <c r="GPU1240" s="30"/>
      <c r="GPV1240" s="30"/>
      <c r="GPW1240" s="30"/>
      <c r="GPX1240" s="30"/>
      <c r="GPY1240" s="30"/>
      <c r="GPZ1240" s="30"/>
      <c r="GQA1240" s="30"/>
      <c r="GQB1240" s="30"/>
      <c r="GQC1240" s="30"/>
      <c r="GQD1240" s="30"/>
      <c r="GQE1240" s="30"/>
      <c r="GQF1240" s="30"/>
      <c r="GQG1240" s="30"/>
      <c r="GQH1240" s="30"/>
      <c r="GQI1240" s="30"/>
      <c r="GQJ1240" s="30"/>
      <c r="GQK1240" s="30"/>
      <c r="GQL1240" s="30"/>
      <c r="GQM1240" s="30"/>
      <c r="GQN1240" s="30"/>
      <c r="GQO1240" s="30"/>
      <c r="GQP1240" s="30"/>
      <c r="GQQ1240" s="30"/>
      <c r="GQR1240" s="30"/>
      <c r="GQS1240" s="30"/>
      <c r="GQT1240" s="30"/>
      <c r="GQU1240" s="30"/>
      <c r="GQV1240" s="30"/>
      <c r="GQW1240" s="30"/>
      <c r="GQX1240" s="30"/>
      <c r="GQY1240" s="30"/>
      <c r="GQZ1240" s="30"/>
      <c r="GRA1240" s="30"/>
      <c r="GRB1240" s="30"/>
      <c r="GRC1240" s="30"/>
      <c r="GRD1240" s="30"/>
      <c r="GRE1240" s="30"/>
      <c r="GRF1240" s="30"/>
      <c r="GRG1240" s="30"/>
      <c r="GRH1240" s="30"/>
      <c r="GRI1240" s="30"/>
      <c r="GRJ1240" s="30"/>
      <c r="GRK1240" s="30"/>
      <c r="GRL1240" s="30"/>
      <c r="GRM1240" s="30"/>
      <c r="GRN1240" s="30"/>
      <c r="GRO1240" s="30"/>
      <c r="GRP1240" s="30"/>
      <c r="GRQ1240" s="30"/>
      <c r="GRR1240" s="30"/>
      <c r="GRS1240" s="30"/>
      <c r="GRT1240" s="30"/>
      <c r="GRU1240" s="30"/>
      <c r="GRV1240" s="30"/>
      <c r="GRW1240" s="30"/>
      <c r="GRX1240" s="30"/>
      <c r="GRY1240" s="30"/>
      <c r="GRZ1240" s="30"/>
      <c r="GSA1240" s="30"/>
      <c r="GSB1240" s="30"/>
      <c r="GSC1240" s="30"/>
      <c r="GSD1240" s="30"/>
      <c r="GSE1240" s="30"/>
      <c r="GSF1240" s="30"/>
      <c r="GSG1240" s="30"/>
      <c r="GSH1240" s="30"/>
      <c r="GSI1240" s="30"/>
      <c r="GSJ1240" s="30"/>
      <c r="GSK1240" s="30"/>
      <c r="GSL1240" s="30"/>
      <c r="GSM1240" s="30"/>
      <c r="GSN1240" s="30"/>
      <c r="GSO1240" s="30"/>
      <c r="GSP1240" s="30"/>
      <c r="GSQ1240" s="30"/>
      <c r="GSR1240" s="30"/>
      <c r="GSS1240" s="30"/>
      <c r="GST1240" s="30"/>
      <c r="GSU1240" s="30"/>
      <c r="GSV1240" s="30"/>
      <c r="GSW1240" s="30"/>
      <c r="GSX1240" s="30"/>
      <c r="GSY1240" s="30"/>
      <c r="GSZ1240" s="30"/>
      <c r="GTA1240" s="30"/>
      <c r="GTB1240" s="30"/>
      <c r="GTC1240" s="30"/>
      <c r="GTD1240" s="30"/>
      <c r="GTE1240" s="30"/>
      <c r="GTF1240" s="30"/>
      <c r="GTG1240" s="30"/>
      <c r="GTH1240" s="30"/>
      <c r="GTI1240" s="30"/>
      <c r="GTJ1240" s="30"/>
      <c r="GTK1240" s="30"/>
      <c r="GTL1240" s="30"/>
      <c r="GTM1240" s="30"/>
      <c r="GTN1240" s="30"/>
      <c r="GTO1240" s="30"/>
      <c r="GTP1240" s="30"/>
      <c r="GTQ1240" s="30"/>
      <c r="GTR1240" s="30"/>
      <c r="GTS1240" s="30"/>
      <c r="GTT1240" s="30"/>
      <c r="GTU1240" s="30"/>
      <c r="GTV1240" s="30"/>
      <c r="GTW1240" s="30"/>
      <c r="GTX1240" s="30"/>
      <c r="GTY1240" s="30"/>
      <c r="GTZ1240" s="30"/>
      <c r="GUA1240" s="30"/>
      <c r="GUB1240" s="30"/>
      <c r="GUC1240" s="30"/>
      <c r="GUD1240" s="30"/>
      <c r="GUE1240" s="30"/>
      <c r="GUF1240" s="30"/>
      <c r="GUG1240" s="30"/>
      <c r="GUH1240" s="30"/>
      <c r="GUI1240" s="30"/>
      <c r="GUJ1240" s="30"/>
      <c r="GUK1240" s="30"/>
      <c r="GUL1240" s="30"/>
      <c r="GUM1240" s="30"/>
      <c r="GUN1240" s="30"/>
      <c r="GUO1240" s="30"/>
      <c r="GUP1240" s="30"/>
      <c r="GUQ1240" s="30"/>
      <c r="GUR1240" s="30"/>
      <c r="GUS1240" s="30"/>
      <c r="GUT1240" s="30"/>
      <c r="GUU1240" s="30"/>
      <c r="GUV1240" s="30"/>
      <c r="GUW1240" s="30"/>
      <c r="GUX1240" s="30"/>
      <c r="GUY1240" s="30"/>
      <c r="GUZ1240" s="30"/>
      <c r="GVA1240" s="30"/>
      <c r="GVB1240" s="30"/>
      <c r="GVC1240" s="30"/>
      <c r="GVD1240" s="30"/>
      <c r="GVE1240" s="30"/>
      <c r="GVF1240" s="30"/>
      <c r="GVG1240" s="30"/>
      <c r="GVH1240" s="30"/>
      <c r="GVI1240" s="30"/>
      <c r="GVJ1240" s="30"/>
      <c r="GVK1240" s="30"/>
      <c r="GVL1240" s="30"/>
      <c r="GVM1240" s="30"/>
      <c r="GVN1240" s="30"/>
      <c r="GVO1240" s="30"/>
      <c r="GVP1240" s="30"/>
      <c r="GVQ1240" s="30"/>
      <c r="GVR1240" s="30"/>
      <c r="GVS1240" s="30"/>
      <c r="GVT1240" s="30"/>
      <c r="GVU1240" s="30"/>
      <c r="GVV1240" s="30"/>
      <c r="GVW1240" s="30"/>
      <c r="GVX1240" s="30"/>
      <c r="GVY1240" s="30"/>
      <c r="GVZ1240" s="30"/>
      <c r="GWA1240" s="30"/>
      <c r="GWB1240" s="30"/>
      <c r="GWC1240" s="30"/>
      <c r="GWD1240" s="30"/>
      <c r="GWE1240" s="30"/>
      <c r="GWF1240" s="30"/>
      <c r="GWG1240" s="30"/>
      <c r="GWH1240" s="30"/>
      <c r="GWI1240" s="30"/>
      <c r="GWJ1240" s="30"/>
      <c r="GWK1240" s="30"/>
      <c r="GWL1240" s="30"/>
      <c r="GWM1240" s="30"/>
      <c r="GWN1240" s="30"/>
      <c r="GWO1240" s="30"/>
      <c r="GWP1240" s="30"/>
      <c r="GWQ1240" s="30"/>
      <c r="GWR1240" s="30"/>
      <c r="GWS1240" s="30"/>
      <c r="GWT1240" s="30"/>
      <c r="GWU1240" s="30"/>
      <c r="GWV1240" s="30"/>
      <c r="GWW1240" s="30"/>
      <c r="GWX1240" s="30"/>
      <c r="GWY1240" s="30"/>
      <c r="GWZ1240" s="30"/>
      <c r="GXA1240" s="30"/>
      <c r="GXB1240" s="30"/>
      <c r="GXC1240" s="30"/>
      <c r="GXD1240" s="30"/>
      <c r="GXE1240" s="30"/>
      <c r="GXF1240" s="30"/>
      <c r="GXG1240" s="30"/>
      <c r="GXH1240" s="30"/>
      <c r="GXI1240" s="30"/>
      <c r="GXJ1240" s="30"/>
      <c r="GXK1240" s="30"/>
      <c r="GXL1240" s="30"/>
      <c r="GXM1240" s="30"/>
      <c r="GXN1240" s="30"/>
      <c r="GXO1240" s="30"/>
      <c r="GXP1240" s="30"/>
      <c r="GXQ1240" s="30"/>
      <c r="GXR1240" s="30"/>
      <c r="GXS1240" s="30"/>
      <c r="GXT1240" s="30"/>
      <c r="GXU1240" s="30"/>
      <c r="GXV1240" s="30"/>
      <c r="GXW1240" s="30"/>
      <c r="GXX1240" s="30"/>
      <c r="GXY1240" s="30"/>
      <c r="GXZ1240" s="30"/>
      <c r="GYA1240" s="30"/>
      <c r="GYB1240" s="30"/>
      <c r="GYC1240" s="30"/>
      <c r="GYD1240" s="30"/>
      <c r="GYE1240" s="30"/>
      <c r="GYF1240" s="30"/>
      <c r="GYG1240" s="30"/>
      <c r="GYH1240" s="30"/>
      <c r="GYI1240" s="30"/>
      <c r="GYJ1240" s="30"/>
      <c r="GYK1240" s="30"/>
      <c r="GYL1240" s="30"/>
      <c r="GYM1240" s="30"/>
      <c r="GYN1240" s="30"/>
      <c r="GYO1240" s="30"/>
      <c r="GYP1240" s="30"/>
      <c r="GYQ1240" s="30"/>
      <c r="GYR1240" s="30"/>
      <c r="GYS1240" s="30"/>
      <c r="GYT1240" s="30"/>
      <c r="GYU1240" s="30"/>
      <c r="GYV1240" s="30"/>
      <c r="GYW1240" s="30"/>
      <c r="GYX1240" s="30"/>
      <c r="GYY1240" s="30"/>
      <c r="GYZ1240" s="30"/>
      <c r="GZA1240" s="30"/>
      <c r="GZB1240" s="30"/>
      <c r="GZC1240" s="30"/>
      <c r="GZD1240" s="30"/>
      <c r="GZE1240" s="30"/>
      <c r="GZF1240" s="30"/>
      <c r="GZG1240" s="30"/>
      <c r="GZH1240" s="30"/>
      <c r="GZI1240" s="30"/>
      <c r="GZJ1240" s="30"/>
      <c r="GZK1240" s="30"/>
      <c r="GZL1240" s="30"/>
      <c r="GZM1240" s="30"/>
      <c r="GZN1240" s="30"/>
      <c r="GZO1240" s="30"/>
      <c r="GZP1240" s="30"/>
      <c r="GZQ1240" s="30"/>
      <c r="GZR1240" s="30"/>
      <c r="GZS1240" s="30"/>
      <c r="GZT1240" s="30"/>
      <c r="GZU1240" s="30"/>
      <c r="GZV1240" s="30"/>
      <c r="GZW1240" s="30"/>
      <c r="GZX1240" s="30"/>
      <c r="GZY1240" s="30"/>
      <c r="GZZ1240" s="30"/>
      <c r="HAA1240" s="30"/>
      <c r="HAB1240" s="30"/>
      <c r="HAC1240" s="30"/>
      <c r="HAD1240" s="30"/>
      <c r="HAE1240" s="30"/>
      <c r="HAF1240" s="30"/>
      <c r="HAG1240" s="30"/>
      <c r="HAH1240" s="30"/>
      <c r="HAI1240" s="30"/>
      <c r="HAJ1240" s="30"/>
      <c r="HAK1240" s="30"/>
      <c r="HAL1240" s="30"/>
      <c r="HAM1240" s="30"/>
      <c r="HAN1240" s="30"/>
      <c r="HAO1240" s="30"/>
      <c r="HAP1240" s="30"/>
      <c r="HAQ1240" s="30"/>
      <c r="HAR1240" s="30"/>
      <c r="HAS1240" s="30"/>
      <c r="HAT1240" s="30"/>
      <c r="HAU1240" s="30"/>
      <c r="HAV1240" s="30"/>
      <c r="HAW1240" s="30"/>
      <c r="HAX1240" s="30"/>
      <c r="HAY1240" s="30"/>
      <c r="HAZ1240" s="30"/>
      <c r="HBA1240" s="30"/>
      <c r="HBB1240" s="30"/>
      <c r="HBC1240" s="30"/>
      <c r="HBD1240" s="30"/>
      <c r="HBE1240" s="30"/>
      <c r="HBF1240" s="30"/>
      <c r="HBG1240" s="30"/>
      <c r="HBH1240" s="30"/>
      <c r="HBI1240" s="30"/>
      <c r="HBJ1240" s="30"/>
      <c r="HBK1240" s="30"/>
      <c r="HBL1240" s="30"/>
      <c r="HBM1240" s="30"/>
      <c r="HBN1240" s="30"/>
      <c r="HBO1240" s="30"/>
      <c r="HBP1240" s="30"/>
      <c r="HBQ1240" s="30"/>
      <c r="HBR1240" s="30"/>
      <c r="HBS1240" s="30"/>
      <c r="HBT1240" s="30"/>
      <c r="HBU1240" s="30"/>
      <c r="HBV1240" s="30"/>
      <c r="HBW1240" s="30"/>
      <c r="HBX1240" s="30"/>
      <c r="HBY1240" s="30"/>
      <c r="HBZ1240" s="30"/>
      <c r="HCA1240" s="30"/>
      <c r="HCB1240" s="30"/>
      <c r="HCC1240" s="30"/>
      <c r="HCD1240" s="30"/>
      <c r="HCE1240" s="30"/>
      <c r="HCF1240" s="30"/>
      <c r="HCG1240" s="30"/>
      <c r="HCH1240" s="30"/>
      <c r="HCI1240" s="30"/>
      <c r="HCJ1240" s="30"/>
      <c r="HCK1240" s="30"/>
      <c r="HCL1240" s="30"/>
      <c r="HCM1240" s="30"/>
      <c r="HCN1240" s="30"/>
      <c r="HCO1240" s="30"/>
      <c r="HCP1240" s="30"/>
      <c r="HCQ1240" s="30"/>
      <c r="HCR1240" s="30"/>
      <c r="HCS1240" s="30"/>
      <c r="HCT1240" s="30"/>
      <c r="HCU1240" s="30"/>
      <c r="HCV1240" s="30"/>
      <c r="HCW1240" s="30"/>
      <c r="HCX1240" s="30"/>
      <c r="HCY1240" s="30"/>
      <c r="HCZ1240" s="30"/>
      <c r="HDA1240" s="30"/>
      <c r="HDB1240" s="30"/>
      <c r="HDC1240" s="30"/>
      <c r="HDD1240" s="30"/>
      <c r="HDE1240" s="30"/>
      <c r="HDF1240" s="30"/>
      <c r="HDG1240" s="30"/>
      <c r="HDH1240" s="30"/>
      <c r="HDI1240" s="30"/>
      <c r="HDJ1240" s="30"/>
      <c r="HDK1240" s="30"/>
      <c r="HDL1240" s="30"/>
      <c r="HDM1240" s="30"/>
      <c r="HDN1240" s="30"/>
      <c r="HDO1240" s="30"/>
      <c r="HDP1240" s="30"/>
      <c r="HDQ1240" s="30"/>
      <c r="HDR1240" s="30"/>
      <c r="HDS1240" s="30"/>
      <c r="HDT1240" s="30"/>
      <c r="HDU1240" s="30"/>
      <c r="HDV1240" s="30"/>
      <c r="HDW1240" s="30"/>
      <c r="HDX1240" s="30"/>
      <c r="HDY1240" s="30"/>
      <c r="HDZ1240" s="30"/>
      <c r="HEA1240" s="30"/>
      <c r="HEB1240" s="30"/>
      <c r="HEC1240" s="30"/>
      <c r="HED1240" s="30"/>
      <c r="HEE1240" s="30"/>
      <c r="HEF1240" s="30"/>
      <c r="HEG1240" s="30"/>
      <c r="HEH1240" s="30"/>
      <c r="HEI1240" s="30"/>
      <c r="HEJ1240" s="30"/>
      <c r="HEK1240" s="30"/>
      <c r="HEL1240" s="30"/>
      <c r="HEM1240" s="30"/>
      <c r="HEN1240" s="30"/>
      <c r="HEO1240" s="30"/>
      <c r="HEP1240" s="30"/>
      <c r="HEQ1240" s="30"/>
      <c r="HER1240" s="30"/>
      <c r="HES1240" s="30"/>
      <c r="HET1240" s="30"/>
      <c r="HEU1240" s="30"/>
      <c r="HEV1240" s="30"/>
      <c r="HEW1240" s="30"/>
      <c r="HEX1240" s="30"/>
      <c r="HEY1240" s="30"/>
      <c r="HEZ1240" s="30"/>
      <c r="HFA1240" s="30"/>
      <c r="HFB1240" s="30"/>
      <c r="HFC1240" s="30"/>
      <c r="HFD1240" s="30"/>
      <c r="HFE1240" s="30"/>
      <c r="HFF1240" s="30"/>
      <c r="HFG1240" s="30"/>
      <c r="HFH1240" s="30"/>
      <c r="HFI1240" s="30"/>
      <c r="HFJ1240" s="30"/>
      <c r="HFK1240" s="30"/>
      <c r="HFL1240" s="30"/>
      <c r="HFM1240" s="30"/>
      <c r="HFN1240" s="30"/>
      <c r="HFO1240" s="30"/>
      <c r="HFP1240" s="30"/>
      <c r="HFQ1240" s="30"/>
      <c r="HFR1240" s="30"/>
      <c r="HFS1240" s="30"/>
      <c r="HFT1240" s="30"/>
      <c r="HFU1240" s="30"/>
      <c r="HFV1240" s="30"/>
      <c r="HFW1240" s="30"/>
      <c r="HFX1240" s="30"/>
      <c r="HFY1240" s="30"/>
      <c r="HFZ1240" s="30"/>
      <c r="HGA1240" s="30"/>
      <c r="HGB1240" s="30"/>
      <c r="HGC1240" s="30"/>
      <c r="HGD1240" s="30"/>
      <c r="HGE1240" s="30"/>
      <c r="HGF1240" s="30"/>
      <c r="HGG1240" s="30"/>
      <c r="HGH1240" s="30"/>
      <c r="HGI1240" s="30"/>
      <c r="HGJ1240" s="30"/>
      <c r="HGK1240" s="30"/>
      <c r="HGL1240" s="30"/>
      <c r="HGM1240" s="30"/>
      <c r="HGN1240" s="30"/>
      <c r="HGO1240" s="30"/>
      <c r="HGP1240" s="30"/>
      <c r="HGQ1240" s="30"/>
      <c r="HGR1240" s="30"/>
      <c r="HGS1240" s="30"/>
      <c r="HGT1240" s="30"/>
      <c r="HGU1240" s="30"/>
      <c r="HGV1240" s="30"/>
      <c r="HGW1240" s="30"/>
      <c r="HGX1240" s="30"/>
      <c r="HGY1240" s="30"/>
      <c r="HGZ1240" s="30"/>
      <c r="HHA1240" s="30"/>
      <c r="HHB1240" s="30"/>
      <c r="HHC1240" s="30"/>
      <c r="HHD1240" s="30"/>
      <c r="HHE1240" s="30"/>
      <c r="HHF1240" s="30"/>
      <c r="HHG1240" s="30"/>
      <c r="HHH1240" s="30"/>
      <c r="HHI1240" s="30"/>
      <c r="HHJ1240" s="30"/>
      <c r="HHK1240" s="30"/>
      <c r="HHL1240" s="30"/>
      <c r="HHM1240" s="30"/>
      <c r="HHN1240" s="30"/>
      <c r="HHO1240" s="30"/>
      <c r="HHP1240" s="30"/>
      <c r="HHQ1240" s="30"/>
      <c r="HHR1240" s="30"/>
      <c r="HHS1240" s="30"/>
      <c r="HHT1240" s="30"/>
      <c r="HHU1240" s="30"/>
      <c r="HHV1240" s="30"/>
      <c r="HHW1240" s="30"/>
      <c r="HHX1240" s="30"/>
      <c r="HHY1240" s="30"/>
      <c r="HHZ1240" s="30"/>
      <c r="HIA1240" s="30"/>
      <c r="HIB1240" s="30"/>
      <c r="HIC1240" s="30"/>
      <c r="HID1240" s="30"/>
      <c r="HIE1240" s="30"/>
      <c r="HIF1240" s="30"/>
      <c r="HIG1240" s="30"/>
      <c r="HIH1240" s="30"/>
      <c r="HII1240" s="30"/>
      <c r="HIJ1240" s="30"/>
      <c r="HIK1240" s="30"/>
      <c r="HIL1240" s="30"/>
      <c r="HIM1240" s="30"/>
      <c r="HIN1240" s="30"/>
      <c r="HIO1240" s="30"/>
      <c r="HIP1240" s="30"/>
      <c r="HIQ1240" s="30"/>
      <c r="HIR1240" s="30"/>
      <c r="HIS1240" s="30"/>
      <c r="HIT1240" s="30"/>
      <c r="HIU1240" s="30"/>
      <c r="HIV1240" s="30"/>
      <c r="HIW1240" s="30"/>
      <c r="HIX1240" s="30"/>
      <c r="HIY1240" s="30"/>
      <c r="HIZ1240" s="30"/>
      <c r="HJA1240" s="30"/>
      <c r="HJB1240" s="30"/>
      <c r="HJC1240" s="30"/>
      <c r="HJD1240" s="30"/>
      <c r="HJE1240" s="30"/>
      <c r="HJF1240" s="30"/>
      <c r="HJG1240" s="30"/>
      <c r="HJH1240" s="30"/>
      <c r="HJI1240" s="30"/>
      <c r="HJJ1240" s="30"/>
      <c r="HJK1240" s="30"/>
      <c r="HJL1240" s="30"/>
      <c r="HJM1240" s="30"/>
      <c r="HJN1240" s="30"/>
      <c r="HJO1240" s="30"/>
      <c r="HJP1240" s="30"/>
      <c r="HJQ1240" s="30"/>
      <c r="HJR1240" s="30"/>
      <c r="HJS1240" s="30"/>
      <c r="HJT1240" s="30"/>
      <c r="HJU1240" s="30"/>
      <c r="HJV1240" s="30"/>
      <c r="HJW1240" s="30"/>
      <c r="HJX1240" s="30"/>
      <c r="HJY1240" s="30"/>
      <c r="HJZ1240" s="30"/>
      <c r="HKA1240" s="30"/>
      <c r="HKB1240" s="30"/>
      <c r="HKC1240" s="30"/>
      <c r="HKD1240" s="30"/>
      <c r="HKE1240" s="30"/>
      <c r="HKF1240" s="30"/>
      <c r="HKG1240" s="30"/>
      <c r="HKH1240" s="30"/>
      <c r="HKI1240" s="30"/>
      <c r="HKJ1240" s="30"/>
      <c r="HKK1240" s="30"/>
      <c r="HKL1240" s="30"/>
      <c r="HKM1240" s="30"/>
      <c r="HKN1240" s="30"/>
      <c r="HKO1240" s="30"/>
      <c r="HKP1240" s="30"/>
      <c r="HKQ1240" s="30"/>
      <c r="HKR1240" s="30"/>
      <c r="HKS1240" s="30"/>
      <c r="HKT1240" s="30"/>
      <c r="HKU1240" s="30"/>
      <c r="HKV1240" s="30"/>
      <c r="HKW1240" s="30"/>
      <c r="HKX1240" s="30"/>
      <c r="HKY1240" s="30"/>
      <c r="HKZ1240" s="30"/>
      <c r="HLA1240" s="30"/>
      <c r="HLB1240" s="30"/>
      <c r="HLC1240" s="30"/>
      <c r="HLD1240" s="30"/>
      <c r="HLE1240" s="30"/>
      <c r="HLF1240" s="30"/>
      <c r="HLG1240" s="30"/>
      <c r="HLH1240" s="30"/>
      <c r="HLI1240" s="30"/>
      <c r="HLJ1240" s="30"/>
      <c r="HLK1240" s="30"/>
      <c r="HLL1240" s="30"/>
      <c r="HLM1240" s="30"/>
      <c r="HLN1240" s="30"/>
      <c r="HLO1240" s="30"/>
      <c r="HLP1240" s="30"/>
      <c r="HLQ1240" s="30"/>
      <c r="HLR1240" s="30"/>
      <c r="HLS1240" s="30"/>
      <c r="HLT1240" s="30"/>
      <c r="HLU1240" s="30"/>
      <c r="HLV1240" s="30"/>
      <c r="HLW1240" s="30"/>
      <c r="HLX1240" s="30"/>
      <c r="HLY1240" s="30"/>
      <c r="HLZ1240" s="30"/>
      <c r="HMA1240" s="30"/>
      <c r="HMB1240" s="30"/>
      <c r="HMC1240" s="30"/>
      <c r="HMD1240" s="30"/>
      <c r="HME1240" s="30"/>
      <c r="HMF1240" s="30"/>
      <c r="HMG1240" s="30"/>
      <c r="HMH1240" s="30"/>
      <c r="HMI1240" s="30"/>
      <c r="HMJ1240" s="30"/>
      <c r="HMK1240" s="30"/>
      <c r="HML1240" s="30"/>
      <c r="HMM1240" s="30"/>
      <c r="HMN1240" s="30"/>
      <c r="HMO1240" s="30"/>
      <c r="HMP1240" s="30"/>
      <c r="HMQ1240" s="30"/>
      <c r="HMR1240" s="30"/>
      <c r="HMS1240" s="30"/>
      <c r="HMT1240" s="30"/>
      <c r="HMU1240" s="30"/>
      <c r="HMV1240" s="30"/>
      <c r="HMW1240" s="30"/>
      <c r="HMX1240" s="30"/>
      <c r="HMY1240" s="30"/>
      <c r="HMZ1240" s="30"/>
      <c r="HNA1240" s="30"/>
      <c r="HNB1240" s="30"/>
      <c r="HNC1240" s="30"/>
      <c r="HND1240" s="30"/>
      <c r="HNE1240" s="30"/>
      <c r="HNF1240" s="30"/>
      <c r="HNG1240" s="30"/>
      <c r="HNH1240" s="30"/>
      <c r="HNI1240" s="30"/>
      <c r="HNJ1240" s="30"/>
      <c r="HNK1240" s="30"/>
      <c r="HNL1240" s="30"/>
      <c r="HNM1240" s="30"/>
      <c r="HNN1240" s="30"/>
      <c r="HNO1240" s="30"/>
      <c r="HNP1240" s="30"/>
      <c r="HNQ1240" s="30"/>
      <c r="HNR1240" s="30"/>
      <c r="HNS1240" s="30"/>
      <c r="HNT1240" s="30"/>
      <c r="HNU1240" s="30"/>
      <c r="HNV1240" s="30"/>
      <c r="HNW1240" s="30"/>
      <c r="HNX1240" s="30"/>
      <c r="HNY1240" s="30"/>
      <c r="HNZ1240" s="30"/>
      <c r="HOA1240" s="30"/>
      <c r="HOB1240" s="30"/>
      <c r="HOC1240" s="30"/>
      <c r="HOD1240" s="30"/>
      <c r="HOE1240" s="30"/>
      <c r="HOF1240" s="30"/>
      <c r="HOG1240" s="30"/>
      <c r="HOH1240" s="30"/>
      <c r="HOI1240" s="30"/>
      <c r="HOJ1240" s="30"/>
      <c r="HOK1240" s="30"/>
      <c r="HOL1240" s="30"/>
      <c r="HOM1240" s="30"/>
      <c r="HON1240" s="30"/>
      <c r="HOO1240" s="30"/>
      <c r="HOP1240" s="30"/>
      <c r="HOQ1240" s="30"/>
      <c r="HOR1240" s="30"/>
      <c r="HOS1240" s="30"/>
      <c r="HOT1240" s="30"/>
      <c r="HOU1240" s="30"/>
      <c r="HOV1240" s="30"/>
      <c r="HOW1240" s="30"/>
      <c r="HOX1240" s="30"/>
      <c r="HOY1240" s="30"/>
      <c r="HOZ1240" s="30"/>
      <c r="HPA1240" s="30"/>
      <c r="HPB1240" s="30"/>
      <c r="HPC1240" s="30"/>
      <c r="HPD1240" s="30"/>
      <c r="HPE1240" s="30"/>
      <c r="HPF1240" s="30"/>
      <c r="HPG1240" s="30"/>
      <c r="HPH1240" s="30"/>
      <c r="HPI1240" s="30"/>
      <c r="HPJ1240" s="30"/>
      <c r="HPK1240" s="30"/>
      <c r="HPL1240" s="30"/>
      <c r="HPM1240" s="30"/>
      <c r="HPN1240" s="30"/>
      <c r="HPO1240" s="30"/>
      <c r="HPP1240" s="30"/>
      <c r="HPQ1240" s="30"/>
      <c r="HPR1240" s="30"/>
      <c r="HPS1240" s="30"/>
      <c r="HPT1240" s="30"/>
      <c r="HPU1240" s="30"/>
      <c r="HPV1240" s="30"/>
      <c r="HPW1240" s="30"/>
      <c r="HPX1240" s="30"/>
      <c r="HPY1240" s="30"/>
      <c r="HPZ1240" s="30"/>
      <c r="HQA1240" s="30"/>
      <c r="HQB1240" s="30"/>
      <c r="HQC1240" s="30"/>
      <c r="HQD1240" s="30"/>
      <c r="HQE1240" s="30"/>
      <c r="HQF1240" s="30"/>
      <c r="HQG1240" s="30"/>
      <c r="HQH1240" s="30"/>
      <c r="HQI1240" s="30"/>
      <c r="HQJ1240" s="30"/>
      <c r="HQK1240" s="30"/>
      <c r="HQL1240" s="30"/>
      <c r="HQM1240" s="30"/>
      <c r="HQN1240" s="30"/>
      <c r="HQO1240" s="30"/>
      <c r="HQP1240" s="30"/>
      <c r="HQQ1240" s="30"/>
      <c r="HQR1240" s="30"/>
      <c r="HQS1240" s="30"/>
      <c r="HQT1240" s="30"/>
      <c r="HQU1240" s="30"/>
      <c r="HQV1240" s="30"/>
      <c r="HQW1240" s="30"/>
      <c r="HQX1240" s="30"/>
      <c r="HQY1240" s="30"/>
      <c r="HQZ1240" s="30"/>
      <c r="HRA1240" s="30"/>
      <c r="HRB1240" s="30"/>
      <c r="HRC1240" s="30"/>
      <c r="HRD1240" s="30"/>
      <c r="HRE1240" s="30"/>
      <c r="HRF1240" s="30"/>
      <c r="HRG1240" s="30"/>
      <c r="HRH1240" s="30"/>
      <c r="HRI1240" s="30"/>
      <c r="HRJ1240" s="30"/>
      <c r="HRK1240" s="30"/>
      <c r="HRL1240" s="30"/>
      <c r="HRM1240" s="30"/>
      <c r="HRN1240" s="30"/>
      <c r="HRO1240" s="30"/>
      <c r="HRP1240" s="30"/>
      <c r="HRQ1240" s="30"/>
      <c r="HRR1240" s="30"/>
      <c r="HRS1240" s="30"/>
      <c r="HRT1240" s="30"/>
      <c r="HRU1240" s="30"/>
      <c r="HRV1240" s="30"/>
      <c r="HRW1240" s="30"/>
      <c r="HRX1240" s="30"/>
      <c r="HRY1240" s="30"/>
      <c r="HRZ1240" s="30"/>
      <c r="HSA1240" s="30"/>
      <c r="HSB1240" s="30"/>
      <c r="HSC1240" s="30"/>
      <c r="HSD1240" s="30"/>
      <c r="HSE1240" s="30"/>
      <c r="HSF1240" s="30"/>
      <c r="HSG1240" s="30"/>
      <c r="HSH1240" s="30"/>
      <c r="HSI1240" s="30"/>
      <c r="HSJ1240" s="30"/>
      <c r="HSK1240" s="30"/>
      <c r="HSL1240" s="30"/>
      <c r="HSM1240" s="30"/>
      <c r="HSN1240" s="30"/>
      <c r="HSO1240" s="30"/>
      <c r="HSP1240" s="30"/>
      <c r="HSQ1240" s="30"/>
      <c r="HSR1240" s="30"/>
      <c r="HSS1240" s="30"/>
      <c r="HST1240" s="30"/>
      <c r="HSU1240" s="30"/>
      <c r="HSV1240" s="30"/>
      <c r="HSW1240" s="30"/>
      <c r="HSX1240" s="30"/>
      <c r="HSY1240" s="30"/>
      <c r="HSZ1240" s="30"/>
      <c r="HTA1240" s="30"/>
      <c r="HTB1240" s="30"/>
      <c r="HTC1240" s="30"/>
      <c r="HTD1240" s="30"/>
      <c r="HTE1240" s="30"/>
      <c r="HTF1240" s="30"/>
      <c r="HTG1240" s="30"/>
      <c r="HTH1240" s="30"/>
      <c r="HTI1240" s="30"/>
      <c r="HTJ1240" s="30"/>
      <c r="HTK1240" s="30"/>
      <c r="HTL1240" s="30"/>
      <c r="HTM1240" s="30"/>
      <c r="HTN1240" s="30"/>
      <c r="HTO1240" s="30"/>
      <c r="HTP1240" s="30"/>
      <c r="HTQ1240" s="30"/>
      <c r="HTR1240" s="30"/>
      <c r="HTS1240" s="30"/>
      <c r="HTT1240" s="30"/>
      <c r="HTU1240" s="30"/>
      <c r="HTV1240" s="30"/>
      <c r="HTW1240" s="30"/>
      <c r="HTX1240" s="30"/>
      <c r="HTY1240" s="30"/>
      <c r="HTZ1240" s="30"/>
      <c r="HUA1240" s="30"/>
      <c r="HUB1240" s="30"/>
      <c r="HUC1240" s="30"/>
      <c r="HUD1240" s="30"/>
      <c r="HUE1240" s="30"/>
      <c r="HUF1240" s="30"/>
      <c r="HUG1240" s="30"/>
      <c r="HUH1240" s="30"/>
      <c r="HUI1240" s="30"/>
      <c r="HUJ1240" s="30"/>
      <c r="HUK1240" s="30"/>
      <c r="HUL1240" s="30"/>
      <c r="HUM1240" s="30"/>
      <c r="HUN1240" s="30"/>
      <c r="HUO1240" s="30"/>
      <c r="HUP1240" s="30"/>
      <c r="HUQ1240" s="30"/>
      <c r="HUR1240" s="30"/>
      <c r="HUS1240" s="30"/>
      <c r="HUT1240" s="30"/>
      <c r="HUU1240" s="30"/>
      <c r="HUV1240" s="30"/>
      <c r="HUW1240" s="30"/>
      <c r="HUX1240" s="30"/>
      <c r="HUY1240" s="30"/>
      <c r="HUZ1240" s="30"/>
      <c r="HVA1240" s="30"/>
      <c r="HVB1240" s="30"/>
      <c r="HVC1240" s="30"/>
      <c r="HVD1240" s="30"/>
      <c r="HVE1240" s="30"/>
      <c r="HVF1240" s="30"/>
      <c r="HVG1240" s="30"/>
      <c r="HVH1240" s="30"/>
      <c r="HVI1240" s="30"/>
      <c r="HVJ1240" s="30"/>
      <c r="HVK1240" s="30"/>
      <c r="HVL1240" s="30"/>
      <c r="HVM1240" s="30"/>
      <c r="HVN1240" s="30"/>
      <c r="HVO1240" s="30"/>
      <c r="HVP1240" s="30"/>
      <c r="HVQ1240" s="30"/>
      <c r="HVR1240" s="30"/>
      <c r="HVS1240" s="30"/>
      <c r="HVT1240" s="30"/>
      <c r="HVU1240" s="30"/>
      <c r="HVV1240" s="30"/>
      <c r="HVW1240" s="30"/>
      <c r="HVX1240" s="30"/>
      <c r="HVY1240" s="30"/>
      <c r="HVZ1240" s="30"/>
      <c r="HWA1240" s="30"/>
      <c r="HWB1240" s="30"/>
      <c r="HWC1240" s="30"/>
      <c r="HWD1240" s="30"/>
      <c r="HWE1240" s="30"/>
      <c r="HWF1240" s="30"/>
      <c r="HWG1240" s="30"/>
      <c r="HWH1240" s="30"/>
      <c r="HWI1240" s="30"/>
      <c r="HWJ1240" s="30"/>
      <c r="HWK1240" s="30"/>
      <c r="HWL1240" s="30"/>
      <c r="HWM1240" s="30"/>
      <c r="HWN1240" s="30"/>
      <c r="HWO1240" s="30"/>
      <c r="HWP1240" s="30"/>
      <c r="HWQ1240" s="30"/>
      <c r="HWR1240" s="30"/>
      <c r="HWS1240" s="30"/>
      <c r="HWT1240" s="30"/>
      <c r="HWU1240" s="30"/>
      <c r="HWV1240" s="30"/>
      <c r="HWW1240" s="30"/>
      <c r="HWX1240" s="30"/>
      <c r="HWY1240" s="30"/>
      <c r="HWZ1240" s="30"/>
      <c r="HXA1240" s="30"/>
      <c r="HXB1240" s="30"/>
      <c r="HXC1240" s="30"/>
      <c r="HXD1240" s="30"/>
      <c r="HXE1240" s="30"/>
      <c r="HXF1240" s="30"/>
      <c r="HXG1240" s="30"/>
      <c r="HXH1240" s="30"/>
      <c r="HXI1240" s="30"/>
      <c r="HXJ1240" s="30"/>
      <c r="HXK1240" s="30"/>
      <c r="HXL1240" s="30"/>
      <c r="HXM1240" s="30"/>
      <c r="HXN1240" s="30"/>
      <c r="HXO1240" s="30"/>
      <c r="HXP1240" s="30"/>
      <c r="HXQ1240" s="30"/>
      <c r="HXR1240" s="30"/>
      <c r="HXS1240" s="30"/>
      <c r="HXT1240" s="30"/>
      <c r="HXU1240" s="30"/>
      <c r="HXV1240" s="30"/>
      <c r="HXW1240" s="30"/>
      <c r="HXX1240" s="30"/>
      <c r="HXY1240" s="30"/>
      <c r="HXZ1240" s="30"/>
      <c r="HYA1240" s="30"/>
      <c r="HYB1240" s="30"/>
      <c r="HYC1240" s="30"/>
      <c r="HYD1240" s="30"/>
      <c r="HYE1240" s="30"/>
      <c r="HYF1240" s="30"/>
      <c r="HYG1240" s="30"/>
      <c r="HYH1240" s="30"/>
      <c r="HYI1240" s="30"/>
      <c r="HYJ1240" s="30"/>
      <c r="HYK1240" s="30"/>
      <c r="HYL1240" s="30"/>
      <c r="HYM1240" s="30"/>
      <c r="HYN1240" s="30"/>
      <c r="HYO1240" s="30"/>
      <c r="HYP1240" s="30"/>
      <c r="HYQ1240" s="30"/>
      <c r="HYR1240" s="30"/>
      <c r="HYS1240" s="30"/>
      <c r="HYT1240" s="30"/>
      <c r="HYU1240" s="30"/>
      <c r="HYV1240" s="30"/>
      <c r="HYW1240" s="30"/>
      <c r="HYX1240" s="30"/>
      <c r="HYY1240" s="30"/>
      <c r="HYZ1240" s="30"/>
      <c r="HZA1240" s="30"/>
      <c r="HZB1240" s="30"/>
      <c r="HZC1240" s="30"/>
      <c r="HZD1240" s="30"/>
      <c r="HZE1240" s="30"/>
      <c r="HZF1240" s="30"/>
      <c r="HZG1240" s="30"/>
      <c r="HZH1240" s="30"/>
      <c r="HZI1240" s="30"/>
      <c r="HZJ1240" s="30"/>
      <c r="HZK1240" s="30"/>
      <c r="HZL1240" s="30"/>
      <c r="HZM1240" s="30"/>
      <c r="HZN1240" s="30"/>
      <c r="HZO1240" s="30"/>
      <c r="HZP1240" s="30"/>
      <c r="HZQ1240" s="30"/>
      <c r="HZR1240" s="30"/>
      <c r="HZS1240" s="30"/>
      <c r="HZT1240" s="30"/>
      <c r="HZU1240" s="30"/>
      <c r="HZV1240" s="30"/>
      <c r="HZW1240" s="30"/>
      <c r="HZX1240" s="30"/>
      <c r="HZY1240" s="30"/>
      <c r="HZZ1240" s="30"/>
      <c r="IAA1240" s="30"/>
      <c r="IAB1240" s="30"/>
      <c r="IAC1240" s="30"/>
      <c r="IAD1240" s="30"/>
      <c r="IAE1240" s="30"/>
      <c r="IAF1240" s="30"/>
      <c r="IAG1240" s="30"/>
      <c r="IAH1240" s="30"/>
      <c r="IAI1240" s="30"/>
      <c r="IAJ1240" s="30"/>
      <c r="IAK1240" s="30"/>
      <c r="IAL1240" s="30"/>
      <c r="IAM1240" s="30"/>
      <c r="IAN1240" s="30"/>
      <c r="IAO1240" s="30"/>
      <c r="IAP1240" s="30"/>
      <c r="IAQ1240" s="30"/>
      <c r="IAR1240" s="30"/>
      <c r="IAS1240" s="30"/>
      <c r="IAT1240" s="30"/>
      <c r="IAU1240" s="30"/>
      <c r="IAV1240" s="30"/>
      <c r="IAW1240" s="30"/>
      <c r="IAX1240" s="30"/>
      <c r="IAY1240" s="30"/>
      <c r="IAZ1240" s="30"/>
      <c r="IBA1240" s="30"/>
      <c r="IBB1240" s="30"/>
      <c r="IBC1240" s="30"/>
      <c r="IBD1240" s="30"/>
      <c r="IBE1240" s="30"/>
      <c r="IBF1240" s="30"/>
      <c r="IBG1240" s="30"/>
      <c r="IBH1240" s="30"/>
      <c r="IBI1240" s="30"/>
      <c r="IBJ1240" s="30"/>
      <c r="IBK1240" s="30"/>
      <c r="IBL1240" s="30"/>
      <c r="IBM1240" s="30"/>
      <c r="IBN1240" s="30"/>
      <c r="IBO1240" s="30"/>
      <c r="IBP1240" s="30"/>
      <c r="IBQ1240" s="30"/>
      <c r="IBR1240" s="30"/>
      <c r="IBS1240" s="30"/>
      <c r="IBT1240" s="30"/>
      <c r="IBU1240" s="30"/>
      <c r="IBV1240" s="30"/>
      <c r="IBW1240" s="30"/>
      <c r="IBX1240" s="30"/>
      <c r="IBY1240" s="30"/>
      <c r="IBZ1240" s="30"/>
      <c r="ICA1240" s="30"/>
      <c r="ICB1240" s="30"/>
      <c r="ICC1240" s="30"/>
      <c r="ICD1240" s="30"/>
      <c r="ICE1240" s="30"/>
      <c r="ICF1240" s="30"/>
      <c r="ICG1240" s="30"/>
      <c r="ICH1240" s="30"/>
      <c r="ICI1240" s="30"/>
      <c r="ICJ1240" s="30"/>
      <c r="ICK1240" s="30"/>
      <c r="ICL1240" s="30"/>
      <c r="ICM1240" s="30"/>
      <c r="ICN1240" s="30"/>
      <c r="ICO1240" s="30"/>
      <c r="ICP1240" s="30"/>
      <c r="ICQ1240" s="30"/>
      <c r="ICR1240" s="30"/>
      <c r="ICS1240" s="30"/>
      <c r="ICT1240" s="30"/>
      <c r="ICU1240" s="30"/>
      <c r="ICV1240" s="30"/>
      <c r="ICW1240" s="30"/>
      <c r="ICX1240" s="30"/>
      <c r="ICY1240" s="30"/>
      <c r="ICZ1240" s="30"/>
      <c r="IDA1240" s="30"/>
      <c r="IDB1240" s="30"/>
      <c r="IDC1240" s="30"/>
      <c r="IDD1240" s="30"/>
      <c r="IDE1240" s="30"/>
      <c r="IDF1240" s="30"/>
      <c r="IDG1240" s="30"/>
      <c r="IDH1240" s="30"/>
      <c r="IDI1240" s="30"/>
      <c r="IDJ1240" s="30"/>
      <c r="IDK1240" s="30"/>
      <c r="IDL1240" s="30"/>
      <c r="IDM1240" s="30"/>
      <c r="IDN1240" s="30"/>
      <c r="IDO1240" s="30"/>
      <c r="IDP1240" s="30"/>
      <c r="IDQ1240" s="30"/>
      <c r="IDR1240" s="30"/>
      <c r="IDS1240" s="30"/>
      <c r="IDT1240" s="30"/>
      <c r="IDU1240" s="30"/>
      <c r="IDV1240" s="30"/>
      <c r="IDW1240" s="30"/>
      <c r="IDX1240" s="30"/>
      <c r="IDY1240" s="30"/>
      <c r="IDZ1240" s="30"/>
      <c r="IEA1240" s="30"/>
      <c r="IEB1240" s="30"/>
      <c r="IEC1240" s="30"/>
      <c r="IED1240" s="30"/>
      <c r="IEE1240" s="30"/>
      <c r="IEF1240" s="30"/>
      <c r="IEG1240" s="30"/>
      <c r="IEH1240" s="30"/>
      <c r="IEI1240" s="30"/>
      <c r="IEJ1240" s="30"/>
      <c r="IEK1240" s="30"/>
      <c r="IEL1240" s="30"/>
      <c r="IEM1240" s="30"/>
      <c r="IEN1240" s="30"/>
      <c r="IEO1240" s="30"/>
      <c r="IEP1240" s="30"/>
      <c r="IEQ1240" s="30"/>
      <c r="IER1240" s="30"/>
      <c r="IES1240" s="30"/>
      <c r="IET1240" s="30"/>
      <c r="IEU1240" s="30"/>
      <c r="IEV1240" s="30"/>
      <c r="IEW1240" s="30"/>
      <c r="IEX1240" s="30"/>
      <c r="IEY1240" s="30"/>
      <c r="IEZ1240" s="30"/>
      <c r="IFA1240" s="30"/>
      <c r="IFB1240" s="30"/>
      <c r="IFC1240" s="30"/>
      <c r="IFD1240" s="30"/>
      <c r="IFE1240" s="30"/>
      <c r="IFF1240" s="30"/>
      <c r="IFG1240" s="30"/>
      <c r="IFH1240" s="30"/>
      <c r="IFI1240" s="30"/>
      <c r="IFJ1240" s="30"/>
      <c r="IFK1240" s="30"/>
      <c r="IFL1240" s="30"/>
      <c r="IFM1240" s="30"/>
      <c r="IFN1240" s="30"/>
      <c r="IFO1240" s="30"/>
      <c r="IFP1240" s="30"/>
      <c r="IFQ1240" s="30"/>
      <c r="IFR1240" s="30"/>
      <c r="IFS1240" s="30"/>
      <c r="IFT1240" s="30"/>
      <c r="IFU1240" s="30"/>
      <c r="IFV1240" s="30"/>
      <c r="IFW1240" s="30"/>
      <c r="IFX1240" s="30"/>
      <c r="IFY1240" s="30"/>
      <c r="IFZ1240" s="30"/>
      <c r="IGA1240" s="30"/>
      <c r="IGB1240" s="30"/>
      <c r="IGC1240" s="30"/>
      <c r="IGD1240" s="30"/>
      <c r="IGE1240" s="30"/>
      <c r="IGF1240" s="30"/>
      <c r="IGG1240" s="30"/>
      <c r="IGH1240" s="30"/>
      <c r="IGI1240" s="30"/>
      <c r="IGJ1240" s="30"/>
      <c r="IGK1240" s="30"/>
      <c r="IGL1240" s="30"/>
      <c r="IGM1240" s="30"/>
      <c r="IGN1240" s="30"/>
      <c r="IGO1240" s="30"/>
      <c r="IGP1240" s="30"/>
      <c r="IGQ1240" s="30"/>
      <c r="IGR1240" s="30"/>
      <c r="IGS1240" s="30"/>
      <c r="IGT1240" s="30"/>
      <c r="IGU1240" s="30"/>
      <c r="IGV1240" s="30"/>
      <c r="IGW1240" s="30"/>
      <c r="IGX1240" s="30"/>
      <c r="IGY1240" s="30"/>
      <c r="IGZ1240" s="30"/>
      <c r="IHA1240" s="30"/>
      <c r="IHB1240" s="30"/>
      <c r="IHC1240" s="30"/>
      <c r="IHD1240" s="30"/>
      <c r="IHE1240" s="30"/>
      <c r="IHF1240" s="30"/>
      <c r="IHG1240" s="30"/>
      <c r="IHH1240" s="30"/>
      <c r="IHI1240" s="30"/>
      <c r="IHJ1240" s="30"/>
      <c r="IHK1240" s="30"/>
      <c r="IHL1240" s="30"/>
      <c r="IHM1240" s="30"/>
      <c r="IHN1240" s="30"/>
      <c r="IHO1240" s="30"/>
      <c r="IHP1240" s="30"/>
      <c r="IHQ1240" s="30"/>
      <c r="IHR1240" s="30"/>
      <c r="IHS1240" s="30"/>
      <c r="IHT1240" s="30"/>
      <c r="IHU1240" s="30"/>
      <c r="IHV1240" s="30"/>
      <c r="IHW1240" s="30"/>
      <c r="IHX1240" s="30"/>
      <c r="IHY1240" s="30"/>
      <c r="IHZ1240" s="30"/>
      <c r="IIA1240" s="30"/>
      <c r="IIB1240" s="30"/>
      <c r="IIC1240" s="30"/>
      <c r="IID1240" s="30"/>
      <c r="IIE1240" s="30"/>
      <c r="IIF1240" s="30"/>
      <c r="IIG1240" s="30"/>
      <c r="IIH1240" s="30"/>
      <c r="III1240" s="30"/>
      <c r="IIJ1240" s="30"/>
      <c r="IIK1240" s="30"/>
      <c r="IIL1240" s="30"/>
      <c r="IIM1240" s="30"/>
      <c r="IIN1240" s="30"/>
      <c r="IIO1240" s="30"/>
      <c r="IIP1240" s="30"/>
      <c r="IIQ1240" s="30"/>
      <c r="IIR1240" s="30"/>
      <c r="IIS1240" s="30"/>
      <c r="IIT1240" s="30"/>
      <c r="IIU1240" s="30"/>
      <c r="IIV1240" s="30"/>
      <c r="IIW1240" s="30"/>
      <c r="IIX1240" s="30"/>
      <c r="IIY1240" s="30"/>
      <c r="IIZ1240" s="30"/>
      <c r="IJA1240" s="30"/>
      <c r="IJB1240" s="30"/>
      <c r="IJC1240" s="30"/>
      <c r="IJD1240" s="30"/>
      <c r="IJE1240" s="30"/>
      <c r="IJF1240" s="30"/>
      <c r="IJG1240" s="30"/>
      <c r="IJH1240" s="30"/>
      <c r="IJI1240" s="30"/>
      <c r="IJJ1240" s="30"/>
      <c r="IJK1240" s="30"/>
      <c r="IJL1240" s="30"/>
      <c r="IJM1240" s="30"/>
      <c r="IJN1240" s="30"/>
      <c r="IJO1240" s="30"/>
      <c r="IJP1240" s="30"/>
      <c r="IJQ1240" s="30"/>
      <c r="IJR1240" s="30"/>
      <c r="IJS1240" s="30"/>
      <c r="IJT1240" s="30"/>
      <c r="IJU1240" s="30"/>
      <c r="IJV1240" s="30"/>
      <c r="IJW1240" s="30"/>
      <c r="IJX1240" s="30"/>
      <c r="IJY1240" s="30"/>
      <c r="IJZ1240" s="30"/>
      <c r="IKA1240" s="30"/>
      <c r="IKB1240" s="30"/>
      <c r="IKC1240" s="30"/>
      <c r="IKD1240" s="30"/>
      <c r="IKE1240" s="30"/>
      <c r="IKF1240" s="30"/>
      <c r="IKG1240" s="30"/>
      <c r="IKH1240" s="30"/>
      <c r="IKI1240" s="30"/>
      <c r="IKJ1240" s="30"/>
      <c r="IKK1240" s="30"/>
      <c r="IKL1240" s="30"/>
      <c r="IKM1240" s="30"/>
      <c r="IKN1240" s="30"/>
      <c r="IKO1240" s="30"/>
      <c r="IKP1240" s="30"/>
      <c r="IKQ1240" s="30"/>
      <c r="IKR1240" s="30"/>
      <c r="IKS1240" s="30"/>
      <c r="IKT1240" s="30"/>
      <c r="IKU1240" s="30"/>
      <c r="IKV1240" s="30"/>
      <c r="IKW1240" s="30"/>
      <c r="IKX1240" s="30"/>
      <c r="IKY1240" s="30"/>
      <c r="IKZ1240" s="30"/>
      <c r="ILA1240" s="30"/>
      <c r="ILB1240" s="30"/>
      <c r="ILC1240" s="30"/>
      <c r="ILD1240" s="30"/>
      <c r="ILE1240" s="30"/>
      <c r="ILF1240" s="30"/>
      <c r="ILG1240" s="30"/>
      <c r="ILH1240" s="30"/>
      <c r="ILI1240" s="30"/>
      <c r="ILJ1240" s="30"/>
      <c r="ILK1240" s="30"/>
      <c r="ILL1240" s="30"/>
      <c r="ILM1240" s="30"/>
      <c r="ILN1240" s="30"/>
      <c r="ILO1240" s="30"/>
      <c r="ILP1240" s="30"/>
      <c r="ILQ1240" s="30"/>
      <c r="ILR1240" s="30"/>
      <c r="ILS1240" s="30"/>
      <c r="ILT1240" s="30"/>
      <c r="ILU1240" s="30"/>
      <c r="ILV1240" s="30"/>
      <c r="ILW1240" s="30"/>
      <c r="ILX1240" s="30"/>
      <c r="ILY1240" s="30"/>
      <c r="ILZ1240" s="30"/>
      <c r="IMA1240" s="30"/>
      <c r="IMB1240" s="30"/>
      <c r="IMC1240" s="30"/>
      <c r="IMD1240" s="30"/>
      <c r="IME1240" s="30"/>
      <c r="IMF1240" s="30"/>
      <c r="IMG1240" s="30"/>
      <c r="IMH1240" s="30"/>
      <c r="IMI1240" s="30"/>
      <c r="IMJ1240" s="30"/>
      <c r="IMK1240" s="30"/>
      <c r="IML1240" s="30"/>
      <c r="IMM1240" s="30"/>
      <c r="IMN1240" s="30"/>
      <c r="IMO1240" s="30"/>
      <c r="IMP1240" s="30"/>
      <c r="IMQ1240" s="30"/>
      <c r="IMR1240" s="30"/>
      <c r="IMS1240" s="30"/>
      <c r="IMT1240" s="30"/>
      <c r="IMU1240" s="30"/>
      <c r="IMV1240" s="30"/>
      <c r="IMW1240" s="30"/>
      <c r="IMX1240" s="30"/>
      <c r="IMY1240" s="30"/>
      <c r="IMZ1240" s="30"/>
      <c r="INA1240" s="30"/>
      <c r="INB1240" s="30"/>
      <c r="INC1240" s="30"/>
      <c r="IND1240" s="30"/>
      <c r="INE1240" s="30"/>
      <c r="INF1240" s="30"/>
      <c r="ING1240" s="30"/>
      <c r="INH1240" s="30"/>
      <c r="INI1240" s="30"/>
      <c r="INJ1240" s="30"/>
      <c r="INK1240" s="30"/>
      <c r="INL1240" s="30"/>
      <c r="INM1240" s="30"/>
      <c r="INN1240" s="30"/>
      <c r="INO1240" s="30"/>
      <c r="INP1240" s="30"/>
      <c r="INQ1240" s="30"/>
      <c r="INR1240" s="30"/>
      <c r="INS1240" s="30"/>
      <c r="INT1240" s="30"/>
      <c r="INU1240" s="30"/>
      <c r="INV1240" s="30"/>
      <c r="INW1240" s="30"/>
      <c r="INX1240" s="30"/>
      <c r="INY1240" s="30"/>
      <c r="INZ1240" s="30"/>
      <c r="IOA1240" s="30"/>
      <c r="IOB1240" s="30"/>
      <c r="IOC1240" s="30"/>
      <c r="IOD1240" s="30"/>
      <c r="IOE1240" s="30"/>
      <c r="IOF1240" s="30"/>
      <c r="IOG1240" s="30"/>
      <c r="IOH1240" s="30"/>
      <c r="IOI1240" s="30"/>
      <c r="IOJ1240" s="30"/>
      <c r="IOK1240" s="30"/>
      <c r="IOL1240" s="30"/>
      <c r="IOM1240" s="30"/>
      <c r="ION1240" s="30"/>
      <c r="IOO1240" s="30"/>
      <c r="IOP1240" s="30"/>
      <c r="IOQ1240" s="30"/>
      <c r="IOR1240" s="30"/>
      <c r="IOS1240" s="30"/>
      <c r="IOT1240" s="30"/>
      <c r="IOU1240" s="30"/>
      <c r="IOV1240" s="30"/>
      <c r="IOW1240" s="30"/>
      <c r="IOX1240" s="30"/>
      <c r="IOY1240" s="30"/>
      <c r="IOZ1240" s="30"/>
      <c r="IPA1240" s="30"/>
      <c r="IPB1240" s="30"/>
      <c r="IPC1240" s="30"/>
      <c r="IPD1240" s="30"/>
      <c r="IPE1240" s="30"/>
      <c r="IPF1240" s="30"/>
      <c r="IPG1240" s="30"/>
      <c r="IPH1240" s="30"/>
      <c r="IPI1240" s="30"/>
      <c r="IPJ1240" s="30"/>
      <c r="IPK1240" s="30"/>
      <c r="IPL1240" s="30"/>
      <c r="IPM1240" s="30"/>
      <c r="IPN1240" s="30"/>
      <c r="IPO1240" s="30"/>
      <c r="IPP1240" s="30"/>
      <c r="IPQ1240" s="30"/>
      <c r="IPR1240" s="30"/>
      <c r="IPS1240" s="30"/>
      <c r="IPT1240" s="30"/>
      <c r="IPU1240" s="30"/>
      <c r="IPV1240" s="30"/>
      <c r="IPW1240" s="30"/>
      <c r="IPX1240" s="30"/>
      <c r="IPY1240" s="30"/>
      <c r="IPZ1240" s="30"/>
      <c r="IQA1240" s="30"/>
      <c r="IQB1240" s="30"/>
      <c r="IQC1240" s="30"/>
      <c r="IQD1240" s="30"/>
      <c r="IQE1240" s="30"/>
      <c r="IQF1240" s="30"/>
      <c r="IQG1240" s="30"/>
      <c r="IQH1240" s="30"/>
      <c r="IQI1240" s="30"/>
      <c r="IQJ1240" s="30"/>
      <c r="IQK1240" s="30"/>
      <c r="IQL1240" s="30"/>
      <c r="IQM1240" s="30"/>
      <c r="IQN1240" s="30"/>
      <c r="IQO1240" s="30"/>
      <c r="IQP1240" s="30"/>
      <c r="IQQ1240" s="30"/>
      <c r="IQR1240" s="30"/>
      <c r="IQS1240" s="30"/>
      <c r="IQT1240" s="30"/>
      <c r="IQU1240" s="30"/>
      <c r="IQV1240" s="30"/>
      <c r="IQW1240" s="30"/>
      <c r="IQX1240" s="30"/>
      <c r="IQY1240" s="30"/>
      <c r="IQZ1240" s="30"/>
      <c r="IRA1240" s="30"/>
      <c r="IRB1240" s="30"/>
      <c r="IRC1240" s="30"/>
      <c r="IRD1240" s="30"/>
      <c r="IRE1240" s="30"/>
      <c r="IRF1240" s="30"/>
      <c r="IRG1240" s="30"/>
      <c r="IRH1240" s="30"/>
      <c r="IRI1240" s="30"/>
      <c r="IRJ1240" s="30"/>
      <c r="IRK1240" s="30"/>
      <c r="IRL1240" s="30"/>
      <c r="IRM1240" s="30"/>
      <c r="IRN1240" s="30"/>
      <c r="IRO1240" s="30"/>
      <c r="IRP1240" s="30"/>
      <c r="IRQ1240" s="30"/>
      <c r="IRR1240" s="30"/>
      <c r="IRS1240" s="30"/>
      <c r="IRT1240" s="30"/>
      <c r="IRU1240" s="30"/>
      <c r="IRV1240" s="30"/>
      <c r="IRW1240" s="30"/>
      <c r="IRX1240" s="30"/>
      <c r="IRY1240" s="30"/>
      <c r="IRZ1240" s="30"/>
      <c r="ISA1240" s="30"/>
      <c r="ISB1240" s="30"/>
      <c r="ISC1240" s="30"/>
      <c r="ISD1240" s="30"/>
      <c r="ISE1240" s="30"/>
      <c r="ISF1240" s="30"/>
      <c r="ISG1240" s="30"/>
      <c r="ISH1240" s="30"/>
      <c r="ISI1240" s="30"/>
      <c r="ISJ1240" s="30"/>
      <c r="ISK1240" s="30"/>
      <c r="ISL1240" s="30"/>
      <c r="ISM1240" s="30"/>
      <c r="ISN1240" s="30"/>
      <c r="ISO1240" s="30"/>
      <c r="ISP1240" s="30"/>
      <c r="ISQ1240" s="30"/>
      <c r="ISR1240" s="30"/>
      <c r="ISS1240" s="30"/>
      <c r="IST1240" s="30"/>
      <c r="ISU1240" s="30"/>
      <c r="ISV1240" s="30"/>
      <c r="ISW1240" s="30"/>
      <c r="ISX1240" s="30"/>
      <c r="ISY1240" s="30"/>
      <c r="ISZ1240" s="30"/>
      <c r="ITA1240" s="30"/>
      <c r="ITB1240" s="30"/>
      <c r="ITC1240" s="30"/>
      <c r="ITD1240" s="30"/>
      <c r="ITE1240" s="30"/>
      <c r="ITF1240" s="30"/>
      <c r="ITG1240" s="30"/>
      <c r="ITH1240" s="30"/>
      <c r="ITI1240" s="30"/>
      <c r="ITJ1240" s="30"/>
      <c r="ITK1240" s="30"/>
      <c r="ITL1240" s="30"/>
      <c r="ITM1240" s="30"/>
      <c r="ITN1240" s="30"/>
      <c r="ITO1240" s="30"/>
      <c r="ITP1240" s="30"/>
      <c r="ITQ1240" s="30"/>
      <c r="ITR1240" s="30"/>
      <c r="ITS1240" s="30"/>
      <c r="ITT1240" s="30"/>
      <c r="ITU1240" s="30"/>
      <c r="ITV1240" s="30"/>
      <c r="ITW1240" s="30"/>
      <c r="ITX1240" s="30"/>
      <c r="ITY1240" s="30"/>
      <c r="ITZ1240" s="30"/>
      <c r="IUA1240" s="30"/>
      <c r="IUB1240" s="30"/>
      <c r="IUC1240" s="30"/>
      <c r="IUD1240" s="30"/>
      <c r="IUE1240" s="30"/>
      <c r="IUF1240" s="30"/>
      <c r="IUG1240" s="30"/>
      <c r="IUH1240" s="30"/>
      <c r="IUI1240" s="30"/>
      <c r="IUJ1240" s="30"/>
      <c r="IUK1240" s="30"/>
      <c r="IUL1240" s="30"/>
      <c r="IUM1240" s="30"/>
      <c r="IUN1240" s="30"/>
      <c r="IUO1240" s="30"/>
      <c r="IUP1240" s="30"/>
      <c r="IUQ1240" s="30"/>
      <c r="IUR1240" s="30"/>
      <c r="IUS1240" s="30"/>
      <c r="IUT1240" s="30"/>
      <c r="IUU1240" s="30"/>
      <c r="IUV1240" s="30"/>
      <c r="IUW1240" s="30"/>
      <c r="IUX1240" s="30"/>
      <c r="IUY1240" s="30"/>
      <c r="IUZ1240" s="30"/>
      <c r="IVA1240" s="30"/>
      <c r="IVB1240" s="30"/>
      <c r="IVC1240" s="30"/>
      <c r="IVD1240" s="30"/>
      <c r="IVE1240" s="30"/>
      <c r="IVF1240" s="30"/>
      <c r="IVG1240" s="30"/>
      <c r="IVH1240" s="30"/>
      <c r="IVI1240" s="30"/>
      <c r="IVJ1240" s="30"/>
      <c r="IVK1240" s="30"/>
      <c r="IVL1240" s="30"/>
      <c r="IVM1240" s="30"/>
      <c r="IVN1240" s="30"/>
      <c r="IVO1240" s="30"/>
      <c r="IVP1240" s="30"/>
      <c r="IVQ1240" s="30"/>
      <c r="IVR1240" s="30"/>
      <c r="IVS1240" s="30"/>
      <c r="IVT1240" s="30"/>
      <c r="IVU1240" s="30"/>
      <c r="IVV1240" s="30"/>
      <c r="IVW1240" s="30"/>
      <c r="IVX1240" s="30"/>
      <c r="IVY1240" s="30"/>
      <c r="IVZ1240" s="30"/>
      <c r="IWA1240" s="30"/>
      <c r="IWB1240" s="30"/>
      <c r="IWC1240" s="30"/>
      <c r="IWD1240" s="30"/>
      <c r="IWE1240" s="30"/>
      <c r="IWF1240" s="30"/>
      <c r="IWG1240" s="30"/>
      <c r="IWH1240" s="30"/>
      <c r="IWI1240" s="30"/>
      <c r="IWJ1240" s="30"/>
      <c r="IWK1240" s="30"/>
      <c r="IWL1240" s="30"/>
      <c r="IWM1240" s="30"/>
      <c r="IWN1240" s="30"/>
      <c r="IWO1240" s="30"/>
      <c r="IWP1240" s="30"/>
      <c r="IWQ1240" s="30"/>
      <c r="IWR1240" s="30"/>
      <c r="IWS1240" s="30"/>
      <c r="IWT1240" s="30"/>
      <c r="IWU1240" s="30"/>
      <c r="IWV1240" s="30"/>
      <c r="IWW1240" s="30"/>
      <c r="IWX1240" s="30"/>
      <c r="IWY1240" s="30"/>
      <c r="IWZ1240" s="30"/>
      <c r="IXA1240" s="30"/>
      <c r="IXB1240" s="30"/>
      <c r="IXC1240" s="30"/>
      <c r="IXD1240" s="30"/>
      <c r="IXE1240" s="30"/>
      <c r="IXF1240" s="30"/>
      <c r="IXG1240" s="30"/>
      <c r="IXH1240" s="30"/>
      <c r="IXI1240" s="30"/>
      <c r="IXJ1240" s="30"/>
      <c r="IXK1240" s="30"/>
      <c r="IXL1240" s="30"/>
      <c r="IXM1240" s="30"/>
      <c r="IXN1240" s="30"/>
      <c r="IXO1240" s="30"/>
      <c r="IXP1240" s="30"/>
      <c r="IXQ1240" s="30"/>
      <c r="IXR1240" s="30"/>
      <c r="IXS1240" s="30"/>
      <c r="IXT1240" s="30"/>
      <c r="IXU1240" s="30"/>
      <c r="IXV1240" s="30"/>
      <c r="IXW1240" s="30"/>
      <c r="IXX1240" s="30"/>
      <c r="IXY1240" s="30"/>
      <c r="IXZ1240" s="30"/>
      <c r="IYA1240" s="30"/>
      <c r="IYB1240" s="30"/>
      <c r="IYC1240" s="30"/>
      <c r="IYD1240" s="30"/>
      <c r="IYE1240" s="30"/>
      <c r="IYF1240" s="30"/>
      <c r="IYG1240" s="30"/>
      <c r="IYH1240" s="30"/>
      <c r="IYI1240" s="30"/>
      <c r="IYJ1240" s="30"/>
      <c r="IYK1240" s="30"/>
      <c r="IYL1240" s="30"/>
      <c r="IYM1240" s="30"/>
      <c r="IYN1240" s="30"/>
      <c r="IYO1240" s="30"/>
      <c r="IYP1240" s="30"/>
      <c r="IYQ1240" s="30"/>
      <c r="IYR1240" s="30"/>
      <c r="IYS1240" s="30"/>
      <c r="IYT1240" s="30"/>
      <c r="IYU1240" s="30"/>
      <c r="IYV1240" s="30"/>
      <c r="IYW1240" s="30"/>
      <c r="IYX1240" s="30"/>
      <c r="IYY1240" s="30"/>
      <c r="IYZ1240" s="30"/>
      <c r="IZA1240" s="30"/>
      <c r="IZB1240" s="30"/>
      <c r="IZC1240" s="30"/>
      <c r="IZD1240" s="30"/>
      <c r="IZE1240" s="30"/>
      <c r="IZF1240" s="30"/>
      <c r="IZG1240" s="30"/>
      <c r="IZH1240" s="30"/>
      <c r="IZI1240" s="30"/>
      <c r="IZJ1240" s="30"/>
      <c r="IZK1240" s="30"/>
      <c r="IZL1240" s="30"/>
      <c r="IZM1240" s="30"/>
      <c r="IZN1240" s="30"/>
      <c r="IZO1240" s="30"/>
      <c r="IZP1240" s="30"/>
      <c r="IZQ1240" s="30"/>
      <c r="IZR1240" s="30"/>
      <c r="IZS1240" s="30"/>
      <c r="IZT1240" s="30"/>
      <c r="IZU1240" s="30"/>
      <c r="IZV1240" s="30"/>
      <c r="IZW1240" s="30"/>
      <c r="IZX1240" s="30"/>
      <c r="IZY1240" s="30"/>
      <c r="IZZ1240" s="30"/>
      <c r="JAA1240" s="30"/>
      <c r="JAB1240" s="30"/>
      <c r="JAC1240" s="30"/>
      <c r="JAD1240" s="30"/>
      <c r="JAE1240" s="30"/>
      <c r="JAF1240" s="30"/>
      <c r="JAG1240" s="30"/>
      <c r="JAH1240" s="30"/>
      <c r="JAI1240" s="30"/>
      <c r="JAJ1240" s="30"/>
      <c r="JAK1240" s="30"/>
      <c r="JAL1240" s="30"/>
      <c r="JAM1240" s="30"/>
      <c r="JAN1240" s="30"/>
      <c r="JAO1240" s="30"/>
      <c r="JAP1240" s="30"/>
      <c r="JAQ1240" s="30"/>
      <c r="JAR1240" s="30"/>
      <c r="JAS1240" s="30"/>
      <c r="JAT1240" s="30"/>
      <c r="JAU1240" s="30"/>
      <c r="JAV1240" s="30"/>
      <c r="JAW1240" s="30"/>
      <c r="JAX1240" s="30"/>
      <c r="JAY1240" s="30"/>
      <c r="JAZ1240" s="30"/>
      <c r="JBA1240" s="30"/>
      <c r="JBB1240" s="30"/>
      <c r="JBC1240" s="30"/>
      <c r="JBD1240" s="30"/>
      <c r="JBE1240" s="30"/>
      <c r="JBF1240" s="30"/>
      <c r="JBG1240" s="30"/>
      <c r="JBH1240" s="30"/>
      <c r="JBI1240" s="30"/>
      <c r="JBJ1240" s="30"/>
      <c r="JBK1240" s="30"/>
      <c r="JBL1240" s="30"/>
      <c r="JBM1240" s="30"/>
      <c r="JBN1240" s="30"/>
      <c r="JBO1240" s="30"/>
      <c r="JBP1240" s="30"/>
      <c r="JBQ1240" s="30"/>
      <c r="JBR1240" s="30"/>
      <c r="JBS1240" s="30"/>
      <c r="JBT1240" s="30"/>
      <c r="JBU1240" s="30"/>
      <c r="JBV1240" s="30"/>
      <c r="JBW1240" s="30"/>
      <c r="JBX1240" s="30"/>
      <c r="JBY1240" s="30"/>
      <c r="JBZ1240" s="30"/>
      <c r="JCA1240" s="30"/>
      <c r="JCB1240" s="30"/>
      <c r="JCC1240" s="30"/>
      <c r="JCD1240" s="30"/>
      <c r="JCE1240" s="30"/>
      <c r="JCF1240" s="30"/>
      <c r="JCG1240" s="30"/>
      <c r="JCH1240" s="30"/>
      <c r="JCI1240" s="30"/>
      <c r="JCJ1240" s="30"/>
      <c r="JCK1240" s="30"/>
      <c r="JCL1240" s="30"/>
      <c r="JCM1240" s="30"/>
      <c r="JCN1240" s="30"/>
      <c r="JCO1240" s="30"/>
      <c r="JCP1240" s="30"/>
      <c r="JCQ1240" s="30"/>
      <c r="JCR1240" s="30"/>
      <c r="JCS1240" s="30"/>
      <c r="JCT1240" s="30"/>
      <c r="JCU1240" s="30"/>
      <c r="JCV1240" s="30"/>
      <c r="JCW1240" s="30"/>
      <c r="JCX1240" s="30"/>
      <c r="JCY1240" s="30"/>
      <c r="JCZ1240" s="30"/>
      <c r="JDA1240" s="30"/>
      <c r="JDB1240" s="30"/>
      <c r="JDC1240" s="30"/>
      <c r="JDD1240" s="30"/>
      <c r="JDE1240" s="30"/>
      <c r="JDF1240" s="30"/>
      <c r="JDG1240" s="30"/>
      <c r="JDH1240" s="30"/>
      <c r="JDI1240" s="30"/>
      <c r="JDJ1240" s="30"/>
      <c r="JDK1240" s="30"/>
      <c r="JDL1240" s="30"/>
      <c r="JDM1240" s="30"/>
      <c r="JDN1240" s="30"/>
      <c r="JDO1240" s="30"/>
      <c r="JDP1240" s="30"/>
      <c r="JDQ1240" s="30"/>
      <c r="JDR1240" s="30"/>
      <c r="JDS1240" s="30"/>
      <c r="JDT1240" s="30"/>
      <c r="JDU1240" s="30"/>
      <c r="JDV1240" s="30"/>
      <c r="JDW1240" s="30"/>
      <c r="JDX1240" s="30"/>
      <c r="JDY1240" s="30"/>
      <c r="JDZ1240" s="30"/>
      <c r="JEA1240" s="30"/>
      <c r="JEB1240" s="30"/>
      <c r="JEC1240" s="30"/>
      <c r="JED1240" s="30"/>
      <c r="JEE1240" s="30"/>
      <c r="JEF1240" s="30"/>
      <c r="JEG1240" s="30"/>
      <c r="JEH1240" s="30"/>
      <c r="JEI1240" s="30"/>
      <c r="JEJ1240" s="30"/>
      <c r="JEK1240" s="30"/>
      <c r="JEL1240" s="30"/>
      <c r="JEM1240" s="30"/>
      <c r="JEN1240" s="30"/>
      <c r="JEO1240" s="30"/>
      <c r="JEP1240" s="30"/>
      <c r="JEQ1240" s="30"/>
      <c r="JER1240" s="30"/>
      <c r="JES1240" s="30"/>
      <c r="JET1240" s="30"/>
      <c r="JEU1240" s="30"/>
      <c r="JEV1240" s="30"/>
      <c r="JEW1240" s="30"/>
      <c r="JEX1240" s="30"/>
      <c r="JEY1240" s="30"/>
      <c r="JEZ1240" s="30"/>
      <c r="JFA1240" s="30"/>
      <c r="JFB1240" s="30"/>
      <c r="JFC1240" s="30"/>
      <c r="JFD1240" s="30"/>
      <c r="JFE1240" s="30"/>
      <c r="JFF1240" s="30"/>
      <c r="JFG1240" s="30"/>
      <c r="JFH1240" s="30"/>
      <c r="JFI1240" s="30"/>
      <c r="JFJ1240" s="30"/>
      <c r="JFK1240" s="30"/>
      <c r="JFL1240" s="30"/>
      <c r="JFM1240" s="30"/>
      <c r="JFN1240" s="30"/>
      <c r="JFO1240" s="30"/>
      <c r="JFP1240" s="30"/>
      <c r="JFQ1240" s="30"/>
      <c r="JFR1240" s="30"/>
      <c r="JFS1240" s="30"/>
      <c r="JFT1240" s="30"/>
      <c r="JFU1240" s="30"/>
      <c r="JFV1240" s="30"/>
      <c r="JFW1240" s="30"/>
      <c r="JFX1240" s="30"/>
      <c r="JFY1240" s="30"/>
      <c r="JFZ1240" s="30"/>
      <c r="JGA1240" s="30"/>
      <c r="JGB1240" s="30"/>
      <c r="JGC1240" s="30"/>
      <c r="JGD1240" s="30"/>
      <c r="JGE1240" s="30"/>
      <c r="JGF1240" s="30"/>
      <c r="JGG1240" s="30"/>
      <c r="JGH1240" s="30"/>
      <c r="JGI1240" s="30"/>
      <c r="JGJ1240" s="30"/>
      <c r="JGK1240" s="30"/>
      <c r="JGL1240" s="30"/>
      <c r="JGM1240" s="30"/>
      <c r="JGN1240" s="30"/>
      <c r="JGO1240" s="30"/>
      <c r="JGP1240" s="30"/>
      <c r="JGQ1240" s="30"/>
      <c r="JGR1240" s="30"/>
      <c r="JGS1240" s="30"/>
      <c r="JGT1240" s="30"/>
      <c r="JGU1240" s="30"/>
      <c r="JGV1240" s="30"/>
      <c r="JGW1240" s="30"/>
      <c r="JGX1240" s="30"/>
      <c r="JGY1240" s="30"/>
      <c r="JGZ1240" s="30"/>
      <c r="JHA1240" s="30"/>
      <c r="JHB1240" s="30"/>
      <c r="JHC1240" s="30"/>
      <c r="JHD1240" s="30"/>
      <c r="JHE1240" s="30"/>
      <c r="JHF1240" s="30"/>
      <c r="JHG1240" s="30"/>
      <c r="JHH1240" s="30"/>
      <c r="JHI1240" s="30"/>
      <c r="JHJ1240" s="30"/>
      <c r="JHK1240" s="30"/>
      <c r="JHL1240" s="30"/>
      <c r="JHM1240" s="30"/>
      <c r="JHN1240" s="30"/>
      <c r="JHO1240" s="30"/>
      <c r="JHP1240" s="30"/>
      <c r="JHQ1240" s="30"/>
      <c r="JHR1240" s="30"/>
      <c r="JHS1240" s="30"/>
      <c r="JHT1240" s="30"/>
      <c r="JHU1240" s="30"/>
      <c r="JHV1240" s="30"/>
      <c r="JHW1240" s="30"/>
      <c r="JHX1240" s="30"/>
      <c r="JHY1240" s="30"/>
      <c r="JHZ1240" s="30"/>
      <c r="JIA1240" s="30"/>
      <c r="JIB1240" s="30"/>
      <c r="JIC1240" s="30"/>
      <c r="JID1240" s="30"/>
      <c r="JIE1240" s="30"/>
      <c r="JIF1240" s="30"/>
      <c r="JIG1240" s="30"/>
      <c r="JIH1240" s="30"/>
      <c r="JII1240" s="30"/>
      <c r="JIJ1240" s="30"/>
      <c r="JIK1240" s="30"/>
      <c r="JIL1240" s="30"/>
      <c r="JIM1240" s="30"/>
      <c r="JIN1240" s="30"/>
      <c r="JIO1240" s="30"/>
      <c r="JIP1240" s="30"/>
      <c r="JIQ1240" s="30"/>
      <c r="JIR1240" s="30"/>
      <c r="JIS1240" s="30"/>
      <c r="JIT1240" s="30"/>
      <c r="JIU1240" s="30"/>
      <c r="JIV1240" s="30"/>
      <c r="JIW1240" s="30"/>
      <c r="JIX1240" s="30"/>
      <c r="JIY1240" s="30"/>
      <c r="JIZ1240" s="30"/>
      <c r="JJA1240" s="30"/>
      <c r="JJB1240" s="30"/>
      <c r="JJC1240" s="30"/>
      <c r="JJD1240" s="30"/>
      <c r="JJE1240" s="30"/>
      <c r="JJF1240" s="30"/>
      <c r="JJG1240" s="30"/>
      <c r="JJH1240" s="30"/>
      <c r="JJI1240" s="30"/>
      <c r="JJJ1240" s="30"/>
      <c r="JJK1240" s="30"/>
      <c r="JJL1240" s="30"/>
      <c r="JJM1240" s="30"/>
      <c r="JJN1240" s="30"/>
      <c r="JJO1240" s="30"/>
      <c r="JJP1240" s="30"/>
      <c r="JJQ1240" s="30"/>
      <c r="JJR1240" s="30"/>
      <c r="JJS1240" s="30"/>
      <c r="JJT1240" s="30"/>
      <c r="JJU1240" s="30"/>
      <c r="JJV1240" s="30"/>
      <c r="JJW1240" s="30"/>
      <c r="JJX1240" s="30"/>
      <c r="JJY1240" s="30"/>
      <c r="JJZ1240" s="30"/>
      <c r="JKA1240" s="30"/>
      <c r="JKB1240" s="30"/>
      <c r="JKC1240" s="30"/>
      <c r="JKD1240" s="30"/>
      <c r="JKE1240" s="30"/>
      <c r="JKF1240" s="30"/>
      <c r="JKG1240" s="30"/>
      <c r="JKH1240" s="30"/>
      <c r="JKI1240" s="30"/>
      <c r="JKJ1240" s="30"/>
      <c r="JKK1240" s="30"/>
      <c r="JKL1240" s="30"/>
      <c r="JKM1240" s="30"/>
      <c r="JKN1240" s="30"/>
      <c r="JKO1240" s="30"/>
      <c r="JKP1240" s="30"/>
      <c r="JKQ1240" s="30"/>
      <c r="JKR1240" s="30"/>
      <c r="JKS1240" s="30"/>
      <c r="JKT1240" s="30"/>
      <c r="JKU1240" s="30"/>
      <c r="JKV1240" s="30"/>
      <c r="JKW1240" s="30"/>
      <c r="JKX1240" s="30"/>
      <c r="JKY1240" s="30"/>
      <c r="JKZ1240" s="30"/>
      <c r="JLA1240" s="30"/>
      <c r="JLB1240" s="30"/>
      <c r="JLC1240" s="30"/>
      <c r="JLD1240" s="30"/>
      <c r="JLE1240" s="30"/>
      <c r="JLF1240" s="30"/>
      <c r="JLG1240" s="30"/>
      <c r="JLH1240" s="30"/>
      <c r="JLI1240" s="30"/>
      <c r="JLJ1240" s="30"/>
      <c r="JLK1240" s="30"/>
      <c r="JLL1240" s="30"/>
      <c r="JLM1240" s="30"/>
      <c r="JLN1240" s="30"/>
      <c r="JLO1240" s="30"/>
      <c r="JLP1240" s="30"/>
      <c r="JLQ1240" s="30"/>
      <c r="JLR1240" s="30"/>
      <c r="JLS1240" s="30"/>
      <c r="JLT1240" s="30"/>
      <c r="JLU1240" s="30"/>
      <c r="JLV1240" s="30"/>
      <c r="JLW1240" s="30"/>
      <c r="JLX1240" s="30"/>
      <c r="JLY1240" s="30"/>
      <c r="JLZ1240" s="30"/>
      <c r="JMA1240" s="30"/>
      <c r="JMB1240" s="30"/>
      <c r="JMC1240" s="30"/>
      <c r="JMD1240" s="30"/>
      <c r="JME1240" s="30"/>
      <c r="JMF1240" s="30"/>
      <c r="JMG1240" s="30"/>
      <c r="JMH1240" s="30"/>
      <c r="JMI1240" s="30"/>
      <c r="JMJ1240" s="30"/>
      <c r="JMK1240" s="30"/>
      <c r="JML1240" s="30"/>
      <c r="JMM1240" s="30"/>
      <c r="JMN1240" s="30"/>
      <c r="JMO1240" s="30"/>
      <c r="JMP1240" s="30"/>
      <c r="JMQ1240" s="30"/>
      <c r="JMR1240" s="30"/>
      <c r="JMS1240" s="30"/>
      <c r="JMT1240" s="30"/>
      <c r="JMU1240" s="30"/>
      <c r="JMV1240" s="30"/>
      <c r="JMW1240" s="30"/>
      <c r="JMX1240" s="30"/>
      <c r="JMY1240" s="30"/>
      <c r="JMZ1240" s="30"/>
      <c r="JNA1240" s="30"/>
      <c r="JNB1240" s="30"/>
      <c r="JNC1240" s="30"/>
      <c r="JND1240" s="30"/>
      <c r="JNE1240" s="30"/>
      <c r="JNF1240" s="30"/>
      <c r="JNG1240" s="30"/>
      <c r="JNH1240" s="30"/>
      <c r="JNI1240" s="30"/>
      <c r="JNJ1240" s="30"/>
      <c r="JNK1240" s="30"/>
      <c r="JNL1240" s="30"/>
      <c r="JNM1240" s="30"/>
      <c r="JNN1240" s="30"/>
      <c r="JNO1240" s="30"/>
      <c r="JNP1240" s="30"/>
      <c r="JNQ1240" s="30"/>
      <c r="JNR1240" s="30"/>
      <c r="JNS1240" s="30"/>
      <c r="JNT1240" s="30"/>
      <c r="JNU1240" s="30"/>
      <c r="JNV1240" s="30"/>
      <c r="JNW1240" s="30"/>
      <c r="JNX1240" s="30"/>
      <c r="JNY1240" s="30"/>
      <c r="JNZ1240" s="30"/>
      <c r="JOA1240" s="30"/>
      <c r="JOB1240" s="30"/>
      <c r="JOC1240" s="30"/>
      <c r="JOD1240" s="30"/>
      <c r="JOE1240" s="30"/>
      <c r="JOF1240" s="30"/>
      <c r="JOG1240" s="30"/>
      <c r="JOH1240" s="30"/>
      <c r="JOI1240" s="30"/>
      <c r="JOJ1240" s="30"/>
      <c r="JOK1240" s="30"/>
      <c r="JOL1240" s="30"/>
      <c r="JOM1240" s="30"/>
      <c r="JON1240" s="30"/>
      <c r="JOO1240" s="30"/>
      <c r="JOP1240" s="30"/>
      <c r="JOQ1240" s="30"/>
      <c r="JOR1240" s="30"/>
      <c r="JOS1240" s="30"/>
      <c r="JOT1240" s="30"/>
      <c r="JOU1240" s="30"/>
      <c r="JOV1240" s="30"/>
      <c r="JOW1240" s="30"/>
      <c r="JOX1240" s="30"/>
      <c r="JOY1240" s="30"/>
      <c r="JOZ1240" s="30"/>
      <c r="JPA1240" s="30"/>
      <c r="JPB1240" s="30"/>
      <c r="JPC1240" s="30"/>
      <c r="JPD1240" s="30"/>
      <c r="JPE1240" s="30"/>
      <c r="JPF1240" s="30"/>
      <c r="JPG1240" s="30"/>
      <c r="JPH1240" s="30"/>
      <c r="JPI1240" s="30"/>
      <c r="JPJ1240" s="30"/>
      <c r="JPK1240" s="30"/>
      <c r="JPL1240" s="30"/>
      <c r="JPM1240" s="30"/>
      <c r="JPN1240" s="30"/>
      <c r="JPO1240" s="30"/>
      <c r="JPP1240" s="30"/>
      <c r="JPQ1240" s="30"/>
      <c r="JPR1240" s="30"/>
      <c r="JPS1240" s="30"/>
      <c r="JPT1240" s="30"/>
      <c r="JPU1240" s="30"/>
      <c r="JPV1240" s="30"/>
      <c r="JPW1240" s="30"/>
      <c r="JPX1240" s="30"/>
      <c r="JPY1240" s="30"/>
      <c r="JPZ1240" s="30"/>
      <c r="JQA1240" s="30"/>
      <c r="JQB1240" s="30"/>
      <c r="JQC1240" s="30"/>
      <c r="JQD1240" s="30"/>
      <c r="JQE1240" s="30"/>
      <c r="JQF1240" s="30"/>
      <c r="JQG1240" s="30"/>
      <c r="JQH1240" s="30"/>
      <c r="JQI1240" s="30"/>
      <c r="JQJ1240" s="30"/>
      <c r="JQK1240" s="30"/>
      <c r="JQL1240" s="30"/>
      <c r="JQM1240" s="30"/>
      <c r="JQN1240" s="30"/>
      <c r="JQO1240" s="30"/>
      <c r="JQP1240" s="30"/>
      <c r="JQQ1240" s="30"/>
      <c r="JQR1240" s="30"/>
      <c r="JQS1240" s="30"/>
      <c r="JQT1240" s="30"/>
      <c r="JQU1240" s="30"/>
      <c r="JQV1240" s="30"/>
      <c r="JQW1240" s="30"/>
      <c r="JQX1240" s="30"/>
      <c r="JQY1240" s="30"/>
      <c r="JQZ1240" s="30"/>
      <c r="JRA1240" s="30"/>
      <c r="JRB1240" s="30"/>
      <c r="JRC1240" s="30"/>
      <c r="JRD1240" s="30"/>
      <c r="JRE1240" s="30"/>
      <c r="JRF1240" s="30"/>
      <c r="JRG1240" s="30"/>
      <c r="JRH1240" s="30"/>
      <c r="JRI1240" s="30"/>
      <c r="JRJ1240" s="30"/>
      <c r="JRK1240" s="30"/>
      <c r="JRL1240" s="30"/>
      <c r="JRM1240" s="30"/>
      <c r="JRN1240" s="30"/>
      <c r="JRO1240" s="30"/>
      <c r="JRP1240" s="30"/>
      <c r="JRQ1240" s="30"/>
      <c r="JRR1240" s="30"/>
      <c r="JRS1240" s="30"/>
      <c r="JRT1240" s="30"/>
      <c r="JRU1240" s="30"/>
      <c r="JRV1240" s="30"/>
      <c r="JRW1240" s="30"/>
      <c r="JRX1240" s="30"/>
      <c r="JRY1240" s="30"/>
      <c r="JRZ1240" s="30"/>
      <c r="JSA1240" s="30"/>
      <c r="JSB1240" s="30"/>
      <c r="JSC1240" s="30"/>
      <c r="JSD1240" s="30"/>
      <c r="JSE1240" s="30"/>
      <c r="JSF1240" s="30"/>
      <c r="JSG1240" s="30"/>
      <c r="JSH1240" s="30"/>
      <c r="JSI1240" s="30"/>
      <c r="JSJ1240" s="30"/>
      <c r="JSK1240" s="30"/>
      <c r="JSL1240" s="30"/>
      <c r="JSM1240" s="30"/>
      <c r="JSN1240" s="30"/>
      <c r="JSO1240" s="30"/>
      <c r="JSP1240" s="30"/>
      <c r="JSQ1240" s="30"/>
      <c r="JSR1240" s="30"/>
      <c r="JSS1240" s="30"/>
      <c r="JST1240" s="30"/>
      <c r="JSU1240" s="30"/>
      <c r="JSV1240" s="30"/>
      <c r="JSW1240" s="30"/>
      <c r="JSX1240" s="30"/>
      <c r="JSY1240" s="30"/>
      <c r="JSZ1240" s="30"/>
      <c r="JTA1240" s="30"/>
      <c r="JTB1240" s="30"/>
      <c r="JTC1240" s="30"/>
      <c r="JTD1240" s="30"/>
      <c r="JTE1240" s="30"/>
      <c r="JTF1240" s="30"/>
      <c r="JTG1240" s="30"/>
      <c r="JTH1240" s="30"/>
      <c r="JTI1240" s="30"/>
      <c r="JTJ1240" s="30"/>
      <c r="JTK1240" s="30"/>
      <c r="JTL1240" s="30"/>
      <c r="JTM1240" s="30"/>
      <c r="JTN1240" s="30"/>
      <c r="JTO1240" s="30"/>
      <c r="JTP1240" s="30"/>
      <c r="JTQ1240" s="30"/>
      <c r="JTR1240" s="30"/>
      <c r="JTS1240" s="30"/>
      <c r="JTT1240" s="30"/>
      <c r="JTU1240" s="30"/>
      <c r="JTV1240" s="30"/>
      <c r="JTW1240" s="30"/>
      <c r="JTX1240" s="30"/>
      <c r="JTY1240" s="30"/>
      <c r="JTZ1240" s="30"/>
      <c r="JUA1240" s="30"/>
      <c r="JUB1240" s="30"/>
      <c r="JUC1240" s="30"/>
      <c r="JUD1240" s="30"/>
      <c r="JUE1240" s="30"/>
      <c r="JUF1240" s="30"/>
      <c r="JUG1240" s="30"/>
      <c r="JUH1240" s="30"/>
      <c r="JUI1240" s="30"/>
      <c r="JUJ1240" s="30"/>
      <c r="JUK1240" s="30"/>
      <c r="JUL1240" s="30"/>
      <c r="JUM1240" s="30"/>
      <c r="JUN1240" s="30"/>
      <c r="JUO1240" s="30"/>
      <c r="JUP1240" s="30"/>
      <c r="JUQ1240" s="30"/>
      <c r="JUR1240" s="30"/>
      <c r="JUS1240" s="30"/>
      <c r="JUT1240" s="30"/>
      <c r="JUU1240" s="30"/>
      <c r="JUV1240" s="30"/>
      <c r="JUW1240" s="30"/>
      <c r="JUX1240" s="30"/>
      <c r="JUY1240" s="30"/>
      <c r="JUZ1240" s="30"/>
      <c r="JVA1240" s="30"/>
      <c r="JVB1240" s="30"/>
      <c r="JVC1240" s="30"/>
      <c r="JVD1240" s="30"/>
      <c r="JVE1240" s="30"/>
      <c r="JVF1240" s="30"/>
      <c r="JVG1240" s="30"/>
      <c r="JVH1240" s="30"/>
      <c r="JVI1240" s="30"/>
      <c r="JVJ1240" s="30"/>
      <c r="JVK1240" s="30"/>
      <c r="JVL1240" s="30"/>
      <c r="JVM1240" s="30"/>
      <c r="JVN1240" s="30"/>
      <c r="JVO1240" s="30"/>
      <c r="JVP1240" s="30"/>
      <c r="JVQ1240" s="30"/>
      <c r="JVR1240" s="30"/>
      <c r="JVS1240" s="30"/>
      <c r="JVT1240" s="30"/>
      <c r="JVU1240" s="30"/>
      <c r="JVV1240" s="30"/>
      <c r="JVW1240" s="30"/>
      <c r="JVX1240" s="30"/>
      <c r="JVY1240" s="30"/>
      <c r="JVZ1240" s="30"/>
      <c r="JWA1240" s="30"/>
      <c r="JWB1240" s="30"/>
      <c r="JWC1240" s="30"/>
      <c r="JWD1240" s="30"/>
      <c r="JWE1240" s="30"/>
      <c r="JWF1240" s="30"/>
      <c r="JWG1240" s="30"/>
      <c r="JWH1240" s="30"/>
      <c r="JWI1240" s="30"/>
      <c r="JWJ1240" s="30"/>
      <c r="JWK1240" s="30"/>
      <c r="JWL1240" s="30"/>
      <c r="JWM1240" s="30"/>
      <c r="JWN1240" s="30"/>
      <c r="JWO1240" s="30"/>
      <c r="JWP1240" s="30"/>
      <c r="JWQ1240" s="30"/>
      <c r="JWR1240" s="30"/>
      <c r="JWS1240" s="30"/>
      <c r="JWT1240" s="30"/>
      <c r="JWU1240" s="30"/>
      <c r="JWV1240" s="30"/>
      <c r="JWW1240" s="30"/>
      <c r="JWX1240" s="30"/>
      <c r="JWY1240" s="30"/>
      <c r="JWZ1240" s="30"/>
      <c r="JXA1240" s="30"/>
      <c r="JXB1240" s="30"/>
      <c r="JXC1240" s="30"/>
      <c r="JXD1240" s="30"/>
      <c r="JXE1240" s="30"/>
      <c r="JXF1240" s="30"/>
      <c r="JXG1240" s="30"/>
      <c r="JXH1240" s="30"/>
      <c r="JXI1240" s="30"/>
      <c r="JXJ1240" s="30"/>
      <c r="JXK1240" s="30"/>
      <c r="JXL1240" s="30"/>
      <c r="JXM1240" s="30"/>
      <c r="JXN1240" s="30"/>
      <c r="JXO1240" s="30"/>
      <c r="JXP1240" s="30"/>
      <c r="JXQ1240" s="30"/>
      <c r="JXR1240" s="30"/>
      <c r="JXS1240" s="30"/>
      <c r="JXT1240" s="30"/>
      <c r="JXU1240" s="30"/>
      <c r="JXV1240" s="30"/>
      <c r="JXW1240" s="30"/>
      <c r="JXX1240" s="30"/>
      <c r="JXY1240" s="30"/>
      <c r="JXZ1240" s="30"/>
      <c r="JYA1240" s="30"/>
      <c r="JYB1240" s="30"/>
      <c r="JYC1240" s="30"/>
      <c r="JYD1240" s="30"/>
      <c r="JYE1240" s="30"/>
      <c r="JYF1240" s="30"/>
      <c r="JYG1240" s="30"/>
      <c r="JYH1240" s="30"/>
      <c r="JYI1240" s="30"/>
      <c r="JYJ1240" s="30"/>
      <c r="JYK1240" s="30"/>
      <c r="JYL1240" s="30"/>
      <c r="JYM1240" s="30"/>
      <c r="JYN1240" s="30"/>
      <c r="JYO1240" s="30"/>
      <c r="JYP1240" s="30"/>
      <c r="JYQ1240" s="30"/>
      <c r="JYR1240" s="30"/>
      <c r="JYS1240" s="30"/>
      <c r="JYT1240" s="30"/>
      <c r="JYU1240" s="30"/>
      <c r="JYV1240" s="30"/>
      <c r="JYW1240" s="30"/>
      <c r="JYX1240" s="30"/>
      <c r="JYY1240" s="30"/>
      <c r="JYZ1240" s="30"/>
      <c r="JZA1240" s="30"/>
      <c r="JZB1240" s="30"/>
      <c r="JZC1240" s="30"/>
      <c r="JZD1240" s="30"/>
      <c r="JZE1240" s="30"/>
      <c r="JZF1240" s="30"/>
      <c r="JZG1240" s="30"/>
      <c r="JZH1240" s="30"/>
      <c r="JZI1240" s="30"/>
      <c r="JZJ1240" s="30"/>
      <c r="JZK1240" s="30"/>
      <c r="JZL1240" s="30"/>
      <c r="JZM1240" s="30"/>
      <c r="JZN1240" s="30"/>
      <c r="JZO1240" s="30"/>
      <c r="JZP1240" s="30"/>
      <c r="JZQ1240" s="30"/>
      <c r="JZR1240" s="30"/>
      <c r="JZS1240" s="30"/>
      <c r="JZT1240" s="30"/>
      <c r="JZU1240" s="30"/>
      <c r="JZV1240" s="30"/>
      <c r="JZW1240" s="30"/>
      <c r="JZX1240" s="30"/>
      <c r="JZY1240" s="30"/>
      <c r="JZZ1240" s="30"/>
      <c r="KAA1240" s="30"/>
      <c r="KAB1240" s="30"/>
      <c r="KAC1240" s="30"/>
      <c r="KAD1240" s="30"/>
      <c r="KAE1240" s="30"/>
      <c r="KAF1240" s="30"/>
      <c r="KAG1240" s="30"/>
      <c r="KAH1240" s="30"/>
      <c r="KAI1240" s="30"/>
      <c r="KAJ1240" s="30"/>
      <c r="KAK1240" s="30"/>
      <c r="KAL1240" s="30"/>
      <c r="KAM1240" s="30"/>
      <c r="KAN1240" s="30"/>
      <c r="KAO1240" s="30"/>
      <c r="KAP1240" s="30"/>
      <c r="KAQ1240" s="30"/>
      <c r="KAR1240" s="30"/>
      <c r="KAS1240" s="30"/>
      <c r="KAT1240" s="30"/>
      <c r="KAU1240" s="30"/>
      <c r="KAV1240" s="30"/>
      <c r="KAW1240" s="30"/>
      <c r="KAX1240" s="30"/>
      <c r="KAY1240" s="30"/>
      <c r="KAZ1240" s="30"/>
      <c r="KBA1240" s="30"/>
      <c r="KBB1240" s="30"/>
      <c r="KBC1240" s="30"/>
      <c r="KBD1240" s="30"/>
      <c r="KBE1240" s="30"/>
      <c r="KBF1240" s="30"/>
      <c r="KBG1240" s="30"/>
      <c r="KBH1240" s="30"/>
      <c r="KBI1240" s="30"/>
      <c r="KBJ1240" s="30"/>
      <c r="KBK1240" s="30"/>
      <c r="KBL1240" s="30"/>
      <c r="KBM1240" s="30"/>
      <c r="KBN1240" s="30"/>
      <c r="KBO1240" s="30"/>
      <c r="KBP1240" s="30"/>
      <c r="KBQ1240" s="30"/>
      <c r="KBR1240" s="30"/>
      <c r="KBS1240" s="30"/>
      <c r="KBT1240" s="30"/>
      <c r="KBU1240" s="30"/>
      <c r="KBV1240" s="30"/>
      <c r="KBW1240" s="30"/>
      <c r="KBX1240" s="30"/>
      <c r="KBY1240" s="30"/>
      <c r="KBZ1240" s="30"/>
      <c r="KCA1240" s="30"/>
      <c r="KCB1240" s="30"/>
      <c r="KCC1240" s="30"/>
      <c r="KCD1240" s="30"/>
      <c r="KCE1240" s="30"/>
      <c r="KCF1240" s="30"/>
      <c r="KCG1240" s="30"/>
      <c r="KCH1240" s="30"/>
      <c r="KCI1240" s="30"/>
      <c r="KCJ1240" s="30"/>
      <c r="KCK1240" s="30"/>
      <c r="KCL1240" s="30"/>
      <c r="KCM1240" s="30"/>
      <c r="KCN1240" s="30"/>
      <c r="KCO1240" s="30"/>
      <c r="KCP1240" s="30"/>
      <c r="KCQ1240" s="30"/>
      <c r="KCR1240" s="30"/>
      <c r="KCS1240" s="30"/>
      <c r="KCT1240" s="30"/>
      <c r="KCU1240" s="30"/>
      <c r="KCV1240" s="30"/>
      <c r="KCW1240" s="30"/>
      <c r="KCX1240" s="30"/>
      <c r="KCY1240" s="30"/>
      <c r="KCZ1240" s="30"/>
      <c r="KDA1240" s="30"/>
      <c r="KDB1240" s="30"/>
      <c r="KDC1240" s="30"/>
      <c r="KDD1240" s="30"/>
      <c r="KDE1240" s="30"/>
      <c r="KDF1240" s="30"/>
      <c r="KDG1240" s="30"/>
      <c r="KDH1240" s="30"/>
      <c r="KDI1240" s="30"/>
      <c r="KDJ1240" s="30"/>
      <c r="KDK1240" s="30"/>
      <c r="KDL1240" s="30"/>
      <c r="KDM1240" s="30"/>
      <c r="KDN1240" s="30"/>
      <c r="KDO1240" s="30"/>
      <c r="KDP1240" s="30"/>
      <c r="KDQ1240" s="30"/>
      <c r="KDR1240" s="30"/>
      <c r="KDS1240" s="30"/>
      <c r="KDT1240" s="30"/>
      <c r="KDU1240" s="30"/>
      <c r="KDV1240" s="30"/>
      <c r="KDW1240" s="30"/>
      <c r="KDX1240" s="30"/>
      <c r="KDY1240" s="30"/>
      <c r="KDZ1240" s="30"/>
      <c r="KEA1240" s="30"/>
      <c r="KEB1240" s="30"/>
      <c r="KEC1240" s="30"/>
      <c r="KED1240" s="30"/>
      <c r="KEE1240" s="30"/>
      <c r="KEF1240" s="30"/>
      <c r="KEG1240" s="30"/>
      <c r="KEH1240" s="30"/>
      <c r="KEI1240" s="30"/>
      <c r="KEJ1240" s="30"/>
      <c r="KEK1240" s="30"/>
      <c r="KEL1240" s="30"/>
      <c r="KEM1240" s="30"/>
      <c r="KEN1240" s="30"/>
      <c r="KEO1240" s="30"/>
      <c r="KEP1240" s="30"/>
      <c r="KEQ1240" s="30"/>
      <c r="KER1240" s="30"/>
      <c r="KES1240" s="30"/>
      <c r="KET1240" s="30"/>
      <c r="KEU1240" s="30"/>
      <c r="KEV1240" s="30"/>
      <c r="KEW1240" s="30"/>
      <c r="KEX1240" s="30"/>
      <c r="KEY1240" s="30"/>
      <c r="KEZ1240" s="30"/>
      <c r="KFA1240" s="30"/>
      <c r="KFB1240" s="30"/>
      <c r="KFC1240" s="30"/>
      <c r="KFD1240" s="30"/>
      <c r="KFE1240" s="30"/>
      <c r="KFF1240" s="30"/>
      <c r="KFG1240" s="30"/>
      <c r="KFH1240" s="30"/>
      <c r="KFI1240" s="30"/>
      <c r="KFJ1240" s="30"/>
      <c r="KFK1240" s="30"/>
      <c r="KFL1240" s="30"/>
      <c r="KFM1240" s="30"/>
      <c r="KFN1240" s="30"/>
      <c r="KFO1240" s="30"/>
      <c r="KFP1240" s="30"/>
      <c r="KFQ1240" s="30"/>
      <c r="KFR1240" s="30"/>
      <c r="KFS1240" s="30"/>
      <c r="KFT1240" s="30"/>
      <c r="KFU1240" s="30"/>
      <c r="KFV1240" s="30"/>
      <c r="KFW1240" s="30"/>
      <c r="KFX1240" s="30"/>
      <c r="KFY1240" s="30"/>
      <c r="KFZ1240" s="30"/>
      <c r="KGA1240" s="30"/>
      <c r="KGB1240" s="30"/>
      <c r="KGC1240" s="30"/>
      <c r="KGD1240" s="30"/>
      <c r="KGE1240" s="30"/>
      <c r="KGF1240" s="30"/>
      <c r="KGG1240" s="30"/>
      <c r="KGH1240" s="30"/>
      <c r="KGI1240" s="30"/>
      <c r="KGJ1240" s="30"/>
      <c r="KGK1240" s="30"/>
      <c r="KGL1240" s="30"/>
      <c r="KGM1240" s="30"/>
      <c r="KGN1240" s="30"/>
      <c r="KGO1240" s="30"/>
      <c r="KGP1240" s="30"/>
      <c r="KGQ1240" s="30"/>
      <c r="KGR1240" s="30"/>
      <c r="KGS1240" s="30"/>
      <c r="KGT1240" s="30"/>
      <c r="KGU1240" s="30"/>
      <c r="KGV1240" s="30"/>
      <c r="KGW1240" s="30"/>
      <c r="KGX1240" s="30"/>
      <c r="KGY1240" s="30"/>
      <c r="KGZ1240" s="30"/>
      <c r="KHA1240" s="30"/>
      <c r="KHB1240" s="30"/>
      <c r="KHC1240" s="30"/>
      <c r="KHD1240" s="30"/>
      <c r="KHE1240" s="30"/>
      <c r="KHF1240" s="30"/>
      <c r="KHG1240" s="30"/>
      <c r="KHH1240" s="30"/>
      <c r="KHI1240" s="30"/>
      <c r="KHJ1240" s="30"/>
      <c r="KHK1240" s="30"/>
      <c r="KHL1240" s="30"/>
      <c r="KHM1240" s="30"/>
      <c r="KHN1240" s="30"/>
      <c r="KHO1240" s="30"/>
      <c r="KHP1240" s="30"/>
      <c r="KHQ1240" s="30"/>
      <c r="KHR1240" s="30"/>
      <c r="KHS1240" s="30"/>
      <c r="KHT1240" s="30"/>
      <c r="KHU1240" s="30"/>
      <c r="KHV1240" s="30"/>
      <c r="KHW1240" s="30"/>
      <c r="KHX1240" s="30"/>
      <c r="KHY1240" s="30"/>
      <c r="KHZ1240" s="30"/>
      <c r="KIA1240" s="30"/>
      <c r="KIB1240" s="30"/>
      <c r="KIC1240" s="30"/>
      <c r="KID1240" s="30"/>
      <c r="KIE1240" s="30"/>
      <c r="KIF1240" s="30"/>
      <c r="KIG1240" s="30"/>
      <c r="KIH1240" s="30"/>
      <c r="KII1240" s="30"/>
      <c r="KIJ1240" s="30"/>
      <c r="KIK1240" s="30"/>
      <c r="KIL1240" s="30"/>
      <c r="KIM1240" s="30"/>
      <c r="KIN1240" s="30"/>
      <c r="KIO1240" s="30"/>
      <c r="KIP1240" s="30"/>
      <c r="KIQ1240" s="30"/>
      <c r="KIR1240" s="30"/>
      <c r="KIS1240" s="30"/>
      <c r="KIT1240" s="30"/>
      <c r="KIU1240" s="30"/>
      <c r="KIV1240" s="30"/>
      <c r="KIW1240" s="30"/>
      <c r="KIX1240" s="30"/>
      <c r="KIY1240" s="30"/>
      <c r="KIZ1240" s="30"/>
      <c r="KJA1240" s="30"/>
      <c r="KJB1240" s="30"/>
      <c r="KJC1240" s="30"/>
      <c r="KJD1240" s="30"/>
      <c r="KJE1240" s="30"/>
      <c r="KJF1240" s="30"/>
      <c r="KJG1240" s="30"/>
      <c r="KJH1240" s="30"/>
      <c r="KJI1240" s="30"/>
      <c r="KJJ1240" s="30"/>
      <c r="KJK1240" s="30"/>
      <c r="KJL1240" s="30"/>
      <c r="KJM1240" s="30"/>
      <c r="KJN1240" s="30"/>
      <c r="KJO1240" s="30"/>
      <c r="KJP1240" s="30"/>
      <c r="KJQ1240" s="30"/>
      <c r="KJR1240" s="30"/>
      <c r="KJS1240" s="30"/>
      <c r="KJT1240" s="30"/>
      <c r="KJU1240" s="30"/>
      <c r="KJV1240" s="30"/>
      <c r="KJW1240" s="30"/>
      <c r="KJX1240" s="30"/>
      <c r="KJY1240" s="30"/>
      <c r="KJZ1240" s="30"/>
      <c r="KKA1240" s="30"/>
      <c r="KKB1240" s="30"/>
      <c r="KKC1240" s="30"/>
      <c r="KKD1240" s="30"/>
      <c r="KKE1240" s="30"/>
      <c r="KKF1240" s="30"/>
      <c r="KKG1240" s="30"/>
      <c r="KKH1240" s="30"/>
      <c r="KKI1240" s="30"/>
      <c r="KKJ1240" s="30"/>
      <c r="KKK1240" s="30"/>
      <c r="KKL1240" s="30"/>
      <c r="KKM1240" s="30"/>
      <c r="KKN1240" s="30"/>
      <c r="KKO1240" s="30"/>
      <c r="KKP1240" s="30"/>
      <c r="KKQ1240" s="30"/>
      <c r="KKR1240" s="30"/>
      <c r="KKS1240" s="30"/>
      <c r="KKT1240" s="30"/>
      <c r="KKU1240" s="30"/>
      <c r="KKV1240" s="30"/>
      <c r="KKW1240" s="30"/>
      <c r="KKX1240" s="30"/>
      <c r="KKY1240" s="30"/>
      <c r="KKZ1240" s="30"/>
      <c r="KLA1240" s="30"/>
      <c r="KLB1240" s="30"/>
      <c r="KLC1240" s="30"/>
      <c r="KLD1240" s="30"/>
      <c r="KLE1240" s="30"/>
      <c r="KLF1240" s="30"/>
      <c r="KLG1240" s="30"/>
      <c r="KLH1240" s="30"/>
      <c r="KLI1240" s="30"/>
      <c r="KLJ1240" s="30"/>
      <c r="KLK1240" s="30"/>
      <c r="KLL1240" s="30"/>
      <c r="KLM1240" s="30"/>
      <c r="KLN1240" s="30"/>
      <c r="KLO1240" s="30"/>
      <c r="KLP1240" s="30"/>
      <c r="KLQ1240" s="30"/>
      <c r="KLR1240" s="30"/>
      <c r="KLS1240" s="30"/>
      <c r="KLT1240" s="30"/>
      <c r="KLU1240" s="30"/>
      <c r="KLV1240" s="30"/>
      <c r="KLW1240" s="30"/>
      <c r="KLX1240" s="30"/>
      <c r="KLY1240" s="30"/>
      <c r="KLZ1240" s="30"/>
      <c r="KMA1240" s="30"/>
      <c r="KMB1240" s="30"/>
      <c r="KMC1240" s="30"/>
      <c r="KMD1240" s="30"/>
      <c r="KME1240" s="30"/>
      <c r="KMF1240" s="30"/>
      <c r="KMG1240" s="30"/>
      <c r="KMH1240" s="30"/>
      <c r="KMI1240" s="30"/>
      <c r="KMJ1240" s="30"/>
      <c r="KMK1240" s="30"/>
      <c r="KML1240" s="30"/>
      <c r="KMM1240" s="30"/>
      <c r="KMN1240" s="30"/>
      <c r="KMO1240" s="30"/>
      <c r="KMP1240" s="30"/>
      <c r="KMQ1240" s="30"/>
      <c r="KMR1240" s="30"/>
      <c r="KMS1240" s="30"/>
      <c r="KMT1240" s="30"/>
      <c r="KMU1240" s="30"/>
      <c r="KMV1240" s="30"/>
      <c r="KMW1240" s="30"/>
      <c r="KMX1240" s="30"/>
      <c r="KMY1240" s="30"/>
      <c r="KMZ1240" s="30"/>
      <c r="KNA1240" s="30"/>
      <c r="KNB1240" s="30"/>
      <c r="KNC1240" s="30"/>
      <c r="KND1240" s="30"/>
      <c r="KNE1240" s="30"/>
      <c r="KNF1240" s="30"/>
      <c r="KNG1240" s="30"/>
      <c r="KNH1240" s="30"/>
      <c r="KNI1240" s="30"/>
      <c r="KNJ1240" s="30"/>
      <c r="KNK1240" s="30"/>
      <c r="KNL1240" s="30"/>
      <c r="KNM1240" s="30"/>
      <c r="KNN1240" s="30"/>
      <c r="KNO1240" s="30"/>
      <c r="KNP1240" s="30"/>
      <c r="KNQ1240" s="30"/>
      <c r="KNR1240" s="30"/>
      <c r="KNS1240" s="30"/>
      <c r="KNT1240" s="30"/>
      <c r="KNU1240" s="30"/>
      <c r="KNV1240" s="30"/>
      <c r="KNW1240" s="30"/>
      <c r="KNX1240" s="30"/>
      <c r="KNY1240" s="30"/>
      <c r="KNZ1240" s="30"/>
      <c r="KOA1240" s="30"/>
      <c r="KOB1240" s="30"/>
      <c r="KOC1240" s="30"/>
      <c r="KOD1240" s="30"/>
      <c r="KOE1240" s="30"/>
      <c r="KOF1240" s="30"/>
      <c r="KOG1240" s="30"/>
      <c r="KOH1240" s="30"/>
      <c r="KOI1240" s="30"/>
      <c r="KOJ1240" s="30"/>
      <c r="KOK1240" s="30"/>
      <c r="KOL1240" s="30"/>
      <c r="KOM1240" s="30"/>
      <c r="KON1240" s="30"/>
      <c r="KOO1240" s="30"/>
      <c r="KOP1240" s="30"/>
      <c r="KOQ1240" s="30"/>
      <c r="KOR1240" s="30"/>
      <c r="KOS1240" s="30"/>
      <c r="KOT1240" s="30"/>
      <c r="KOU1240" s="30"/>
      <c r="KOV1240" s="30"/>
      <c r="KOW1240" s="30"/>
      <c r="KOX1240" s="30"/>
      <c r="KOY1240" s="30"/>
      <c r="KOZ1240" s="30"/>
      <c r="KPA1240" s="30"/>
      <c r="KPB1240" s="30"/>
      <c r="KPC1240" s="30"/>
      <c r="KPD1240" s="30"/>
      <c r="KPE1240" s="30"/>
      <c r="KPF1240" s="30"/>
      <c r="KPG1240" s="30"/>
      <c r="KPH1240" s="30"/>
      <c r="KPI1240" s="30"/>
      <c r="KPJ1240" s="30"/>
      <c r="KPK1240" s="30"/>
      <c r="KPL1240" s="30"/>
      <c r="KPM1240" s="30"/>
      <c r="KPN1240" s="30"/>
      <c r="KPO1240" s="30"/>
      <c r="KPP1240" s="30"/>
      <c r="KPQ1240" s="30"/>
      <c r="KPR1240" s="30"/>
      <c r="KPS1240" s="30"/>
      <c r="KPT1240" s="30"/>
      <c r="KPU1240" s="30"/>
      <c r="KPV1240" s="30"/>
      <c r="KPW1240" s="30"/>
      <c r="KPX1240" s="30"/>
      <c r="KPY1240" s="30"/>
      <c r="KPZ1240" s="30"/>
      <c r="KQA1240" s="30"/>
      <c r="KQB1240" s="30"/>
      <c r="KQC1240" s="30"/>
      <c r="KQD1240" s="30"/>
      <c r="KQE1240" s="30"/>
      <c r="KQF1240" s="30"/>
      <c r="KQG1240" s="30"/>
      <c r="KQH1240" s="30"/>
      <c r="KQI1240" s="30"/>
      <c r="KQJ1240" s="30"/>
      <c r="KQK1240" s="30"/>
      <c r="KQL1240" s="30"/>
      <c r="KQM1240" s="30"/>
      <c r="KQN1240" s="30"/>
      <c r="KQO1240" s="30"/>
      <c r="KQP1240" s="30"/>
      <c r="KQQ1240" s="30"/>
      <c r="KQR1240" s="30"/>
      <c r="KQS1240" s="30"/>
      <c r="KQT1240" s="30"/>
      <c r="KQU1240" s="30"/>
      <c r="KQV1240" s="30"/>
      <c r="KQW1240" s="30"/>
      <c r="KQX1240" s="30"/>
      <c r="KQY1240" s="30"/>
      <c r="KQZ1240" s="30"/>
      <c r="KRA1240" s="30"/>
      <c r="KRB1240" s="30"/>
      <c r="KRC1240" s="30"/>
      <c r="KRD1240" s="30"/>
      <c r="KRE1240" s="30"/>
      <c r="KRF1240" s="30"/>
      <c r="KRG1240" s="30"/>
      <c r="KRH1240" s="30"/>
      <c r="KRI1240" s="30"/>
      <c r="KRJ1240" s="30"/>
      <c r="KRK1240" s="30"/>
      <c r="KRL1240" s="30"/>
      <c r="KRM1240" s="30"/>
      <c r="KRN1240" s="30"/>
      <c r="KRO1240" s="30"/>
      <c r="KRP1240" s="30"/>
      <c r="KRQ1240" s="30"/>
      <c r="KRR1240" s="30"/>
      <c r="KRS1240" s="30"/>
      <c r="KRT1240" s="30"/>
      <c r="KRU1240" s="30"/>
      <c r="KRV1240" s="30"/>
      <c r="KRW1240" s="30"/>
      <c r="KRX1240" s="30"/>
      <c r="KRY1240" s="30"/>
      <c r="KRZ1240" s="30"/>
      <c r="KSA1240" s="30"/>
      <c r="KSB1240" s="30"/>
      <c r="KSC1240" s="30"/>
      <c r="KSD1240" s="30"/>
      <c r="KSE1240" s="30"/>
      <c r="KSF1240" s="30"/>
      <c r="KSG1240" s="30"/>
      <c r="KSH1240" s="30"/>
      <c r="KSI1240" s="30"/>
      <c r="KSJ1240" s="30"/>
      <c r="KSK1240" s="30"/>
      <c r="KSL1240" s="30"/>
      <c r="KSM1240" s="30"/>
      <c r="KSN1240" s="30"/>
      <c r="KSO1240" s="30"/>
      <c r="KSP1240" s="30"/>
      <c r="KSQ1240" s="30"/>
      <c r="KSR1240" s="30"/>
      <c r="KSS1240" s="30"/>
      <c r="KST1240" s="30"/>
      <c r="KSU1240" s="30"/>
      <c r="KSV1240" s="30"/>
      <c r="KSW1240" s="30"/>
      <c r="KSX1240" s="30"/>
      <c r="KSY1240" s="30"/>
      <c r="KSZ1240" s="30"/>
      <c r="KTA1240" s="30"/>
      <c r="KTB1240" s="30"/>
      <c r="KTC1240" s="30"/>
      <c r="KTD1240" s="30"/>
      <c r="KTE1240" s="30"/>
      <c r="KTF1240" s="30"/>
      <c r="KTG1240" s="30"/>
      <c r="KTH1240" s="30"/>
      <c r="KTI1240" s="30"/>
      <c r="KTJ1240" s="30"/>
      <c r="KTK1240" s="30"/>
      <c r="KTL1240" s="30"/>
      <c r="KTM1240" s="30"/>
      <c r="KTN1240" s="30"/>
      <c r="KTO1240" s="30"/>
      <c r="KTP1240" s="30"/>
      <c r="KTQ1240" s="30"/>
      <c r="KTR1240" s="30"/>
      <c r="KTS1240" s="30"/>
      <c r="KTT1240" s="30"/>
      <c r="KTU1240" s="30"/>
      <c r="KTV1240" s="30"/>
      <c r="KTW1240" s="30"/>
      <c r="KTX1240" s="30"/>
      <c r="KTY1240" s="30"/>
      <c r="KTZ1240" s="30"/>
      <c r="KUA1240" s="30"/>
      <c r="KUB1240" s="30"/>
      <c r="KUC1240" s="30"/>
      <c r="KUD1240" s="30"/>
      <c r="KUE1240" s="30"/>
      <c r="KUF1240" s="30"/>
      <c r="KUG1240" s="30"/>
      <c r="KUH1240" s="30"/>
      <c r="KUI1240" s="30"/>
      <c r="KUJ1240" s="30"/>
      <c r="KUK1240" s="30"/>
      <c r="KUL1240" s="30"/>
      <c r="KUM1240" s="30"/>
      <c r="KUN1240" s="30"/>
      <c r="KUO1240" s="30"/>
      <c r="KUP1240" s="30"/>
      <c r="KUQ1240" s="30"/>
      <c r="KUR1240" s="30"/>
      <c r="KUS1240" s="30"/>
      <c r="KUT1240" s="30"/>
      <c r="KUU1240" s="30"/>
      <c r="KUV1240" s="30"/>
      <c r="KUW1240" s="30"/>
      <c r="KUX1240" s="30"/>
      <c r="KUY1240" s="30"/>
      <c r="KUZ1240" s="30"/>
      <c r="KVA1240" s="30"/>
      <c r="KVB1240" s="30"/>
      <c r="KVC1240" s="30"/>
      <c r="KVD1240" s="30"/>
      <c r="KVE1240" s="30"/>
      <c r="KVF1240" s="30"/>
      <c r="KVG1240" s="30"/>
      <c r="KVH1240" s="30"/>
      <c r="KVI1240" s="30"/>
      <c r="KVJ1240" s="30"/>
      <c r="KVK1240" s="30"/>
      <c r="KVL1240" s="30"/>
      <c r="KVM1240" s="30"/>
      <c r="KVN1240" s="30"/>
      <c r="KVO1240" s="30"/>
      <c r="KVP1240" s="30"/>
      <c r="KVQ1240" s="30"/>
      <c r="KVR1240" s="30"/>
      <c r="KVS1240" s="30"/>
      <c r="KVT1240" s="30"/>
      <c r="KVU1240" s="30"/>
      <c r="KVV1240" s="30"/>
      <c r="KVW1240" s="30"/>
      <c r="KVX1240" s="30"/>
      <c r="KVY1240" s="30"/>
      <c r="KVZ1240" s="30"/>
      <c r="KWA1240" s="30"/>
      <c r="KWB1240" s="30"/>
      <c r="KWC1240" s="30"/>
      <c r="KWD1240" s="30"/>
      <c r="KWE1240" s="30"/>
      <c r="KWF1240" s="30"/>
      <c r="KWG1240" s="30"/>
      <c r="KWH1240" s="30"/>
      <c r="KWI1240" s="30"/>
      <c r="KWJ1240" s="30"/>
      <c r="KWK1240" s="30"/>
      <c r="KWL1240" s="30"/>
      <c r="KWM1240" s="30"/>
      <c r="KWN1240" s="30"/>
      <c r="KWO1240" s="30"/>
      <c r="KWP1240" s="30"/>
      <c r="KWQ1240" s="30"/>
      <c r="KWR1240" s="30"/>
      <c r="KWS1240" s="30"/>
      <c r="KWT1240" s="30"/>
      <c r="KWU1240" s="30"/>
      <c r="KWV1240" s="30"/>
      <c r="KWW1240" s="30"/>
      <c r="KWX1240" s="30"/>
      <c r="KWY1240" s="30"/>
      <c r="KWZ1240" s="30"/>
      <c r="KXA1240" s="30"/>
      <c r="KXB1240" s="30"/>
      <c r="KXC1240" s="30"/>
      <c r="KXD1240" s="30"/>
      <c r="KXE1240" s="30"/>
      <c r="KXF1240" s="30"/>
      <c r="KXG1240" s="30"/>
      <c r="KXH1240" s="30"/>
      <c r="KXI1240" s="30"/>
      <c r="KXJ1240" s="30"/>
      <c r="KXK1240" s="30"/>
      <c r="KXL1240" s="30"/>
      <c r="KXM1240" s="30"/>
      <c r="KXN1240" s="30"/>
      <c r="KXO1240" s="30"/>
      <c r="KXP1240" s="30"/>
      <c r="KXQ1240" s="30"/>
      <c r="KXR1240" s="30"/>
      <c r="KXS1240" s="30"/>
      <c r="KXT1240" s="30"/>
      <c r="KXU1240" s="30"/>
      <c r="KXV1240" s="30"/>
      <c r="KXW1240" s="30"/>
      <c r="KXX1240" s="30"/>
      <c r="KXY1240" s="30"/>
      <c r="KXZ1240" s="30"/>
      <c r="KYA1240" s="30"/>
      <c r="KYB1240" s="30"/>
      <c r="KYC1240" s="30"/>
      <c r="KYD1240" s="30"/>
      <c r="KYE1240" s="30"/>
      <c r="KYF1240" s="30"/>
      <c r="KYG1240" s="30"/>
      <c r="KYH1240" s="30"/>
      <c r="KYI1240" s="30"/>
      <c r="KYJ1240" s="30"/>
      <c r="KYK1240" s="30"/>
      <c r="KYL1240" s="30"/>
      <c r="KYM1240" s="30"/>
      <c r="KYN1240" s="30"/>
      <c r="KYO1240" s="30"/>
      <c r="KYP1240" s="30"/>
      <c r="KYQ1240" s="30"/>
      <c r="KYR1240" s="30"/>
      <c r="KYS1240" s="30"/>
      <c r="KYT1240" s="30"/>
      <c r="KYU1240" s="30"/>
      <c r="KYV1240" s="30"/>
      <c r="KYW1240" s="30"/>
      <c r="KYX1240" s="30"/>
      <c r="KYY1240" s="30"/>
      <c r="KYZ1240" s="30"/>
      <c r="KZA1240" s="30"/>
      <c r="KZB1240" s="30"/>
      <c r="KZC1240" s="30"/>
      <c r="KZD1240" s="30"/>
      <c r="KZE1240" s="30"/>
      <c r="KZF1240" s="30"/>
      <c r="KZG1240" s="30"/>
      <c r="KZH1240" s="30"/>
      <c r="KZI1240" s="30"/>
      <c r="KZJ1240" s="30"/>
      <c r="KZK1240" s="30"/>
      <c r="KZL1240" s="30"/>
      <c r="KZM1240" s="30"/>
      <c r="KZN1240" s="30"/>
      <c r="KZO1240" s="30"/>
      <c r="KZP1240" s="30"/>
      <c r="KZQ1240" s="30"/>
      <c r="KZR1240" s="30"/>
      <c r="KZS1240" s="30"/>
      <c r="KZT1240" s="30"/>
      <c r="KZU1240" s="30"/>
      <c r="KZV1240" s="30"/>
      <c r="KZW1240" s="30"/>
      <c r="KZX1240" s="30"/>
      <c r="KZY1240" s="30"/>
      <c r="KZZ1240" s="30"/>
      <c r="LAA1240" s="30"/>
      <c r="LAB1240" s="30"/>
      <c r="LAC1240" s="30"/>
      <c r="LAD1240" s="30"/>
      <c r="LAE1240" s="30"/>
      <c r="LAF1240" s="30"/>
      <c r="LAG1240" s="30"/>
      <c r="LAH1240" s="30"/>
      <c r="LAI1240" s="30"/>
      <c r="LAJ1240" s="30"/>
      <c r="LAK1240" s="30"/>
      <c r="LAL1240" s="30"/>
      <c r="LAM1240" s="30"/>
      <c r="LAN1240" s="30"/>
      <c r="LAO1240" s="30"/>
      <c r="LAP1240" s="30"/>
      <c r="LAQ1240" s="30"/>
      <c r="LAR1240" s="30"/>
      <c r="LAS1240" s="30"/>
      <c r="LAT1240" s="30"/>
      <c r="LAU1240" s="30"/>
      <c r="LAV1240" s="30"/>
      <c r="LAW1240" s="30"/>
      <c r="LAX1240" s="30"/>
      <c r="LAY1240" s="30"/>
      <c r="LAZ1240" s="30"/>
      <c r="LBA1240" s="30"/>
      <c r="LBB1240" s="30"/>
      <c r="LBC1240" s="30"/>
      <c r="LBD1240" s="30"/>
      <c r="LBE1240" s="30"/>
      <c r="LBF1240" s="30"/>
      <c r="LBG1240" s="30"/>
      <c r="LBH1240" s="30"/>
      <c r="LBI1240" s="30"/>
      <c r="LBJ1240" s="30"/>
      <c r="LBK1240" s="30"/>
      <c r="LBL1240" s="30"/>
      <c r="LBM1240" s="30"/>
      <c r="LBN1240" s="30"/>
      <c r="LBO1240" s="30"/>
      <c r="LBP1240" s="30"/>
      <c r="LBQ1240" s="30"/>
      <c r="LBR1240" s="30"/>
      <c r="LBS1240" s="30"/>
      <c r="LBT1240" s="30"/>
      <c r="LBU1240" s="30"/>
      <c r="LBV1240" s="30"/>
      <c r="LBW1240" s="30"/>
      <c r="LBX1240" s="30"/>
      <c r="LBY1240" s="30"/>
      <c r="LBZ1240" s="30"/>
      <c r="LCA1240" s="30"/>
      <c r="LCB1240" s="30"/>
      <c r="LCC1240" s="30"/>
      <c r="LCD1240" s="30"/>
      <c r="LCE1240" s="30"/>
      <c r="LCF1240" s="30"/>
      <c r="LCG1240" s="30"/>
      <c r="LCH1240" s="30"/>
      <c r="LCI1240" s="30"/>
      <c r="LCJ1240" s="30"/>
      <c r="LCK1240" s="30"/>
      <c r="LCL1240" s="30"/>
      <c r="LCM1240" s="30"/>
      <c r="LCN1240" s="30"/>
      <c r="LCO1240" s="30"/>
      <c r="LCP1240" s="30"/>
      <c r="LCQ1240" s="30"/>
      <c r="LCR1240" s="30"/>
      <c r="LCS1240" s="30"/>
      <c r="LCT1240" s="30"/>
      <c r="LCU1240" s="30"/>
      <c r="LCV1240" s="30"/>
      <c r="LCW1240" s="30"/>
      <c r="LCX1240" s="30"/>
      <c r="LCY1240" s="30"/>
      <c r="LCZ1240" s="30"/>
      <c r="LDA1240" s="30"/>
      <c r="LDB1240" s="30"/>
      <c r="LDC1240" s="30"/>
      <c r="LDD1240" s="30"/>
      <c r="LDE1240" s="30"/>
      <c r="LDF1240" s="30"/>
      <c r="LDG1240" s="30"/>
      <c r="LDH1240" s="30"/>
      <c r="LDI1240" s="30"/>
      <c r="LDJ1240" s="30"/>
      <c r="LDK1240" s="30"/>
      <c r="LDL1240" s="30"/>
      <c r="LDM1240" s="30"/>
      <c r="LDN1240" s="30"/>
      <c r="LDO1240" s="30"/>
      <c r="LDP1240" s="30"/>
      <c r="LDQ1240" s="30"/>
      <c r="LDR1240" s="30"/>
      <c r="LDS1240" s="30"/>
      <c r="LDT1240" s="30"/>
      <c r="LDU1240" s="30"/>
      <c r="LDV1240" s="30"/>
      <c r="LDW1240" s="30"/>
      <c r="LDX1240" s="30"/>
      <c r="LDY1240" s="30"/>
      <c r="LDZ1240" s="30"/>
      <c r="LEA1240" s="30"/>
      <c r="LEB1240" s="30"/>
      <c r="LEC1240" s="30"/>
      <c r="LED1240" s="30"/>
      <c r="LEE1240" s="30"/>
      <c r="LEF1240" s="30"/>
      <c r="LEG1240" s="30"/>
      <c r="LEH1240" s="30"/>
      <c r="LEI1240" s="30"/>
      <c r="LEJ1240" s="30"/>
      <c r="LEK1240" s="30"/>
      <c r="LEL1240" s="30"/>
      <c r="LEM1240" s="30"/>
      <c r="LEN1240" s="30"/>
      <c r="LEO1240" s="30"/>
      <c r="LEP1240" s="30"/>
      <c r="LEQ1240" s="30"/>
      <c r="LER1240" s="30"/>
      <c r="LES1240" s="30"/>
      <c r="LET1240" s="30"/>
      <c r="LEU1240" s="30"/>
      <c r="LEV1240" s="30"/>
      <c r="LEW1240" s="30"/>
      <c r="LEX1240" s="30"/>
      <c r="LEY1240" s="30"/>
      <c r="LEZ1240" s="30"/>
      <c r="LFA1240" s="30"/>
      <c r="LFB1240" s="30"/>
      <c r="LFC1240" s="30"/>
      <c r="LFD1240" s="30"/>
      <c r="LFE1240" s="30"/>
      <c r="LFF1240" s="30"/>
      <c r="LFG1240" s="30"/>
      <c r="LFH1240" s="30"/>
      <c r="LFI1240" s="30"/>
      <c r="LFJ1240" s="30"/>
      <c r="LFK1240" s="30"/>
      <c r="LFL1240" s="30"/>
      <c r="LFM1240" s="30"/>
      <c r="LFN1240" s="30"/>
      <c r="LFO1240" s="30"/>
      <c r="LFP1240" s="30"/>
      <c r="LFQ1240" s="30"/>
      <c r="LFR1240" s="30"/>
      <c r="LFS1240" s="30"/>
      <c r="LFT1240" s="30"/>
      <c r="LFU1240" s="30"/>
      <c r="LFV1240" s="30"/>
      <c r="LFW1240" s="30"/>
      <c r="LFX1240" s="30"/>
      <c r="LFY1240" s="30"/>
      <c r="LFZ1240" s="30"/>
      <c r="LGA1240" s="30"/>
      <c r="LGB1240" s="30"/>
      <c r="LGC1240" s="30"/>
      <c r="LGD1240" s="30"/>
      <c r="LGE1240" s="30"/>
      <c r="LGF1240" s="30"/>
      <c r="LGG1240" s="30"/>
      <c r="LGH1240" s="30"/>
      <c r="LGI1240" s="30"/>
      <c r="LGJ1240" s="30"/>
      <c r="LGK1240" s="30"/>
      <c r="LGL1240" s="30"/>
      <c r="LGM1240" s="30"/>
      <c r="LGN1240" s="30"/>
      <c r="LGO1240" s="30"/>
      <c r="LGP1240" s="30"/>
      <c r="LGQ1240" s="30"/>
      <c r="LGR1240" s="30"/>
      <c r="LGS1240" s="30"/>
      <c r="LGT1240" s="30"/>
      <c r="LGU1240" s="30"/>
      <c r="LGV1240" s="30"/>
      <c r="LGW1240" s="30"/>
      <c r="LGX1240" s="30"/>
      <c r="LGY1240" s="30"/>
      <c r="LGZ1240" s="30"/>
      <c r="LHA1240" s="30"/>
      <c r="LHB1240" s="30"/>
      <c r="LHC1240" s="30"/>
      <c r="LHD1240" s="30"/>
      <c r="LHE1240" s="30"/>
      <c r="LHF1240" s="30"/>
      <c r="LHG1240" s="30"/>
      <c r="LHH1240" s="30"/>
      <c r="LHI1240" s="30"/>
      <c r="LHJ1240" s="30"/>
      <c r="LHK1240" s="30"/>
      <c r="LHL1240" s="30"/>
      <c r="LHM1240" s="30"/>
      <c r="LHN1240" s="30"/>
      <c r="LHO1240" s="30"/>
      <c r="LHP1240" s="30"/>
      <c r="LHQ1240" s="30"/>
      <c r="LHR1240" s="30"/>
      <c r="LHS1240" s="30"/>
      <c r="LHT1240" s="30"/>
      <c r="LHU1240" s="30"/>
      <c r="LHV1240" s="30"/>
      <c r="LHW1240" s="30"/>
      <c r="LHX1240" s="30"/>
      <c r="LHY1240" s="30"/>
      <c r="LHZ1240" s="30"/>
      <c r="LIA1240" s="30"/>
      <c r="LIB1240" s="30"/>
      <c r="LIC1240" s="30"/>
      <c r="LID1240" s="30"/>
      <c r="LIE1240" s="30"/>
      <c r="LIF1240" s="30"/>
      <c r="LIG1240" s="30"/>
      <c r="LIH1240" s="30"/>
      <c r="LII1240" s="30"/>
      <c r="LIJ1240" s="30"/>
      <c r="LIK1240" s="30"/>
      <c r="LIL1240" s="30"/>
      <c r="LIM1240" s="30"/>
      <c r="LIN1240" s="30"/>
      <c r="LIO1240" s="30"/>
      <c r="LIP1240" s="30"/>
      <c r="LIQ1240" s="30"/>
      <c r="LIR1240" s="30"/>
      <c r="LIS1240" s="30"/>
      <c r="LIT1240" s="30"/>
      <c r="LIU1240" s="30"/>
      <c r="LIV1240" s="30"/>
      <c r="LIW1240" s="30"/>
      <c r="LIX1240" s="30"/>
      <c r="LIY1240" s="30"/>
      <c r="LIZ1240" s="30"/>
      <c r="LJA1240" s="30"/>
      <c r="LJB1240" s="30"/>
      <c r="LJC1240" s="30"/>
      <c r="LJD1240" s="30"/>
      <c r="LJE1240" s="30"/>
      <c r="LJF1240" s="30"/>
      <c r="LJG1240" s="30"/>
      <c r="LJH1240" s="30"/>
      <c r="LJI1240" s="30"/>
      <c r="LJJ1240" s="30"/>
      <c r="LJK1240" s="30"/>
      <c r="LJL1240" s="30"/>
      <c r="LJM1240" s="30"/>
      <c r="LJN1240" s="30"/>
      <c r="LJO1240" s="30"/>
      <c r="LJP1240" s="30"/>
      <c r="LJQ1240" s="30"/>
      <c r="LJR1240" s="30"/>
      <c r="LJS1240" s="30"/>
      <c r="LJT1240" s="30"/>
      <c r="LJU1240" s="30"/>
      <c r="LJV1240" s="30"/>
      <c r="LJW1240" s="30"/>
      <c r="LJX1240" s="30"/>
      <c r="LJY1240" s="30"/>
      <c r="LJZ1240" s="30"/>
      <c r="LKA1240" s="30"/>
      <c r="LKB1240" s="30"/>
      <c r="LKC1240" s="30"/>
      <c r="LKD1240" s="30"/>
      <c r="LKE1240" s="30"/>
      <c r="LKF1240" s="30"/>
      <c r="LKG1240" s="30"/>
      <c r="LKH1240" s="30"/>
      <c r="LKI1240" s="30"/>
      <c r="LKJ1240" s="30"/>
      <c r="LKK1240" s="30"/>
      <c r="LKL1240" s="30"/>
      <c r="LKM1240" s="30"/>
      <c r="LKN1240" s="30"/>
      <c r="LKO1240" s="30"/>
      <c r="LKP1240" s="30"/>
      <c r="LKQ1240" s="30"/>
      <c r="LKR1240" s="30"/>
      <c r="LKS1240" s="30"/>
      <c r="LKT1240" s="30"/>
      <c r="LKU1240" s="30"/>
      <c r="LKV1240" s="30"/>
      <c r="LKW1240" s="30"/>
      <c r="LKX1240" s="30"/>
      <c r="LKY1240" s="30"/>
      <c r="LKZ1240" s="30"/>
      <c r="LLA1240" s="30"/>
      <c r="LLB1240" s="30"/>
      <c r="LLC1240" s="30"/>
      <c r="LLD1240" s="30"/>
      <c r="LLE1240" s="30"/>
      <c r="LLF1240" s="30"/>
      <c r="LLG1240" s="30"/>
      <c r="LLH1240" s="30"/>
      <c r="LLI1240" s="30"/>
      <c r="LLJ1240" s="30"/>
      <c r="LLK1240" s="30"/>
      <c r="LLL1240" s="30"/>
      <c r="LLM1240" s="30"/>
      <c r="LLN1240" s="30"/>
      <c r="LLO1240" s="30"/>
      <c r="LLP1240" s="30"/>
      <c r="LLQ1240" s="30"/>
      <c r="LLR1240" s="30"/>
      <c r="LLS1240" s="30"/>
      <c r="LLT1240" s="30"/>
      <c r="LLU1240" s="30"/>
      <c r="LLV1240" s="30"/>
      <c r="LLW1240" s="30"/>
      <c r="LLX1240" s="30"/>
      <c r="LLY1240" s="30"/>
      <c r="LLZ1240" s="30"/>
      <c r="LMA1240" s="30"/>
      <c r="LMB1240" s="30"/>
      <c r="LMC1240" s="30"/>
      <c r="LMD1240" s="30"/>
      <c r="LME1240" s="30"/>
      <c r="LMF1240" s="30"/>
      <c r="LMG1240" s="30"/>
      <c r="LMH1240" s="30"/>
      <c r="LMI1240" s="30"/>
      <c r="LMJ1240" s="30"/>
      <c r="LMK1240" s="30"/>
      <c r="LML1240" s="30"/>
      <c r="LMM1240" s="30"/>
      <c r="LMN1240" s="30"/>
      <c r="LMO1240" s="30"/>
      <c r="LMP1240" s="30"/>
      <c r="LMQ1240" s="30"/>
      <c r="LMR1240" s="30"/>
      <c r="LMS1240" s="30"/>
      <c r="LMT1240" s="30"/>
      <c r="LMU1240" s="30"/>
      <c r="LMV1240" s="30"/>
      <c r="LMW1240" s="30"/>
      <c r="LMX1240" s="30"/>
      <c r="LMY1240" s="30"/>
      <c r="LMZ1240" s="30"/>
      <c r="LNA1240" s="30"/>
      <c r="LNB1240" s="30"/>
      <c r="LNC1240" s="30"/>
      <c r="LND1240" s="30"/>
      <c r="LNE1240" s="30"/>
      <c r="LNF1240" s="30"/>
      <c r="LNG1240" s="30"/>
      <c r="LNH1240" s="30"/>
      <c r="LNI1240" s="30"/>
      <c r="LNJ1240" s="30"/>
      <c r="LNK1240" s="30"/>
      <c r="LNL1240" s="30"/>
      <c r="LNM1240" s="30"/>
      <c r="LNN1240" s="30"/>
      <c r="LNO1240" s="30"/>
      <c r="LNP1240" s="30"/>
      <c r="LNQ1240" s="30"/>
      <c r="LNR1240" s="30"/>
      <c r="LNS1240" s="30"/>
      <c r="LNT1240" s="30"/>
      <c r="LNU1240" s="30"/>
      <c r="LNV1240" s="30"/>
      <c r="LNW1240" s="30"/>
      <c r="LNX1240" s="30"/>
      <c r="LNY1240" s="30"/>
      <c r="LNZ1240" s="30"/>
      <c r="LOA1240" s="30"/>
      <c r="LOB1240" s="30"/>
      <c r="LOC1240" s="30"/>
      <c r="LOD1240" s="30"/>
      <c r="LOE1240" s="30"/>
      <c r="LOF1240" s="30"/>
      <c r="LOG1240" s="30"/>
      <c r="LOH1240" s="30"/>
      <c r="LOI1240" s="30"/>
      <c r="LOJ1240" s="30"/>
      <c r="LOK1240" s="30"/>
      <c r="LOL1240" s="30"/>
      <c r="LOM1240" s="30"/>
      <c r="LON1240" s="30"/>
      <c r="LOO1240" s="30"/>
      <c r="LOP1240" s="30"/>
      <c r="LOQ1240" s="30"/>
      <c r="LOR1240" s="30"/>
      <c r="LOS1240" s="30"/>
      <c r="LOT1240" s="30"/>
      <c r="LOU1240" s="30"/>
      <c r="LOV1240" s="30"/>
      <c r="LOW1240" s="30"/>
      <c r="LOX1240" s="30"/>
      <c r="LOY1240" s="30"/>
      <c r="LOZ1240" s="30"/>
      <c r="LPA1240" s="30"/>
      <c r="LPB1240" s="30"/>
      <c r="LPC1240" s="30"/>
      <c r="LPD1240" s="30"/>
      <c r="LPE1240" s="30"/>
      <c r="LPF1240" s="30"/>
      <c r="LPG1240" s="30"/>
      <c r="LPH1240" s="30"/>
      <c r="LPI1240" s="30"/>
      <c r="LPJ1240" s="30"/>
      <c r="LPK1240" s="30"/>
      <c r="LPL1240" s="30"/>
      <c r="LPM1240" s="30"/>
      <c r="LPN1240" s="30"/>
      <c r="LPO1240" s="30"/>
      <c r="LPP1240" s="30"/>
      <c r="LPQ1240" s="30"/>
      <c r="LPR1240" s="30"/>
      <c r="LPS1240" s="30"/>
      <c r="LPT1240" s="30"/>
      <c r="LPU1240" s="30"/>
      <c r="LPV1240" s="30"/>
      <c r="LPW1240" s="30"/>
      <c r="LPX1240" s="30"/>
      <c r="LPY1240" s="30"/>
      <c r="LPZ1240" s="30"/>
      <c r="LQA1240" s="30"/>
      <c r="LQB1240" s="30"/>
      <c r="LQC1240" s="30"/>
      <c r="LQD1240" s="30"/>
      <c r="LQE1240" s="30"/>
      <c r="LQF1240" s="30"/>
      <c r="LQG1240" s="30"/>
      <c r="LQH1240" s="30"/>
      <c r="LQI1240" s="30"/>
      <c r="LQJ1240" s="30"/>
      <c r="LQK1240" s="30"/>
      <c r="LQL1240" s="30"/>
      <c r="LQM1240" s="30"/>
      <c r="LQN1240" s="30"/>
      <c r="LQO1240" s="30"/>
      <c r="LQP1240" s="30"/>
      <c r="LQQ1240" s="30"/>
      <c r="LQR1240" s="30"/>
      <c r="LQS1240" s="30"/>
      <c r="LQT1240" s="30"/>
      <c r="LQU1240" s="30"/>
      <c r="LQV1240" s="30"/>
      <c r="LQW1240" s="30"/>
      <c r="LQX1240" s="30"/>
      <c r="LQY1240" s="30"/>
      <c r="LQZ1240" s="30"/>
      <c r="LRA1240" s="30"/>
      <c r="LRB1240" s="30"/>
      <c r="LRC1240" s="30"/>
      <c r="LRD1240" s="30"/>
      <c r="LRE1240" s="30"/>
      <c r="LRF1240" s="30"/>
      <c r="LRG1240" s="30"/>
      <c r="LRH1240" s="30"/>
      <c r="LRI1240" s="30"/>
      <c r="LRJ1240" s="30"/>
      <c r="LRK1240" s="30"/>
      <c r="LRL1240" s="30"/>
      <c r="LRM1240" s="30"/>
      <c r="LRN1240" s="30"/>
      <c r="LRO1240" s="30"/>
      <c r="LRP1240" s="30"/>
      <c r="LRQ1240" s="30"/>
      <c r="LRR1240" s="30"/>
      <c r="LRS1240" s="30"/>
      <c r="LRT1240" s="30"/>
      <c r="LRU1240" s="30"/>
      <c r="LRV1240" s="30"/>
      <c r="LRW1240" s="30"/>
      <c r="LRX1240" s="30"/>
      <c r="LRY1240" s="30"/>
      <c r="LRZ1240" s="30"/>
      <c r="LSA1240" s="30"/>
      <c r="LSB1240" s="30"/>
      <c r="LSC1240" s="30"/>
      <c r="LSD1240" s="30"/>
      <c r="LSE1240" s="30"/>
      <c r="LSF1240" s="30"/>
      <c r="LSG1240" s="30"/>
      <c r="LSH1240" s="30"/>
      <c r="LSI1240" s="30"/>
      <c r="LSJ1240" s="30"/>
      <c r="LSK1240" s="30"/>
      <c r="LSL1240" s="30"/>
      <c r="LSM1240" s="30"/>
      <c r="LSN1240" s="30"/>
      <c r="LSO1240" s="30"/>
      <c r="LSP1240" s="30"/>
      <c r="LSQ1240" s="30"/>
      <c r="LSR1240" s="30"/>
      <c r="LSS1240" s="30"/>
      <c r="LST1240" s="30"/>
      <c r="LSU1240" s="30"/>
      <c r="LSV1240" s="30"/>
      <c r="LSW1240" s="30"/>
      <c r="LSX1240" s="30"/>
      <c r="LSY1240" s="30"/>
      <c r="LSZ1240" s="30"/>
      <c r="LTA1240" s="30"/>
      <c r="LTB1240" s="30"/>
      <c r="LTC1240" s="30"/>
      <c r="LTD1240" s="30"/>
      <c r="LTE1240" s="30"/>
      <c r="LTF1240" s="30"/>
      <c r="LTG1240" s="30"/>
      <c r="LTH1240" s="30"/>
      <c r="LTI1240" s="30"/>
      <c r="LTJ1240" s="30"/>
      <c r="LTK1240" s="30"/>
      <c r="LTL1240" s="30"/>
      <c r="LTM1240" s="30"/>
      <c r="LTN1240" s="30"/>
      <c r="LTO1240" s="30"/>
      <c r="LTP1240" s="30"/>
      <c r="LTQ1240" s="30"/>
      <c r="LTR1240" s="30"/>
      <c r="LTS1240" s="30"/>
      <c r="LTT1240" s="30"/>
      <c r="LTU1240" s="30"/>
      <c r="LTV1240" s="30"/>
      <c r="LTW1240" s="30"/>
      <c r="LTX1240" s="30"/>
      <c r="LTY1240" s="30"/>
      <c r="LTZ1240" s="30"/>
      <c r="LUA1240" s="30"/>
      <c r="LUB1240" s="30"/>
      <c r="LUC1240" s="30"/>
      <c r="LUD1240" s="30"/>
      <c r="LUE1240" s="30"/>
      <c r="LUF1240" s="30"/>
      <c r="LUG1240" s="30"/>
      <c r="LUH1240" s="30"/>
      <c r="LUI1240" s="30"/>
      <c r="LUJ1240" s="30"/>
      <c r="LUK1240" s="30"/>
      <c r="LUL1240" s="30"/>
      <c r="LUM1240" s="30"/>
      <c r="LUN1240" s="30"/>
      <c r="LUO1240" s="30"/>
      <c r="LUP1240" s="30"/>
      <c r="LUQ1240" s="30"/>
      <c r="LUR1240" s="30"/>
      <c r="LUS1240" s="30"/>
      <c r="LUT1240" s="30"/>
      <c r="LUU1240" s="30"/>
      <c r="LUV1240" s="30"/>
      <c r="LUW1240" s="30"/>
      <c r="LUX1240" s="30"/>
      <c r="LUY1240" s="30"/>
      <c r="LUZ1240" s="30"/>
      <c r="LVA1240" s="30"/>
      <c r="LVB1240" s="30"/>
      <c r="LVC1240" s="30"/>
      <c r="LVD1240" s="30"/>
      <c r="LVE1240" s="30"/>
      <c r="LVF1240" s="30"/>
      <c r="LVG1240" s="30"/>
      <c r="LVH1240" s="30"/>
      <c r="LVI1240" s="30"/>
      <c r="LVJ1240" s="30"/>
      <c r="LVK1240" s="30"/>
      <c r="LVL1240" s="30"/>
      <c r="LVM1240" s="30"/>
      <c r="LVN1240" s="30"/>
      <c r="LVO1240" s="30"/>
      <c r="LVP1240" s="30"/>
      <c r="LVQ1240" s="30"/>
      <c r="LVR1240" s="30"/>
      <c r="LVS1240" s="30"/>
      <c r="LVT1240" s="30"/>
      <c r="LVU1240" s="30"/>
      <c r="LVV1240" s="30"/>
      <c r="LVW1240" s="30"/>
      <c r="LVX1240" s="30"/>
      <c r="LVY1240" s="30"/>
      <c r="LVZ1240" s="30"/>
      <c r="LWA1240" s="30"/>
      <c r="LWB1240" s="30"/>
      <c r="LWC1240" s="30"/>
      <c r="LWD1240" s="30"/>
      <c r="LWE1240" s="30"/>
      <c r="LWF1240" s="30"/>
      <c r="LWG1240" s="30"/>
      <c r="LWH1240" s="30"/>
      <c r="LWI1240" s="30"/>
      <c r="LWJ1240" s="30"/>
      <c r="LWK1240" s="30"/>
      <c r="LWL1240" s="30"/>
      <c r="LWM1240" s="30"/>
      <c r="LWN1240" s="30"/>
      <c r="LWO1240" s="30"/>
      <c r="LWP1240" s="30"/>
      <c r="LWQ1240" s="30"/>
      <c r="LWR1240" s="30"/>
      <c r="LWS1240" s="30"/>
      <c r="LWT1240" s="30"/>
      <c r="LWU1240" s="30"/>
      <c r="LWV1240" s="30"/>
      <c r="LWW1240" s="30"/>
      <c r="LWX1240" s="30"/>
      <c r="LWY1240" s="30"/>
      <c r="LWZ1240" s="30"/>
      <c r="LXA1240" s="30"/>
      <c r="LXB1240" s="30"/>
      <c r="LXC1240" s="30"/>
      <c r="LXD1240" s="30"/>
      <c r="LXE1240" s="30"/>
      <c r="LXF1240" s="30"/>
      <c r="LXG1240" s="30"/>
      <c r="LXH1240" s="30"/>
      <c r="LXI1240" s="30"/>
      <c r="LXJ1240" s="30"/>
      <c r="LXK1240" s="30"/>
      <c r="LXL1240" s="30"/>
      <c r="LXM1240" s="30"/>
      <c r="LXN1240" s="30"/>
      <c r="LXO1240" s="30"/>
      <c r="LXP1240" s="30"/>
      <c r="LXQ1240" s="30"/>
      <c r="LXR1240" s="30"/>
      <c r="LXS1240" s="30"/>
      <c r="LXT1240" s="30"/>
      <c r="LXU1240" s="30"/>
      <c r="LXV1240" s="30"/>
      <c r="LXW1240" s="30"/>
      <c r="LXX1240" s="30"/>
      <c r="LXY1240" s="30"/>
      <c r="LXZ1240" s="30"/>
      <c r="LYA1240" s="30"/>
      <c r="LYB1240" s="30"/>
      <c r="LYC1240" s="30"/>
      <c r="LYD1240" s="30"/>
      <c r="LYE1240" s="30"/>
      <c r="LYF1240" s="30"/>
      <c r="LYG1240" s="30"/>
      <c r="LYH1240" s="30"/>
      <c r="LYI1240" s="30"/>
      <c r="LYJ1240" s="30"/>
      <c r="LYK1240" s="30"/>
      <c r="LYL1240" s="30"/>
      <c r="LYM1240" s="30"/>
      <c r="LYN1240" s="30"/>
      <c r="LYO1240" s="30"/>
      <c r="LYP1240" s="30"/>
      <c r="LYQ1240" s="30"/>
      <c r="LYR1240" s="30"/>
      <c r="LYS1240" s="30"/>
      <c r="LYT1240" s="30"/>
      <c r="LYU1240" s="30"/>
      <c r="LYV1240" s="30"/>
      <c r="LYW1240" s="30"/>
      <c r="LYX1240" s="30"/>
      <c r="LYY1240" s="30"/>
      <c r="LYZ1240" s="30"/>
      <c r="LZA1240" s="30"/>
      <c r="LZB1240" s="30"/>
      <c r="LZC1240" s="30"/>
      <c r="LZD1240" s="30"/>
      <c r="LZE1240" s="30"/>
      <c r="LZF1240" s="30"/>
      <c r="LZG1240" s="30"/>
      <c r="LZH1240" s="30"/>
      <c r="LZI1240" s="30"/>
      <c r="LZJ1240" s="30"/>
      <c r="LZK1240" s="30"/>
      <c r="LZL1240" s="30"/>
      <c r="LZM1240" s="30"/>
      <c r="LZN1240" s="30"/>
      <c r="LZO1240" s="30"/>
      <c r="LZP1240" s="30"/>
      <c r="LZQ1240" s="30"/>
      <c r="LZR1240" s="30"/>
      <c r="LZS1240" s="30"/>
      <c r="LZT1240" s="30"/>
      <c r="LZU1240" s="30"/>
      <c r="LZV1240" s="30"/>
      <c r="LZW1240" s="30"/>
      <c r="LZX1240" s="30"/>
      <c r="LZY1240" s="30"/>
      <c r="LZZ1240" s="30"/>
      <c r="MAA1240" s="30"/>
      <c r="MAB1240" s="30"/>
      <c r="MAC1240" s="30"/>
      <c r="MAD1240" s="30"/>
      <c r="MAE1240" s="30"/>
      <c r="MAF1240" s="30"/>
      <c r="MAG1240" s="30"/>
      <c r="MAH1240" s="30"/>
      <c r="MAI1240" s="30"/>
      <c r="MAJ1240" s="30"/>
      <c r="MAK1240" s="30"/>
      <c r="MAL1240" s="30"/>
      <c r="MAM1240" s="30"/>
      <c r="MAN1240" s="30"/>
      <c r="MAO1240" s="30"/>
      <c r="MAP1240" s="30"/>
      <c r="MAQ1240" s="30"/>
      <c r="MAR1240" s="30"/>
      <c r="MAS1240" s="30"/>
      <c r="MAT1240" s="30"/>
      <c r="MAU1240" s="30"/>
      <c r="MAV1240" s="30"/>
      <c r="MAW1240" s="30"/>
      <c r="MAX1240" s="30"/>
      <c r="MAY1240" s="30"/>
      <c r="MAZ1240" s="30"/>
      <c r="MBA1240" s="30"/>
      <c r="MBB1240" s="30"/>
      <c r="MBC1240" s="30"/>
      <c r="MBD1240" s="30"/>
      <c r="MBE1240" s="30"/>
      <c r="MBF1240" s="30"/>
      <c r="MBG1240" s="30"/>
      <c r="MBH1240" s="30"/>
      <c r="MBI1240" s="30"/>
      <c r="MBJ1240" s="30"/>
      <c r="MBK1240" s="30"/>
      <c r="MBL1240" s="30"/>
      <c r="MBM1240" s="30"/>
      <c r="MBN1240" s="30"/>
      <c r="MBO1240" s="30"/>
      <c r="MBP1240" s="30"/>
      <c r="MBQ1240" s="30"/>
      <c r="MBR1240" s="30"/>
      <c r="MBS1240" s="30"/>
      <c r="MBT1240" s="30"/>
      <c r="MBU1240" s="30"/>
      <c r="MBV1240" s="30"/>
      <c r="MBW1240" s="30"/>
      <c r="MBX1240" s="30"/>
      <c r="MBY1240" s="30"/>
      <c r="MBZ1240" s="30"/>
      <c r="MCA1240" s="30"/>
      <c r="MCB1240" s="30"/>
      <c r="MCC1240" s="30"/>
      <c r="MCD1240" s="30"/>
      <c r="MCE1240" s="30"/>
      <c r="MCF1240" s="30"/>
      <c r="MCG1240" s="30"/>
      <c r="MCH1240" s="30"/>
      <c r="MCI1240" s="30"/>
      <c r="MCJ1240" s="30"/>
      <c r="MCK1240" s="30"/>
      <c r="MCL1240" s="30"/>
      <c r="MCM1240" s="30"/>
      <c r="MCN1240" s="30"/>
      <c r="MCO1240" s="30"/>
      <c r="MCP1240" s="30"/>
      <c r="MCQ1240" s="30"/>
      <c r="MCR1240" s="30"/>
      <c r="MCS1240" s="30"/>
      <c r="MCT1240" s="30"/>
      <c r="MCU1240" s="30"/>
      <c r="MCV1240" s="30"/>
      <c r="MCW1240" s="30"/>
      <c r="MCX1240" s="30"/>
      <c r="MCY1240" s="30"/>
      <c r="MCZ1240" s="30"/>
      <c r="MDA1240" s="30"/>
      <c r="MDB1240" s="30"/>
      <c r="MDC1240" s="30"/>
      <c r="MDD1240" s="30"/>
      <c r="MDE1240" s="30"/>
      <c r="MDF1240" s="30"/>
      <c r="MDG1240" s="30"/>
      <c r="MDH1240" s="30"/>
      <c r="MDI1240" s="30"/>
      <c r="MDJ1240" s="30"/>
      <c r="MDK1240" s="30"/>
      <c r="MDL1240" s="30"/>
      <c r="MDM1240" s="30"/>
      <c r="MDN1240" s="30"/>
      <c r="MDO1240" s="30"/>
      <c r="MDP1240" s="30"/>
      <c r="MDQ1240" s="30"/>
      <c r="MDR1240" s="30"/>
      <c r="MDS1240" s="30"/>
      <c r="MDT1240" s="30"/>
      <c r="MDU1240" s="30"/>
      <c r="MDV1240" s="30"/>
      <c r="MDW1240" s="30"/>
      <c r="MDX1240" s="30"/>
      <c r="MDY1240" s="30"/>
      <c r="MDZ1240" s="30"/>
      <c r="MEA1240" s="30"/>
      <c r="MEB1240" s="30"/>
      <c r="MEC1240" s="30"/>
      <c r="MED1240" s="30"/>
      <c r="MEE1240" s="30"/>
      <c r="MEF1240" s="30"/>
      <c r="MEG1240" s="30"/>
      <c r="MEH1240" s="30"/>
      <c r="MEI1240" s="30"/>
      <c r="MEJ1240" s="30"/>
      <c r="MEK1240" s="30"/>
      <c r="MEL1240" s="30"/>
      <c r="MEM1240" s="30"/>
      <c r="MEN1240" s="30"/>
      <c r="MEO1240" s="30"/>
      <c r="MEP1240" s="30"/>
      <c r="MEQ1240" s="30"/>
      <c r="MER1240" s="30"/>
      <c r="MES1240" s="30"/>
      <c r="MET1240" s="30"/>
      <c r="MEU1240" s="30"/>
      <c r="MEV1240" s="30"/>
      <c r="MEW1240" s="30"/>
      <c r="MEX1240" s="30"/>
      <c r="MEY1240" s="30"/>
      <c r="MEZ1240" s="30"/>
      <c r="MFA1240" s="30"/>
      <c r="MFB1240" s="30"/>
      <c r="MFC1240" s="30"/>
      <c r="MFD1240" s="30"/>
      <c r="MFE1240" s="30"/>
      <c r="MFF1240" s="30"/>
      <c r="MFG1240" s="30"/>
      <c r="MFH1240" s="30"/>
      <c r="MFI1240" s="30"/>
      <c r="MFJ1240" s="30"/>
      <c r="MFK1240" s="30"/>
      <c r="MFL1240" s="30"/>
      <c r="MFM1240" s="30"/>
      <c r="MFN1240" s="30"/>
      <c r="MFO1240" s="30"/>
      <c r="MFP1240" s="30"/>
      <c r="MFQ1240" s="30"/>
      <c r="MFR1240" s="30"/>
      <c r="MFS1240" s="30"/>
      <c r="MFT1240" s="30"/>
      <c r="MFU1240" s="30"/>
      <c r="MFV1240" s="30"/>
      <c r="MFW1240" s="30"/>
      <c r="MFX1240" s="30"/>
      <c r="MFY1240" s="30"/>
      <c r="MFZ1240" s="30"/>
      <c r="MGA1240" s="30"/>
      <c r="MGB1240" s="30"/>
      <c r="MGC1240" s="30"/>
      <c r="MGD1240" s="30"/>
      <c r="MGE1240" s="30"/>
      <c r="MGF1240" s="30"/>
      <c r="MGG1240" s="30"/>
      <c r="MGH1240" s="30"/>
      <c r="MGI1240" s="30"/>
      <c r="MGJ1240" s="30"/>
      <c r="MGK1240" s="30"/>
      <c r="MGL1240" s="30"/>
      <c r="MGM1240" s="30"/>
      <c r="MGN1240" s="30"/>
      <c r="MGO1240" s="30"/>
      <c r="MGP1240" s="30"/>
      <c r="MGQ1240" s="30"/>
      <c r="MGR1240" s="30"/>
      <c r="MGS1240" s="30"/>
      <c r="MGT1240" s="30"/>
      <c r="MGU1240" s="30"/>
      <c r="MGV1240" s="30"/>
      <c r="MGW1240" s="30"/>
      <c r="MGX1240" s="30"/>
      <c r="MGY1240" s="30"/>
      <c r="MGZ1240" s="30"/>
      <c r="MHA1240" s="30"/>
      <c r="MHB1240" s="30"/>
      <c r="MHC1240" s="30"/>
      <c r="MHD1240" s="30"/>
      <c r="MHE1240" s="30"/>
      <c r="MHF1240" s="30"/>
      <c r="MHG1240" s="30"/>
      <c r="MHH1240" s="30"/>
      <c r="MHI1240" s="30"/>
      <c r="MHJ1240" s="30"/>
      <c r="MHK1240" s="30"/>
      <c r="MHL1240" s="30"/>
      <c r="MHM1240" s="30"/>
      <c r="MHN1240" s="30"/>
      <c r="MHO1240" s="30"/>
      <c r="MHP1240" s="30"/>
      <c r="MHQ1240" s="30"/>
      <c r="MHR1240" s="30"/>
      <c r="MHS1240" s="30"/>
      <c r="MHT1240" s="30"/>
      <c r="MHU1240" s="30"/>
      <c r="MHV1240" s="30"/>
      <c r="MHW1240" s="30"/>
      <c r="MHX1240" s="30"/>
      <c r="MHY1240" s="30"/>
      <c r="MHZ1240" s="30"/>
      <c r="MIA1240" s="30"/>
      <c r="MIB1240" s="30"/>
      <c r="MIC1240" s="30"/>
      <c r="MID1240" s="30"/>
      <c r="MIE1240" s="30"/>
      <c r="MIF1240" s="30"/>
      <c r="MIG1240" s="30"/>
      <c r="MIH1240" s="30"/>
      <c r="MII1240" s="30"/>
      <c r="MIJ1240" s="30"/>
      <c r="MIK1240" s="30"/>
      <c r="MIL1240" s="30"/>
      <c r="MIM1240" s="30"/>
      <c r="MIN1240" s="30"/>
      <c r="MIO1240" s="30"/>
      <c r="MIP1240" s="30"/>
      <c r="MIQ1240" s="30"/>
      <c r="MIR1240" s="30"/>
      <c r="MIS1240" s="30"/>
      <c r="MIT1240" s="30"/>
      <c r="MIU1240" s="30"/>
      <c r="MIV1240" s="30"/>
      <c r="MIW1240" s="30"/>
      <c r="MIX1240" s="30"/>
      <c r="MIY1240" s="30"/>
      <c r="MIZ1240" s="30"/>
      <c r="MJA1240" s="30"/>
      <c r="MJB1240" s="30"/>
      <c r="MJC1240" s="30"/>
      <c r="MJD1240" s="30"/>
      <c r="MJE1240" s="30"/>
      <c r="MJF1240" s="30"/>
      <c r="MJG1240" s="30"/>
      <c r="MJH1240" s="30"/>
      <c r="MJI1240" s="30"/>
      <c r="MJJ1240" s="30"/>
      <c r="MJK1240" s="30"/>
      <c r="MJL1240" s="30"/>
      <c r="MJM1240" s="30"/>
      <c r="MJN1240" s="30"/>
      <c r="MJO1240" s="30"/>
      <c r="MJP1240" s="30"/>
      <c r="MJQ1240" s="30"/>
      <c r="MJR1240" s="30"/>
      <c r="MJS1240" s="30"/>
      <c r="MJT1240" s="30"/>
      <c r="MJU1240" s="30"/>
      <c r="MJV1240" s="30"/>
      <c r="MJW1240" s="30"/>
      <c r="MJX1240" s="30"/>
      <c r="MJY1240" s="30"/>
      <c r="MJZ1240" s="30"/>
      <c r="MKA1240" s="30"/>
      <c r="MKB1240" s="30"/>
      <c r="MKC1240" s="30"/>
      <c r="MKD1240" s="30"/>
      <c r="MKE1240" s="30"/>
      <c r="MKF1240" s="30"/>
      <c r="MKG1240" s="30"/>
      <c r="MKH1240" s="30"/>
      <c r="MKI1240" s="30"/>
      <c r="MKJ1240" s="30"/>
      <c r="MKK1240" s="30"/>
      <c r="MKL1240" s="30"/>
      <c r="MKM1240" s="30"/>
      <c r="MKN1240" s="30"/>
      <c r="MKO1240" s="30"/>
      <c r="MKP1240" s="30"/>
      <c r="MKQ1240" s="30"/>
      <c r="MKR1240" s="30"/>
      <c r="MKS1240" s="30"/>
      <c r="MKT1240" s="30"/>
      <c r="MKU1240" s="30"/>
      <c r="MKV1240" s="30"/>
      <c r="MKW1240" s="30"/>
      <c r="MKX1240" s="30"/>
      <c r="MKY1240" s="30"/>
      <c r="MKZ1240" s="30"/>
      <c r="MLA1240" s="30"/>
      <c r="MLB1240" s="30"/>
      <c r="MLC1240" s="30"/>
      <c r="MLD1240" s="30"/>
      <c r="MLE1240" s="30"/>
      <c r="MLF1240" s="30"/>
      <c r="MLG1240" s="30"/>
      <c r="MLH1240" s="30"/>
      <c r="MLI1240" s="30"/>
      <c r="MLJ1240" s="30"/>
      <c r="MLK1240" s="30"/>
      <c r="MLL1240" s="30"/>
      <c r="MLM1240" s="30"/>
      <c r="MLN1240" s="30"/>
      <c r="MLO1240" s="30"/>
      <c r="MLP1240" s="30"/>
      <c r="MLQ1240" s="30"/>
      <c r="MLR1240" s="30"/>
      <c r="MLS1240" s="30"/>
      <c r="MLT1240" s="30"/>
      <c r="MLU1240" s="30"/>
      <c r="MLV1240" s="30"/>
      <c r="MLW1240" s="30"/>
      <c r="MLX1240" s="30"/>
      <c r="MLY1240" s="30"/>
      <c r="MLZ1240" s="30"/>
      <c r="MMA1240" s="30"/>
      <c r="MMB1240" s="30"/>
      <c r="MMC1240" s="30"/>
      <c r="MMD1240" s="30"/>
      <c r="MME1240" s="30"/>
      <c r="MMF1240" s="30"/>
      <c r="MMG1240" s="30"/>
      <c r="MMH1240" s="30"/>
      <c r="MMI1240" s="30"/>
      <c r="MMJ1240" s="30"/>
      <c r="MMK1240" s="30"/>
      <c r="MML1240" s="30"/>
      <c r="MMM1240" s="30"/>
      <c r="MMN1240" s="30"/>
      <c r="MMO1240" s="30"/>
      <c r="MMP1240" s="30"/>
      <c r="MMQ1240" s="30"/>
      <c r="MMR1240" s="30"/>
      <c r="MMS1240" s="30"/>
      <c r="MMT1240" s="30"/>
      <c r="MMU1240" s="30"/>
      <c r="MMV1240" s="30"/>
      <c r="MMW1240" s="30"/>
      <c r="MMX1240" s="30"/>
      <c r="MMY1240" s="30"/>
      <c r="MMZ1240" s="30"/>
      <c r="MNA1240" s="30"/>
      <c r="MNB1240" s="30"/>
      <c r="MNC1240" s="30"/>
      <c r="MND1240" s="30"/>
      <c r="MNE1240" s="30"/>
      <c r="MNF1240" s="30"/>
      <c r="MNG1240" s="30"/>
      <c r="MNH1240" s="30"/>
      <c r="MNI1240" s="30"/>
      <c r="MNJ1240" s="30"/>
      <c r="MNK1240" s="30"/>
      <c r="MNL1240" s="30"/>
      <c r="MNM1240" s="30"/>
      <c r="MNN1240" s="30"/>
      <c r="MNO1240" s="30"/>
      <c r="MNP1240" s="30"/>
      <c r="MNQ1240" s="30"/>
      <c r="MNR1240" s="30"/>
      <c r="MNS1240" s="30"/>
      <c r="MNT1240" s="30"/>
      <c r="MNU1240" s="30"/>
      <c r="MNV1240" s="30"/>
      <c r="MNW1240" s="30"/>
      <c r="MNX1240" s="30"/>
      <c r="MNY1240" s="30"/>
      <c r="MNZ1240" s="30"/>
      <c r="MOA1240" s="30"/>
      <c r="MOB1240" s="30"/>
      <c r="MOC1240" s="30"/>
      <c r="MOD1240" s="30"/>
      <c r="MOE1240" s="30"/>
      <c r="MOF1240" s="30"/>
      <c r="MOG1240" s="30"/>
      <c r="MOH1240" s="30"/>
      <c r="MOI1240" s="30"/>
      <c r="MOJ1240" s="30"/>
      <c r="MOK1240" s="30"/>
      <c r="MOL1240" s="30"/>
      <c r="MOM1240" s="30"/>
      <c r="MON1240" s="30"/>
      <c r="MOO1240" s="30"/>
      <c r="MOP1240" s="30"/>
      <c r="MOQ1240" s="30"/>
      <c r="MOR1240" s="30"/>
      <c r="MOS1240" s="30"/>
      <c r="MOT1240" s="30"/>
      <c r="MOU1240" s="30"/>
      <c r="MOV1240" s="30"/>
      <c r="MOW1240" s="30"/>
      <c r="MOX1240" s="30"/>
      <c r="MOY1240" s="30"/>
      <c r="MOZ1240" s="30"/>
      <c r="MPA1240" s="30"/>
      <c r="MPB1240" s="30"/>
      <c r="MPC1240" s="30"/>
      <c r="MPD1240" s="30"/>
      <c r="MPE1240" s="30"/>
      <c r="MPF1240" s="30"/>
      <c r="MPG1240" s="30"/>
      <c r="MPH1240" s="30"/>
      <c r="MPI1240" s="30"/>
      <c r="MPJ1240" s="30"/>
      <c r="MPK1240" s="30"/>
      <c r="MPL1240" s="30"/>
      <c r="MPM1240" s="30"/>
      <c r="MPN1240" s="30"/>
      <c r="MPO1240" s="30"/>
      <c r="MPP1240" s="30"/>
      <c r="MPQ1240" s="30"/>
      <c r="MPR1240" s="30"/>
      <c r="MPS1240" s="30"/>
      <c r="MPT1240" s="30"/>
      <c r="MPU1240" s="30"/>
      <c r="MPV1240" s="30"/>
      <c r="MPW1240" s="30"/>
      <c r="MPX1240" s="30"/>
      <c r="MPY1240" s="30"/>
      <c r="MPZ1240" s="30"/>
      <c r="MQA1240" s="30"/>
      <c r="MQB1240" s="30"/>
      <c r="MQC1240" s="30"/>
      <c r="MQD1240" s="30"/>
      <c r="MQE1240" s="30"/>
      <c r="MQF1240" s="30"/>
      <c r="MQG1240" s="30"/>
      <c r="MQH1240" s="30"/>
      <c r="MQI1240" s="30"/>
      <c r="MQJ1240" s="30"/>
      <c r="MQK1240" s="30"/>
      <c r="MQL1240" s="30"/>
      <c r="MQM1240" s="30"/>
      <c r="MQN1240" s="30"/>
      <c r="MQO1240" s="30"/>
      <c r="MQP1240" s="30"/>
      <c r="MQQ1240" s="30"/>
      <c r="MQR1240" s="30"/>
      <c r="MQS1240" s="30"/>
      <c r="MQT1240" s="30"/>
      <c r="MQU1240" s="30"/>
      <c r="MQV1240" s="30"/>
      <c r="MQW1240" s="30"/>
      <c r="MQX1240" s="30"/>
      <c r="MQY1240" s="30"/>
      <c r="MQZ1240" s="30"/>
      <c r="MRA1240" s="30"/>
      <c r="MRB1240" s="30"/>
      <c r="MRC1240" s="30"/>
      <c r="MRD1240" s="30"/>
      <c r="MRE1240" s="30"/>
      <c r="MRF1240" s="30"/>
      <c r="MRG1240" s="30"/>
      <c r="MRH1240" s="30"/>
      <c r="MRI1240" s="30"/>
      <c r="MRJ1240" s="30"/>
      <c r="MRK1240" s="30"/>
      <c r="MRL1240" s="30"/>
      <c r="MRM1240" s="30"/>
      <c r="MRN1240" s="30"/>
      <c r="MRO1240" s="30"/>
      <c r="MRP1240" s="30"/>
      <c r="MRQ1240" s="30"/>
      <c r="MRR1240" s="30"/>
      <c r="MRS1240" s="30"/>
      <c r="MRT1240" s="30"/>
      <c r="MRU1240" s="30"/>
      <c r="MRV1240" s="30"/>
      <c r="MRW1240" s="30"/>
      <c r="MRX1240" s="30"/>
      <c r="MRY1240" s="30"/>
      <c r="MRZ1240" s="30"/>
      <c r="MSA1240" s="30"/>
      <c r="MSB1240" s="30"/>
      <c r="MSC1240" s="30"/>
      <c r="MSD1240" s="30"/>
      <c r="MSE1240" s="30"/>
      <c r="MSF1240" s="30"/>
      <c r="MSG1240" s="30"/>
      <c r="MSH1240" s="30"/>
      <c r="MSI1240" s="30"/>
      <c r="MSJ1240" s="30"/>
      <c r="MSK1240" s="30"/>
      <c r="MSL1240" s="30"/>
      <c r="MSM1240" s="30"/>
      <c r="MSN1240" s="30"/>
      <c r="MSO1240" s="30"/>
      <c r="MSP1240" s="30"/>
      <c r="MSQ1240" s="30"/>
      <c r="MSR1240" s="30"/>
      <c r="MSS1240" s="30"/>
      <c r="MST1240" s="30"/>
      <c r="MSU1240" s="30"/>
      <c r="MSV1240" s="30"/>
      <c r="MSW1240" s="30"/>
      <c r="MSX1240" s="30"/>
      <c r="MSY1240" s="30"/>
      <c r="MSZ1240" s="30"/>
      <c r="MTA1240" s="30"/>
      <c r="MTB1240" s="30"/>
      <c r="MTC1240" s="30"/>
      <c r="MTD1240" s="30"/>
      <c r="MTE1240" s="30"/>
      <c r="MTF1240" s="30"/>
      <c r="MTG1240" s="30"/>
      <c r="MTH1240" s="30"/>
      <c r="MTI1240" s="30"/>
      <c r="MTJ1240" s="30"/>
      <c r="MTK1240" s="30"/>
      <c r="MTL1240" s="30"/>
      <c r="MTM1240" s="30"/>
      <c r="MTN1240" s="30"/>
      <c r="MTO1240" s="30"/>
      <c r="MTP1240" s="30"/>
      <c r="MTQ1240" s="30"/>
      <c r="MTR1240" s="30"/>
      <c r="MTS1240" s="30"/>
      <c r="MTT1240" s="30"/>
      <c r="MTU1240" s="30"/>
      <c r="MTV1240" s="30"/>
      <c r="MTW1240" s="30"/>
      <c r="MTX1240" s="30"/>
      <c r="MTY1240" s="30"/>
      <c r="MTZ1240" s="30"/>
      <c r="MUA1240" s="30"/>
      <c r="MUB1240" s="30"/>
      <c r="MUC1240" s="30"/>
      <c r="MUD1240" s="30"/>
      <c r="MUE1240" s="30"/>
      <c r="MUF1240" s="30"/>
      <c r="MUG1240" s="30"/>
      <c r="MUH1240" s="30"/>
      <c r="MUI1240" s="30"/>
      <c r="MUJ1240" s="30"/>
      <c r="MUK1240" s="30"/>
      <c r="MUL1240" s="30"/>
      <c r="MUM1240" s="30"/>
      <c r="MUN1240" s="30"/>
      <c r="MUO1240" s="30"/>
      <c r="MUP1240" s="30"/>
      <c r="MUQ1240" s="30"/>
      <c r="MUR1240" s="30"/>
      <c r="MUS1240" s="30"/>
      <c r="MUT1240" s="30"/>
      <c r="MUU1240" s="30"/>
      <c r="MUV1240" s="30"/>
      <c r="MUW1240" s="30"/>
      <c r="MUX1240" s="30"/>
      <c r="MUY1240" s="30"/>
      <c r="MUZ1240" s="30"/>
      <c r="MVA1240" s="30"/>
      <c r="MVB1240" s="30"/>
      <c r="MVC1240" s="30"/>
      <c r="MVD1240" s="30"/>
      <c r="MVE1240" s="30"/>
      <c r="MVF1240" s="30"/>
      <c r="MVG1240" s="30"/>
      <c r="MVH1240" s="30"/>
      <c r="MVI1240" s="30"/>
      <c r="MVJ1240" s="30"/>
      <c r="MVK1240" s="30"/>
      <c r="MVL1240" s="30"/>
      <c r="MVM1240" s="30"/>
      <c r="MVN1240" s="30"/>
      <c r="MVO1240" s="30"/>
      <c r="MVP1240" s="30"/>
      <c r="MVQ1240" s="30"/>
      <c r="MVR1240" s="30"/>
      <c r="MVS1240" s="30"/>
      <c r="MVT1240" s="30"/>
      <c r="MVU1240" s="30"/>
      <c r="MVV1240" s="30"/>
      <c r="MVW1240" s="30"/>
      <c r="MVX1240" s="30"/>
      <c r="MVY1240" s="30"/>
      <c r="MVZ1240" s="30"/>
      <c r="MWA1240" s="30"/>
      <c r="MWB1240" s="30"/>
      <c r="MWC1240" s="30"/>
      <c r="MWD1240" s="30"/>
      <c r="MWE1240" s="30"/>
      <c r="MWF1240" s="30"/>
      <c r="MWG1240" s="30"/>
      <c r="MWH1240" s="30"/>
      <c r="MWI1240" s="30"/>
      <c r="MWJ1240" s="30"/>
      <c r="MWK1240" s="30"/>
      <c r="MWL1240" s="30"/>
      <c r="MWM1240" s="30"/>
      <c r="MWN1240" s="30"/>
      <c r="MWO1240" s="30"/>
      <c r="MWP1240" s="30"/>
      <c r="MWQ1240" s="30"/>
      <c r="MWR1240" s="30"/>
      <c r="MWS1240" s="30"/>
      <c r="MWT1240" s="30"/>
      <c r="MWU1240" s="30"/>
      <c r="MWV1240" s="30"/>
      <c r="MWW1240" s="30"/>
      <c r="MWX1240" s="30"/>
      <c r="MWY1240" s="30"/>
      <c r="MWZ1240" s="30"/>
      <c r="MXA1240" s="30"/>
      <c r="MXB1240" s="30"/>
      <c r="MXC1240" s="30"/>
      <c r="MXD1240" s="30"/>
      <c r="MXE1240" s="30"/>
      <c r="MXF1240" s="30"/>
      <c r="MXG1240" s="30"/>
      <c r="MXH1240" s="30"/>
      <c r="MXI1240" s="30"/>
      <c r="MXJ1240" s="30"/>
      <c r="MXK1240" s="30"/>
      <c r="MXL1240" s="30"/>
      <c r="MXM1240" s="30"/>
      <c r="MXN1240" s="30"/>
      <c r="MXO1240" s="30"/>
      <c r="MXP1240" s="30"/>
      <c r="MXQ1240" s="30"/>
      <c r="MXR1240" s="30"/>
      <c r="MXS1240" s="30"/>
      <c r="MXT1240" s="30"/>
      <c r="MXU1240" s="30"/>
      <c r="MXV1240" s="30"/>
      <c r="MXW1240" s="30"/>
      <c r="MXX1240" s="30"/>
      <c r="MXY1240" s="30"/>
      <c r="MXZ1240" s="30"/>
      <c r="MYA1240" s="30"/>
      <c r="MYB1240" s="30"/>
      <c r="MYC1240" s="30"/>
      <c r="MYD1240" s="30"/>
      <c r="MYE1240" s="30"/>
      <c r="MYF1240" s="30"/>
      <c r="MYG1240" s="30"/>
      <c r="MYH1240" s="30"/>
      <c r="MYI1240" s="30"/>
      <c r="MYJ1240" s="30"/>
      <c r="MYK1240" s="30"/>
      <c r="MYL1240" s="30"/>
      <c r="MYM1240" s="30"/>
      <c r="MYN1240" s="30"/>
      <c r="MYO1240" s="30"/>
      <c r="MYP1240" s="30"/>
      <c r="MYQ1240" s="30"/>
      <c r="MYR1240" s="30"/>
      <c r="MYS1240" s="30"/>
      <c r="MYT1240" s="30"/>
      <c r="MYU1240" s="30"/>
      <c r="MYV1240" s="30"/>
      <c r="MYW1240" s="30"/>
      <c r="MYX1240" s="30"/>
      <c r="MYY1240" s="30"/>
      <c r="MYZ1240" s="30"/>
      <c r="MZA1240" s="30"/>
      <c r="MZB1240" s="30"/>
      <c r="MZC1240" s="30"/>
      <c r="MZD1240" s="30"/>
      <c r="MZE1240" s="30"/>
      <c r="MZF1240" s="30"/>
      <c r="MZG1240" s="30"/>
      <c r="MZH1240" s="30"/>
      <c r="MZI1240" s="30"/>
      <c r="MZJ1240" s="30"/>
      <c r="MZK1240" s="30"/>
      <c r="MZL1240" s="30"/>
      <c r="MZM1240" s="30"/>
      <c r="MZN1240" s="30"/>
      <c r="MZO1240" s="30"/>
      <c r="MZP1240" s="30"/>
      <c r="MZQ1240" s="30"/>
      <c r="MZR1240" s="30"/>
      <c r="MZS1240" s="30"/>
      <c r="MZT1240" s="30"/>
      <c r="MZU1240" s="30"/>
      <c r="MZV1240" s="30"/>
      <c r="MZW1240" s="30"/>
      <c r="MZX1240" s="30"/>
      <c r="MZY1240" s="30"/>
      <c r="MZZ1240" s="30"/>
      <c r="NAA1240" s="30"/>
      <c r="NAB1240" s="30"/>
      <c r="NAC1240" s="30"/>
      <c r="NAD1240" s="30"/>
      <c r="NAE1240" s="30"/>
      <c r="NAF1240" s="30"/>
      <c r="NAG1240" s="30"/>
      <c r="NAH1240" s="30"/>
      <c r="NAI1240" s="30"/>
      <c r="NAJ1240" s="30"/>
      <c r="NAK1240" s="30"/>
      <c r="NAL1240" s="30"/>
      <c r="NAM1240" s="30"/>
      <c r="NAN1240" s="30"/>
      <c r="NAO1240" s="30"/>
      <c r="NAP1240" s="30"/>
      <c r="NAQ1240" s="30"/>
      <c r="NAR1240" s="30"/>
      <c r="NAS1240" s="30"/>
      <c r="NAT1240" s="30"/>
      <c r="NAU1240" s="30"/>
      <c r="NAV1240" s="30"/>
      <c r="NAW1240" s="30"/>
      <c r="NAX1240" s="30"/>
      <c r="NAY1240" s="30"/>
      <c r="NAZ1240" s="30"/>
      <c r="NBA1240" s="30"/>
      <c r="NBB1240" s="30"/>
      <c r="NBC1240" s="30"/>
      <c r="NBD1240" s="30"/>
      <c r="NBE1240" s="30"/>
      <c r="NBF1240" s="30"/>
      <c r="NBG1240" s="30"/>
      <c r="NBH1240" s="30"/>
      <c r="NBI1240" s="30"/>
      <c r="NBJ1240" s="30"/>
      <c r="NBK1240" s="30"/>
      <c r="NBL1240" s="30"/>
      <c r="NBM1240" s="30"/>
      <c r="NBN1240" s="30"/>
      <c r="NBO1240" s="30"/>
      <c r="NBP1240" s="30"/>
      <c r="NBQ1240" s="30"/>
      <c r="NBR1240" s="30"/>
      <c r="NBS1240" s="30"/>
      <c r="NBT1240" s="30"/>
      <c r="NBU1240" s="30"/>
      <c r="NBV1240" s="30"/>
      <c r="NBW1240" s="30"/>
      <c r="NBX1240" s="30"/>
      <c r="NBY1240" s="30"/>
      <c r="NBZ1240" s="30"/>
      <c r="NCA1240" s="30"/>
      <c r="NCB1240" s="30"/>
      <c r="NCC1240" s="30"/>
      <c r="NCD1240" s="30"/>
      <c r="NCE1240" s="30"/>
      <c r="NCF1240" s="30"/>
      <c r="NCG1240" s="30"/>
      <c r="NCH1240" s="30"/>
      <c r="NCI1240" s="30"/>
      <c r="NCJ1240" s="30"/>
      <c r="NCK1240" s="30"/>
      <c r="NCL1240" s="30"/>
      <c r="NCM1240" s="30"/>
      <c r="NCN1240" s="30"/>
      <c r="NCO1240" s="30"/>
      <c r="NCP1240" s="30"/>
      <c r="NCQ1240" s="30"/>
      <c r="NCR1240" s="30"/>
      <c r="NCS1240" s="30"/>
      <c r="NCT1240" s="30"/>
      <c r="NCU1240" s="30"/>
      <c r="NCV1240" s="30"/>
      <c r="NCW1240" s="30"/>
      <c r="NCX1240" s="30"/>
      <c r="NCY1240" s="30"/>
      <c r="NCZ1240" s="30"/>
      <c r="NDA1240" s="30"/>
      <c r="NDB1240" s="30"/>
      <c r="NDC1240" s="30"/>
      <c r="NDD1240" s="30"/>
      <c r="NDE1240" s="30"/>
      <c r="NDF1240" s="30"/>
      <c r="NDG1240" s="30"/>
      <c r="NDH1240" s="30"/>
      <c r="NDI1240" s="30"/>
      <c r="NDJ1240" s="30"/>
      <c r="NDK1240" s="30"/>
      <c r="NDL1240" s="30"/>
      <c r="NDM1240" s="30"/>
      <c r="NDN1240" s="30"/>
      <c r="NDO1240" s="30"/>
      <c r="NDP1240" s="30"/>
      <c r="NDQ1240" s="30"/>
      <c r="NDR1240" s="30"/>
      <c r="NDS1240" s="30"/>
      <c r="NDT1240" s="30"/>
      <c r="NDU1240" s="30"/>
      <c r="NDV1240" s="30"/>
      <c r="NDW1240" s="30"/>
      <c r="NDX1240" s="30"/>
      <c r="NDY1240" s="30"/>
      <c r="NDZ1240" s="30"/>
      <c r="NEA1240" s="30"/>
      <c r="NEB1240" s="30"/>
      <c r="NEC1240" s="30"/>
      <c r="NED1240" s="30"/>
      <c r="NEE1240" s="30"/>
      <c r="NEF1240" s="30"/>
      <c r="NEG1240" s="30"/>
      <c r="NEH1240" s="30"/>
      <c r="NEI1240" s="30"/>
      <c r="NEJ1240" s="30"/>
      <c r="NEK1240" s="30"/>
      <c r="NEL1240" s="30"/>
      <c r="NEM1240" s="30"/>
      <c r="NEN1240" s="30"/>
      <c r="NEO1240" s="30"/>
      <c r="NEP1240" s="30"/>
      <c r="NEQ1240" s="30"/>
      <c r="NER1240" s="30"/>
      <c r="NES1240" s="30"/>
      <c r="NET1240" s="30"/>
      <c r="NEU1240" s="30"/>
      <c r="NEV1240" s="30"/>
      <c r="NEW1240" s="30"/>
      <c r="NEX1240" s="30"/>
      <c r="NEY1240" s="30"/>
      <c r="NEZ1240" s="30"/>
      <c r="NFA1240" s="30"/>
      <c r="NFB1240" s="30"/>
      <c r="NFC1240" s="30"/>
      <c r="NFD1240" s="30"/>
      <c r="NFE1240" s="30"/>
      <c r="NFF1240" s="30"/>
      <c r="NFG1240" s="30"/>
      <c r="NFH1240" s="30"/>
      <c r="NFI1240" s="30"/>
      <c r="NFJ1240" s="30"/>
      <c r="NFK1240" s="30"/>
      <c r="NFL1240" s="30"/>
      <c r="NFM1240" s="30"/>
      <c r="NFN1240" s="30"/>
      <c r="NFO1240" s="30"/>
      <c r="NFP1240" s="30"/>
      <c r="NFQ1240" s="30"/>
      <c r="NFR1240" s="30"/>
      <c r="NFS1240" s="30"/>
      <c r="NFT1240" s="30"/>
      <c r="NFU1240" s="30"/>
      <c r="NFV1240" s="30"/>
      <c r="NFW1240" s="30"/>
      <c r="NFX1240" s="30"/>
      <c r="NFY1240" s="30"/>
      <c r="NFZ1240" s="30"/>
      <c r="NGA1240" s="30"/>
      <c r="NGB1240" s="30"/>
      <c r="NGC1240" s="30"/>
      <c r="NGD1240" s="30"/>
      <c r="NGE1240" s="30"/>
      <c r="NGF1240" s="30"/>
      <c r="NGG1240" s="30"/>
      <c r="NGH1240" s="30"/>
      <c r="NGI1240" s="30"/>
      <c r="NGJ1240" s="30"/>
      <c r="NGK1240" s="30"/>
      <c r="NGL1240" s="30"/>
      <c r="NGM1240" s="30"/>
      <c r="NGN1240" s="30"/>
      <c r="NGO1240" s="30"/>
      <c r="NGP1240" s="30"/>
      <c r="NGQ1240" s="30"/>
      <c r="NGR1240" s="30"/>
      <c r="NGS1240" s="30"/>
      <c r="NGT1240" s="30"/>
      <c r="NGU1240" s="30"/>
      <c r="NGV1240" s="30"/>
      <c r="NGW1240" s="30"/>
      <c r="NGX1240" s="30"/>
      <c r="NGY1240" s="30"/>
      <c r="NGZ1240" s="30"/>
      <c r="NHA1240" s="30"/>
      <c r="NHB1240" s="30"/>
      <c r="NHC1240" s="30"/>
      <c r="NHD1240" s="30"/>
      <c r="NHE1240" s="30"/>
      <c r="NHF1240" s="30"/>
      <c r="NHG1240" s="30"/>
      <c r="NHH1240" s="30"/>
      <c r="NHI1240" s="30"/>
      <c r="NHJ1240" s="30"/>
      <c r="NHK1240" s="30"/>
      <c r="NHL1240" s="30"/>
      <c r="NHM1240" s="30"/>
      <c r="NHN1240" s="30"/>
      <c r="NHO1240" s="30"/>
      <c r="NHP1240" s="30"/>
      <c r="NHQ1240" s="30"/>
      <c r="NHR1240" s="30"/>
      <c r="NHS1240" s="30"/>
      <c r="NHT1240" s="30"/>
      <c r="NHU1240" s="30"/>
      <c r="NHV1240" s="30"/>
      <c r="NHW1240" s="30"/>
      <c r="NHX1240" s="30"/>
      <c r="NHY1240" s="30"/>
      <c r="NHZ1240" s="30"/>
      <c r="NIA1240" s="30"/>
      <c r="NIB1240" s="30"/>
      <c r="NIC1240" s="30"/>
      <c r="NID1240" s="30"/>
      <c r="NIE1240" s="30"/>
      <c r="NIF1240" s="30"/>
      <c r="NIG1240" s="30"/>
      <c r="NIH1240" s="30"/>
      <c r="NII1240" s="30"/>
      <c r="NIJ1240" s="30"/>
      <c r="NIK1240" s="30"/>
      <c r="NIL1240" s="30"/>
      <c r="NIM1240" s="30"/>
      <c r="NIN1240" s="30"/>
      <c r="NIO1240" s="30"/>
      <c r="NIP1240" s="30"/>
      <c r="NIQ1240" s="30"/>
      <c r="NIR1240" s="30"/>
      <c r="NIS1240" s="30"/>
      <c r="NIT1240" s="30"/>
      <c r="NIU1240" s="30"/>
      <c r="NIV1240" s="30"/>
      <c r="NIW1240" s="30"/>
      <c r="NIX1240" s="30"/>
      <c r="NIY1240" s="30"/>
      <c r="NIZ1240" s="30"/>
      <c r="NJA1240" s="30"/>
      <c r="NJB1240" s="30"/>
      <c r="NJC1240" s="30"/>
      <c r="NJD1240" s="30"/>
      <c r="NJE1240" s="30"/>
      <c r="NJF1240" s="30"/>
      <c r="NJG1240" s="30"/>
      <c r="NJH1240" s="30"/>
      <c r="NJI1240" s="30"/>
      <c r="NJJ1240" s="30"/>
      <c r="NJK1240" s="30"/>
      <c r="NJL1240" s="30"/>
      <c r="NJM1240" s="30"/>
      <c r="NJN1240" s="30"/>
      <c r="NJO1240" s="30"/>
      <c r="NJP1240" s="30"/>
      <c r="NJQ1240" s="30"/>
      <c r="NJR1240" s="30"/>
      <c r="NJS1240" s="30"/>
      <c r="NJT1240" s="30"/>
      <c r="NJU1240" s="30"/>
      <c r="NJV1240" s="30"/>
      <c r="NJW1240" s="30"/>
      <c r="NJX1240" s="30"/>
      <c r="NJY1240" s="30"/>
      <c r="NJZ1240" s="30"/>
      <c r="NKA1240" s="30"/>
      <c r="NKB1240" s="30"/>
      <c r="NKC1240" s="30"/>
      <c r="NKD1240" s="30"/>
      <c r="NKE1240" s="30"/>
      <c r="NKF1240" s="30"/>
      <c r="NKG1240" s="30"/>
      <c r="NKH1240" s="30"/>
      <c r="NKI1240" s="30"/>
      <c r="NKJ1240" s="30"/>
      <c r="NKK1240" s="30"/>
      <c r="NKL1240" s="30"/>
      <c r="NKM1240" s="30"/>
      <c r="NKN1240" s="30"/>
      <c r="NKO1240" s="30"/>
      <c r="NKP1240" s="30"/>
      <c r="NKQ1240" s="30"/>
      <c r="NKR1240" s="30"/>
      <c r="NKS1240" s="30"/>
      <c r="NKT1240" s="30"/>
      <c r="NKU1240" s="30"/>
      <c r="NKV1240" s="30"/>
      <c r="NKW1240" s="30"/>
      <c r="NKX1240" s="30"/>
      <c r="NKY1240" s="30"/>
      <c r="NKZ1240" s="30"/>
      <c r="NLA1240" s="30"/>
      <c r="NLB1240" s="30"/>
      <c r="NLC1240" s="30"/>
      <c r="NLD1240" s="30"/>
      <c r="NLE1240" s="30"/>
      <c r="NLF1240" s="30"/>
      <c r="NLG1240" s="30"/>
      <c r="NLH1240" s="30"/>
      <c r="NLI1240" s="30"/>
      <c r="NLJ1240" s="30"/>
      <c r="NLK1240" s="30"/>
      <c r="NLL1240" s="30"/>
      <c r="NLM1240" s="30"/>
      <c r="NLN1240" s="30"/>
      <c r="NLO1240" s="30"/>
      <c r="NLP1240" s="30"/>
      <c r="NLQ1240" s="30"/>
      <c r="NLR1240" s="30"/>
      <c r="NLS1240" s="30"/>
      <c r="NLT1240" s="30"/>
      <c r="NLU1240" s="30"/>
      <c r="NLV1240" s="30"/>
      <c r="NLW1240" s="30"/>
      <c r="NLX1240" s="30"/>
      <c r="NLY1240" s="30"/>
      <c r="NLZ1240" s="30"/>
      <c r="NMA1240" s="30"/>
      <c r="NMB1240" s="30"/>
      <c r="NMC1240" s="30"/>
      <c r="NMD1240" s="30"/>
      <c r="NME1240" s="30"/>
      <c r="NMF1240" s="30"/>
      <c r="NMG1240" s="30"/>
      <c r="NMH1240" s="30"/>
      <c r="NMI1240" s="30"/>
      <c r="NMJ1240" s="30"/>
      <c r="NMK1240" s="30"/>
      <c r="NML1240" s="30"/>
      <c r="NMM1240" s="30"/>
      <c r="NMN1240" s="30"/>
      <c r="NMO1240" s="30"/>
      <c r="NMP1240" s="30"/>
      <c r="NMQ1240" s="30"/>
      <c r="NMR1240" s="30"/>
      <c r="NMS1240" s="30"/>
      <c r="NMT1240" s="30"/>
      <c r="NMU1240" s="30"/>
      <c r="NMV1240" s="30"/>
      <c r="NMW1240" s="30"/>
      <c r="NMX1240" s="30"/>
      <c r="NMY1240" s="30"/>
      <c r="NMZ1240" s="30"/>
      <c r="NNA1240" s="30"/>
      <c r="NNB1240" s="30"/>
      <c r="NNC1240" s="30"/>
      <c r="NND1240" s="30"/>
      <c r="NNE1240" s="30"/>
      <c r="NNF1240" s="30"/>
      <c r="NNG1240" s="30"/>
      <c r="NNH1240" s="30"/>
      <c r="NNI1240" s="30"/>
      <c r="NNJ1240" s="30"/>
      <c r="NNK1240" s="30"/>
      <c r="NNL1240" s="30"/>
      <c r="NNM1240" s="30"/>
      <c r="NNN1240" s="30"/>
      <c r="NNO1240" s="30"/>
      <c r="NNP1240" s="30"/>
      <c r="NNQ1240" s="30"/>
      <c r="NNR1240" s="30"/>
      <c r="NNS1240" s="30"/>
      <c r="NNT1240" s="30"/>
      <c r="NNU1240" s="30"/>
      <c r="NNV1240" s="30"/>
      <c r="NNW1240" s="30"/>
      <c r="NNX1240" s="30"/>
      <c r="NNY1240" s="30"/>
      <c r="NNZ1240" s="30"/>
      <c r="NOA1240" s="30"/>
      <c r="NOB1240" s="30"/>
      <c r="NOC1240" s="30"/>
      <c r="NOD1240" s="30"/>
      <c r="NOE1240" s="30"/>
      <c r="NOF1240" s="30"/>
      <c r="NOG1240" s="30"/>
      <c r="NOH1240" s="30"/>
      <c r="NOI1240" s="30"/>
      <c r="NOJ1240" s="30"/>
      <c r="NOK1240" s="30"/>
      <c r="NOL1240" s="30"/>
      <c r="NOM1240" s="30"/>
      <c r="NON1240" s="30"/>
      <c r="NOO1240" s="30"/>
      <c r="NOP1240" s="30"/>
      <c r="NOQ1240" s="30"/>
      <c r="NOR1240" s="30"/>
      <c r="NOS1240" s="30"/>
      <c r="NOT1240" s="30"/>
      <c r="NOU1240" s="30"/>
      <c r="NOV1240" s="30"/>
      <c r="NOW1240" s="30"/>
      <c r="NOX1240" s="30"/>
      <c r="NOY1240" s="30"/>
      <c r="NOZ1240" s="30"/>
      <c r="NPA1240" s="30"/>
      <c r="NPB1240" s="30"/>
      <c r="NPC1240" s="30"/>
      <c r="NPD1240" s="30"/>
      <c r="NPE1240" s="30"/>
      <c r="NPF1240" s="30"/>
      <c r="NPG1240" s="30"/>
      <c r="NPH1240" s="30"/>
      <c r="NPI1240" s="30"/>
      <c r="NPJ1240" s="30"/>
      <c r="NPK1240" s="30"/>
      <c r="NPL1240" s="30"/>
      <c r="NPM1240" s="30"/>
      <c r="NPN1240" s="30"/>
      <c r="NPO1240" s="30"/>
      <c r="NPP1240" s="30"/>
      <c r="NPQ1240" s="30"/>
      <c r="NPR1240" s="30"/>
      <c r="NPS1240" s="30"/>
      <c r="NPT1240" s="30"/>
      <c r="NPU1240" s="30"/>
      <c r="NPV1240" s="30"/>
      <c r="NPW1240" s="30"/>
      <c r="NPX1240" s="30"/>
      <c r="NPY1240" s="30"/>
      <c r="NPZ1240" s="30"/>
      <c r="NQA1240" s="30"/>
      <c r="NQB1240" s="30"/>
      <c r="NQC1240" s="30"/>
      <c r="NQD1240" s="30"/>
      <c r="NQE1240" s="30"/>
      <c r="NQF1240" s="30"/>
      <c r="NQG1240" s="30"/>
      <c r="NQH1240" s="30"/>
      <c r="NQI1240" s="30"/>
      <c r="NQJ1240" s="30"/>
      <c r="NQK1240" s="30"/>
      <c r="NQL1240" s="30"/>
      <c r="NQM1240" s="30"/>
      <c r="NQN1240" s="30"/>
      <c r="NQO1240" s="30"/>
      <c r="NQP1240" s="30"/>
      <c r="NQQ1240" s="30"/>
      <c r="NQR1240" s="30"/>
      <c r="NQS1240" s="30"/>
      <c r="NQT1240" s="30"/>
      <c r="NQU1240" s="30"/>
      <c r="NQV1240" s="30"/>
      <c r="NQW1240" s="30"/>
      <c r="NQX1240" s="30"/>
      <c r="NQY1240" s="30"/>
      <c r="NQZ1240" s="30"/>
      <c r="NRA1240" s="30"/>
      <c r="NRB1240" s="30"/>
      <c r="NRC1240" s="30"/>
      <c r="NRD1240" s="30"/>
      <c r="NRE1240" s="30"/>
      <c r="NRF1240" s="30"/>
      <c r="NRG1240" s="30"/>
      <c r="NRH1240" s="30"/>
      <c r="NRI1240" s="30"/>
      <c r="NRJ1240" s="30"/>
      <c r="NRK1240" s="30"/>
      <c r="NRL1240" s="30"/>
      <c r="NRM1240" s="30"/>
      <c r="NRN1240" s="30"/>
      <c r="NRO1240" s="30"/>
      <c r="NRP1240" s="30"/>
      <c r="NRQ1240" s="30"/>
      <c r="NRR1240" s="30"/>
      <c r="NRS1240" s="30"/>
      <c r="NRT1240" s="30"/>
      <c r="NRU1240" s="30"/>
      <c r="NRV1240" s="30"/>
      <c r="NRW1240" s="30"/>
      <c r="NRX1240" s="30"/>
      <c r="NRY1240" s="30"/>
      <c r="NRZ1240" s="30"/>
      <c r="NSA1240" s="30"/>
      <c r="NSB1240" s="30"/>
      <c r="NSC1240" s="30"/>
      <c r="NSD1240" s="30"/>
      <c r="NSE1240" s="30"/>
      <c r="NSF1240" s="30"/>
      <c r="NSG1240" s="30"/>
      <c r="NSH1240" s="30"/>
      <c r="NSI1240" s="30"/>
      <c r="NSJ1240" s="30"/>
      <c r="NSK1240" s="30"/>
      <c r="NSL1240" s="30"/>
      <c r="NSM1240" s="30"/>
      <c r="NSN1240" s="30"/>
      <c r="NSO1240" s="30"/>
      <c r="NSP1240" s="30"/>
      <c r="NSQ1240" s="30"/>
      <c r="NSR1240" s="30"/>
      <c r="NSS1240" s="30"/>
      <c r="NST1240" s="30"/>
      <c r="NSU1240" s="30"/>
      <c r="NSV1240" s="30"/>
      <c r="NSW1240" s="30"/>
      <c r="NSX1240" s="30"/>
      <c r="NSY1240" s="30"/>
      <c r="NSZ1240" s="30"/>
      <c r="NTA1240" s="30"/>
      <c r="NTB1240" s="30"/>
      <c r="NTC1240" s="30"/>
      <c r="NTD1240" s="30"/>
      <c r="NTE1240" s="30"/>
      <c r="NTF1240" s="30"/>
      <c r="NTG1240" s="30"/>
      <c r="NTH1240" s="30"/>
      <c r="NTI1240" s="30"/>
      <c r="NTJ1240" s="30"/>
      <c r="NTK1240" s="30"/>
      <c r="NTL1240" s="30"/>
      <c r="NTM1240" s="30"/>
      <c r="NTN1240" s="30"/>
      <c r="NTO1240" s="30"/>
      <c r="NTP1240" s="30"/>
      <c r="NTQ1240" s="30"/>
      <c r="NTR1240" s="30"/>
      <c r="NTS1240" s="30"/>
      <c r="NTT1240" s="30"/>
      <c r="NTU1240" s="30"/>
      <c r="NTV1240" s="30"/>
      <c r="NTW1240" s="30"/>
      <c r="NTX1240" s="30"/>
      <c r="NTY1240" s="30"/>
      <c r="NTZ1240" s="30"/>
      <c r="NUA1240" s="30"/>
      <c r="NUB1240" s="30"/>
      <c r="NUC1240" s="30"/>
      <c r="NUD1240" s="30"/>
      <c r="NUE1240" s="30"/>
      <c r="NUF1240" s="30"/>
      <c r="NUG1240" s="30"/>
      <c r="NUH1240" s="30"/>
      <c r="NUI1240" s="30"/>
      <c r="NUJ1240" s="30"/>
      <c r="NUK1240" s="30"/>
      <c r="NUL1240" s="30"/>
      <c r="NUM1240" s="30"/>
      <c r="NUN1240" s="30"/>
      <c r="NUO1240" s="30"/>
      <c r="NUP1240" s="30"/>
      <c r="NUQ1240" s="30"/>
      <c r="NUR1240" s="30"/>
      <c r="NUS1240" s="30"/>
      <c r="NUT1240" s="30"/>
      <c r="NUU1240" s="30"/>
      <c r="NUV1240" s="30"/>
      <c r="NUW1240" s="30"/>
      <c r="NUX1240" s="30"/>
      <c r="NUY1240" s="30"/>
      <c r="NUZ1240" s="30"/>
      <c r="NVA1240" s="30"/>
      <c r="NVB1240" s="30"/>
      <c r="NVC1240" s="30"/>
      <c r="NVD1240" s="30"/>
      <c r="NVE1240" s="30"/>
      <c r="NVF1240" s="30"/>
      <c r="NVG1240" s="30"/>
      <c r="NVH1240" s="30"/>
      <c r="NVI1240" s="30"/>
      <c r="NVJ1240" s="30"/>
      <c r="NVK1240" s="30"/>
      <c r="NVL1240" s="30"/>
      <c r="NVM1240" s="30"/>
      <c r="NVN1240" s="30"/>
      <c r="NVO1240" s="30"/>
      <c r="NVP1240" s="30"/>
      <c r="NVQ1240" s="30"/>
      <c r="NVR1240" s="30"/>
      <c r="NVS1240" s="30"/>
      <c r="NVT1240" s="30"/>
      <c r="NVU1240" s="30"/>
      <c r="NVV1240" s="30"/>
      <c r="NVW1240" s="30"/>
      <c r="NVX1240" s="30"/>
      <c r="NVY1240" s="30"/>
      <c r="NVZ1240" s="30"/>
      <c r="NWA1240" s="30"/>
      <c r="NWB1240" s="30"/>
      <c r="NWC1240" s="30"/>
      <c r="NWD1240" s="30"/>
      <c r="NWE1240" s="30"/>
      <c r="NWF1240" s="30"/>
      <c r="NWG1240" s="30"/>
      <c r="NWH1240" s="30"/>
      <c r="NWI1240" s="30"/>
      <c r="NWJ1240" s="30"/>
      <c r="NWK1240" s="30"/>
      <c r="NWL1240" s="30"/>
      <c r="NWM1240" s="30"/>
      <c r="NWN1240" s="30"/>
      <c r="NWO1240" s="30"/>
      <c r="NWP1240" s="30"/>
      <c r="NWQ1240" s="30"/>
      <c r="NWR1240" s="30"/>
      <c r="NWS1240" s="30"/>
      <c r="NWT1240" s="30"/>
      <c r="NWU1240" s="30"/>
      <c r="NWV1240" s="30"/>
      <c r="NWW1240" s="30"/>
      <c r="NWX1240" s="30"/>
      <c r="NWY1240" s="30"/>
      <c r="NWZ1240" s="30"/>
      <c r="NXA1240" s="30"/>
      <c r="NXB1240" s="30"/>
      <c r="NXC1240" s="30"/>
      <c r="NXD1240" s="30"/>
      <c r="NXE1240" s="30"/>
      <c r="NXF1240" s="30"/>
      <c r="NXG1240" s="30"/>
      <c r="NXH1240" s="30"/>
      <c r="NXI1240" s="30"/>
      <c r="NXJ1240" s="30"/>
      <c r="NXK1240" s="30"/>
      <c r="NXL1240" s="30"/>
      <c r="NXM1240" s="30"/>
      <c r="NXN1240" s="30"/>
      <c r="NXO1240" s="30"/>
      <c r="NXP1240" s="30"/>
      <c r="NXQ1240" s="30"/>
      <c r="NXR1240" s="30"/>
      <c r="NXS1240" s="30"/>
      <c r="NXT1240" s="30"/>
      <c r="NXU1240" s="30"/>
      <c r="NXV1240" s="30"/>
      <c r="NXW1240" s="30"/>
      <c r="NXX1240" s="30"/>
      <c r="NXY1240" s="30"/>
      <c r="NXZ1240" s="30"/>
      <c r="NYA1240" s="30"/>
      <c r="NYB1240" s="30"/>
      <c r="NYC1240" s="30"/>
      <c r="NYD1240" s="30"/>
      <c r="NYE1240" s="30"/>
      <c r="NYF1240" s="30"/>
      <c r="NYG1240" s="30"/>
      <c r="NYH1240" s="30"/>
      <c r="NYI1240" s="30"/>
      <c r="NYJ1240" s="30"/>
      <c r="NYK1240" s="30"/>
      <c r="NYL1240" s="30"/>
      <c r="NYM1240" s="30"/>
      <c r="NYN1240" s="30"/>
      <c r="NYO1240" s="30"/>
      <c r="NYP1240" s="30"/>
      <c r="NYQ1240" s="30"/>
      <c r="NYR1240" s="30"/>
      <c r="NYS1240" s="30"/>
      <c r="NYT1240" s="30"/>
      <c r="NYU1240" s="30"/>
      <c r="NYV1240" s="30"/>
      <c r="NYW1240" s="30"/>
      <c r="NYX1240" s="30"/>
      <c r="NYY1240" s="30"/>
      <c r="NYZ1240" s="30"/>
      <c r="NZA1240" s="30"/>
      <c r="NZB1240" s="30"/>
      <c r="NZC1240" s="30"/>
      <c r="NZD1240" s="30"/>
      <c r="NZE1240" s="30"/>
      <c r="NZF1240" s="30"/>
      <c r="NZG1240" s="30"/>
      <c r="NZH1240" s="30"/>
      <c r="NZI1240" s="30"/>
      <c r="NZJ1240" s="30"/>
      <c r="NZK1240" s="30"/>
      <c r="NZL1240" s="30"/>
      <c r="NZM1240" s="30"/>
      <c r="NZN1240" s="30"/>
      <c r="NZO1240" s="30"/>
      <c r="NZP1240" s="30"/>
      <c r="NZQ1240" s="30"/>
      <c r="NZR1240" s="30"/>
      <c r="NZS1240" s="30"/>
      <c r="NZT1240" s="30"/>
      <c r="NZU1240" s="30"/>
      <c r="NZV1240" s="30"/>
      <c r="NZW1240" s="30"/>
      <c r="NZX1240" s="30"/>
      <c r="NZY1240" s="30"/>
      <c r="NZZ1240" s="30"/>
      <c r="OAA1240" s="30"/>
      <c r="OAB1240" s="30"/>
      <c r="OAC1240" s="30"/>
      <c r="OAD1240" s="30"/>
      <c r="OAE1240" s="30"/>
      <c r="OAF1240" s="30"/>
      <c r="OAG1240" s="30"/>
      <c r="OAH1240" s="30"/>
      <c r="OAI1240" s="30"/>
      <c r="OAJ1240" s="30"/>
      <c r="OAK1240" s="30"/>
      <c r="OAL1240" s="30"/>
      <c r="OAM1240" s="30"/>
      <c r="OAN1240" s="30"/>
      <c r="OAO1240" s="30"/>
      <c r="OAP1240" s="30"/>
      <c r="OAQ1240" s="30"/>
      <c r="OAR1240" s="30"/>
      <c r="OAS1240" s="30"/>
      <c r="OAT1240" s="30"/>
      <c r="OAU1240" s="30"/>
      <c r="OAV1240" s="30"/>
      <c r="OAW1240" s="30"/>
      <c r="OAX1240" s="30"/>
      <c r="OAY1240" s="30"/>
      <c r="OAZ1240" s="30"/>
      <c r="OBA1240" s="30"/>
      <c r="OBB1240" s="30"/>
      <c r="OBC1240" s="30"/>
      <c r="OBD1240" s="30"/>
      <c r="OBE1240" s="30"/>
      <c r="OBF1240" s="30"/>
      <c r="OBG1240" s="30"/>
      <c r="OBH1240" s="30"/>
      <c r="OBI1240" s="30"/>
      <c r="OBJ1240" s="30"/>
      <c r="OBK1240" s="30"/>
      <c r="OBL1240" s="30"/>
      <c r="OBM1240" s="30"/>
      <c r="OBN1240" s="30"/>
      <c r="OBO1240" s="30"/>
      <c r="OBP1240" s="30"/>
      <c r="OBQ1240" s="30"/>
      <c r="OBR1240" s="30"/>
      <c r="OBS1240" s="30"/>
      <c r="OBT1240" s="30"/>
      <c r="OBU1240" s="30"/>
      <c r="OBV1240" s="30"/>
      <c r="OBW1240" s="30"/>
      <c r="OBX1240" s="30"/>
      <c r="OBY1240" s="30"/>
      <c r="OBZ1240" s="30"/>
      <c r="OCA1240" s="30"/>
      <c r="OCB1240" s="30"/>
      <c r="OCC1240" s="30"/>
      <c r="OCD1240" s="30"/>
      <c r="OCE1240" s="30"/>
      <c r="OCF1240" s="30"/>
      <c r="OCG1240" s="30"/>
      <c r="OCH1240" s="30"/>
      <c r="OCI1240" s="30"/>
      <c r="OCJ1240" s="30"/>
      <c r="OCK1240" s="30"/>
      <c r="OCL1240" s="30"/>
      <c r="OCM1240" s="30"/>
      <c r="OCN1240" s="30"/>
      <c r="OCO1240" s="30"/>
      <c r="OCP1240" s="30"/>
      <c r="OCQ1240" s="30"/>
      <c r="OCR1240" s="30"/>
      <c r="OCS1240" s="30"/>
      <c r="OCT1240" s="30"/>
      <c r="OCU1240" s="30"/>
      <c r="OCV1240" s="30"/>
      <c r="OCW1240" s="30"/>
      <c r="OCX1240" s="30"/>
      <c r="OCY1240" s="30"/>
      <c r="OCZ1240" s="30"/>
      <c r="ODA1240" s="30"/>
      <c r="ODB1240" s="30"/>
      <c r="ODC1240" s="30"/>
      <c r="ODD1240" s="30"/>
      <c r="ODE1240" s="30"/>
      <c r="ODF1240" s="30"/>
      <c r="ODG1240" s="30"/>
      <c r="ODH1240" s="30"/>
      <c r="ODI1240" s="30"/>
      <c r="ODJ1240" s="30"/>
      <c r="ODK1240" s="30"/>
      <c r="ODL1240" s="30"/>
      <c r="ODM1240" s="30"/>
      <c r="ODN1240" s="30"/>
      <c r="ODO1240" s="30"/>
      <c r="ODP1240" s="30"/>
      <c r="ODQ1240" s="30"/>
      <c r="ODR1240" s="30"/>
      <c r="ODS1240" s="30"/>
      <c r="ODT1240" s="30"/>
      <c r="ODU1240" s="30"/>
      <c r="ODV1240" s="30"/>
      <c r="ODW1240" s="30"/>
      <c r="ODX1240" s="30"/>
      <c r="ODY1240" s="30"/>
      <c r="ODZ1240" s="30"/>
      <c r="OEA1240" s="30"/>
      <c r="OEB1240" s="30"/>
      <c r="OEC1240" s="30"/>
      <c r="OED1240" s="30"/>
      <c r="OEE1240" s="30"/>
      <c r="OEF1240" s="30"/>
      <c r="OEG1240" s="30"/>
      <c r="OEH1240" s="30"/>
      <c r="OEI1240" s="30"/>
      <c r="OEJ1240" s="30"/>
      <c r="OEK1240" s="30"/>
      <c r="OEL1240" s="30"/>
      <c r="OEM1240" s="30"/>
      <c r="OEN1240" s="30"/>
      <c r="OEO1240" s="30"/>
      <c r="OEP1240" s="30"/>
      <c r="OEQ1240" s="30"/>
      <c r="OER1240" s="30"/>
      <c r="OES1240" s="30"/>
      <c r="OET1240" s="30"/>
      <c r="OEU1240" s="30"/>
      <c r="OEV1240" s="30"/>
      <c r="OEW1240" s="30"/>
      <c r="OEX1240" s="30"/>
      <c r="OEY1240" s="30"/>
      <c r="OEZ1240" s="30"/>
      <c r="OFA1240" s="30"/>
      <c r="OFB1240" s="30"/>
      <c r="OFC1240" s="30"/>
      <c r="OFD1240" s="30"/>
      <c r="OFE1240" s="30"/>
      <c r="OFF1240" s="30"/>
      <c r="OFG1240" s="30"/>
      <c r="OFH1240" s="30"/>
      <c r="OFI1240" s="30"/>
      <c r="OFJ1240" s="30"/>
      <c r="OFK1240" s="30"/>
      <c r="OFL1240" s="30"/>
      <c r="OFM1240" s="30"/>
      <c r="OFN1240" s="30"/>
      <c r="OFO1240" s="30"/>
      <c r="OFP1240" s="30"/>
      <c r="OFQ1240" s="30"/>
      <c r="OFR1240" s="30"/>
      <c r="OFS1240" s="30"/>
      <c r="OFT1240" s="30"/>
      <c r="OFU1240" s="30"/>
      <c r="OFV1240" s="30"/>
      <c r="OFW1240" s="30"/>
      <c r="OFX1240" s="30"/>
      <c r="OFY1240" s="30"/>
      <c r="OFZ1240" s="30"/>
      <c r="OGA1240" s="30"/>
      <c r="OGB1240" s="30"/>
      <c r="OGC1240" s="30"/>
      <c r="OGD1240" s="30"/>
      <c r="OGE1240" s="30"/>
      <c r="OGF1240" s="30"/>
      <c r="OGG1240" s="30"/>
      <c r="OGH1240" s="30"/>
      <c r="OGI1240" s="30"/>
      <c r="OGJ1240" s="30"/>
      <c r="OGK1240" s="30"/>
      <c r="OGL1240" s="30"/>
      <c r="OGM1240" s="30"/>
      <c r="OGN1240" s="30"/>
      <c r="OGO1240" s="30"/>
      <c r="OGP1240" s="30"/>
      <c r="OGQ1240" s="30"/>
      <c r="OGR1240" s="30"/>
      <c r="OGS1240" s="30"/>
      <c r="OGT1240" s="30"/>
      <c r="OGU1240" s="30"/>
      <c r="OGV1240" s="30"/>
      <c r="OGW1240" s="30"/>
      <c r="OGX1240" s="30"/>
      <c r="OGY1240" s="30"/>
      <c r="OGZ1240" s="30"/>
      <c r="OHA1240" s="30"/>
      <c r="OHB1240" s="30"/>
      <c r="OHC1240" s="30"/>
      <c r="OHD1240" s="30"/>
      <c r="OHE1240" s="30"/>
      <c r="OHF1240" s="30"/>
      <c r="OHG1240" s="30"/>
      <c r="OHH1240" s="30"/>
      <c r="OHI1240" s="30"/>
      <c r="OHJ1240" s="30"/>
      <c r="OHK1240" s="30"/>
      <c r="OHL1240" s="30"/>
      <c r="OHM1240" s="30"/>
      <c r="OHN1240" s="30"/>
      <c r="OHO1240" s="30"/>
      <c r="OHP1240" s="30"/>
      <c r="OHQ1240" s="30"/>
      <c r="OHR1240" s="30"/>
      <c r="OHS1240" s="30"/>
      <c r="OHT1240" s="30"/>
      <c r="OHU1240" s="30"/>
      <c r="OHV1240" s="30"/>
      <c r="OHW1240" s="30"/>
      <c r="OHX1240" s="30"/>
      <c r="OHY1240" s="30"/>
      <c r="OHZ1240" s="30"/>
      <c r="OIA1240" s="30"/>
      <c r="OIB1240" s="30"/>
      <c r="OIC1240" s="30"/>
      <c r="OID1240" s="30"/>
      <c r="OIE1240" s="30"/>
      <c r="OIF1240" s="30"/>
      <c r="OIG1240" s="30"/>
      <c r="OIH1240" s="30"/>
      <c r="OII1240" s="30"/>
      <c r="OIJ1240" s="30"/>
      <c r="OIK1240" s="30"/>
      <c r="OIL1240" s="30"/>
      <c r="OIM1240" s="30"/>
      <c r="OIN1240" s="30"/>
      <c r="OIO1240" s="30"/>
      <c r="OIP1240" s="30"/>
      <c r="OIQ1240" s="30"/>
      <c r="OIR1240" s="30"/>
      <c r="OIS1240" s="30"/>
      <c r="OIT1240" s="30"/>
      <c r="OIU1240" s="30"/>
      <c r="OIV1240" s="30"/>
      <c r="OIW1240" s="30"/>
      <c r="OIX1240" s="30"/>
      <c r="OIY1240" s="30"/>
      <c r="OIZ1240" s="30"/>
      <c r="OJA1240" s="30"/>
      <c r="OJB1240" s="30"/>
      <c r="OJC1240" s="30"/>
      <c r="OJD1240" s="30"/>
      <c r="OJE1240" s="30"/>
      <c r="OJF1240" s="30"/>
      <c r="OJG1240" s="30"/>
      <c r="OJH1240" s="30"/>
      <c r="OJI1240" s="30"/>
      <c r="OJJ1240" s="30"/>
      <c r="OJK1240" s="30"/>
      <c r="OJL1240" s="30"/>
      <c r="OJM1240" s="30"/>
      <c r="OJN1240" s="30"/>
      <c r="OJO1240" s="30"/>
      <c r="OJP1240" s="30"/>
      <c r="OJQ1240" s="30"/>
      <c r="OJR1240" s="30"/>
      <c r="OJS1240" s="30"/>
      <c r="OJT1240" s="30"/>
      <c r="OJU1240" s="30"/>
      <c r="OJV1240" s="30"/>
      <c r="OJW1240" s="30"/>
      <c r="OJX1240" s="30"/>
      <c r="OJY1240" s="30"/>
      <c r="OJZ1240" s="30"/>
      <c r="OKA1240" s="30"/>
      <c r="OKB1240" s="30"/>
      <c r="OKC1240" s="30"/>
      <c r="OKD1240" s="30"/>
      <c r="OKE1240" s="30"/>
      <c r="OKF1240" s="30"/>
      <c r="OKG1240" s="30"/>
      <c r="OKH1240" s="30"/>
      <c r="OKI1240" s="30"/>
      <c r="OKJ1240" s="30"/>
      <c r="OKK1240" s="30"/>
      <c r="OKL1240" s="30"/>
      <c r="OKM1240" s="30"/>
      <c r="OKN1240" s="30"/>
      <c r="OKO1240" s="30"/>
      <c r="OKP1240" s="30"/>
      <c r="OKQ1240" s="30"/>
      <c r="OKR1240" s="30"/>
      <c r="OKS1240" s="30"/>
      <c r="OKT1240" s="30"/>
      <c r="OKU1240" s="30"/>
      <c r="OKV1240" s="30"/>
      <c r="OKW1240" s="30"/>
      <c r="OKX1240" s="30"/>
      <c r="OKY1240" s="30"/>
      <c r="OKZ1240" s="30"/>
      <c r="OLA1240" s="30"/>
      <c r="OLB1240" s="30"/>
      <c r="OLC1240" s="30"/>
      <c r="OLD1240" s="30"/>
      <c r="OLE1240" s="30"/>
      <c r="OLF1240" s="30"/>
      <c r="OLG1240" s="30"/>
      <c r="OLH1240" s="30"/>
      <c r="OLI1240" s="30"/>
      <c r="OLJ1240" s="30"/>
      <c r="OLK1240" s="30"/>
      <c r="OLL1240" s="30"/>
      <c r="OLM1240" s="30"/>
      <c r="OLN1240" s="30"/>
      <c r="OLO1240" s="30"/>
      <c r="OLP1240" s="30"/>
      <c r="OLQ1240" s="30"/>
      <c r="OLR1240" s="30"/>
      <c r="OLS1240" s="30"/>
      <c r="OLT1240" s="30"/>
      <c r="OLU1240" s="30"/>
      <c r="OLV1240" s="30"/>
      <c r="OLW1240" s="30"/>
      <c r="OLX1240" s="30"/>
      <c r="OLY1240" s="30"/>
      <c r="OLZ1240" s="30"/>
      <c r="OMA1240" s="30"/>
      <c r="OMB1240" s="30"/>
      <c r="OMC1240" s="30"/>
      <c r="OMD1240" s="30"/>
      <c r="OME1240" s="30"/>
      <c r="OMF1240" s="30"/>
      <c r="OMG1240" s="30"/>
      <c r="OMH1240" s="30"/>
      <c r="OMI1240" s="30"/>
      <c r="OMJ1240" s="30"/>
      <c r="OMK1240" s="30"/>
      <c r="OML1240" s="30"/>
      <c r="OMM1240" s="30"/>
      <c r="OMN1240" s="30"/>
      <c r="OMO1240" s="30"/>
      <c r="OMP1240" s="30"/>
      <c r="OMQ1240" s="30"/>
      <c r="OMR1240" s="30"/>
      <c r="OMS1240" s="30"/>
      <c r="OMT1240" s="30"/>
      <c r="OMU1240" s="30"/>
      <c r="OMV1240" s="30"/>
      <c r="OMW1240" s="30"/>
      <c r="OMX1240" s="30"/>
      <c r="OMY1240" s="30"/>
      <c r="OMZ1240" s="30"/>
      <c r="ONA1240" s="30"/>
      <c r="ONB1240" s="30"/>
      <c r="ONC1240" s="30"/>
      <c r="OND1240" s="30"/>
      <c r="ONE1240" s="30"/>
      <c r="ONF1240" s="30"/>
      <c r="ONG1240" s="30"/>
      <c r="ONH1240" s="30"/>
      <c r="ONI1240" s="30"/>
      <c r="ONJ1240" s="30"/>
      <c r="ONK1240" s="30"/>
      <c r="ONL1240" s="30"/>
      <c r="ONM1240" s="30"/>
      <c r="ONN1240" s="30"/>
      <c r="ONO1240" s="30"/>
      <c r="ONP1240" s="30"/>
      <c r="ONQ1240" s="30"/>
      <c r="ONR1240" s="30"/>
      <c r="ONS1240" s="30"/>
      <c r="ONT1240" s="30"/>
      <c r="ONU1240" s="30"/>
      <c r="ONV1240" s="30"/>
      <c r="ONW1240" s="30"/>
      <c r="ONX1240" s="30"/>
      <c r="ONY1240" s="30"/>
      <c r="ONZ1240" s="30"/>
      <c r="OOA1240" s="30"/>
      <c r="OOB1240" s="30"/>
      <c r="OOC1240" s="30"/>
      <c r="OOD1240" s="30"/>
      <c r="OOE1240" s="30"/>
      <c r="OOF1240" s="30"/>
      <c r="OOG1240" s="30"/>
      <c r="OOH1240" s="30"/>
      <c r="OOI1240" s="30"/>
      <c r="OOJ1240" s="30"/>
      <c r="OOK1240" s="30"/>
      <c r="OOL1240" s="30"/>
      <c r="OOM1240" s="30"/>
      <c r="OON1240" s="30"/>
      <c r="OOO1240" s="30"/>
      <c r="OOP1240" s="30"/>
      <c r="OOQ1240" s="30"/>
      <c r="OOR1240" s="30"/>
      <c r="OOS1240" s="30"/>
      <c r="OOT1240" s="30"/>
      <c r="OOU1240" s="30"/>
      <c r="OOV1240" s="30"/>
      <c r="OOW1240" s="30"/>
      <c r="OOX1240" s="30"/>
      <c r="OOY1240" s="30"/>
      <c r="OOZ1240" s="30"/>
      <c r="OPA1240" s="30"/>
      <c r="OPB1240" s="30"/>
      <c r="OPC1240" s="30"/>
      <c r="OPD1240" s="30"/>
      <c r="OPE1240" s="30"/>
      <c r="OPF1240" s="30"/>
      <c r="OPG1240" s="30"/>
      <c r="OPH1240" s="30"/>
      <c r="OPI1240" s="30"/>
      <c r="OPJ1240" s="30"/>
      <c r="OPK1240" s="30"/>
      <c r="OPL1240" s="30"/>
      <c r="OPM1240" s="30"/>
      <c r="OPN1240" s="30"/>
      <c r="OPO1240" s="30"/>
      <c r="OPP1240" s="30"/>
      <c r="OPQ1240" s="30"/>
      <c r="OPR1240" s="30"/>
      <c r="OPS1240" s="30"/>
      <c r="OPT1240" s="30"/>
      <c r="OPU1240" s="30"/>
      <c r="OPV1240" s="30"/>
      <c r="OPW1240" s="30"/>
      <c r="OPX1240" s="30"/>
      <c r="OPY1240" s="30"/>
      <c r="OPZ1240" s="30"/>
      <c r="OQA1240" s="30"/>
      <c r="OQB1240" s="30"/>
      <c r="OQC1240" s="30"/>
      <c r="OQD1240" s="30"/>
      <c r="OQE1240" s="30"/>
      <c r="OQF1240" s="30"/>
      <c r="OQG1240" s="30"/>
      <c r="OQH1240" s="30"/>
      <c r="OQI1240" s="30"/>
      <c r="OQJ1240" s="30"/>
      <c r="OQK1240" s="30"/>
      <c r="OQL1240" s="30"/>
      <c r="OQM1240" s="30"/>
      <c r="OQN1240" s="30"/>
      <c r="OQO1240" s="30"/>
      <c r="OQP1240" s="30"/>
      <c r="OQQ1240" s="30"/>
      <c r="OQR1240" s="30"/>
      <c r="OQS1240" s="30"/>
      <c r="OQT1240" s="30"/>
      <c r="OQU1240" s="30"/>
      <c r="OQV1240" s="30"/>
      <c r="OQW1240" s="30"/>
      <c r="OQX1240" s="30"/>
      <c r="OQY1240" s="30"/>
      <c r="OQZ1240" s="30"/>
      <c r="ORA1240" s="30"/>
      <c r="ORB1240" s="30"/>
      <c r="ORC1240" s="30"/>
      <c r="ORD1240" s="30"/>
      <c r="ORE1240" s="30"/>
      <c r="ORF1240" s="30"/>
      <c r="ORG1240" s="30"/>
      <c r="ORH1240" s="30"/>
      <c r="ORI1240" s="30"/>
      <c r="ORJ1240" s="30"/>
      <c r="ORK1240" s="30"/>
      <c r="ORL1240" s="30"/>
      <c r="ORM1240" s="30"/>
      <c r="ORN1240" s="30"/>
      <c r="ORO1240" s="30"/>
      <c r="ORP1240" s="30"/>
      <c r="ORQ1240" s="30"/>
      <c r="ORR1240" s="30"/>
      <c r="ORS1240" s="30"/>
      <c r="ORT1240" s="30"/>
      <c r="ORU1240" s="30"/>
      <c r="ORV1240" s="30"/>
      <c r="ORW1240" s="30"/>
      <c r="ORX1240" s="30"/>
      <c r="ORY1240" s="30"/>
      <c r="ORZ1240" s="30"/>
      <c r="OSA1240" s="30"/>
      <c r="OSB1240" s="30"/>
      <c r="OSC1240" s="30"/>
      <c r="OSD1240" s="30"/>
      <c r="OSE1240" s="30"/>
      <c r="OSF1240" s="30"/>
      <c r="OSG1240" s="30"/>
      <c r="OSH1240" s="30"/>
      <c r="OSI1240" s="30"/>
      <c r="OSJ1240" s="30"/>
      <c r="OSK1240" s="30"/>
      <c r="OSL1240" s="30"/>
      <c r="OSM1240" s="30"/>
      <c r="OSN1240" s="30"/>
      <c r="OSO1240" s="30"/>
      <c r="OSP1240" s="30"/>
      <c r="OSQ1240" s="30"/>
      <c r="OSR1240" s="30"/>
      <c r="OSS1240" s="30"/>
      <c r="OST1240" s="30"/>
      <c r="OSU1240" s="30"/>
      <c r="OSV1240" s="30"/>
      <c r="OSW1240" s="30"/>
      <c r="OSX1240" s="30"/>
      <c r="OSY1240" s="30"/>
      <c r="OSZ1240" s="30"/>
      <c r="OTA1240" s="30"/>
      <c r="OTB1240" s="30"/>
      <c r="OTC1240" s="30"/>
      <c r="OTD1240" s="30"/>
      <c r="OTE1240" s="30"/>
      <c r="OTF1240" s="30"/>
      <c r="OTG1240" s="30"/>
      <c r="OTH1240" s="30"/>
      <c r="OTI1240" s="30"/>
      <c r="OTJ1240" s="30"/>
      <c r="OTK1240" s="30"/>
      <c r="OTL1240" s="30"/>
      <c r="OTM1240" s="30"/>
      <c r="OTN1240" s="30"/>
      <c r="OTO1240" s="30"/>
      <c r="OTP1240" s="30"/>
      <c r="OTQ1240" s="30"/>
      <c r="OTR1240" s="30"/>
      <c r="OTS1240" s="30"/>
      <c r="OTT1240" s="30"/>
      <c r="OTU1240" s="30"/>
      <c r="OTV1240" s="30"/>
      <c r="OTW1240" s="30"/>
      <c r="OTX1240" s="30"/>
      <c r="OTY1240" s="30"/>
      <c r="OTZ1240" s="30"/>
      <c r="OUA1240" s="30"/>
      <c r="OUB1240" s="30"/>
      <c r="OUC1240" s="30"/>
      <c r="OUD1240" s="30"/>
      <c r="OUE1240" s="30"/>
      <c r="OUF1240" s="30"/>
      <c r="OUG1240" s="30"/>
      <c r="OUH1240" s="30"/>
      <c r="OUI1240" s="30"/>
      <c r="OUJ1240" s="30"/>
      <c r="OUK1240" s="30"/>
      <c r="OUL1240" s="30"/>
      <c r="OUM1240" s="30"/>
      <c r="OUN1240" s="30"/>
      <c r="OUO1240" s="30"/>
      <c r="OUP1240" s="30"/>
      <c r="OUQ1240" s="30"/>
      <c r="OUR1240" s="30"/>
      <c r="OUS1240" s="30"/>
      <c r="OUT1240" s="30"/>
      <c r="OUU1240" s="30"/>
      <c r="OUV1240" s="30"/>
      <c r="OUW1240" s="30"/>
      <c r="OUX1240" s="30"/>
      <c r="OUY1240" s="30"/>
      <c r="OUZ1240" s="30"/>
      <c r="OVA1240" s="30"/>
      <c r="OVB1240" s="30"/>
      <c r="OVC1240" s="30"/>
      <c r="OVD1240" s="30"/>
      <c r="OVE1240" s="30"/>
      <c r="OVF1240" s="30"/>
      <c r="OVG1240" s="30"/>
      <c r="OVH1240" s="30"/>
      <c r="OVI1240" s="30"/>
      <c r="OVJ1240" s="30"/>
      <c r="OVK1240" s="30"/>
      <c r="OVL1240" s="30"/>
      <c r="OVM1240" s="30"/>
      <c r="OVN1240" s="30"/>
      <c r="OVO1240" s="30"/>
      <c r="OVP1240" s="30"/>
      <c r="OVQ1240" s="30"/>
      <c r="OVR1240" s="30"/>
      <c r="OVS1240" s="30"/>
      <c r="OVT1240" s="30"/>
      <c r="OVU1240" s="30"/>
      <c r="OVV1240" s="30"/>
      <c r="OVW1240" s="30"/>
      <c r="OVX1240" s="30"/>
      <c r="OVY1240" s="30"/>
      <c r="OVZ1240" s="30"/>
      <c r="OWA1240" s="30"/>
      <c r="OWB1240" s="30"/>
      <c r="OWC1240" s="30"/>
      <c r="OWD1240" s="30"/>
      <c r="OWE1240" s="30"/>
      <c r="OWF1240" s="30"/>
      <c r="OWG1240" s="30"/>
      <c r="OWH1240" s="30"/>
      <c r="OWI1240" s="30"/>
      <c r="OWJ1240" s="30"/>
      <c r="OWK1240" s="30"/>
      <c r="OWL1240" s="30"/>
      <c r="OWM1240" s="30"/>
      <c r="OWN1240" s="30"/>
      <c r="OWO1240" s="30"/>
      <c r="OWP1240" s="30"/>
      <c r="OWQ1240" s="30"/>
      <c r="OWR1240" s="30"/>
      <c r="OWS1240" s="30"/>
      <c r="OWT1240" s="30"/>
      <c r="OWU1240" s="30"/>
      <c r="OWV1240" s="30"/>
      <c r="OWW1240" s="30"/>
      <c r="OWX1240" s="30"/>
      <c r="OWY1240" s="30"/>
      <c r="OWZ1240" s="30"/>
      <c r="OXA1240" s="30"/>
      <c r="OXB1240" s="30"/>
      <c r="OXC1240" s="30"/>
      <c r="OXD1240" s="30"/>
      <c r="OXE1240" s="30"/>
      <c r="OXF1240" s="30"/>
      <c r="OXG1240" s="30"/>
      <c r="OXH1240" s="30"/>
      <c r="OXI1240" s="30"/>
      <c r="OXJ1240" s="30"/>
      <c r="OXK1240" s="30"/>
      <c r="OXL1240" s="30"/>
      <c r="OXM1240" s="30"/>
      <c r="OXN1240" s="30"/>
      <c r="OXO1240" s="30"/>
      <c r="OXP1240" s="30"/>
      <c r="OXQ1240" s="30"/>
      <c r="OXR1240" s="30"/>
      <c r="OXS1240" s="30"/>
      <c r="OXT1240" s="30"/>
      <c r="OXU1240" s="30"/>
      <c r="OXV1240" s="30"/>
      <c r="OXW1240" s="30"/>
      <c r="OXX1240" s="30"/>
      <c r="OXY1240" s="30"/>
      <c r="OXZ1240" s="30"/>
      <c r="OYA1240" s="30"/>
      <c r="OYB1240" s="30"/>
      <c r="OYC1240" s="30"/>
      <c r="OYD1240" s="30"/>
      <c r="OYE1240" s="30"/>
      <c r="OYF1240" s="30"/>
      <c r="OYG1240" s="30"/>
      <c r="OYH1240" s="30"/>
      <c r="OYI1240" s="30"/>
      <c r="OYJ1240" s="30"/>
      <c r="OYK1240" s="30"/>
      <c r="OYL1240" s="30"/>
      <c r="OYM1240" s="30"/>
      <c r="OYN1240" s="30"/>
      <c r="OYO1240" s="30"/>
      <c r="OYP1240" s="30"/>
      <c r="OYQ1240" s="30"/>
      <c r="OYR1240" s="30"/>
      <c r="OYS1240" s="30"/>
      <c r="OYT1240" s="30"/>
      <c r="OYU1240" s="30"/>
      <c r="OYV1240" s="30"/>
      <c r="OYW1240" s="30"/>
      <c r="OYX1240" s="30"/>
      <c r="OYY1240" s="30"/>
      <c r="OYZ1240" s="30"/>
      <c r="OZA1240" s="30"/>
      <c r="OZB1240" s="30"/>
      <c r="OZC1240" s="30"/>
      <c r="OZD1240" s="30"/>
      <c r="OZE1240" s="30"/>
      <c r="OZF1240" s="30"/>
      <c r="OZG1240" s="30"/>
      <c r="OZH1240" s="30"/>
      <c r="OZI1240" s="30"/>
      <c r="OZJ1240" s="30"/>
      <c r="OZK1240" s="30"/>
      <c r="OZL1240" s="30"/>
      <c r="OZM1240" s="30"/>
      <c r="OZN1240" s="30"/>
      <c r="OZO1240" s="30"/>
      <c r="OZP1240" s="30"/>
      <c r="OZQ1240" s="30"/>
      <c r="OZR1240" s="30"/>
      <c r="OZS1240" s="30"/>
      <c r="OZT1240" s="30"/>
      <c r="OZU1240" s="30"/>
      <c r="OZV1240" s="30"/>
      <c r="OZW1240" s="30"/>
      <c r="OZX1240" s="30"/>
      <c r="OZY1240" s="30"/>
      <c r="OZZ1240" s="30"/>
      <c r="PAA1240" s="30"/>
      <c r="PAB1240" s="30"/>
      <c r="PAC1240" s="30"/>
      <c r="PAD1240" s="30"/>
      <c r="PAE1240" s="30"/>
      <c r="PAF1240" s="30"/>
      <c r="PAG1240" s="30"/>
      <c r="PAH1240" s="30"/>
      <c r="PAI1240" s="30"/>
      <c r="PAJ1240" s="30"/>
      <c r="PAK1240" s="30"/>
      <c r="PAL1240" s="30"/>
      <c r="PAM1240" s="30"/>
      <c r="PAN1240" s="30"/>
      <c r="PAO1240" s="30"/>
      <c r="PAP1240" s="30"/>
      <c r="PAQ1240" s="30"/>
      <c r="PAR1240" s="30"/>
      <c r="PAS1240" s="30"/>
      <c r="PAT1240" s="30"/>
      <c r="PAU1240" s="30"/>
      <c r="PAV1240" s="30"/>
      <c r="PAW1240" s="30"/>
      <c r="PAX1240" s="30"/>
      <c r="PAY1240" s="30"/>
      <c r="PAZ1240" s="30"/>
      <c r="PBA1240" s="30"/>
      <c r="PBB1240" s="30"/>
      <c r="PBC1240" s="30"/>
      <c r="PBD1240" s="30"/>
      <c r="PBE1240" s="30"/>
      <c r="PBF1240" s="30"/>
      <c r="PBG1240" s="30"/>
      <c r="PBH1240" s="30"/>
      <c r="PBI1240" s="30"/>
      <c r="PBJ1240" s="30"/>
      <c r="PBK1240" s="30"/>
      <c r="PBL1240" s="30"/>
      <c r="PBM1240" s="30"/>
      <c r="PBN1240" s="30"/>
      <c r="PBO1240" s="30"/>
      <c r="PBP1240" s="30"/>
      <c r="PBQ1240" s="30"/>
      <c r="PBR1240" s="30"/>
      <c r="PBS1240" s="30"/>
      <c r="PBT1240" s="30"/>
      <c r="PBU1240" s="30"/>
      <c r="PBV1240" s="30"/>
      <c r="PBW1240" s="30"/>
      <c r="PBX1240" s="30"/>
      <c r="PBY1240" s="30"/>
      <c r="PBZ1240" s="30"/>
      <c r="PCA1240" s="30"/>
      <c r="PCB1240" s="30"/>
      <c r="PCC1240" s="30"/>
      <c r="PCD1240" s="30"/>
      <c r="PCE1240" s="30"/>
      <c r="PCF1240" s="30"/>
      <c r="PCG1240" s="30"/>
      <c r="PCH1240" s="30"/>
      <c r="PCI1240" s="30"/>
      <c r="PCJ1240" s="30"/>
      <c r="PCK1240" s="30"/>
      <c r="PCL1240" s="30"/>
      <c r="PCM1240" s="30"/>
      <c r="PCN1240" s="30"/>
      <c r="PCO1240" s="30"/>
      <c r="PCP1240" s="30"/>
      <c r="PCQ1240" s="30"/>
      <c r="PCR1240" s="30"/>
      <c r="PCS1240" s="30"/>
      <c r="PCT1240" s="30"/>
      <c r="PCU1240" s="30"/>
      <c r="PCV1240" s="30"/>
      <c r="PCW1240" s="30"/>
      <c r="PCX1240" s="30"/>
      <c r="PCY1240" s="30"/>
      <c r="PCZ1240" s="30"/>
      <c r="PDA1240" s="30"/>
      <c r="PDB1240" s="30"/>
      <c r="PDC1240" s="30"/>
      <c r="PDD1240" s="30"/>
      <c r="PDE1240" s="30"/>
      <c r="PDF1240" s="30"/>
      <c r="PDG1240" s="30"/>
      <c r="PDH1240" s="30"/>
      <c r="PDI1240" s="30"/>
      <c r="PDJ1240" s="30"/>
      <c r="PDK1240" s="30"/>
      <c r="PDL1240" s="30"/>
      <c r="PDM1240" s="30"/>
      <c r="PDN1240" s="30"/>
      <c r="PDO1240" s="30"/>
      <c r="PDP1240" s="30"/>
      <c r="PDQ1240" s="30"/>
      <c r="PDR1240" s="30"/>
      <c r="PDS1240" s="30"/>
      <c r="PDT1240" s="30"/>
      <c r="PDU1240" s="30"/>
      <c r="PDV1240" s="30"/>
      <c r="PDW1240" s="30"/>
      <c r="PDX1240" s="30"/>
      <c r="PDY1240" s="30"/>
      <c r="PDZ1240" s="30"/>
      <c r="PEA1240" s="30"/>
      <c r="PEB1240" s="30"/>
      <c r="PEC1240" s="30"/>
      <c r="PED1240" s="30"/>
      <c r="PEE1240" s="30"/>
      <c r="PEF1240" s="30"/>
      <c r="PEG1240" s="30"/>
      <c r="PEH1240" s="30"/>
      <c r="PEI1240" s="30"/>
      <c r="PEJ1240" s="30"/>
      <c r="PEK1240" s="30"/>
      <c r="PEL1240" s="30"/>
      <c r="PEM1240" s="30"/>
      <c r="PEN1240" s="30"/>
      <c r="PEO1240" s="30"/>
      <c r="PEP1240" s="30"/>
      <c r="PEQ1240" s="30"/>
      <c r="PER1240" s="30"/>
      <c r="PES1240" s="30"/>
      <c r="PET1240" s="30"/>
      <c r="PEU1240" s="30"/>
      <c r="PEV1240" s="30"/>
      <c r="PEW1240" s="30"/>
      <c r="PEX1240" s="30"/>
      <c r="PEY1240" s="30"/>
      <c r="PEZ1240" s="30"/>
      <c r="PFA1240" s="30"/>
      <c r="PFB1240" s="30"/>
      <c r="PFC1240" s="30"/>
      <c r="PFD1240" s="30"/>
      <c r="PFE1240" s="30"/>
      <c r="PFF1240" s="30"/>
      <c r="PFG1240" s="30"/>
      <c r="PFH1240" s="30"/>
      <c r="PFI1240" s="30"/>
      <c r="PFJ1240" s="30"/>
      <c r="PFK1240" s="30"/>
      <c r="PFL1240" s="30"/>
      <c r="PFM1240" s="30"/>
      <c r="PFN1240" s="30"/>
      <c r="PFO1240" s="30"/>
      <c r="PFP1240" s="30"/>
      <c r="PFQ1240" s="30"/>
      <c r="PFR1240" s="30"/>
      <c r="PFS1240" s="30"/>
      <c r="PFT1240" s="30"/>
      <c r="PFU1240" s="30"/>
      <c r="PFV1240" s="30"/>
      <c r="PFW1240" s="30"/>
      <c r="PFX1240" s="30"/>
      <c r="PFY1240" s="30"/>
      <c r="PFZ1240" s="30"/>
      <c r="PGA1240" s="30"/>
      <c r="PGB1240" s="30"/>
      <c r="PGC1240" s="30"/>
      <c r="PGD1240" s="30"/>
      <c r="PGE1240" s="30"/>
      <c r="PGF1240" s="30"/>
      <c r="PGG1240" s="30"/>
      <c r="PGH1240" s="30"/>
      <c r="PGI1240" s="30"/>
      <c r="PGJ1240" s="30"/>
      <c r="PGK1240" s="30"/>
      <c r="PGL1240" s="30"/>
      <c r="PGM1240" s="30"/>
      <c r="PGN1240" s="30"/>
      <c r="PGO1240" s="30"/>
      <c r="PGP1240" s="30"/>
      <c r="PGQ1240" s="30"/>
      <c r="PGR1240" s="30"/>
      <c r="PGS1240" s="30"/>
      <c r="PGT1240" s="30"/>
      <c r="PGU1240" s="30"/>
      <c r="PGV1240" s="30"/>
      <c r="PGW1240" s="30"/>
      <c r="PGX1240" s="30"/>
      <c r="PGY1240" s="30"/>
      <c r="PGZ1240" s="30"/>
      <c r="PHA1240" s="30"/>
      <c r="PHB1240" s="30"/>
      <c r="PHC1240" s="30"/>
      <c r="PHD1240" s="30"/>
      <c r="PHE1240" s="30"/>
      <c r="PHF1240" s="30"/>
      <c r="PHG1240" s="30"/>
      <c r="PHH1240" s="30"/>
      <c r="PHI1240" s="30"/>
      <c r="PHJ1240" s="30"/>
      <c r="PHK1240" s="30"/>
      <c r="PHL1240" s="30"/>
      <c r="PHM1240" s="30"/>
      <c r="PHN1240" s="30"/>
      <c r="PHO1240" s="30"/>
      <c r="PHP1240" s="30"/>
      <c r="PHQ1240" s="30"/>
      <c r="PHR1240" s="30"/>
      <c r="PHS1240" s="30"/>
      <c r="PHT1240" s="30"/>
      <c r="PHU1240" s="30"/>
      <c r="PHV1240" s="30"/>
      <c r="PHW1240" s="30"/>
      <c r="PHX1240" s="30"/>
      <c r="PHY1240" s="30"/>
      <c r="PHZ1240" s="30"/>
      <c r="PIA1240" s="30"/>
      <c r="PIB1240" s="30"/>
      <c r="PIC1240" s="30"/>
      <c r="PID1240" s="30"/>
      <c r="PIE1240" s="30"/>
      <c r="PIF1240" s="30"/>
      <c r="PIG1240" s="30"/>
      <c r="PIH1240" s="30"/>
      <c r="PII1240" s="30"/>
      <c r="PIJ1240" s="30"/>
      <c r="PIK1240" s="30"/>
      <c r="PIL1240" s="30"/>
      <c r="PIM1240" s="30"/>
      <c r="PIN1240" s="30"/>
      <c r="PIO1240" s="30"/>
      <c r="PIP1240" s="30"/>
      <c r="PIQ1240" s="30"/>
      <c r="PIR1240" s="30"/>
      <c r="PIS1240" s="30"/>
      <c r="PIT1240" s="30"/>
      <c r="PIU1240" s="30"/>
      <c r="PIV1240" s="30"/>
      <c r="PIW1240" s="30"/>
      <c r="PIX1240" s="30"/>
      <c r="PIY1240" s="30"/>
      <c r="PIZ1240" s="30"/>
      <c r="PJA1240" s="30"/>
      <c r="PJB1240" s="30"/>
      <c r="PJC1240" s="30"/>
      <c r="PJD1240" s="30"/>
      <c r="PJE1240" s="30"/>
      <c r="PJF1240" s="30"/>
      <c r="PJG1240" s="30"/>
      <c r="PJH1240" s="30"/>
      <c r="PJI1240" s="30"/>
      <c r="PJJ1240" s="30"/>
      <c r="PJK1240" s="30"/>
      <c r="PJL1240" s="30"/>
      <c r="PJM1240" s="30"/>
      <c r="PJN1240" s="30"/>
      <c r="PJO1240" s="30"/>
      <c r="PJP1240" s="30"/>
      <c r="PJQ1240" s="30"/>
      <c r="PJR1240" s="30"/>
      <c r="PJS1240" s="30"/>
      <c r="PJT1240" s="30"/>
      <c r="PJU1240" s="30"/>
      <c r="PJV1240" s="30"/>
      <c r="PJW1240" s="30"/>
      <c r="PJX1240" s="30"/>
      <c r="PJY1240" s="30"/>
      <c r="PJZ1240" s="30"/>
      <c r="PKA1240" s="30"/>
      <c r="PKB1240" s="30"/>
      <c r="PKC1240" s="30"/>
      <c r="PKD1240" s="30"/>
      <c r="PKE1240" s="30"/>
      <c r="PKF1240" s="30"/>
      <c r="PKG1240" s="30"/>
      <c r="PKH1240" s="30"/>
      <c r="PKI1240" s="30"/>
      <c r="PKJ1240" s="30"/>
      <c r="PKK1240" s="30"/>
      <c r="PKL1240" s="30"/>
      <c r="PKM1240" s="30"/>
      <c r="PKN1240" s="30"/>
      <c r="PKO1240" s="30"/>
      <c r="PKP1240" s="30"/>
      <c r="PKQ1240" s="30"/>
      <c r="PKR1240" s="30"/>
      <c r="PKS1240" s="30"/>
      <c r="PKT1240" s="30"/>
      <c r="PKU1240" s="30"/>
      <c r="PKV1240" s="30"/>
      <c r="PKW1240" s="30"/>
      <c r="PKX1240" s="30"/>
      <c r="PKY1240" s="30"/>
      <c r="PKZ1240" s="30"/>
      <c r="PLA1240" s="30"/>
      <c r="PLB1240" s="30"/>
      <c r="PLC1240" s="30"/>
      <c r="PLD1240" s="30"/>
      <c r="PLE1240" s="30"/>
      <c r="PLF1240" s="30"/>
      <c r="PLG1240" s="30"/>
      <c r="PLH1240" s="30"/>
      <c r="PLI1240" s="30"/>
      <c r="PLJ1240" s="30"/>
      <c r="PLK1240" s="30"/>
      <c r="PLL1240" s="30"/>
      <c r="PLM1240" s="30"/>
      <c r="PLN1240" s="30"/>
      <c r="PLO1240" s="30"/>
      <c r="PLP1240" s="30"/>
      <c r="PLQ1240" s="30"/>
      <c r="PLR1240" s="30"/>
      <c r="PLS1240" s="30"/>
      <c r="PLT1240" s="30"/>
      <c r="PLU1240" s="30"/>
      <c r="PLV1240" s="30"/>
      <c r="PLW1240" s="30"/>
      <c r="PLX1240" s="30"/>
      <c r="PLY1240" s="30"/>
      <c r="PLZ1240" s="30"/>
      <c r="PMA1240" s="30"/>
      <c r="PMB1240" s="30"/>
      <c r="PMC1240" s="30"/>
      <c r="PMD1240" s="30"/>
      <c r="PME1240" s="30"/>
      <c r="PMF1240" s="30"/>
      <c r="PMG1240" s="30"/>
      <c r="PMH1240" s="30"/>
      <c r="PMI1240" s="30"/>
      <c r="PMJ1240" s="30"/>
      <c r="PMK1240" s="30"/>
      <c r="PML1240" s="30"/>
      <c r="PMM1240" s="30"/>
      <c r="PMN1240" s="30"/>
      <c r="PMO1240" s="30"/>
      <c r="PMP1240" s="30"/>
      <c r="PMQ1240" s="30"/>
      <c r="PMR1240" s="30"/>
      <c r="PMS1240" s="30"/>
      <c r="PMT1240" s="30"/>
      <c r="PMU1240" s="30"/>
      <c r="PMV1240" s="30"/>
      <c r="PMW1240" s="30"/>
      <c r="PMX1240" s="30"/>
      <c r="PMY1240" s="30"/>
      <c r="PMZ1240" s="30"/>
      <c r="PNA1240" s="30"/>
      <c r="PNB1240" s="30"/>
      <c r="PNC1240" s="30"/>
      <c r="PND1240" s="30"/>
      <c r="PNE1240" s="30"/>
      <c r="PNF1240" s="30"/>
      <c r="PNG1240" s="30"/>
      <c r="PNH1240" s="30"/>
      <c r="PNI1240" s="30"/>
      <c r="PNJ1240" s="30"/>
      <c r="PNK1240" s="30"/>
      <c r="PNL1240" s="30"/>
      <c r="PNM1240" s="30"/>
      <c r="PNN1240" s="30"/>
      <c r="PNO1240" s="30"/>
      <c r="PNP1240" s="30"/>
      <c r="PNQ1240" s="30"/>
      <c r="PNR1240" s="30"/>
      <c r="PNS1240" s="30"/>
      <c r="PNT1240" s="30"/>
      <c r="PNU1240" s="30"/>
      <c r="PNV1240" s="30"/>
      <c r="PNW1240" s="30"/>
      <c r="PNX1240" s="30"/>
      <c r="PNY1240" s="30"/>
      <c r="PNZ1240" s="30"/>
      <c r="POA1240" s="30"/>
      <c r="POB1240" s="30"/>
      <c r="POC1240" s="30"/>
      <c r="POD1240" s="30"/>
      <c r="POE1240" s="30"/>
      <c r="POF1240" s="30"/>
      <c r="POG1240" s="30"/>
      <c r="POH1240" s="30"/>
      <c r="POI1240" s="30"/>
      <c r="POJ1240" s="30"/>
      <c r="POK1240" s="30"/>
      <c r="POL1240" s="30"/>
      <c r="POM1240" s="30"/>
      <c r="PON1240" s="30"/>
      <c r="POO1240" s="30"/>
      <c r="POP1240" s="30"/>
      <c r="POQ1240" s="30"/>
      <c r="POR1240" s="30"/>
      <c r="POS1240" s="30"/>
      <c r="POT1240" s="30"/>
      <c r="POU1240" s="30"/>
      <c r="POV1240" s="30"/>
      <c r="POW1240" s="30"/>
      <c r="POX1240" s="30"/>
      <c r="POY1240" s="30"/>
      <c r="POZ1240" s="30"/>
      <c r="PPA1240" s="30"/>
      <c r="PPB1240" s="30"/>
      <c r="PPC1240" s="30"/>
      <c r="PPD1240" s="30"/>
      <c r="PPE1240" s="30"/>
      <c r="PPF1240" s="30"/>
      <c r="PPG1240" s="30"/>
      <c r="PPH1240" s="30"/>
      <c r="PPI1240" s="30"/>
      <c r="PPJ1240" s="30"/>
      <c r="PPK1240" s="30"/>
      <c r="PPL1240" s="30"/>
      <c r="PPM1240" s="30"/>
      <c r="PPN1240" s="30"/>
      <c r="PPO1240" s="30"/>
      <c r="PPP1240" s="30"/>
      <c r="PPQ1240" s="30"/>
      <c r="PPR1240" s="30"/>
      <c r="PPS1240" s="30"/>
      <c r="PPT1240" s="30"/>
      <c r="PPU1240" s="30"/>
      <c r="PPV1240" s="30"/>
      <c r="PPW1240" s="30"/>
      <c r="PPX1240" s="30"/>
      <c r="PPY1240" s="30"/>
      <c r="PPZ1240" s="30"/>
      <c r="PQA1240" s="30"/>
      <c r="PQB1240" s="30"/>
      <c r="PQC1240" s="30"/>
      <c r="PQD1240" s="30"/>
      <c r="PQE1240" s="30"/>
      <c r="PQF1240" s="30"/>
      <c r="PQG1240" s="30"/>
      <c r="PQH1240" s="30"/>
      <c r="PQI1240" s="30"/>
      <c r="PQJ1240" s="30"/>
      <c r="PQK1240" s="30"/>
      <c r="PQL1240" s="30"/>
      <c r="PQM1240" s="30"/>
      <c r="PQN1240" s="30"/>
      <c r="PQO1240" s="30"/>
      <c r="PQP1240" s="30"/>
      <c r="PQQ1240" s="30"/>
      <c r="PQR1240" s="30"/>
      <c r="PQS1240" s="30"/>
      <c r="PQT1240" s="30"/>
      <c r="PQU1240" s="30"/>
      <c r="PQV1240" s="30"/>
      <c r="PQW1240" s="30"/>
      <c r="PQX1240" s="30"/>
      <c r="PQY1240" s="30"/>
      <c r="PQZ1240" s="30"/>
      <c r="PRA1240" s="30"/>
      <c r="PRB1240" s="30"/>
      <c r="PRC1240" s="30"/>
      <c r="PRD1240" s="30"/>
      <c r="PRE1240" s="30"/>
      <c r="PRF1240" s="30"/>
      <c r="PRG1240" s="30"/>
      <c r="PRH1240" s="30"/>
      <c r="PRI1240" s="30"/>
      <c r="PRJ1240" s="30"/>
      <c r="PRK1240" s="30"/>
      <c r="PRL1240" s="30"/>
      <c r="PRM1240" s="30"/>
      <c r="PRN1240" s="30"/>
      <c r="PRO1240" s="30"/>
      <c r="PRP1240" s="30"/>
      <c r="PRQ1240" s="30"/>
      <c r="PRR1240" s="30"/>
      <c r="PRS1240" s="30"/>
      <c r="PRT1240" s="30"/>
      <c r="PRU1240" s="30"/>
      <c r="PRV1240" s="30"/>
      <c r="PRW1240" s="30"/>
      <c r="PRX1240" s="30"/>
      <c r="PRY1240" s="30"/>
      <c r="PRZ1240" s="30"/>
      <c r="PSA1240" s="30"/>
      <c r="PSB1240" s="30"/>
      <c r="PSC1240" s="30"/>
      <c r="PSD1240" s="30"/>
      <c r="PSE1240" s="30"/>
      <c r="PSF1240" s="30"/>
      <c r="PSG1240" s="30"/>
      <c r="PSH1240" s="30"/>
      <c r="PSI1240" s="30"/>
      <c r="PSJ1240" s="30"/>
      <c r="PSK1240" s="30"/>
      <c r="PSL1240" s="30"/>
      <c r="PSM1240" s="30"/>
      <c r="PSN1240" s="30"/>
      <c r="PSO1240" s="30"/>
      <c r="PSP1240" s="30"/>
      <c r="PSQ1240" s="30"/>
      <c r="PSR1240" s="30"/>
      <c r="PSS1240" s="30"/>
      <c r="PST1240" s="30"/>
      <c r="PSU1240" s="30"/>
      <c r="PSV1240" s="30"/>
      <c r="PSW1240" s="30"/>
      <c r="PSX1240" s="30"/>
      <c r="PSY1240" s="30"/>
      <c r="PSZ1240" s="30"/>
      <c r="PTA1240" s="30"/>
      <c r="PTB1240" s="30"/>
      <c r="PTC1240" s="30"/>
      <c r="PTD1240" s="30"/>
      <c r="PTE1240" s="30"/>
      <c r="PTF1240" s="30"/>
      <c r="PTG1240" s="30"/>
      <c r="PTH1240" s="30"/>
      <c r="PTI1240" s="30"/>
      <c r="PTJ1240" s="30"/>
      <c r="PTK1240" s="30"/>
      <c r="PTL1240" s="30"/>
      <c r="PTM1240" s="30"/>
      <c r="PTN1240" s="30"/>
      <c r="PTO1240" s="30"/>
      <c r="PTP1240" s="30"/>
      <c r="PTQ1240" s="30"/>
      <c r="PTR1240" s="30"/>
      <c r="PTS1240" s="30"/>
      <c r="PTT1240" s="30"/>
      <c r="PTU1240" s="30"/>
      <c r="PTV1240" s="30"/>
      <c r="PTW1240" s="30"/>
      <c r="PTX1240" s="30"/>
      <c r="PTY1240" s="30"/>
      <c r="PTZ1240" s="30"/>
      <c r="PUA1240" s="30"/>
      <c r="PUB1240" s="30"/>
      <c r="PUC1240" s="30"/>
      <c r="PUD1240" s="30"/>
      <c r="PUE1240" s="30"/>
      <c r="PUF1240" s="30"/>
      <c r="PUG1240" s="30"/>
      <c r="PUH1240" s="30"/>
      <c r="PUI1240" s="30"/>
      <c r="PUJ1240" s="30"/>
      <c r="PUK1240" s="30"/>
      <c r="PUL1240" s="30"/>
      <c r="PUM1240" s="30"/>
      <c r="PUN1240" s="30"/>
      <c r="PUO1240" s="30"/>
      <c r="PUP1240" s="30"/>
      <c r="PUQ1240" s="30"/>
      <c r="PUR1240" s="30"/>
      <c r="PUS1240" s="30"/>
      <c r="PUT1240" s="30"/>
      <c r="PUU1240" s="30"/>
      <c r="PUV1240" s="30"/>
      <c r="PUW1240" s="30"/>
      <c r="PUX1240" s="30"/>
      <c r="PUY1240" s="30"/>
      <c r="PUZ1240" s="30"/>
      <c r="PVA1240" s="30"/>
      <c r="PVB1240" s="30"/>
      <c r="PVC1240" s="30"/>
      <c r="PVD1240" s="30"/>
      <c r="PVE1240" s="30"/>
      <c r="PVF1240" s="30"/>
      <c r="PVG1240" s="30"/>
      <c r="PVH1240" s="30"/>
      <c r="PVI1240" s="30"/>
      <c r="PVJ1240" s="30"/>
      <c r="PVK1240" s="30"/>
      <c r="PVL1240" s="30"/>
      <c r="PVM1240" s="30"/>
      <c r="PVN1240" s="30"/>
      <c r="PVO1240" s="30"/>
      <c r="PVP1240" s="30"/>
      <c r="PVQ1240" s="30"/>
      <c r="PVR1240" s="30"/>
      <c r="PVS1240" s="30"/>
      <c r="PVT1240" s="30"/>
      <c r="PVU1240" s="30"/>
      <c r="PVV1240" s="30"/>
      <c r="PVW1240" s="30"/>
      <c r="PVX1240" s="30"/>
      <c r="PVY1240" s="30"/>
      <c r="PVZ1240" s="30"/>
      <c r="PWA1240" s="30"/>
      <c r="PWB1240" s="30"/>
      <c r="PWC1240" s="30"/>
      <c r="PWD1240" s="30"/>
      <c r="PWE1240" s="30"/>
      <c r="PWF1240" s="30"/>
      <c r="PWG1240" s="30"/>
      <c r="PWH1240" s="30"/>
      <c r="PWI1240" s="30"/>
      <c r="PWJ1240" s="30"/>
      <c r="PWK1240" s="30"/>
      <c r="PWL1240" s="30"/>
      <c r="PWM1240" s="30"/>
      <c r="PWN1240" s="30"/>
      <c r="PWO1240" s="30"/>
      <c r="PWP1240" s="30"/>
      <c r="PWQ1240" s="30"/>
      <c r="PWR1240" s="30"/>
      <c r="PWS1240" s="30"/>
      <c r="PWT1240" s="30"/>
      <c r="PWU1240" s="30"/>
      <c r="PWV1240" s="30"/>
      <c r="PWW1240" s="30"/>
      <c r="PWX1240" s="30"/>
      <c r="PWY1240" s="30"/>
      <c r="PWZ1240" s="30"/>
      <c r="PXA1240" s="30"/>
      <c r="PXB1240" s="30"/>
      <c r="PXC1240" s="30"/>
      <c r="PXD1240" s="30"/>
      <c r="PXE1240" s="30"/>
      <c r="PXF1240" s="30"/>
      <c r="PXG1240" s="30"/>
      <c r="PXH1240" s="30"/>
      <c r="PXI1240" s="30"/>
      <c r="PXJ1240" s="30"/>
      <c r="PXK1240" s="30"/>
      <c r="PXL1240" s="30"/>
      <c r="PXM1240" s="30"/>
      <c r="PXN1240" s="30"/>
      <c r="PXO1240" s="30"/>
      <c r="PXP1240" s="30"/>
      <c r="PXQ1240" s="30"/>
      <c r="PXR1240" s="30"/>
      <c r="PXS1240" s="30"/>
      <c r="PXT1240" s="30"/>
      <c r="PXU1240" s="30"/>
      <c r="PXV1240" s="30"/>
      <c r="PXW1240" s="30"/>
      <c r="PXX1240" s="30"/>
      <c r="PXY1240" s="30"/>
      <c r="PXZ1240" s="30"/>
      <c r="PYA1240" s="30"/>
      <c r="PYB1240" s="30"/>
      <c r="PYC1240" s="30"/>
      <c r="PYD1240" s="30"/>
      <c r="PYE1240" s="30"/>
      <c r="PYF1240" s="30"/>
      <c r="PYG1240" s="30"/>
      <c r="PYH1240" s="30"/>
      <c r="PYI1240" s="30"/>
      <c r="PYJ1240" s="30"/>
      <c r="PYK1240" s="30"/>
      <c r="PYL1240" s="30"/>
      <c r="PYM1240" s="30"/>
      <c r="PYN1240" s="30"/>
      <c r="PYO1240" s="30"/>
      <c r="PYP1240" s="30"/>
      <c r="PYQ1240" s="30"/>
      <c r="PYR1240" s="30"/>
      <c r="PYS1240" s="30"/>
      <c r="PYT1240" s="30"/>
      <c r="PYU1240" s="30"/>
      <c r="PYV1240" s="30"/>
      <c r="PYW1240" s="30"/>
      <c r="PYX1240" s="30"/>
      <c r="PYY1240" s="30"/>
      <c r="PYZ1240" s="30"/>
      <c r="PZA1240" s="30"/>
      <c r="PZB1240" s="30"/>
      <c r="PZC1240" s="30"/>
      <c r="PZD1240" s="30"/>
      <c r="PZE1240" s="30"/>
      <c r="PZF1240" s="30"/>
      <c r="PZG1240" s="30"/>
      <c r="PZH1240" s="30"/>
      <c r="PZI1240" s="30"/>
      <c r="PZJ1240" s="30"/>
      <c r="PZK1240" s="30"/>
      <c r="PZL1240" s="30"/>
      <c r="PZM1240" s="30"/>
      <c r="PZN1240" s="30"/>
      <c r="PZO1240" s="30"/>
      <c r="PZP1240" s="30"/>
      <c r="PZQ1240" s="30"/>
      <c r="PZR1240" s="30"/>
      <c r="PZS1240" s="30"/>
      <c r="PZT1240" s="30"/>
      <c r="PZU1240" s="30"/>
      <c r="PZV1240" s="30"/>
      <c r="PZW1240" s="30"/>
      <c r="PZX1240" s="30"/>
      <c r="PZY1240" s="30"/>
      <c r="PZZ1240" s="30"/>
      <c r="QAA1240" s="30"/>
      <c r="QAB1240" s="30"/>
      <c r="QAC1240" s="30"/>
      <c r="QAD1240" s="30"/>
      <c r="QAE1240" s="30"/>
      <c r="QAF1240" s="30"/>
      <c r="QAG1240" s="30"/>
      <c r="QAH1240" s="30"/>
      <c r="QAI1240" s="30"/>
      <c r="QAJ1240" s="30"/>
      <c r="QAK1240" s="30"/>
      <c r="QAL1240" s="30"/>
      <c r="QAM1240" s="30"/>
      <c r="QAN1240" s="30"/>
      <c r="QAO1240" s="30"/>
      <c r="QAP1240" s="30"/>
      <c r="QAQ1240" s="30"/>
      <c r="QAR1240" s="30"/>
      <c r="QAS1240" s="30"/>
      <c r="QAT1240" s="30"/>
      <c r="QAU1240" s="30"/>
      <c r="QAV1240" s="30"/>
      <c r="QAW1240" s="30"/>
      <c r="QAX1240" s="30"/>
      <c r="QAY1240" s="30"/>
      <c r="QAZ1240" s="30"/>
      <c r="QBA1240" s="30"/>
      <c r="QBB1240" s="30"/>
      <c r="QBC1240" s="30"/>
      <c r="QBD1240" s="30"/>
      <c r="QBE1240" s="30"/>
      <c r="QBF1240" s="30"/>
      <c r="QBG1240" s="30"/>
      <c r="QBH1240" s="30"/>
      <c r="QBI1240" s="30"/>
      <c r="QBJ1240" s="30"/>
      <c r="QBK1240" s="30"/>
      <c r="QBL1240" s="30"/>
      <c r="QBM1240" s="30"/>
      <c r="QBN1240" s="30"/>
      <c r="QBO1240" s="30"/>
      <c r="QBP1240" s="30"/>
      <c r="QBQ1240" s="30"/>
      <c r="QBR1240" s="30"/>
      <c r="QBS1240" s="30"/>
      <c r="QBT1240" s="30"/>
      <c r="QBU1240" s="30"/>
      <c r="QBV1240" s="30"/>
      <c r="QBW1240" s="30"/>
      <c r="QBX1240" s="30"/>
      <c r="QBY1240" s="30"/>
      <c r="QBZ1240" s="30"/>
      <c r="QCA1240" s="30"/>
      <c r="QCB1240" s="30"/>
      <c r="QCC1240" s="30"/>
      <c r="QCD1240" s="30"/>
      <c r="QCE1240" s="30"/>
      <c r="QCF1240" s="30"/>
      <c r="QCG1240" s="30"/>
      <c r="QCH1240" s="30"/>
      <c r="QCI1240" s="30"/>
      <c r="QCJ1240" s="30"/>
      <c r="QCK1240" s="30"/>
      <c r="QCL1240" s="30"/>
      <c r="QCM1240" s="30"/>
      <c r="QCN1240" s="30"/>
      <c r="QCO1240" s="30"/>
      <c r="QCP1240" s="30"/>
      <c r="QCQ1240" s="30"/>
      <c r="QCR1240" s="30"/>
      <c r="QCS1240" s="30"/>
      <c r="QCT1240" s="30"/>
      <c r="QCU1240" s="30"/>
      <c r="QCV1240" s="30"/>
      <c r="QCW1240" s="30"/>
      <c r="QCX1240" s="30"/>
      <c r="QCY1240" s="30"/>
      <c r="QCZ1240" s="30"/>
      <c r="QDA1240" s="30"/>
      <c r="QDB1240" s="30"/>
      <c r="QDC1240" s="30"/>
      <c r="QDD1240" s="30"/>
      <c r="QDE1240" s="30"/>
      <c r="QDF1240" s="30"/>
      <c r="QDG1240" s="30"/>
      <c r="QDH1240" s="30"/>
      <c r="QDI1240" s="30"/>
      <c r="QDJ1240" s="30"/>
      <c r="QDK1240" s="30"/>
      <c r="QDL1240" s="30"/>
      <c r="QDM1240" s="30"/>
      <c r="QDN1240" s="30"/>
      <c r="QDO1240" s="30"/>
      <c r="QDP1240" s="30"/>
      <c r="QDQ1240" s="30"/>
      <c r="QDR1240" s="30"/>
      <c r="QDS1240" s="30"/>
      <c r="QDT1240" s="30"/>
      <c r="QDU1240" s="30"/>
      <c r="QDV1240" s="30"/>
      <c r="QDW1240" s="30"/>
      <c r="QDX1240" s="30"/>
      <c r="QDY1240" s="30"/>
      <c r="QDZ1240" s="30"/>
      <c r="QEA1240" s="30"/>
      <c r="QEB1240" s="30"/>
      <c r="QEC1240" s="30"/>
      <c r="QED1240" s="30"/>
      <c r="QEE1240" s="30"/>
      <c r="QEF1240" s="30"/>
      <c r="QEG1240" s="30"/>
      <c r="QEH1240" s="30"/>
      <c r="QEI1240" s="30"/>
      <c r="QEJ1240" s="30"/>
      <c r="QEK1240" s="30"/>
      <c r="QEL1240" s="30"/>
      <c r="QEM1240" s="30"/>
      <c r="QEN1240" s="30"/>
      <c r="QEO1240" s="30"/>
      <c r="QEP1240" s="30"/>
      <c r="QEQ1240" s="30"/>
      <c r="QER1240" s="30"/>
      <c r="QES1240" s="30"/>
      <c r="QET1240" s="30"/>
      <c r="QEU1240" s="30"/>
      <c r="QEV1240" s="30"/>
      <c r="QEW1240" s="30"/>
      <c r="QEX1240" s="30"/>
      <c r="QEY1240" s="30"/>
      <c r="QEZ1240" s="30"/>
      <c r="QFA1240" s="30"/>
      <c r="QFB1240" s="30"/>
      <c r="QFC1240" s="30"/>
      <c r="QFD1240" s="30"/>
      <c r="QFE1240" s="30"/>
      <c r="QFF1240" s="30"/>
      <c r="QFG1240" s="30"/>
      <c r="QFH1240" s="30"/>
      <c r="QFI1240" s="30"/>
      <c r="QFJ1240" s="30"/>
      <c r="QFK1240" s="30"/>
      <c r="QFL1240" s="30"/>
      <c r="QFM1240" s="30"/>
      <c r="QFN1240" s="30"/>
      <c r="QFO1240" s="30"/>
      <c r="QFP1240" s="30"/>
      <c r="QFQ1240" s="30"/>
      <c r="QFR1240" s="30"/>
      <c r="QFS1240" s="30"/>
      <c r="QFT1240" s="30"/>
      <c r="QFU1240" s="30"/>
      <c r="QFV1240" s="30"/>
      <c r="QFW1240" s="30"/>
      <c r="QFX1240" s="30"/>
      <c r="QFY1240" s="30"/>
      <c r="QFZ1240" s="30"/>
      <c r="QGA1240" s="30"/>
      <c r="QGB1240" s="30"/>
      <c r="QGC1240" s="30"/>
      <c r="QGD1240" s="30"/>
      <c r="QGE1240" s="30"/>
      <c r="QGF1240" s="30"/>
      <c r="QGG1240" s="30"/>
      <c r="QGH1240" s="30"/>
      <c r="QGI1240" s="30"/>
      <c r="QGJ1240" s="30"/>
      <c r="QGK1240" s="30"/>
      <c r="QGL1240" s="30"/>
      <c r="QGM1240" s="30"/>
      <c r="QGN1240" s="30"/>
      <c r="QGO1240" s="30"/>
      <c r="QGP1240" s="30"/>
      <c r="QGQ1240" s="30"/>
      <c r="QGR1240" s="30"/>
      <c r="QGS1240" s="30"/>
      <c r="QGT1240" s="30"/>
      <c r="QGU1240" s="30"/>
      <c r="QGV1240" s="30"/>
      <c r="QGW1240" s="30"/>
      <c r="QGX1240" s="30"/>
      <c r="QGY1240" s="30"/>
      <c r="QGZ1240" s="30"/>
      <c r="QHA1240" s="30"/>
      <c r="QHB1240" s="30"/>
      <c r="QHC1240" s="30"/>
      <c r="QHD1240" s="30"/>
      <c r="QHE1240" s="30"/>
      <c r="QHF1240" s="30"/>
      <c r="QHG1240" s="30"/>
      <c r="QHH1240" s="30"/>
      <c r="QHI1240" s="30"/>
      <c r="QHJ1240" s="30"/>
      <c r="QHK1240" s="30"/>
      <c r="QHL1240" s="30"/>
      <c r="QHM1240" s="30"/>
      <c r="QHN1240" s="30"/>
      <c r="QHO1240" s="30"/>
      <c r="QHP1240" s="30"/>
      <c r="QHQ1240" s="30"/>
      <c r="QHR1240" s="30"/>
      <c r="QHS1240" s="30"/>
      <c r="QHT1240" s="30"/>
      <c r="QHU1240" s="30"/>
      <c r="QHV1240" s="30"/>
      <c r="QHW1240" s="30"/>
      <c r="QHX1240" s="30"/>
      <c r="QHY1240" s="30"/>
      <c r="QHZ1240" s="30"/>
      <c r="QIA1240" s="30"/>
      <c r="QIB1240" s="30"/>
      <c r="QIC1240" s="30"/>
      <c r="QID1240" s="30"/>
      <c r="QIE1240" s="30"/>
      <c r="QIF1240" s="30"/>
      <c r="QIG1240" s="30"/>
      <c r="QIH1240" s="30"/>
      <c r="QII1240" s="30"/>
      <c r="QIJ1240" s="30"/>
      <c r="QIK1240" s="30"/>
      <c r="QIL1240" s="30"/>
      <c r="QIM1240" s="30"/>
      <c r="QIN1240" s="30"/>
      <c r="QIO1240" s="30"/>
      <c r="QIP1240" s="30"/>
      <c r="QIQ1240" s="30"/>
      <c r="QIR1240" s="30"/>
      <c r="QIS1240" s="30"/>
      <c r="QIT1240" s="30"/>
      <c r="QIU1240" s="30"/>
      <c r="QIV1240" s="30"/>
      <c r="QIW1240" s="30"/>
      <c r="QIX1240" s="30"/>
      <c r="QIY1240" s="30"/>
      <c r="QIZ1240" s="30"/>
      <c r="QJA1240" s="30"/>
      <c r="QJB1240" s="30"/>
      <c r="QJC1240" s="30"/>
      <c r="QJD1240" s="30"/>
      <c r="QJE1240" s="30"/>
      <c r="QJF1240" s="30"/>
      <c r="QJG1240" s="30"/>
      <c r="QJH1240" s="30"/>
      <c r="QJI1240" s="30"/>
      <c r="QJJ1240" s="30"/>
      <c r="QJK1240" s="30"/>
      <c r="QJL1240" s="30"/>
      <c r="QJM1240" s="30"/>
      <c r="QJN1240" s="30"/>
      <c r="QJO1240" s="30"/>
      <c r="QJP1240" s="30"/>
      <c r="QJQ1240" s="30"/>
      <c r="QJR1240" s="30"/>
      <c r="QJS1240" s="30"/>
      <c r="QJT1240" s="30"/>
      <c r="QJU1240" s="30"/>
      <c r="QJV1240" s="30"/>
      <c r="QJW1240" s="30"/>
      <c r="QJX1240" s="30"/>
      <c r="QJY1240" s="30"/>
      <c r="QJZ1240" s="30"/>
      <c r="QKA1240" s="30"/>
      <c r="QKB1240" s="30"/>
      <c r="QKC1240" s="30"/>
      <c r="QKD1240" s="30"/>
      <c r="QKE1240" s="30"/>
      <c r="QKF1240" s="30"/>
      <c r="QKG1240" s="30"/>
      <c r="QKH1240" s="30"/>
      <c r="QKI1240" s="30"/>
      <c r="QKJ1240" s="30"/>
      <c r="QKK1240" s="30"/>
      <c r="QKL1240" s="30"/>
      <c r="QKM1240" s="30"/>
      <c r="QKN1240" s="30"/>
      <c r="QKO1240" s="30"/>
      <c r="QKP1240" s="30"/>
      <c r="QKQ1240" s="30"/>
      <c r="QKR1240" s="30"/>
      <c r="QKS1240" s="30"/>
      <c r="QKT1240" s="30"/>
      <c r="QKU1240" s="30"/>
      <c r="QKV1240" s="30"/>
      <c r="QKW1240" s="30"/>
      <c r="QKX1240" s="30"/>
      <c r="QKY1240" s="30"/>
      <c r="QKZ1240" s="30"/>
      <c r="QLA1240" s="30"/>
      <c r="QLB1240" s="30"/>
      <c r="QLC1240" s="30"/>
      <c r="QLD1240" s="30"/>
      <c r="QLE1240" s="30"/>
      <c r="QLF1240" s="30"/>
      <c r="QLG1240" s="30"/>
      <c r="QLH1240" s="30"/>
      <c r="QLI1240" s="30"/>
      <c r="QLJ1240" s="30"/>
      <c r="QLK1240" s="30"/>
      <c r="QLL1240" s="30"/>
      <c r="QLM1240" s="30"/>
      <c r="QLN1240" s="30"/>
      <c r="QLO1240" s="30"/>
      <c r="QLP1240" s="30"/>
      <c r="QLQ1240" s="30"/>
      <c r="QLR1240" s="30"/>
      <c r="QLS1240" s="30"/>
      <c r="QLT1240" s="30"/>
      <c r="QLU1240" s="30"/>
      <c r="QLV1240" s="30"/>
      <c r="QLW1240" s="30"/>
      <c r="QLX1240" s="30"/>
      <c r="QLY1240" s="30"/>
      <c r="QLZ1240" s="30"/>
      <c r="QMA1240" s="30"/>
      <c r="QMB1240" s="30"/>
      <c r="QMC1240" s="30"/>
      <c r="QMD1240" s="30"/>
      <c r="QME1240" s="30"/>
      <c r="QMF1240" s="30"/>
      <c r="QMG1240" s="30"/>
      <c r="QMH1240" s="30"/>
      <c r="QMI1240" s="30"/>
      <c r="QMJ1240" s="30"/>
      <c r="QMK1240" s="30"/>
      <c r="QML1240" s="30"/>
      <c r="QMM1240" s="30"/>
      <c r="QMN1240" s="30"/>
      <c r="QMO1240" s="30"/>
      <c r="QMP1240" s="30"/>
      <c r="QMQ1240" s="30"/>
      <c r="QMR1240" s="30"/>
      <c r="QMS1240" s="30"/>
      <c r="QMT1240" s="30"/>
      <c r="QMU1240" s="30"/>
      <c r="QMV1240" s="30"/>
      <c r="QMW1240" s="30"/>
      <c r="QMX1240" s="30"/>
      <c r="QMY1240" s="30"/>
      <c r="QMZ1240" s="30"/>
      <c r="QNA1240" s="30"/>
      <c r="QNB1240" s="30"/>
      <c r="QNC1240" s="30"/>
      <c r="QND1240" s="30"/>
      <c r="QNE1240" s="30"/>
      <c r="QNF1240" s="30"/>
      <c r="QNG1240" s="30"/>
      <c r="QNH1240" s="30"/>
      <c r="QNI1240" s="30"/>
      <c r="QNJ1240" s="30"/>
      <c r="QNK1240" s="30"/>
      <c r="QNL1240" s="30"/>
      <c r="QNM1240" s="30"/>
      <c r="QNN1240" s="30"/>
      <c r="QNO1240" s="30"/>
      <c r="QNP1240" s="30"/>
      <c r="QNQ1240" s="30"/>
      <c r="QNR1240" s="30"/>
      <c r="QNS1240" s="30"/>
      <c r="QNT1240" s="30"/>
      <c r="QNU1240" s="30"/>
      <c r="QNV1240" s="30"/>
      <c r="QNW1240" s="30"/>
      <c r="QNX1240" s="30"/>
      <c r="QNY1240" s="30"/>
      <c r="QNZ1240" s="30"/>
      <c r="QOA1240" s="30"/>
      <c r="QOB1240" s="30"/>
      <c r="QOC1240" s="30"/>
      <c r="QOD1240" s="30"/>
      <c r="QOE1240" s="30"/>
      <c r="QOF1240" s="30"/>
      <c r="QOG1240" s="30"/>
      <c r="QOH1240" s="30"/>
      <c r="QOI1240" s="30"/>
      <c r="QOJ1240" s="30"/>
      <c r="QOK1240" s="30"/>
      <c r="QOL1240" s="30"/>
      <c r="QOM1240" s="30"/>
      <c r="QON1240" s="30"/>
      <c r="QOO1240" s="30"/>
      <c r="QOP1240" s="30"/>
      <c r="QOQ1240" s="30"/>
      <c r="QOR1240" s="30"/>
      <c r="QOS1240" s="30"/>
      <c r="QOT1240" s="30"/>
      <c r="QOU1240" s="30"/>
      <c r="QOV1240" s="30"/>
      <c r="QOW1240" s="30"/>
      <c r="QOX1240" s="30"/>
      <c r="QOY1240" s="30"/>
      <c r="QOZ1240" s="30"/>
      <c r="QPA1240" s="30"/>
      <c r="QPB1240" s="30"/>
      <c r="QPC1240" s="30"/>
      <c r="QPD1240" s="30"/>
      <c r="QPE1240" s="30"/>
      <c r="QPF1240" s="30"/>
      <c r="QPG1240" s="30"/>
      <c r="QPH1240" s="30"/>
      <c r="QPI1240" s="30"/>
      <c r="QPJ1240" s="30"/>
      <c r="QPK1240" s="30"/>
      <c r="QPL1240" s="30"/>
      <c r="QPM1240" s="30"/>
      <c r="QPN1240" s="30"/>
      <c r="QPO1240" s="30"/>
      <c r="QPP1240" s="30"/>
      <c r="QPQ1240" s="30"/>
      <c r="QPR1240" s="30"/>
      <c r="QPS1240" s="30"/>
      <c r="QPT1240" s="30"/>
      <c r="QPU1240" s="30"/>
      <c r="QPV1240" s="30"/>
      <c r="QPW1240" s="30"/>
      <c r="QPX1240" s="30"/>
      <c r="QPY1240" s="30"/>
      <c r="QPZ1240" s="30"/>
      <c r="QQA1240" s="30"/>
      <c r="QQB1240" s="30"/>
      <c r="QQC1240" s="30"/>
      <c r="QQD1240" s="30"/>
      <c r="QQE1240" s="30"/>
      <c r="QQF1240" s="30"/>
      <c r="QQG1240" s="30"/>
      <c r="QQH1240" s="30"/>
      <c r="QQI1240" s="30"/>
      <c r="QQJ1240" s="30"/>
      <c r="QQK1240" s="30"/>
      <c r="QQL1240" s="30"/>
      <c r="QQM1240" s="30"/>
      <c r="QQN1240" s="30"/>
      <c r="QQO1240" s="30"/>
      <c r="QQP1240" s="30"/>
      <c r="QQQ1240" s="30"/>
      <c r="QQR1240" s="30"/>
      <c r="QQS1240" s="30"/>
      <c r="QQT1240" s="30"/>
      <c r="QQU1240" s="30"/>
      <c r="QQV1240" s="30"/>
      <c r="QQW1240" s="30"/>
      <c r="QQX1240" s="30"/>
      <c r="QQY1240" s="30"/>
      <c r="QQZ1240" s="30"/>
      <c r="QRA1240" s="30"/>
      <c r="QRB1240" s="30"/>
      <c r="QRC1240" s="30"/>
      <c r="QRD1240" s="30"/>
      <c r="QRE1240" s="30"/>
      <c r="QRF1240" s="30"/>
      <c r="QRG1240" s="30"/>
      <c r="QRH1240" s="30"/>
      <c r="QRI1240" s="30"/>
      <c r="QRJ1240" s="30"/>
      <c r="QRK1240" s="30"/>
      <c r="QRL1240" s="30"/>
      <c r="QRM1240" s="30"/>
      <c r="QRN1240" s="30"/>
      <c r="QRO1240" s="30"/>
      <c r="QRP1240" s="30"/>
      <c r="QRQ1240" s="30"/>
      <c r="QRR1240" s="30"/>
      <c r="QRS1240" s="30"/>
      <c r="QRT1240" s="30"/>
      <c r="QRU1240" s="30"/>
      <c r="QRV1240" s="30"/>
      <c r="QRW1240" s="30"/>
      <c r="QRX1240" s="30"/>
      <c r="QRY1240" s="30"/>
      <c r="QRZ1240" s="30"/>
      <c r="QSA1240" s="30"/>
      <c r="QSB1240" s="30"/>
      <c r="QSC1240" s="30"/>
      <c r="QSD1240" s="30"/>
      <c r="QSE1240" s="30"/>
      <c r="QSF1240" s="30"/>
      <c r="QSG1240" s="30"/>
      <c r="QSH1240" s="30"/>
      <c r="QSI1240" s="30"/>
      <c r="QSJ1240" s="30"/>
      <c r="QSK1240" s="30"/>
      <c r="QSL1240" s="30"/>
      <c r="QSM1240" s="30"/>
      <c r="QSN1240" s="30"/>
      <c r="QSO1240" s="30"/>
      <c r="QSP1240" s="30"/>
      <c r="QSQ1240" s="30"/>
      <c r="QSR1240" s="30"/>
      <c r="QSS1240" s="30"/>
      <c r="QST1240" s="30"/>
      <c r="QSU1240" s="30"/>
      <c r="QSV1240" s="30"/>
      <c r="QSW1240" s="30"/>
      <c r="QSX1240" s="30"/>
      <c r="QSY1240" s="30"/>
      <c r="QSZ1240" s="30"/>
      <c r="QTA1240" s="30"/>
      <c r="QTB1240" s="30"/>
      <c r="QTC1240" s="30"/>
      <c r="QTD1240" s="30"/>
      <c r="QTE1240" s="30"/>
      <c r="QTF1240" s="30"/>
      <c r="QTG1240" s="30"/>
      <c r="QTH1240" s="30"/>
      <c r="QTI1240" s="30"/>
      <c r="QTJ1240" s="30"/>
      <c r="QTK1240" s="30"/>
      <c r="QTL1240" s="30"/>
      <c r="QTM1240" s="30"/>
      <c r="QTN1240" s="30"/>
      <c r="QTO1240" s="30"/>
      <c r="QTP1240" s="30"/>
      <c r="QTQ1240" s="30"/>
      <c r="QTR1240" s="30"/>
      <c r="QTS1240" s="30"/>
      <c r="QTT1240" s="30"/>
      <c r="QTU1240" s="30"/>
      <c r="QTV1240" s="30"/>
      <c r="QTW1240" s="30"/>
      <c r="QTX1240" s="30"/>
      <c r="QTY1240" s="30"/>
      <c r="QTZ1240" s="30"/>
      <c r="QUA1240" s="30"/>
      <c r="QUB1240" s="30"/>
      <c r="QUC1240" s="30"/>
      <c r="QUD1240" s="30"/>
      <c r="QUE1240" s="30"/>
      <c r="QUF1240" s="30"/>
      <c r="QUG1240" s="30"/>
      <c r="QUH1240" s="30"/>
      <c r="QUI1240" s="30"/>
      <c r="QUJ1240" s="30"/>
      <c r="QUK1240" s="30"/>
      <c r="QUL1240" s="30"/>
      <c r="QUM1240" s="30"/>
      <c r="QUN1240" s="30"/>
      <c r="QUO1240" s="30"/>
      <c r="QUP1240" s="30"/>
      <c r="QUQ1240" s="30"/>
      <c r="QUR1240" s="30"/>
      <c r="QUS1240" s="30"/>
      <c r="QUT1240" s="30"/>
      <c r="QUU1240" s="30"/>
      <c r="QUV1240" s="30"/>
      <c r="QUW1240" s="30"/>
      <c r="QUX1240" s="30"/>
      <c r="QUY1240" s="30"/>
      <c r="QUZ1240" s="30"/>
      <c r="QVA1240" s="30"/>
      <c r="QVB1240" s="30"/>
      <c r="QVC1240" s="30"/>
      <c r="QVD1240" s="30"/>
      <c r="QVE1240" s="30"/>
      <c r="QVF1240" s="30"/>
      <c r="QVG1240" s="30"/>
      <c r="QVH1240" s="30"/>
      <c r="QVI1240" s="30"/>
      <c r="QVJ1240" s="30"/>
      <c r="QVK1240" s="30"/>
      <c r="QVL1240" s="30"/>
      <c r="QVM1240" s="30"/>
      <c r="QVN1240" s="30"/>
      <c r="QVO1240" s="30"/>
      <c r="QVP1240" s="30"/>
      <c r="QVQ1240" s="30"/>
      <c r="QVR1240" s="30"/>
      <c r="QVS1240" s="30"/>
      <c r="QVT1240" s="30"/>
      <c r="QVU1240" s="30"/>
      <c r="QVV1240" s="30"/>
      <c r="QVW1240" s="30"/>
      <c r="QVX1240" s="30"/>
      <c r="QVY1240" s="30"/>
      <c r="QVZ1240" s="30"/>
      <c r="QWA1240" s="30"/>
      <c r="QWB1240" s="30"/>
      <c r="QWC1240" s="30"/>
      <c r="QWD1240" s="30"/>
      <c r="QWE1240" s="30"/>
      <c r="QWF1240" s="30"/>
      <c r="QWG1240" s="30"/>
      <c r="QWH1240" s="30"/>
      <c r="QWI1240" s="30"/>
      <c r="QWJ1240" s="30"/>
      <c r="QWK1240" s="30"/>
      <c r="QWL1240" s="30"/>
      <c r="QWM1240" s="30"/>
      <c r="QWN1240" s="30"/>
      <c r="QWO1240" s="30"/>
      <c r="QWP1240" s="30"/>
      <c r="QWQ1240" s="30"/>
      <c r="QWR1240" s="30"/>
      <c r="QWS1240" s="30"/>
      <c r="QWT1240" s="30"/>
      <c r="QWU1240" s="30"/>
      <c r="QWV1240" s="30"/>
      <c r="QWW1240" s="30"/>
      <c r="QWX1240" s="30"/>
      <c r="QWY1240" s="30"/>
      <c r="QWZ1240" s="30"/>
      <c r="QXA1240" s="30"/>
      <c r="QXB1240" s="30"/>
      <c r="QXC1240" s="30"/>
      <c r="QXD1240" s="30"/>
      <c r="QXE1240" s="30"/>
      <c r="QXF1240" s="30"/>
      <c r="QXG1240" s="30"/>
      <c r="QXH1240" s="30"/>
      <c r="QXI1240" s="30"/>
      <c r="QXJ1240" s="30"/>
      <c r="QXK1240" s="30"/>
      <c r="QXL1240" s="30"/>
      <c r="QXM1240" s="30"/>
      <c r="QXN1240" s="30"/>
      <c r="QXO1240" s="30"/>
      <c r="QXP1240" s="30"/>
      <c r="QXQ1240" s="30"/>
      <c r="QXR1240" s="30"/>
      <c r="QXS1240" s="30"/>
      <c r="QXT1240" s="30"/>
      <c r="QXU1240" s="30"/>
      <c r="QXV1240" s="30"/>
      <c r="QXW1240" s="30"/>
      <c r="QXX1240" s="30"/>
      <c r="QXY1240" s="30"/>
      <c r="QXZ1240" s="30"/>
      <c r="QYA1240" s="30"/>
      <c r="QYB1240" s="30"/>
      <c r="QYC1240" s="30"/>
      <c r="QYD1240" s="30"/>
      <c r="QYE1240" s="30"/>
      <c r="QYF1240" s="30"/>
      <c r="QYG1240" s="30"/>
      <c r="QYH1240" s="30"/>
      <c r="QYI1240" s="30"/>
      <c r="QYJ1240" s="30"/>
      <c r="QYK1240" s="30"/>
      <c r="QYL1240" s="30"/>
      <c r="QYM1240" s="30"/>
      <c r="QYN1240" s="30"/>
      <c r="QYO1240" s="30"/>
      <c r="QYP1240" s="30"/>
      <c r="QYQ1240" s="30"/>
      <c r="QYR1240" s="30"/>
      <c r="QYS1240" s="30"/>
      <c r="QYT1240" s="30"/>
      <c r="QYU1240" s="30"/>
      <c r="QYV1240" s="30"/>
      <c r="QYW1240" s="30"/>
      <c r="QYX1240" s="30"/>
      <c r="QYY1240" s="30"/>
      <c r="QYZ1240" s="30"/>
      <c r="QZA1240" s="30"/>
      <c r="QZB1240" s="30"/>
      <c r="QZC1240" s="30"/>
      <c r="QZD1240" s="30"/>
      <c r="QZE1240" s="30"/>
      <c r="QZF1240" s="30"/>
      <c r="QZG1240" s="30"/>
      <c r="QZH1240" s="30"/>
      <c r="QZI1240" s="30"/>
      <c r="QZJ1240" s="30"/>
      <c r="QZK1240" s="30"/>
      <c r="QZL1240" s="30"/>
      <c r="QZM1240" s="30"/>
      <c r="QZN1240" s="30"/>
      <c r="QZO1240" s="30"/>
      <c r="QZP1240" s="30"/>
      <c r="QZQ1240" s="30"/>
      <c r="QZR1240" s="30"/>
      <c r="QZS1240" s="30"/>
      <c r="QZT1240" s="30"/>
      <c r="QZU1240" s="30"/>
      <c r="QZV1240" s="30"/>
      <c r="QZW1240" s="30"/>
      <c r="QZX1240" s="30"/>
      <c r="QZY1240" s="30"/>
      <c r="QZZ1240" s="30"/>
      <c r="RAA1240" s="30"/>
      <c r="RAB1240" s="30"/>
      <c r="RAC1240" s="30"/>
      <c r="RAD1240" s="30"/>
      <c r="RAE1240" s="30"/>
      <c r="RAF1240" s="30"/>
      <c r="RAG1240" s="30"/>
      <c r="RAH1240" s="30"/>
      <c r="RAI1240" s="30"/>
      <c r="RAJ1240" s="30"/>
      <c r="RAK1240" s="30"/>
      <c r="RAL1240" s="30"/>
      <c r="RAM1240" s="30"/>
      <c r="RAN1240" s="30"/>
      <c r="RAO1240" s="30"/>
      <c r="RAP1240" s="30"/>
      <c r="RAQ1240" s="30"/>
      <c r="RAR1240" s="30"/>
      <c r="RAS1240" s="30"/>
      <c r="RAT1240" s="30"/>
      <c r="RAU1240" s="30"/>
      <c r="RAV1240" s="30"/>
      <c r="RAW1240" s="30"/>
      <c r="RAX1240" s="30"/>
      <c r="RAY1240" s="30"/>
      <c r="RAZ1240" s="30"/>
      <c r="RBA1240" s="30"/>
      <c r="RBB1240" s="30"/>
      <c r="RBC1240" s="30"/>
      <c r="RBD1240" s="30"/>
      <c r="RBE1240" s="30"/>
      <c r="RBF1240" s="30"/>
      <c r="RBG1240" s="30"/>
      <c r="RBH1240" s="30"/>
      <c r="RBI1240" s="30"/>
      <c r="RBJ1240" s="30"/>
      <c r="RBK1240" s="30"/>
      <c r="RBL1240" s="30"/>
      <c r="RBM1240" s="30"/>
      <c r="RBN1240" s="30"/>
      <c r="RBO1240" s="30"/>
      <c r="RBP1240" s="30"/>
      <c r="RBQ1240" s="30"/>
      <c r="RBR1240" s="30"/>
      <c r="RBS1240" s="30"/>
      <c r="RBT1240" s="30"/>
      <c r="RBU1240" s="30"/>
      <c r="RBV1240" s="30"/>
      <c r="RBW1240" s="30"/>
      <c r="RBX1240" s="30"/>
      <c r="RBY1240" s="30"/>
      <c r="RBZ1240" s="30"/>
      <c r="RCA1240" s="30"/>
      <c r="RCB1240" s="30"/>
      <c r="RCC1240" s="30"/>
      <c r="RCD1240" s="30"/>
      <c r="RCE1240" s="30"/>
      <c r="RCF1240" s="30"/>
      <c r="RCG1240" s="30"/>
      <c r="RCH1240" s="30"/>
      <c r="RCI1240" s="30"/>
      <c r="RCJ1240" s="30"/>
      <c r="RCK1240" s="30"/>
      <c r="RCL1240" s="30"/>
      <c r="RCM1240" s="30"/>
      <c r="RCN1240" s="30"/>
      <c r="RCO1240" s="30"/>
      <c r="RCP1240" s="30"/>
      <c r="RCQ1240" s="30"/>
      <c r="RCR1240" s="30"/>
      <c r="RCS1240" s="30"/>
      <c r="RCT1240" s="30"/>
      <c r="RCU1240" s="30"/>
      <c r="RCV1240" s="30"/>
      <c r="RCW1240" s="30"/>
      <c r="RCX1240" s="30"/>
      <c r="RCY1240" s="30"/>
      <c r="RCZ1240" s="30"/>
      <c r="RDA1240" s="30"/>
      <c r="RDB1240" s="30"/>
      <c r="RDC1240" s="30"/>
      <c r="RDD1240" s="30"/>
      <c r="RDE1240" s="30"/>
      <c r="RDF1240" s="30"/>
      <c r="RDG1240" s="30"/>
      <c r="RDH1240" s="30"/>
      <c r="RDI1240" s="30"/>
      <c r="RDJ1240" s="30"/>
      <c r="RDK1240" s="30"/>
      <c r="RDL1240" s="30"/>
      <c r="RDM1240" s="30"/>
      <c r="RDN1240" s="30"/>
      <c r="RDO1240" s="30"/>
      <c r="RDP1240" s="30"/>
      <c r="RDQ1240" s="30"/>
      <c r="RDR1240" s="30"/>
      <c r="RDS1240" s="30"/>
      <c r="RDT1240" s="30"/>
      <c r="RDU1240" s="30"/>
      <c r="RDV1240" s="30"/>
      <c r="RDW1240" s="30"/>
      <c r="RDX1240" s="30"/>
      <c r="RDY1240" s="30"/>
      <c r="RDZ1240" s="30"/>
      <c r="REA1240" s="30"/>
      <c r="REB1240" s="30"/>
      <c r="REC1240" s="30"/>
      <c r="RED1240" s="30"/>
      <c r="REE1240" s="30"/>
      <c r="REF1240" s="30"/>
      <c r="REG1240" s="30"/>
      <c r="REH1240" s="30"/>
      <c r="REI1240" s="30"/>
      <c r="REJ1240" s="30"/>
      <c r="REK1240" s="30"/>
      <c r="REL1240" s="30"/>
      <c r="REM1240" s="30"/>
      <c r="REN1240" s="30"/>
      <c r="REO1240" s="30"/>
      <c r="REP1240" s="30"/>
      <c r="REQ1240" s="30"/>
      <c r="RER1240" s="30"/>
      <c r="RES1240" s="30"/>
      <c r="RET1240" s="30"/>
      <c r="REU1240" s="30"/>
      <c r="REV1240" s="30"/>
      <c r="REW1240" s="30"/>
      <c r="REX1240" s="30"/>
      <c r="REY1240" s="30"/>
      <c r="REZ1240" s="30"/>
      <c r="RFA1240" s="30"/>
      <c r="RFB1240" s="30"/>
      <c r="RFC1240" s="30"/>
      <c r="RFD1240" s="30"/>
      <c r="RFE1240" s="30"/>
      <c r="RFF1240" s="30"/>
      <c r="RFG1240" s="30"/>
      <c r="RFH1240" s="30"/>
      <c r="RFI1240" s="30"/>
      <c r="RFJ1240" s="30"/>
      <c r="RFK1240" s="30"/>
      <c r="RFL1240" s="30"/>
      <c r="RFM1240" s="30"/>
      <c r="RFN1240" s="30"/>
      <c r="RFO1240" s="30"/>
      <c r="RFP1240" s="30"/>
      <c r="RFQ1240" s="30"/>
      <c r="RFR1240" s="30"/>
      <c r="RFS1240" s="30"/>
      <c r="RFT1240" s="30"/>
      <c r="RFU1240" s="30"/>
      <c r="RFV1240" s="30"/>
      <c r="RFW1240" s="30"/>
      <c r="RFX1240" s="30"/>
      <c r="RFY1240" s="30"/>
      <c r="RFZ1240" s="30"/>
      <c r="RGA1240" s="30"/>
      <c r="RGB1240" s="30"/>
      <c r="RGC1240" s="30"/>
      <c r="RGD1240" s="30"/>
      <c r="RGE1240" s="30"/>
      <c r="RGF1240" s="30"/>
      <c r="RGG1240" s="30"/>
      <c r="RGH1240" s="30"/>
      <c r="RGI1240" s="30"/>
      <c r="RGJ1240" s="30"/>
      <c r="RGK1240" s="30"/>
      <c r="RGL1240" s="30"/>
      <c r="RGM1240" s="30"/>
      <c r="RGN1240" s="30"/>
      <c r="RGO1240" s="30"/>
      <c r="RGP1240" s="30"/>
      <c r="RGQ1240" s="30"/>
      <c r="RGR1240" s="30"/>
      <c r="RGS1240" s="30"/>
      <c r="RGT1240" s="30"/>
      <c r="RGU1240" s="30"/>
      <c r="RGV1240" s="30"/>
      <c r="RGW1240" s="30"/>
      <c r="RGX1240" s="30"/>
      <c r="RGY1240" s="30"/>
      <c r="RGZ1240" s="30"/>
      <c r="RHA1240" s="30"/>
      <c r="RHB1240" s="30"/>
      <c r="RHC1240" s="30"/>
      <c r="RHD1240" s="30"/>
      <c r="RHE1240" s="30"/>
      <c r="RHF1240" s="30"/>
      <c r="RHG1240" s="30"/>
      <c r="RHH1240" s="30"/>
      <c r="RHI1240" s="30"/>
      <c r="RHJ1240" s="30"/>
      <c r="RHK1240" s="30"/>
      <c r="RHL1240" s="30"/>
      <c r="RHM1240" s="30"/>
      <c r="RHN1240" s="30"/>
      <c r="RHO1240" s="30"/>
      <c r="RHP1240" s="30"/>
      <c r="RHQ1240" s="30"/>
      <c r="RHR1240" s="30"/>
      <c r="RHS1240" s="30"/>
      <c r="RHT1240" s="30"/>
      <c r="RHU1240" s="30"/>
      <c r="RHV1240" s="30"/>
      <c r="RHW1240" s="30"/>
      <c r="RHX1240" s="30"/>
      <c r="RHY1240" s="30"/>
      <c r="RHZ1240" s="30"/>
      <c r="RIA1240" s="30"/>
      <c r="RIB1240" s="30"/>
      <c r="RIC1240" s="30"/>
      <c r="RID1240" s="30"/>
      <c r="RIE1240" s="30"/>
      <c r="RIF1240" s="30"/>
      <c r="RIG1240" s="30"/>
      <c r="RIH1240" s="30"/>
      <c r="RII1240" s="30"/>
      <c r="RIJ1240" s="30"/>
      <c r="RIK1240" s="30"/>
      <c r="RIL1240" s="30"/>
      <c r="RIM1240" s="30"/>
      <c r="RIN1240" s="30"/>
      <c r="RIO1240" s="30"/>
      <c r="RIP1240" s="30"/>
      <c r="RIQ1240" s="30"/>
      <c r="RIR1240" s="30"/>
      <c r="RIS1240" s="30"/>
      <c r="RIT1240" s="30"/>
      <c r="RIU1240" s="30"/>
      <c r="RIV1240" s="30"/>
      <c r="RIW1240" s="30"/>
      <c r="RIX1240" s="30"/>
      <c r="RIY1240" s="30"/>
      <c r="RIZ1240" s="30"/>
      <c r="RJA1240" s="30"/>
      <c r="RJB1240" s="30"/>
      <c r="RJC1240" s="30"/>
      <c r="RJD1240" s="30"/>
      <c r="RJE1240" s="30"/>
      <c r="RJF1240" s="30"/>
      <c r="RJG1240" s="30"/>
      <c r="RJH1240" s="30"/>
      <c r="RJI1240" s="30"/>
      <c r="RJJ1240" s="30"/>
      <c r="RJK1240" s="30"/>
      <c r="RJL1240" s="30"/>
      <c r="RJM1240" s="30"/>
      <c r="RJN1240" s="30"/>
      <c r="RJO1240" s="30"/>
      <c r="RJP1240" s="30"/>
      <c r="RJQ1240" s="30"/>
      <c r="RJR1240" s="30"/>
      <c r="RJS1240" s="30"/>
      <c r="RJT1240" s="30"/>
      <c r="RJU1240" s="30"/>
      <c r="RJV1240" s="30"/>
      <c r="RJW1240" s="30"/>
      <c r="RJX1240" s="30"/>
      <c r="RJY1240" s="30"/>
      <c r="RJZ1240" s="30"/>
      <c r="RKA1240" s="30"/>
      <c r="RKB1240" s="30"/>
      <c r="RKC1240" s="30"/>
      <c r="RKD1240" s="30"/>
      <c r="RKE1240" s="30"/>
      <c r="RKF1240" s="30"/>
      <c r="RKG1240" s="30"/>
      <c r="RKH1240" s="30"/>
      <c r="RKI1240" s="30"/>
      <c r="RKJ1240" s="30"/>
      <c r="RKK1240" s="30"/>
      <c r="RKL1240" s="30"/>
      <c r="RKM1240" s="30"/>
      <c r="RKN1240" s="30"/>
      <c r="RKO1240" s="30"/>
      <c r="RKP1240" s="30"/>
      <c r="RKQ1240" s="30"/>
      <c r="RKR1240" s="30"/>
      <c r="RKS1240" s="30"/>
      <c r="RKT1240" s="30"/>
      <c r="RKU1240" s="30"/>
      <c r="RKV1240" s="30"/>
      <c r="RKW1240" s="30"/>
      <c r="RKX1240" s="30"/>
      <c r="RKY1240" s="30"/>
      <c r="RKZ1240" s="30"/>
      <c r="RLA1240" s="30"/>
      <c r="RLB1240" s="30"/>
      <c r="RLC1240" s="30"/>
      <c r="RLD1240" s="30"/>
      <c r="RLE1240" s="30"/>
      <c r="RLF1240" s="30"/>
      <c r="RLG1240" s="30"/>
      <c r="RLH1240" s="30"/>
      <c r="RLI1240" s="30"/>
      <c r="RLJ1240" s="30"/>
      <c r="RLK1240" s="30"/>
      <c r="RLL1240" s="30"/>
      <c r="RLM1240" s="30"/>
      <c r="RLN1240" s="30"/>
      <c r="RLO1240" s="30"/>
      <c r="RLP1240" s="30"/>
      <c r="RLQ1240" s="30"/>
      <c r="RLR1240" s="30"/>
      <c r="RLS1240" s="30"/>
      <c r="RLT1240" s="30"/>
      <c r="RLU1240" s="30"/>
      <c r="RLV1240" s="30"/>
      <c r="RLW1240" s="30"/>
      <c r="RLX1240" s="30"/>
      <c r="RLY1240" s="30"/>
      <c r="RLZ1240" s="30"/>
      <c r="RMA1240" s="30"/>
      <c r="RMB1240" s="30"/>
      <c r="RMC1240" s="30"/>
      <c r="RMD1240" s="30"/>
      <c r="RME1240" s="30"/>
      <c r="RMF1240" s="30"/>
      <c r="RMG1240" s="30"/>
      <c r="RMH1240" s="30"/>
      <c r="RMI1240" s="30"/>
      <c r="RMJ1240" s="30"/>
      <c r="RMK1240" s="30"/>
      <c r="RML1240" s="30"/>
      <c r="RMM1240" s="30"/>
      <c r="RMN1240" s="30"/>
      <c r="RMO1240" s="30"/>
      <c r="RMP1240" s="30"/>
      <c r="RMQ1240" s="30"/>
      <c r="RMR1240" s="30"/>
      <c r="RMS1240" s="30"/>
      <c r="RMT1240" s="30"/>
      <c r="RMU1240" s="30"/>
      <c r="RMV1240" s="30"/>
      <c r="RMW1240" s="30"/>
      <c r="RMX1240" s="30"/>
      <c r="RMY1240" s="30"/>
      <c r="RMZ1240" s="30"/>
      <c r="RNA1240" s="30"/>
      <c r="RNB1240" s="30"/>
      <c r="RNC1240" s="30"/>
      <c r="RND1240" s="30"/>
      <c r="RNE1240" s="30"/>
      <c r="RNF1240" s="30"/>
      <c r="RNG1240" s="30"/>
      <c r="RNH1240" s="30"/>
      <c r="RNI1240" s="30"/>
      <c r="RNJ1240" s="30"/>
      <c r="RNK1240" s="30"/>
      <c r="RNL1240" s="30"/>
      <c r="RNM1240" s="30"/>
      <c r="RNN1240" s="30"/>
      <c r="RNO1240" s="30"/>
      <c r="RNP1240" s="30"/>
      <c r="RNQ1240" s="30"/>
      <c r="RNR1240" s="30"/>
      <c r="RNS1240" s="30"/>
      <c r="RNT1240" s="30"/>
      <c r="RNU1240" s="30"/>
      <c r="RNV1240" s="30"/>
      <c r="RNW1240" s="30"/>
      <c r="RNX1240" s="30"/>
      <c r="RNY1240" s="30"/>
      <c r="RNZ1240" s="30"/>
      <c r="ROA1240" s="30"/>
      <c r="ROB1240" s="30"/>
      <c r="ROC1240" s="30"/>
      <c r="ROD1240" s="30"/>
      <c r="ROE1240" s="30"/>
      <c r="ROF1240" s="30"/>
      <c r="ROG1240" s="30"/>
      <c r="ROH1240" s="30"/>
      <c r="ROI1240" s="30"/>
      <c r="ROJ1240" s="30"/>
      <c r="ROK1240" s="30"/>
      <c r="ROL1240" s="30"/>
      <c r="ROM1240" s="30"/>
      <c r="RON1240" s="30"/>
      <c r="ROO1240" s="30"/>
      <c r="ROP1240" s="30"/>
      <c r="ROQ1240" s="30"/>
      <c r="ROR1240" s="30"/>
      <c r="ROS1240" s="30"/>
      <c r="ROT1240" s="30"/>
      <c r="ROU1240" s="30"/>
      <c r="ROV1240" s="30"/>
      <c r="ROW1240" s="30"/>
      <c r="ROX1240" s="30"/>
      <c r="ROY1240" s="30"/>
      <c r="ROZ1240" s="30"/>
      <c r="RPA1240" s="30"/>
      <c r="RPB1240" s="30"/>
      <c r="RPC1240" s="30"/>
      <c r="RPD1240" s="30"/>
      <c r="RPE1240" s="30"/>
      <c r="RPF1240" s="30"/>
      <c r="RPG1240" s="30"/>
      <c r="RPH1240" s="30"/>
      <c r="RPI1240" s="30"/>
      <c r="RPJ1240" s="30"/>
      <c r="RPK1240" s="30"/>
      <c r="RPL1240" s="30"/>
      <c r="RPM1240" s="30"/>
      <c r="RPN1240" s="30"/>
      <c r="RPO1240" s="30"/>
      <c r="RPP1240" s="30"/>
      <c r="RPQ1240" s="30"/>
      <c r="RPR1240" s="30"/>
      <c r="RPS1240" s="30"/>
      <c r="RPT1240" s="30"/>
      <c r="RPU1240" s="30"/>
      <c r="RPV1240" s="30"/>
      <c r="RPW1240" s="30"/>
      <c r="RPX1240" s="30"/>
      <c r="RPY1240" s="30"/>
      <c r="RPZ1240" s="30"/>
      <c r="RQA1240" s="30"/>
      <c r="RQB1240" s="30"/>
      <c r="RQC1240" s="30"/>
      <c r="RQD1240" s="30"/>
      <c r="RQE1240" s="30"/>
      <c r="RQF1240" s="30"/>
      <c r="RQG1240" s="30"/>
      <c r="RQH1240" s="30"/>
      <c r="RQI1240" s="30"/>
      <c r="RQJ1240" s="30"/>
      <c r="RQK1240" s="30"/>
      <c r="RQL1240" s="30"/>
      <c r="RQM1240" s="30"/>
      <c r="RQN1240" s="30"/>
      <c r="RQO1240" s="30"/>
      <c r="RQP1240" s="30"/>
      <c r="RQQ1240" s="30"/>
      <c r="RQR1240" s="30"/>
      <c r="RQS1240" s="30"/>
      <c r="RQT1240" s="30"/>
      <c r="RQU1240" s="30"/>
      <c r="RQV1240" s="30"/>
      <c r="RQW1240" s="30"/>
      <c r="RQX1240" s="30"/>
      <c r="RQY1240" s="30"/>
      <c r="RQZ1240" s="30"/>
      <c r="RRA1240" s="30"/>
      <c r="RRB1240" s="30"/>
      <c r="RRC1240" s="30"/>
      <c r="RRD1240" s="30"/>
      <c r="RRE1240" s="30"/>
      <c r="RRF1240" s="30"/>
      <c r="RRG1240" s="30"/>
      <c r="RRH1240" s="30"/>
      <c r="RRI1240" s="30"/>
      <c r="RRJ1240" s="30"/>
      <c r="RRK1240" s="30"/>
      <c r="RRL1240" s="30"/>
      <c r="RRM1240" s="30"/>
      <c r="RRN1240" s="30"/>
      <c r="RRO1240" s="30"/>
      <c r="RRP1240" s="30"/>
      <c r="RRQ1240" s="30"/>
      <c r="RRR1240" s="30"/>
      <c r="RRS1240" s="30"/>
      <c r="RRT1240" s="30"/>
      <c r="RRU1240" s="30"/>
      <c r="RRV1240" s="30"/>
      <c r="RRW1240" s="30"/>
      <c r="RRX1240" s="30"/>
      <c r="RRY1240" s="30"/>
      <c r="RRZ1240" s="30"/>
      <c r="RSA1240" s="30"/>
      <c r="RSB1240" s="30"/>
      <c r="RSC1240" s="30"/>
      <c r="RSD1240" s="30"/>
      <c r="RSE1240" s="30"/>
      <c r="RSF1240" s="30"/>
      <c r="RSG1240" s="30"/>
      <c r="RSH1240" s="30"/>
      <c r="RSI1240" s="30"/>
      <c r="RSJ1240" s="30"/>
      <c r="RSK1240" s="30"/>
      <c r="RSL1240" s="30"/>
      <c r="RSM1240" s="30"/>
      <c r="RSN1240" s="30"/>
      <c r="RSO1240" s="30"/>
      <c r="RSP1240" s="30"/>
      <c r="RSQ1240" s="30"/>
      <c r="RSR1240" s="30"/>
      <c r="RSS1240" s="30"/>
      <c r="RST1240" s="30"/>
      <c r="RSU1240" s="30"/>
      <c r="RSV1240" s="30"/>
      <c r="RSW1240" s="30"/>
      <c r="RSX1240" s="30"/>
      <c r="RSY1240" s="30"/>
      <c r="RSZ1240" s="30"/>
      <c r="RTA1240" s="30"/>
      <c r="RTB1240" s="30"/>
      <c r="RTC1240" s="30"/>
      <c r="RTD1240" s="30"/>
      <c r="RTE1240" s="30"/>
      <c r="RTF1240" s="30"/>
      <c r="RTG1240" s="30"/>
      <c r="RTH1240" s="30"/>
      <c r="RTI1240" s="30"/>
      <c r="RTJ1240" s="30"/>
      <c r="RTK1240" s="30"/>
      <c r="RTL1240" s="30"/>
      <c r="RTM1240" s="30"/>
      <c r="RTN1240" s="30"/>
      <c r="RTO1240" s="30"/>
      <c r="RTP1240" s="30"/>
      <c r="RTQ1240" s="30"/>
      <c r="RTR1240" s="30"/>
      <c r="RTS1240" s="30"/>
      <c r="RTT1240" s="30"/>
      <c r="RTU1240" s="30"/>
      <c r="RTV1240" s="30"/>
      <c r="RTW1240" s="30"/>
      <c r="RTX1240" s="30"/>
      <c r="RTY1240" s="30"/>
      <c r="RTZ1240" s="30"/>
      <c r="RUA1240" s="30"/>
      <c r="RUB1240" s="30"/>
      <c r="RUC1240" s="30"/>
      <c r="RUD1240" s="30"/>
      <c r="RUE1240" s="30"/>
      <c r="RUF1240" s="30"/>
      <c r="RUG1240" s="30"/>
      <c r="RUH1240" s="30"/>
      <c r="RUI1240" s="30"/>
      <c r="RUJ1240" s="30"/>
      <c r="RUK1240" s="30"/>
      <c r="RUL1240" s="30"/>
      <c r="RUM1240" s="30"/>
      <c r="RUN1240" s="30"/>
      <c r="RUO1240" s="30"/>
      <c r="RUP1240" s="30"/>
      <c r="RUQ1240" s="30"/>
      <c r="RUR1240" s="30"/>
      <c r="RUS1240" s="30"/>
      <c r="RUT1240" s="30"/>
      <c r="RUU1240" s="30"/>
      <c r="RUV1240" s="30"/>
      <c r="RUW1240" s="30"/>
      <c r="RUX1240" s="30"/>
      <c r="RUY1240" s="30"/>
      <c r="RUZ1240" s="30"/>
      <c r="RVA1240" s="30"/>
      <c r="RVB1240" s="30"/>
      <c r="RVC1240" s="30"/>
      <c r="RVD1240" s="30"/>
      <c r="RVE1240" s="30"/>
      <c r="RVF1240" s="30"/>
      <c r="RVG1240" s="30"/>
      <c r="RVH1240" s="30"/>
      <c r="RVI1240" s="30"/>
      <c r="RVJ1240" s="30"/>
      <c r="RVK1240" s="30"/>
      <c r="RVL1240" s="30"/>
      <c r="RVM1240" s="30"/>
      <c r="RVN1240" s="30"/>
      <c r="RVO1240" s="30"/>
      <c r="RVP1240" s="30"/>
      <c r="RVQ1240" s="30"/>
      <c r="RVR1240" s="30"/>
      <c r="RVS1240" s="30"/>
      <c r="RVT1240" s="30"/>
      <c r="RVU1240" s="30"/>
      <c r="RVV1240" s="30"/>
      <c r="RVW1240" s="30"/>
      <c r="RVX1240" s="30"/>
      <c r="RVY1240" s="30"/>
      <c r="RVZ1240" s="30"/>
      <c r="RWA1240" s="30"/>
      <c r="RWB1240" s="30"/>
      <c r="RWC1240" s="30"/>
      <c r="RWD1240" s="30"/>
      <c r="RWE1240" s="30"/>
      <c r="RWF1240" s="30"/>
      <c r="RWG1240" s="30"/>
      <c r="RWH1240" s="30"/>
      <c r="RWI1240" s="30"/>
      <c r="RWJ1240" s="30"/>
      <c r="RWK1240" s="30"/>
      <c r="RWL1240" s="30"/>
      <c r="RWM1240" s="30"/>
      <c r="RWN1240" s="30"/>
      <c r="RWO1240" s="30"/>
      <c r="RWP1240" s="30"/>
      <c r="RWQ1240" s="30"/>
      <c r="RWR1240" s="30"/>
      <c r="RWS1240" s="30"/>
      <c r="RWT1240" s="30"/>
      <c r="RWU1240" s="30"/>
      <c r="RWV1240" s="30"/>
      <c r="RWW1240" s="30"/>
      <c r="RWX1240" s="30"/>
      <c r="RWY1240" s="30"/>
      <c r="RWZ1240" s="30"/>
      <c r="RXA1240" s="30"/>
      <c r="RXB1240" s="30"/>
      <c r="RXC1240" s="30"/>
      <c r="RXD1240" s="30"/>
      <c r="RXE1240" s="30"/>
      <c r="RXF1240" s="30"/>
      <c r="RXG1240" s="30"/>
      <c r="RXH1240" s="30"/>
      <c r="RXI1240" s="30"/>
      <c r="RXJ1240" s="30"/>
      <c r="RXK1240" s="30"/>
      <c r="RXL1240" s="30"/>
      <c r="RXM1240" s="30"/>
      <c r="RXN1240" s="30"/>
      <c r="RXO1240" s="30"/>
      <c r="RXP1240" s="30"/>
      <c r="RXQ1240" s="30"/>
      <c r="RXR1240" s="30"/>
      <c r="RXS1240" s="30"/>
      <c r="RXT1240" s="30"/>
      <c r="RXU1240" s="30"/>
      <c r="RXV1240" s="30"/>
      <c r="RXW1240" s="30"/>
      <c r="RXX1240" s="30"/>
      <c r="RXY1240" s="30"/>
      <c r="RXZ1240" s="30"/>
      <c r="RYA1240" s="30"/>
      <c r="RYB1240" s="30"/>
      <c r="RYC1240" s="30"/>
      <c r="RYD1240" s="30"/>
      <c r="RYE1240" s="30"/>
      <c r="RYF1240" s="30"/>
      <c r="RYG1240" s="30"/>
      <c r="RYH1240" s="30"/>
      <c r="RYI1240" s="30"/>
      <c r="RYJ1240" s="30"/>
      <c r="RYK1240" s="30"/>
      <c r="RYL1240" s="30"/>
      <c r="RYM1240" s="30"/>
      <c r="RYN1240" s="30"/>
      <c r="RYO1240" s="30"/>
      <c r="RYP1240" s="30"/>
      <c r="RYQ1240" s="30"/>
      <c r="RYR1240" s="30"/>
      <c r="RYS1240" s="30"/>
      <c r="RYT1240" s="30"/>
      <c r="RYU1240" s="30"/>
      <c r="RYV1240" s="30"/>
      <c r="RYW1240" s="30"/>
      <c r="RYX1240" s="30"/>
      <c r="RYY1240" s="30"/>
      <c r="RYZ1240" s="30"/>
      <c r="RZA1240" s="30"/>
      <c r="RZB1240" s="30"/>
      <c r="RZC1240" s="30"/>
      <c r="RZD1240" s="30"/>
      <c r="RZE1240" s="30"/>
      <c r="RZF1240" s="30"/>
      <c r="RZG1240" s="30"/>
      <c r="RZH1240" s="30"/>
      <c r="RZI1240" s="30"/>
      <c r="RZJ1240" s="30"/>
      <c r="RZK1240" s="30"/>
      <c r="RZL1240" s="30"/>
      <c r="RZM1240" s="30"/>
      <c r="RZN1240" s="30"/>
      <c r="RZO1240" s="30"/>
      <c r="RZP1240" s="30"/>
      <c r="RZQ1240" s="30"/>
      <c r="RZR1240" s="30"/>
      <c r="RZS1240" s="30"/>
      <c r="RZT1240" s="30"/>
      <c r="RZU1240" s="30"/>
      <c r="RZV1240" s="30"/>
      <c r="RZW1240" s="30"/>
      <c r="RZX1240" s="30"/>
      <c r="RZY1240" s="30"/>
      <c r="RZZ1240" s="30"/>
      <c r="SAA1240" s="30"/>
      <c r="SAB1240" s="30"/>
      <c r="SAC1240" s="30"/>
      <c r="SAD1240" s="30"/>
      <c r="SAE1240" s="30"/>
      <c r="SAF1240" s="30"/>
      <c r="SAG1240" s="30"/>
      <c r="SAH1240" s="30"/>
      <c r="SAI1240" s="30"/>
      <c r="SAJ1240" s="30"/>
      <c r="SAK1240" s="30"/>
      <c r="SAL1240" s="30"/>
      <c r="SAM1240" s="30"/>
      <c r="SAN1240" s="30"/>
      <c r="SAO1240" s="30"/>
      <c r="SAP1240" s="30"/>
      <c r="SAQ1240" s="30"/>
      <c r="SAR1240" s="30"/>
      <c r="SAS1240" s="30"/>
      <c r="SAT1240" s="30"/>
      <c r="SAU1240" s="30"/>
      <c r="SAV1240" s="30"/>
      <c r="SAW1240" s="30"/>
      <c r="SAX1240" s="30"/>
      <c r="SAY1240" s="30"/>
      <c r="SAZ1240" s="30"/>
      <c r="SBA1240" s="30"/>
      <c r="SBB1240" s="30"/>
      <c r="SBC1240" s="30"/>
      <c r="SBD1240" s="30"/>
      <c r="SBE1240" s="30"/>
      <c r="SBF1240" s="30"/>
      <c r="SBG1240" s="30"/>
      <c r="SBH1240" s="30"/>
      <c r="SBI1240" s="30"/>
      <c r="SBJ1240" s="30"/>
      <c r="SBK1240" s="30"/>
      <c r="SBL1240" s="30"/>
      <c r="SBM1240" s="30"/>
      <c r="SBN1240" s="30"/>
      <c r="SBO1240" s="30"/>
      <c r="SBP1240" s="30"/>
      <c r="SBQ1240" s="30"/>
      <c r="SBR1240" s="30"/>
      <c r="SBS1240" s="30"/>
      <c r="SBT1240" s="30"/>
      <c r="SBU1240" s="30"/>
      <c r="SBV1240" s="30"/>
      <c r="SBW1240" s="30"/>
      <c r="SBX1240" s="30"/>
      <c r="SBY1240" s="30"/>
      <c r="SBZ1240" s="30"/>
      <c r="SCA1240" s="30"/>
      <c r="SCB1240" s="30"/>
      <c r="SCC1240" s="30"/>
      <c r="SCD1240" s="30"/>
      <c r="SCE1240" s="30"/>
      <c r="SCF1240" s="30"/>
      <c r="SCG1240" s="30"/>
      <c r="SCH1240" s="30"/>
      <c r="SCI1240" s="30"/>
      <c r="SCJ1240" s="30"/>
      <c r="SCK1240" s="30"/>
      <c r="SCL1240" s="30"/>
      <c r="SCM1240" s="30"/>
      <c r="SCN1240" s="30"/>
      <c r="SCO1240" s="30"/>
      <c r="SCP1240" s="30"/>
      <c r="SCQ1240" s="30"/>
      <c r="SCR1240" s="30"/>
      <c r="SCS1240" s="30"/>
      <c r="SCT1240" s="30"/>
      <c r="SCU1240" s="30"/>
      <c r="SCV1240" s="30"/>
      <c r="SCW1240" s="30"/>
      <c r="SCX1240" s="30"/>
      <c r="SCY1240" s="30"/>
      <c r="SCZ1240" s="30"/>
      <c r="SDA1240" s="30"/>
      <c r="SDB1240" s="30"/>
      <c r="SDC1240" s="30"/>
      <c r="SDD1240" s="30"/>
      <c r="SDE1240" s="30"/>
      <c r="SDF1240" s="30"/>
      <c r="SDG1240" s="30"/>
      <c r="SDH1240" s="30"/>
      <c r="SDI1240" s="30"/>
      <c r="SDJ1240" s="30"/>
      <c r="SDK1240" s="30"/>
      <c r="SDL1240" s="30"/>
      <c r="SDM1240" s="30"/>
      <c r="SDN1240" s="30"/>
      <c r="SDO1240" s="30"/>
      <c r="SDP1240" s="30"/>
      <c r="SDQ1240" s="30"/>
      <c r="SDR1240" s="30"/>
      <c r="SDS1240" s="30"/>
      <c r="SDT1240" s="30"/>
      <c r="SDU1240" s="30"/>
      <c r="SDV1240" s="30"/>
      <c r="SDW1240" s="30"/>
      <c r="SDX1240" s="30"/>
      <c r="SDY1240" s="30"/>
      <c r="SDZ1240" s="30"/>
      <c r="SEA1240" s="30"/>
      <c r="SEB1240" s="30"/>
      <c r="SEC1240" s="30"/>
      <c r="SED1240" s="30"/>
      <c r="SEE1240" s="30"/>
      <c r="SEF1240" s="30"/>
      <c r="SEG1240" s="30"/>
      <c r="SEH1240" s="30"/>
      <c r="SEI1240" s="30"/>
      <c r="SEJ1240" s="30"/>
      <c r="SEK1240" s="30"/>
      <c r="SEL1240" s="30"/>
      <c r="SEM1240" s="30"/>
      <c r="SEN1240" s="30"/>
      <c r="SEO1240" s="30"/>
      <c r="SEP1240" s="30"/>
      <c r="SEQ1240" s="30"/>
      <c r="SER1240" s="30"/>
      <c r="SES1240" s="30"/>
      <c r="SET1240" s="30"/>
      <c r="SEU1240" s="30"/>
      <c r="SEV1240" s="30"/>
      <c r="SEW1240" s="30"/>
      <c r="SEX1240" s="30"/>
      <c r="SEY1240" s="30"/>
      <c r="SEZ1240" s="30"/>
      <c r="SFA1240" s="30"/>
      <c r="SFB1240" s="30"/>
      <c r="SFC1240" s="30"/>
      <c r="SFD1240" s="30"/>
      <c r="SFE1240" s="30"/>
      <c r="SFF1240" s="30"/>
      <c r="SFG1240" s="30"/>
      <c r="SFH1240" s="30"/>
      <c r="SFI1240" s="30"/>
      <c r="SFJ1240" s="30"/>
      <c r="SFK1240" s="30"/>
      <c r="SFL1240" s="30"/>
      <c r="SFM1240" s="30"/>
      <c r="SFN1240" s="30"/>
      <c r="SFO1240" s="30"/>
      <c r="SFP1240" s="30"/>
      <c r="SFQ1240" s="30"/>
      <c r="SFR1240" s="30"/>
      <c r="SFS1240" s="30"/>
      <c r="SFT1240" s="30"/>
      <c r="SFU1240" s="30"/>
      <c r="SFV1240" s="30"/>
      <c r="SFW1240" s="30"/>
      <c r="SFX1240" s="30"/>
      <c r="SFY1240" s="30"/>
      <c r="SFZ1240" s="30"/>
      <c r="SGA1240" s="30"/>
      <c r="SGB1240" s="30"/>
      <c r="SGC1240" s="30"/>
      <c r="SGD1240" s="30"/>
      <c r="SGE1240" s="30"/>
      <c r="SGF1240" s="30"/>
      <c r="SGG1240" s="30"/>
      <c r="SGH1240" s="30"/>
      <c r="SGI1240" s="30"/>
      <c r="SGJ1240" s="30"/>
      <c r="SGK1240" s="30"/>
      <c r="SGL1240" s="30"/>
      <c r="SGM1240" s="30"/>
      <c r="SGN1240" s="30"/>
      <c r="SGO1240" s="30"/>
      <c r="SGP1240" s="30"/>
      <c r="SGQ1240" s="30"/>
      <c r="SGR1240" s="30"/>
      <c r="SGS1240" s="30"/>
      <c r="SGT1240" s="30"/>
      <c r="SGU1240" s="30"/>
      <c r="SGV1240" s="30"/>
      <c r="SGW1240" s="30"/>
      <c r="SGX1240" s="30"/>
      <c r="SGY1240" s="30"/>
      <c r="SGZ1240" s="30"/>
      <c r="SHA1240" s="30"/>
      <c r="SHB1240" s="30"/>
      <c r="SHC1240" s="30"/>
      <c r="SHD1240" s="30"/>
      <c r="SHE1240" s="30"/>
      <c r="SHF1240" s="30"/>
      <c r="SHG1240" s="30"/>
      <c r="SHH1240" s="30"/>
      <c r="SHI1240" s="30"/>
      <c r="SHJ1240" s="30"/>
      <c r="SHK1240" s="30"/>
      <c r="SHL1240" s="30"/>
      <c r="SHM1240" s="30"/>
      <c r="SHN1240" s="30"/>
      <c r="SHO1240" s="30"/>
      <c r="SHP1240" s="30"/>
      <c r="SHQ1240" s="30"/>
      <c r="SHR1240" s="30"/>
      <c r="SHS1240" s="30"/>
      <c r="SHT1240" s="30"/>
      <c r="SHU1240" s="30"/>
      <c r="SHV1240" s="30"/>
      <c r="SHW1240" s="30"/>
      <c r="SHX1240" s="30"/>
      <c r="SHY1240" s="30"/>
      <c r="SHZ1240" s="30"/>
      <c r="SIA1240" s="30"/>
      <c r="SIB1240" s="30"/>
      <c r="SIC1240" s="30"/>
      <c r="SID1240" s="30"/>
      <c r="SIE1240" s="30"/>
      <c r="SIF1240" s="30"/>
      <c r="SIG1240" s="30"/>
      <c r="SIH1240" s="30"/>
      <c r="SII1240" s="30"/>
      <c r="SIJ1240" s="30"/>
      <c r="SIK1240" s="30"/>
      <c r="SIL1240" s="30"/>
      <c r="SIM1240" s="30"/>
      <c r="SIN1240" s="30"/>
      <c r="SIO1240" s="30"/>
      <c r="SIP1240" s="30"/>
      <c r="SIQ1240" s="30"/>
      <c r="SIR1240" s="30"/>
      <c r="SIS1240" s="30"/>
      <c r="SIT1240" s="30"/>
      <c r="SIU1240" s="30"/>
      <c r="SIV1240" s="30"/>
      <c r="SIW1240" s="30"/>
      <c r="SIX1240" s="30"/>
      <c r="SIY1240" s="30"/>
      <c r="SIZ1240" s="30"/>
      <c r="SJA1240" s="30"/>
      <c r="SJB1240" s="30"/>
      <c r="SJC1240" s="30"/>
      <c r="SJD1240" s="30"/>
      <c r="SJE1240" s="30"/>
      <c r="SJF1240" s="30"/>
      <c r="SJG1240" s="30"/>
      <c r="SJH1240" s="30"/>
      <c r="SJI1240" s="30"/>
      <c r="SJJ1240" s="30"/>
      <c r="SJK1240" s="30"/>
      <c r="SJL1240" s="30"/>
      <c r="SJM1240" s="30"/>
      <c r="SJN1240" s="30"/>
      <c r="SJO1240" s="30"/>
      <c r="SJP1240" s="30"/>
      <c r="SJQ1240" s="30"/>
      <c r="SJR1240" s="30"/>
      <c r="SJS1240" s="30"/>
      <c r="SJT1240" s="30"/>
      <c r="SJU1240" s="30"/>
      <c r="SJV1240" s="30"/>
      <c r="SJW1240" s="30"/>
      <c r="SJX1240" s="30"/>
      <c r="SJY1240" s="30"/>
      <c r="SJZ1240" s="30"/>
      <c r="SKA1240" s="30"/>
      <c r="SKB1240" s="30"/>
      <c r="SKC1240" s="30"/>
      <c r="SKD1240" s="30"/>
      <c r="SKE1240" s="30"/>
      <c r="SKF1240" s="30"/>
      <c r="SKG1240" s="30"/>
      <c r="SKH1240" s="30"/>
      <c r="SKI1240" s="30"/>
      <c r="SKJ1240" s="30"/>
      <c r="SKK1240" s="30"/>
      <c r="SKL1240" s="30"/>
      <c r="SKM1240" s="30"/>
      <c r="SKN1240" s="30"/>
      <c r="SKO1240" s="30"/>
      <c r="SKP1240" s="30"/>
      <c r="SKQ1240" s="30"/>
      <c r="SKR1240" s="30"/>
      <c r="SKS1240" s="30"/>
      <c r="SKT1240" s="30"/>
      <c r="SKU1240" s="30"/>
      <c r="SKV1240" s="30"/>
      <c r="SKW1240" s="30"/>
      <c r="SKX1240" s="30"/>
      <c r="SKY1240" s="30"/>
      <c r="SKZ1240" s="30"/>
      <c r="SLA1240" s="30"/>
      <c r="SLB1240" s="30"/>
      <c r="SLC1240" s="30"/>
      <c r="SLD1240" s="30"/>
      <c r="SLE1240" s="30"/>
      <c r="SLF1240" s="30"/>
      <c r="SLG1240" s="30"/>
      <c r="SLH1240" s="30"/>
      <c r="SLI1240" s="30"/>
      <c r="SLJ1240" s="30"/>
      <c r="SLK1240" s="30"/>
      <c r="SLL1240" s="30"/>
      <c r="SLM1240" s="30"/>
      <c r="SLN1240" s="30"/>
      <c r="SLO1240" s="30"/>
      <c r="SLP1240" s="30"/>
      <c r="SLQ1240" s="30"/>
      <c r="SLR1240" s="30"/>
      <c r="SLS1240" s="30"/>
      <c r="SLT1240" s="30"/>
      <c r="SLU1240" s="30"/>
      <c r="SLV1240" s="30"/>
      <c r="SLW1240" s="30"/>
      <c r="SLX1240" s="30"/>
      <c r="SLY1240" s="30"/>
      <c r="SLZ1240" s="30"/>
      <c r="SMA1240" s="30"/>
      <c r="SMB1240" s="30"/>
      <c r="SMC1240" s="30"/>
      <c r="SMD1240" s="30"/>
      <c r="SME1240" s="30"/>
      <c r="SMF1240" s="30"/>
      <c r="SMG1240" s="30"/>
      <c r="SMH1240" s="30"/>
      <c r="SMI1240" s="30"/>
      <c r="SMJ1240" s="30"/>
      <c r="SMK1240" s="30"/>
      <c r="SML1240" s="30"/>
      <c r="SMM1240" s="30"/>
      <c r="SMN1240" s="30"/>
      <c r="SMO1240" s="30"/>
      <c r="SMP1240" s="30"/>
      <c r="SMQ1240" s="30"/>
      <c r="SMR1240" s="30"/>
      <c r="SMS1240" s="30"/>
      <c r="SMT1240" s="30"/>
      <c r="SMU1240" s="30"/>
      <c r="SMV1240" s="30"/>
      <c r="SMW1240" s="30"/>
      <c r="SMX1240" s="30"/>
      <c r="SMY1240" s="30"/>
      <c r="SMZ1240" s="30"/>
      <c r="SNA1240" s="30"/>
      <c r="SNB1240" s="30"/>
      <c r="SNC1240" s="30"/>
      <c r="SND1240" s="30"/>
      <c r="SNE1240" s="30"/>
      <c r="SNF1240" s="30"/>
      <c r="SNG1240" s="30"/>
      <c r="SNH1240" s="30"/>
      <c r="SNI1240" s="30"/>
      <c r="SNJ1240" s="30"/>
      <c r="SNK1240" s="30"/>
      <c r="SNL1240" s="30"/>
      <c r="SNM1240" s="30"/>
      <c r="SNN1240" s="30"/>
      <c r="SNO1240" s="30"/>
      <c r="SNP1240" s="30"/>
      <c r="SNQ1240" s="30"/>
      <c r="SNR1240" s="30"/>
      <c r="SNS1240" s="30"/>
      <c r="SNT1240" s="30"/>
      <c r="SNU1240" s="30"/>
      <c r="SNV1240" s="30"/>
      <c r="SNW1240" s="30"/>
      <c r="SNX1240" s="30"/>
      <c r="SNY1240" s="30"/>
      <c r="SNZ1240" s="30"/>
      <c r="SOA1240" s="30"/>
      <c r="SOB1240" s="30"/>
      <c r="SOC1240" s="30"/>
      <c r="SOD1240" s="30"/>
      <c r="SOE1240" s="30"/>
      <c r="SOF1240" s="30"/>
      <c r="SOG1240" s="30"/>
      <c r="SOH1240" s="30"/>
      <c r="SOI1240" s="30"/>
      <c r="SOJ1240" s="30"/>
      <c r="SOK1240" s="30"/>
      <c r="SOL1240" s="30"/>
      <c r="SOM1240" s="30"/>
      <c r="SON1240" s="30"/>
      <c r="SOO1240" s="30"/>
      <c r="SOP1240" s="30"/>
      <c r="SOQ1240" s="30"/>
      <c r="SOR1240" s="30"/>
      <c r="SOS1240" s="30"/>
      <c r="SOT1240" s="30"/>
      <c r="SOU1240" s="30"/>
      <c r="SOV1240" s="30"/>
      <c r="SOW1240" s="30"/>
      <c r="SOX1240" s="30"/>
      <c r="SOY1240" s="30"/>
      <c r="SOZ1240" s="30"/>
      <c r="SPA1240" s="30"/>
      <c r="SPB1240" s="30"/>
      <c r="SPC1240" s="30"/>
      <c r="SPD1240" s="30"/>
      <c r="SPE1240" s="30"/>
      <c r="SPF1240" s="30"/>
      <c r="SPG1240" s="30"/>
      <c r="SPH1240" s="30"/>
      <c r="SPI1240" s="30"/>
      <c r="SPJ1240" s="30"/>
      <c r="SPK1240" s="30"/>
      <c r="SPL1240" s="30"/>
      <c r="SPM1240" s="30"/>
      <c r="SPN1240" s="30"/>
      <c r="SPO1240" s="30"/>
      <c r="SPP1240" s="30"/>
      <c r="SPQ1240" s="30"/>
      <c r="SPR1240" s="30"/>
      <c r="SPS1240" s="30"/>
      <c r="SPT1240" s="30"/>
      <c r="SPU1240" s="30"/>
      <c r="SPV1240" s="30"/>
      <c r="SPW1240" s="30"/>
      <c r="SPX1240" s="30"/>
      <c r="SPY1240" s="30"/>
      <c r="SPZ1240" s="30"/>
      <c r="SQA1240" s="30"/>
      <c r="SQB1240" s="30"/>
      <c r="SQC1240" s="30"/>
      <c r="SQD1240" s="30"/>
      <c r="SQE1240" s="30"/>
      <c r="SQF1240" s="30"/>
      <c r="SQG1240" s="30"/>
      <c r="SQH1240" s="30"/>
      <c r="SQI1240" s="30"/>
      <c r="SQJ1240" s="30"/>
      <c r="SQK1240" s="30"/>
      <c r="SQL1240" s="30"/>
      <c r="SQM1240" s="30"/>
      <c r="SQN1240" s="30"/>
      <c r="SQO1240" s="30"/>
      <c r="SQP1240" s="30"/>
      <c r="SQQ1240" s="30"/>
      <c r="SQR1240" s="30"/>
      <c r="SQS1240" s="30"/>
      <c r="SQT1240" s="30"/>
      <c r="SQU1240" s="30"/>
      <c r="SQV1240" s="30"/>
      <c r="SQW1240" s="30"/>
      <c r="SQX1240" s="30"/>
      <c r="SQY1240" s="30"/>
      <c r="SQZ1240" s="30"/>
      <c r="SRA1240" s="30"/>
      <c r="SRB1240" s="30"/>
      <c r="SRC1240" s="30"/>
      <c r="SRD1240" s="30"/>
      <c r="SRE1240" s="30"/>
      <c r="SRF1240" s="30"/>
      <c r="SRG1240" s="30"/>
      <c r="SRH1240" s="30"/>
      <c r="SRI1240" s="30"/>
      <c r="SRJ1240" s="30"/>
      <c r="SRK1240" s="30"/>
      <c r="SRL1240" s="30"/>
      <c r="SRM1240" s="30"/>
      <c r="SRN1240" s="30"/>
      <c r="SRO1240" s="30"/>
      <c r="SRP1240" s="30"/>
      <c r="SRQ1240" s="30"/>
      <c r="SRR1240" s="30"/>
      <c r="SRS1240" s="30"/>
      <c r="SRT1240" s="30"/>
      <c r="SRU1240" s="30"/>
      <c r="SRV1240" s="30"/>
      <c r="SRW1240" s="30"/>
      <c r="SRX1240" s="30"/>
      <c r="SRY1240" s="30"/>
      <c r="SRZ1240" s="30"/>
      <c r="SSA1240" s="30"/>
      <c r="SSB1240" s="30"/>
      <c r="SSC1240" s="30"/>
      <c r="SSD1240" s="30"/>
      <c r="SSE1240" s="30"/>
      <c r="SSF1240" s="30"/>
      <c r="SSG1240" s="30"/>
      <c r="SSH1240" s="30"/>
      <c r="SSI1240" s="30"/>
      <c r="SSJ1240" s="30"/>
      <c r="SSK1240" s="30"/>
      <c r="SSL1240" s="30"/>
      <c r="SSM1240" s="30"/>
      <c r="SSN1240" s="30"/>
      <c r="SSO1240" s="30"/>
      <c r="SSP1240" s="30"/>
      <c r="SSQ1240" s="30"/>
      <c r="SSR1240" s="30"/>
      <c r="SSS1240" s="30"/>
      <c r="SST1240" s="30"/>
      <c r="SSU1240" s="30"/>
      <c r="SSV1240" s="30"/>
      <c r="SSW1240" s="30"/>
      <c r="SSX1240" s="30"/>
      <c r="SSY1240" s="30"/>
      <c r="SSZ1240" s="30"/>
      <c r="STA1240" s="30"/>
      <c r="STB1240" s="30"/>
      <c r="STC1240" s="30"/>
      <c r="STD1240" s="30"/>
      <c r="STE1240" s="30"/>
      <c r="STF1240" s="30"/>
      <c r="STG1240" s="30"/>
      <c r="STH1240" s="30"/>
      <c r="STI1240" s="30"/>
      <c r="STJ1240" s="30"/>
      <c r="STK1240" s="30"/>
      <c r="STL1240" s="30"/>
      <c r="STM1240" s="30"/>
      <c r="STN1240" s="30"/>
      <c r="STO1240" s="30"/>
      <c r="STP1240" s="30"/>
      <c r="STQ1240" s="30"/>
      <c r="STR1240" s="30"/>
      <c r="STS1240" s="30"/>
      <c r="STT1240" s="30"/>
      <c r="STU1240" s="30"/>
      <c r="STV1240" s="30"/>
      <c r="STW1240" s="30"/>
      <c r="STX1240" s="30"/>
      <c r="STY1240" s="30"/>
      <c r="STZ1240" s="30"/>
      <c r="SUA1240" s="30"/>
      <c r="SUB1240" s="30"/>
      <c r="SUC1240" s="30"/>
      <c r="SUD1240" s="30"/>
      <c r="SUE1240" s="30"/>
      <c r="SUF1240" s="30"/>
      <c r="SUG1240" s="30"/>
      <c r="SUH1240" s="30"/>
      <c r="SUI1240" s="30"/>
      <c r="SUJ1240" s="30"/>
      <c r="SUK1240" s="30"/>
      <c r="SUL1240" s="30"/>
      <c r="SUM1240" s="30"/>
      <c r="SUN1240" s="30"/>
      <c r="SUO1240" s="30"/>
      <c r="SUP1240" s="30"/>
      <c r="SUQ1240" s="30"/>
      <c r="SUR1240" s="30"/>
      <c r="SUS1240" s="30"/>
      <c r="SUT1240" s="30"/>
      <c r="SUU1240" s="30"/>
      <c r="SUV1240" s="30"/>
      <c r="SUW1240" s="30"/>
      <c r="SUX1240" s="30"/>
      <c r="SUY1240" s="30"/>
      <c r="SUZ1240" s="30"/>
      <c r="SVA1240" s="30"/>
      <c r="SVB1240" s="30"/>
      <c r="SVC1240" s="30"/>
      <c r="SVD1240" s="30"/>
      <c r="SVE1240" s="30"/>
      <c r="SVF1240" s="30"/>
      <c r="SVG1240" s="30"/>
      <c r="SVH1240" s="30"/>
      <c r="SVI1240" s="30"/>
      <c r="SVJ1240" s="30"/>
      <c r="SVK1240" s="30"/>
      <c r="SVL1240" s="30"/>
      <c r="SVM1240" s="30"/>
      <c r="SVN1240" s="30"/>
      <c r="SVO1240" s="30"/>
      <c r="SVP1240" s="30"/>
      <c r="SVQ1240" s="30"/>
      <c r="SVR1240" s="30"/>
      <c r="SVS1240" s="30"/>
      <c r="SVT1240" s="30"/>
      <c r="SVU1240" s="30"/>
      <c r="SVV1240" s="30"/>
      <c r="SVW1240" s="30"/>
      <c r="SVX1240" s="30"/>
      <c r="SVY1240" s="30"/>
      <c r="SVZ1240" s="30"/>
      <c r="SWA1240" s="30"/>
      <c r="SWB1240" s="30"/>
      <c r="SWC1240" s="30"/>
      <c r="SWD1240" s="30"/>
      <c r="SWE1240" s="30"/>
      <c r="SWF1240" s="30"/>
      <c r="SWG1240" s="30"/>
      <c r="SWH1240" s="30"/>
      <c r="SWI1240" s="30"/>
      <c r="SWJ1240" s="30"/>
      <c r="SWK1240" s="30"/>
      <c r="SWL1240" s="30"/>
      <c r="SWM1240" s="30"/>
      <c r="SWN1240" s="30"/>
      <c r="SWO1240" s="30"/>
      <c r="SWP1240" s="30"/>
      <c r="SWQ1240" s="30"/>
      <c r="SWR1240" s="30"/>
      <c r="SWS1240" s="30"/>
      <c r="SWT1240" s="30"/>
      <c r="SWU1240" s="30"/>
      <c r="SWV1240" s="30"/>
      <c r="SWW1240" s="30"/>
      <c r="SWX1240" s="30"/>
      <c r="SWY1240" s="30"/>
      <c r="SWZ1240" s="30"/>
      <c r="SXA1240" s="30"/>
      <c r="SXB1240" s="30"/>
      <c r="SXC1240" s="30"/>
      <c r="SXD1240" s="30"/>
      <c r="SXE1240" s="30"/>
      <c r="SXF1240" s="30"/>
      <c r="SXG1240" s="30"/>
      <c r="SXH1240" s="30"/>
      <c r="SXI1240" s="30"/>
      <c r="SXJ1240" s="30"/>
      <c r="SXK1240" s="30"/>
      <c r="SXL1240" s="30"/>
      <c r="SXM1240" s="30"/>
      <c r="SXN1240" s="30"/>
      <c r="SXO1240" s="30"/>
      <c r="SXP1240" s="30"/>
      <c r="SXQ1240" s="30"/>
      <c r="SXR1240" s="30"/>
      <c r="SXS1240" s="30"/>
      <c r="SXT1240" s="30"/>
      <c r="SXU1240" s="30"/>
      <c r="SXV1240" s="30"/>
      <c r="SXW1240" s="30"/>
      <c r="SXX1240" s="30"/>
      <c r="SXY1240" s="30"/>
      <c r="SXZ1240" s="30"/>
      <c r="SYA1240" s="30"/>
      <c r="SYB1240" s="30"/>
      <c r="SYC1240" s="30"/>
      <c r="SYD1240" s="30"/>
      <c r="SYE1240" s="30"/>
      <c r="SYF1240" s="30"/>
      <c r="SYG1240" s="30"/>
      <c r="SYH1240" s="30"/>
      <c r="SYI1240" s="30"/>
      <c r="SYJ1240" s="30"/>
      <c r="SYK1240" s="30"/>
      <c r="SYL1240" s="30"/>
      <c r="SYM1240" s="30"/>
      <c r="SYN1240" s="30"/>
      <c r="SYO1240" s="30"/>
      <c r="SYP1240" s="30"/>
      <c r="SYQ1240" s="30"/>
      <c r="SYR1240" s="30"/>
      <c r="SYS1240" s="30"/>
      <c r="SYT1240" s="30"/>
      <c r="SYU1240" s="30"/>
      <c r="SYV1240" s="30"/>
      <c r="SYW1240" s="30"/>
      <c r="SYX1240" s="30"/>
      <c r="SYY1240" s="30"/>
      <c r="SYZ1240" s="30"/>
      <c r="SZA1240" s="30"/>
      <c r="SZB1240" s="30"/>
      <c r="SZC1240" s="30"/>
      <c r="SZD1240" s="30"/>
      <c r="SZE1240" s="30"/>
      <c r="SZF1240" s="30"/>
      <c r="SZG1240" s="30"/>
      <c r="SZH1240" s="30"/>
      <c r="SZI1240" s="30"/>
      <c r="SZJ1240" s="30"/>
      <c r="SZK1240" s="30"/>
      <c r="SZL1240" s="30"/>
      <c r="SZM1240" s="30"/>
      <c r="SZN1240" s="30"/>
      <c r="SZO1240" s="30"/>
      <c r="SZP1240" s="30"/>
      <c r="SZQ1240" s="30"/>
      <c r="SZR1240" s="30"/>
      <c r="SZS1240" s="30"/>
      <c r="SZT1240" s="30"/>
      <c r="SZU1240" s="30"/>
      <c r="SZV1240" s="30"/>
      <c r="SZW1240" s="30"/>
      <c r="SZX1240" s="30"/>
      <c r="SZY1240" s="30"/>
      <c r="SZZ1240" s="30"/>
      <c r="TAA1240" s="30"/>
      <c r="TAB1240" s="30"/>
      <c r="TAC1240" s="30"/>
      <c r="TAD1240" s="30"/>
      <c r="TAE1240" s="30"/>
      <c r="TAF1240" s="30"/>
      <c r="TAG1240" s="30"/>
      <c r="TAH1240" s="30"/>
      <c r="TAI1240" s="30"/>
      <c r="TAJ1240" s="30"/>
      <c r="TAK1240" s="30"/>
      <c r="TAL1240" s="30"/>
      <c r="TAM1240" s="30"/>
      <c r="TAN1240" s="30"/>
      <c r="TAO1240" s="30"/>
      <c r="TAP1240" s="30"/>
      <c r="TAQ1240" s="30"/>
      <c r="TAR1240" s="30"/>
      <c r="TAS1240" s="30"/>
      <c r="TAT1240" s="30"/>
      <c r="TAU1240" s="30"/>
      <c r="TAV1240" s="30"/>
      <c r="TAW1240" s="30"/>
      <c r="TAX1240" s="30"/>
      <c r="TAY1240" s="30"/>
      <c r="TAZ1240" s="30"/>
      <c r="TBA1240" s="30"/>
      <c r="TBB1240" s="30"/>
      <c r="TBC1240" s="30"/>
      <c r="TBD1240" s="30"/>
      <c r="TBE1240" s="30"/>
      <c r="TBF1240" s="30"/>
      <c r="TBG1240" s="30"/>
      <c r="TBH1240" s="30"/>
      <c r="TBI1240" s="30"/>
      <c r="TBJ1240" s="30"/>
      <c r="TBK1240" s="30"/>
      <c r="TBL1240" s="30"/>
      <c r="TBM1240" s="30"/>
      <c r="TBN1240" s="30"/>
      <c r="TBO1240" s="30"/>
      <c r="TBP1240" s="30"/>
      <c r="TBQ1240" s="30"/>
      <c r="TBR1240" s="30"/>
      <c r="TBS1240" s="30"/>
      <c r="TBT1240" s="30"/>
      <c r="TBU1240" s="30"/>
      <c r="TBV1240" s="30"/>
      <c r="TBW1240" s="30"/>
      <c r="TBX1240" s="30"/>
      <c r="TBY1240" s="30"/>
      <c r="TBZ1240" s="30"/>
      <c r="TCA1240" s="30"/>
      <c r="TCB1240" s="30"/>
      <c r="TCC1240" s="30"/>
      <c r="TCD1240" s="30"/>
      <c r="TCE1240" s="30"/>
      <c r="TCF1240" s="30"/>
      <c r="TCG1240" s="30"/>
      <c r="TCH1240" s="30"/>
      <c r="TCI1240" s="30"/>
      <c r="TCJ1240" s="30"/>
      <c r="TCK1240" s="30"/>
      <c r="TCL1240" s="30"/>
      <c r="TCM1240" s="30"/>
      <c r="TCN1240" s="30"/>
      <c r="TCO1240" s="30"/>
      <c r="TCP1240" s="30"/>
      <c r="TCQ1240" s="30"/>
      <c r="TCR1240" s="30"/>
      <c r="TCS1240" s="30"/>
      <c r="TCT1240" s="30"/>
      <c r="TCU1240" s="30"/>
      <c r="TCV1240" s="30"/>
      <c r="TCW1240" s="30"/>
      <c r="TCX1240" s="30"/>
      <c r="TCY1240" s="30"/>
      <c r="TCZ1240" s="30"/>
      <c r="TDA1240" s="30"/>
      <c r="TDB1240" s="30"/>
      <c r="TDC1240" s="30"/>
      <c r="TDD1240" s="30"/>
      <c r="TDE1240" s="30"/>
      <c r="TDF1240" s="30"/>
      <c r="TDG1240" s="30"/>
      <c r="TDH1240" s="30"/>
      <c r="TDI1240" s="30"/>
      <c r="TDJ1240" s="30"/>
      <c r="TDK1240" s="30"/>
      <c r="TDL1240" s="30"/>
      <c r="TDM1240" s="30"/>
      <c r="TDN1240" s="30"/>
      <c r="TDO1240" s="30"/>
      <c r="TDP1240" s="30"/>
      <c r="TDQ1240" s="30"/>
      <c r="TDR1240" s="30"/>
      <c r="TDS1240" s="30"/>
      <c r="TDT1240" s="30"/>
      <c r="TDU1240" s="30"/>
      <c r="TDV1240" s="30"/>
      <c r="TDW1240" s="30"/>
      <c r="TDX1240" s="30"/>
      <c r="TDY1240" s="30"/>
      <c r="TDZ1240" s="30"/>
      <c r="TEA1240" s="30"/>
      <c r="TEB1240" s="30"/>
      <c r="TEC1240" s="30"/>
      <c r="TED1240" s="30"/>
      <c r="TEE1240" s="30"/>
      <c r="TEF1240" s="30"/>
      <c r="TEG1240" s="30"/>
      <c r="TEH1240" s="30"/>
      <c r="TEI1240" s="30"/>
      <c r="TEJ1240" s="30"/>
      <c r="TEK1240" s="30"/>
      <c r="TEL1240" s="30"/>
      <c r="TEM1240" s="30"/>
      <c r="TEN1240" s="30"/>
      <c r="TEO1240" s="30"/>
      <c r="TEP1240" s="30"/>
      <c r="TEQ1240" s="30"/>
      <c r="TER1240" s="30"/>
      <c r="TES1240" s="30"/>
      <c r="TET1240" s="30"/>
      <c r="TEU1240" s="30"/>
      <c r="TEV1240" s="30"/>
      <c r="TEW1240" s="30"/>
      <c r="TEX1240" s="30"/>
      <c r="TEY1240" s="30"/>
      <c r="TEZ1240" s="30"/>
      <c r="TFA1240" s="30"/>
      <c r="TFB1240" s="30"/>
      <c r="TFC1240" s="30"/>
      <c r="TFD1240" s="30"/>
      <c r="TFE1240" s="30"/>
      <c r="TFF1240" s="30"/>
      <c r="TFG1240" s="30"/>
      <c r="TFH1240" s="30"/>
      <c r="TFI1240" s="30"/>
      <c r="TFJ1240" s="30"/>
      <c r="TFK1240" s="30"/>
      <c r="TFL1240" s="30"/>
      <c r="TFM1240" s="30"/>
      <c r="TFN1240" s="30"/>
      <c r="TFO1240" s="30"/>
      <c r="TFP1240" s="30"/>
      <c r="TFQ1240" s="30"/>
      <c r="TFR1240" s="30"/>
      <c r="TFS1240" s="30"/>
      <c r="TFT1240" s="30"/>
      <c r="TFU1240" s="30"/>
      <c r="TFV1240" s="30"/>
      <c r="TFW1240" s="30"/>
      <c r="TFX1240" s="30"/>
      <c r="TFY1240" s="30"/>
      <c r="TFZ1240" s="30"/>
      <c r="TGA1240" s="30"/>
      <c r="TGB1240" s="30"/>
      <c r="TGC1240" s="30"/>
      <c r="TGD1240" s="30"/>
      <c r="TGE1240" s="30"/>
      <c r="TGF1240" s="30"/>
      <c r="TGG1240" s="30"/>
      <c r="TGH1240" s="30"/>
      <c r="TGI1240" s="30"/>
      <c r="TGJ1240" s="30"/>
      <c r="TGK1240" s="30"/>
      <c r="TGL1240" s="30"/>
      <c r="TGM1240" s="30"/>
      <c r="TGN1240" s="30"/>
      <c r="TGO1240" s="30"/>
      <c r="TGP1240" s="30"/>
      <c r="TGQ1240" s="30"/>
      <c r="TGR1240" s="30"/>
      <c r="TGS1240" s="30"/>
      <c r="TGT1240" s="30"/>
      <c r="TGU1240" s="30"/>
      <c r="TGV1240" s="30"/>
      <c r="TGW1240" s="30"/>
      <c r="TGX1240" s="30"/>
      <c r="TGY1240" s="30"/>
      <c r="TGZ1240" s="30"/>
      <c r="THA1240" s="30"/>
      <c r="THB1240" s="30"/>
      <c r="THC1240" s="30"/>
      <c r="THD1240" s="30"/>
      <c r="THE1240" s="30"/>
      <c r="THF1240" s="30"/>
      <c r="THG1240" s="30"/>
      <c r="THH1240" s="30"/>
      <c r="THI1240" s="30"/>
      <c r="THJ1240" s="30"/>
      <c r="THK1240" s="30"/>
      <c r="THL1240" s="30"/>
      <c r="THM1240" s="30"/>
      <c r="THN1240" s="30"/>
      <c r="THO1240" s="30"/>
      <c r="THP1240" s="30"/>
      <c r="THQ1240" s="30"/>
      <c r="THR1240" s="30"/>
      <c r="THS1240" s="30"/>
      <c r="THT1240" s="30"/>
      <c r="THU1240" s="30"/>
      <c r="THV1240" s="30"/>
      <c r="THW1240" s="30"/>
      <c r="THX1240" s="30"/>
      <c r="THY1240" s="30"/>
      <c r="THZ1240" s="30"/>
      <c r="TIA1240" s="30"/>
      <c r="TIB1240" s="30"/>
      <c r="TIC1240" s="30"/>
      <c r="TID1240" s="30"/>
      <c r="TIE1240" s="30"/>
      <c r="TIF1240" s="30"/>
      <c r="TIG1240" s="30"/>
      <c r="TIH1240" s="30"/>
      <c r="TII1240" s="30"/>
      <c r="TIJ1240" s="30"/>
      <c r="TIK1240" s="30"/>
      <c r="TIL1240" s="30"/>
      <c r="TIM1240" s="30"/>
      <c r="TIN1240" s="30"/>
      <c r="TIO1240" s="30"/>
      <c r="TIP1240" s="30"/>
      <c r="TIQ1240" s="30"/>
      <c r="TIR1240" s="30"/>
      <c r="TIS1240" s="30"/>
      <c r="TIT1240" s="30"/>
      <c r="TIU1240" s="30"/>
      <c r="TIV1240" s="30"/>
      <c r="TIW1240" s="30"/>
      <c r="TIX1240" s="30"/>
      <c r="TIY1240" s="30"/>
      <c r="TIZ1240" s="30"/>
      <c r="TJA1240" s="30"/>
      <c r="TJB1240" s="30"/>
      <c r="TJC1240" s="30"/>
      <c r="TJD1240" s="30"/>
      <c r="TJE1240" s="30"/>
      <c r="TJF1240" s="30"/>
      <c r="TJG1240" s="30"/>
      <c r="TJH1240" s="30"/>
      <c r="TJI1240" s="30"/>
      <c r="TJJ1240" s="30"/>
      <c r="TJK1240" s="30"/>
      <c r="TJL1240" s="30"/>
      <c r="TJM1240" s="30"/>
      <c r="TJN1240" s="30"/>
      <c r="TJO1240" s="30"/>
      <c r="TJP1240" s="30"/>
      <c r="TJQ1240" s="30"/>
      <c r="TJR1240" s="30"/>
      <c r="TJS1240" s="30"/>
      <c r="TJT1240" s="30"/>
      <c r="TJU1240" s="30"/>
      <c r="TJV1240" s="30"/>
      <c r="TJW1240" s="30"/>
      <c r="TJX1240" s="30"/>
      <c r="TJY1240" s="30"/>
      <c r="TJZ1240" s="30"/>
      <c r="TKA1240" s="30"/>
      <c r="TKB1240" s="30"/>
      <c r="TKC1240" s="30"/>
      <c r="TKD1240" s="30"/>
      <c r="TKE1240" s="30"/>
      <c r="TKF1240" s="30"/>
      <c r="TKG1240" s="30"/>
      <c r="TKH1240" s="30"/>
      <c r="TKI1240" s="30"/>
      <c r="TKJ1240" s="30"/>
      <c r="TKK1240" s="30"/>
      <c r="TKL1240" s="30"/>
      <c r="TKM1240" s="30"/>
      <c r="TKN1240" s="30"/>
      <c r="TKO1240" s="30"/>
      <c r="TKP1240" s="30"/>
      <c r="TKQ1240" s="30"/>
      <c r="TKR1240" s="30"/>
      <c r="TKS1240" s="30"/>
      <c r="TKT1240" s="30"/>
      <c r="TKU1240" s="30"/>
      <c r="TKV1240" s="30"/>
      <c r="TKW1240" s="30"/>
      <c r="TKX1240" s="30"/>
      <c r="TKY1240" s="30"/>
      <c r="TKZ1240" s="30"/>
      <c r="TLA1240" s="30"/>
      <c r="TLB1240" s="30"/>
      <c r="TLC1240" s="30"/>
      <c r="TLD1240" s="30"/>
      <c r="TLE1240" s="30"/>
      <c r="TLF1240" s="30"/>
      <c r="TLG1240" s="30"/>
      <c r="TLH1240" s="30"/>
      <c r="TLI1240" s="30"/>
      <c r="TLJ1240" s="30"/>
      <c r="TLK1240" s="30"/>
      <c r="TLL1240" s="30"/>
      <c r="TLM1240" s="30"/>
      <c r="TLN1240" s="30"/>
      <c r="TLO1240" s="30"/>
      <c r="TLP1240" s="30"/>
      <c r="TLQ1240" s="30"/>
      <c r="TLR1240" s="30"/>
      <c r="TLS1240" s="30"/>
      <c r="TLT1240" s="30"/>
      <c r="TLU1240" s="30"/>
      <c r="TLV1240" s="30"/>
      <c r="TLW1240" s="30"/>
      <c r="TLX1240" s="30"/>
      <c r="TLY1240" s="30"/>
      <c r="TLZ1240" s="30"/>
      <c r="TMA1240" s="30"/>
      <c r="TMB1240" s="30"/>
      <c r="TMC1240" s="30"/>
      <c r="TMD1240" s="30"/>
      <c r="TME1240" s="30"/>
      <c r="TMF1240" s="30"/>
      <c r="TMG1240" s="30"/>
      <c r="TMH1240" s="30"/>
      <c r="TMI1240" s="30"/>
      <c r="TMJ1240" s="30"/>
      <c r="TMK1240" s="30"/>
      <c r="TML1240" s="30"/>
      <c r="TMM1240" s="30"/>
      <c r="TMN1240" s="30"/>
      <c r="TMO1240" s="30"/>
      <c r="TMP1240" s="30"/>
      <c r="TMQ1240" s="30"/>
      <c r="TMR1240" s="30"/>
      <c r="TMS1240" s="30"/>
      <c r="TMT1240" s="30"/>
      <c r="TMU1240" s="30"/>
      <c r="TMV1240" s="30"/>
      <c r="TMW1240" s="30"/>
      <c r="TMX1240" s="30"/>
      <c r="TMY1240" s="30"/>
      <c r="TMZ1240" s="30"/>
      <c r="TNA1240" s="30"/>
      <c r="TNB1240" s="30"/>
      <c r="TNC1240" s="30"/>
      <c r="TND1240" s="30"/>
      <c r="TNE1240" s="30"/>
      <c r="TNF1240" s="30"/>
      <c r="TNG1240" s="30"/>
      <c r="TNH1240" s="30"/>
      <c r="TNI1240" s="30"/>
      <c r="TNJ1240" s="30"/>
      <c r="TNK1240" s="30"/>
      <c r="TNL1240" s="30"/>
      <c r="TNM1240" s="30"/>
      <c r="TNN1240" s="30"/>
      <c r="TNO1240" s="30"/>
      <c r="TNP1240" s="30"/>
      <c r="TNQ1240" s="30"/>
      <c r="TNR1240" s="30"/>
      <c r="TNS1240" s="30"/>
      <c r="TNT1240" s="30"/>
      <c r="TNU1240" s="30"/>
      <c r="TNV1240" s="30"/>
      <c r="TNW1240" s="30"/>
      <c r="TNX1240" s="30"/>
      <c r="TNY1240" s="30"/>
      <c r="TNZ1240" s="30"/>
      <c r="TOA1240" s="30"/>
      <c r="TOB1240" s="30"/>
      <c r="TOC1240" s="30"/>
      <c r="TOD1240" s="30"/>
      <c r="TOE1240" s="30"/>
      <c r="TOF1240" s="30"/>
      <c r="TOG1240" s="30"/>
      <c r="TOH1240" s="30"/>
      <c r="TOI1240" s="30"/>
      <c r="TOJ1240" s="30"/>
      <c r="TOK1240" s="30"/>
      <c r="TOL1240" s="30"/>
      <c r="TOM1240" s="30"/>
      <c r="TON1240" s="30"/>
      <c r="TOO1240" s="30"/>
      <c r="TOP1240" s="30"/>
      <c r="TOQ1240" s="30"/>
      <c r="TOR1240" s="30"/>
      <c r="TOS1240" s="30"/>
      <c r="TOT1240" s="30"/>
      <c r="TOU1240" s="30"/>
      <c r="TOV1240" s="30"/>
      <c r="TOW1240" s="30"/>
      <c r="TOX1240" s="30"/>
      <c r="TOY1240" s="30"/>
      <c r="TOZ1240" s="30"/>
      <c r="TPA1240" s="30"/>
      <c r="TPB1240" s="30"/>
      <c r="TPC1240" s="30"/>
      <c r="TPD1240" s="30"/>
      <c r="TPE1240" s="30"/>
      <c r="TPF1240" s="30"/>
      <c r="TPG1240" s="30"/>
      <c r="TPH1240" s="30"/>
      <c r="TPI1240" s="30"/>
      <c r="TPJ1240" s="30"/>
      <c r="TPK1240" s="30"/>
      <c r="TPL1240" s="30"/>
      <c r="TPM1240" s="30"/>
      <c r="TPN1240" s="30"/>
      <c r="TPO1240" s="30"/>
      <c r="TPP1240" s="30"/>
      <c r="TPQ1240" s="30"/>
      <c r="TPR1240" s="30"/>
      <c r="TPS1240" s="30"/>
      <c r="TPT1240" s="30"/>
      <c r="TPU1240" s="30"/>
      <c r="TPV1240" s="30"/>
      <c r="TPW1240" s="30"/>
      <c r="TPX1240" s="30"/>
      <c r="TPY1240" s="30"/>
      <c r="TPZ1240" s="30"/>
      <c r="TQA1240" s="30"/>
      <c r="TQB1240" s="30"/>
      <c r="TQC1240" s="30"/>
      <c r="TQD1240" s="30"/>
      <c r="TQE1240" s="30"/>
      <c r="TQF1240" s="30"/>
      <c r="TQG1240" s="30"/>
      <c r="TQH1240" s="30"/>
      <c r="TQI1240" s="30"/>
      <c r="TQJ1240" s="30"/>
      <c r="TQK1240" s="30"/>
      <c r="TQL1240" s="30"/>
      <c r="TQM1240" s="30"/>
      <c r="TQN1240" s="30"/>
      <c r="TQO1240" s="30"/>
      <c r="TQP1240" s="30"/>
      <c r="TQQ1240" s="30"/>
      <c r="TQR1240" s="30"/>
      <c r="TQS1240" s="30"/>
      <c r="TQT1240" s="30"/>
      <c r="TQU1240" s="30"/>
      <c r="TQV1240" s="30"/>
      <c r="TQW1240" s="30"/>
      <c r="TQX1240" s="30"/>
      <c r="TQY1240" s="30"/>
      <c r="TQZ1240" s="30"/>
      <c r="TRA1240" s="30"/>
      <c r="TRB1240" s="30"/>
      <c r="TRC1240" s="30"/>
      <c r="TRD1240" s="30"/>
      <c r="TRE1240" s="30"/>
      <c r="TRF1240" s="30"/>
      <c r="TRG1240" s="30"/>
      <c r="TRH1240" s="30"/>
      <c r="TRI1240" s="30"/>
      <c r="TRJ1240" s="30"/>
      <c r="TRK1240" s="30"/>
      <c r="TRL1240" s="30"/>
      <c r="TRM1240" s="30"/>
      <c r="TRN1240" s="30"/>
      <c r="TRO1240" s="30"/>
      <c r="TRP1240" s="30"/>
      <c r="TRQ1240" s="30"/>
      <c r="TRR1240" s="30"/>
      <c r="TRS1240" s="30"/>
      <c r="TRT1240" s="30"/>
      <c r="TRU1240" s="30"/>
      <c r="TRV1240" s="30"/>
      <c r="TRW1240" s="30"/>
      <c r="TRX1240" s="30"/>
      <c r="TRY1240" s="30"/>
      <c r="TRZ1240" s="30"/>
      <c r="TSA1240" s="30"/>
      <c r="TSB1240" s="30"/>
      <c r="TSC1240" s="30"/>
      <c r="TSD1240" s="30"/>
      <c r="TSE1240" s="30"/>
      <c r="TSF1240" s="30"/>
      <c r="TSG1240" s="30"/>
      <c r="TSH1240" s="30"/>
      <c r="TSI1240" s="30"/>
      <c r="TSJ1240" s="30"/>
      <c r="TSK1240" s="30"/>
      <c r="TSL1240" s="30"/>
      <c r="TSM1240" s="30"/>
      <c r="TSN1240" s="30"/>
      <c r="TSO1240" s="30"/>
      <c r="TSP1240" s="30"/>
      <c r="TSQ1240" s="30"/>
      <c r="TSR1240" s="30"/>
      <c r="TSS1240" s="30"/>
      <c r="TST1240" s="30"/>
      <c r="TSU1240" s="30"/>
      <c r="TSV1240" s="30"/>
      <c r="TSW1240" s="30"/>
      <c r="TSX1240" s="30"/>
      <c r="TSY1240" s="30"/>
      <c r="TSZ1240" s="30"/>
      <c r="TTA1240" s="30"/>
      <c r="TTB1240" s="30"/>
      <c r="TTC1240" s="30"/>
      <c r="TTD1240" s="30"/>
      <c r="TTE1240" s="30"/>
      <c r="TTF1240" s="30"/>
      <c r="TTG1240" s="30"/>
      <c r="TTH1240" s="30"/>
      <c r="TTI1240" s="30"/>
      <c r="TTJ1240" s="30"/>
      <c r="TTK1240" s="30"/>
      <c r="TTL1240" s="30"/>
      <c r="TTM1240" s="30"/>
      <c r="TTN1240" s="30"/>
      <c r="TTO1240" s="30"/>
      <c r="TTP1240" s="30"/>
      <c r="TTQ1240" s="30"/>
      <c r="TTR1240" s="30"/>
      <c r="TTS1240" s="30"/>
      <c r="TTT1240" s="30"/>
      <c r="TTU1240" s="30"/>
      <c r="TTV1240" s="30"/>
      <c r="TTW1240" s="30"/>
      <c r="TTX1240" s="30"/>
      <c r="TTY1240" s="30"/>
      <c r="TTZ1240" s="30"/>
      <c r="TUA1240" s="30"/>
      <c r="TUB1240" s="30"/>
      <c r="TUC1240" s="30"/>
      <c r="TUD1240" s="30"/>
      <c r="TUE1240" s="30"/>
      <c r="TUF1240" s="30"/>
      <c r="TUG1240" s="30"/>
      <c r="TUH1240" s="30"/>
      <c r="TUI1240" s="30"/>
      <c r="TUJ1240" s="30"/>
      <c r="TUK1240" s="30"/>
      <c r="TUL1240" s="30"/>
      <c r="TUM1240" s="30"/>
      <c r="TUN1240" s="30"/>
      <c r="TUO1240" s="30"/>
      <c r="TUP1240" s="30"/>
      <c r="TUQ1240" s="30"/>
      <c r="TUR1240" s="30"/>
      <c r="TUS1240" s="30"/>
      <c r="TUT1240" s="30"/>
      <c r="TUU1240" s="30"/>
      <c r="TUV1240" s="30"/>
      <c r="TUW1240" s="30"/>
      <c r="TUX1240" s="30"/>
      <c r="TUY1240" s="30"/>
      <c r="TUZ1240" s="30"/>
      <c r="TVA1240" s="30"/>
      <c r="TVB1240" s="30"/>
      <c r="TVC1240" s="30"/>
      <c r="TVD1240" s="30"/>
      <c r="TVE1240" s="30"/>
      <c r="TVF1240" s="30"/>
      <c r="TVG1240" s="30"/>
      <c r="TVH1240" s="30"/>
      <c r="TVI1240" s="30"/>
      <c r="TVJ1240" s="30"/>
      <c r="TVK1240" s="30"/>
      <c r="TVL1240" s="30"/>
      <c r="TVM1240" s="30"/>
      <c r="TVN1240" s="30"/>
      <c r="TVO1240" s="30"/>
      <c r="TVP1240" s="30"/>
      <c r="TVQ1240" s="30"/>
      <c r="TVR1240" s="30"/>
      <c r="TVS1240" s="30"/>
      <c r="TVT1240" s="30"/>
      <c r="TVU1240" s="30"/>
      <c r="TVV1240" s="30"/>
      <c r="TVW1240" s="30"/>
      <c r="TVX1240" s="30"/>
      <c r="TVY1240" s="30"/>
      <c r="TVZ1240" s="30"/>
      <c r="TWA1240" s="30"/>
      <c r="TWB1240" s="30"/>
      <c r="TWC1240" s="30"/>
      <c r="TWD1240" s="30"/>
      <c r="TWE1240" s="30"/>
      <c r="TWF1240" s="30"/>
      <c r="TWG1240" s="30"/>
      <c r="TWH1240" s="30"/>
      <c r="TWI1240" s="30"/>
      <c r="TWJ1240" s="30"/>
      <c r="TWK1240" s="30"/>
      <c r="TWL1240" s="30"/>
      <c r="TWM1240" s="30"/>
      <c r="TWN1240" s="30"/>
      <c r="TWO1240" s="30"/>
      <c r="TWP1240" s="30"/>
      <c r="TWQ1240" s="30"/>
      <c r="TWR1240" s="30"/>
      <c r="TWS1240" s="30"/>
      <c r="TWT1240" s="30"/>
      <c r="TWU1240" s="30"/>
      <c r="TWV1240" s="30"/>
      <c r="TWW1240" s="30"/>
      <c r="TWX1240" s="30"/>
      <c r="TWY1240" s="30"/>
      <c r="TWZ1240" s="30"/>
      <c r="TXA1240" s="30"/>
      <c r="TXB1240" s="30"/>
      <c r="TXC1240" s="30"/>
      <c r="TXD1240" s="30"/>
      <c r="TXE1240" s="30"/>
      <c r="TXF1240" s="30"/>
      <c r="TXG1240" s="30"/>
      <c r="TXH1240" s="30"/>
      <c r="TXI1240" s="30"/>
      <c r="TXJ1240" s="30"/>
      <c r="TXK1240" s="30"/>
      <c r="TXL1240" s="30"/>
      <c r="TXM1240" s="30"/>
      <c r="TXN1240" s="30"/>
      <c r="TXO1240" s="30"/>
      <c r="TXP1240" s="30"/>
      <c r="TXQ1240" s="30"/>
      <c r="TXR1240" s="30"/>
      <c r="TXS1240" s="30"/>
      <c r="TXT1240" s="30"/>
      <c r="TXU1240" s="30"/>
      <c r="TXV1240" s="30"/>
      <c r="TXW1240" s="30"/>
      <c r="TXX1240" s="30"/>
      <c r="TXY1240" s="30"/>
      <c r="TXZ1240" s="30"/>
      <c r="TYA1240" s="30"/>
      <c r="TYB1240" s="30"/>
      <c r="TYC1240" s="30"/>
      <c r="TYD1240" s="30"/>
      <c r="TYE1240" s="30"/>
      <c r="TYF1240" s="30"/>
      <c r="TYG1240" s="30"/>
      <c r="TYH1240" s="30"/>
      <c r="TYI1240" s="30"/>
      <c r="TYJ1240" s="30"/>
      <c r="TYK1240" s="30"/>
      <c r="TYL1240" s="30"/>
      <c r="TYM1240" s="30"/>
      <c r="TYN1240" s="30"/>
      <c r="TYO1240" s="30"/>
      <c r="TYP1240" s="30"/>
      <c r="TYQ1240" s="30"/>
      <c r="TYR1240" s="30"/>
      <c r="TYS1240" s="30"/>
      <c r="TYT1240" s="30"/>
      <c r="TYU1240" s="30"/>
      <c r="TYV1240" s="30"/>
      <c r="TYW1240" s="30"/>
      <c r="TYX1240" s="30"/>
      <c r="TYY1240" s="30"/>
      <c r="TYZ1240" s="30"/>
      <c r="TZA1240" s="30"/>
      <c r="TZB1240" s="30"/>
      <c r="TZC1240" s="30"/>
      <c r="TZD1240" s="30"/>
      <c r="TZE1240" s="30"/>
      <c r="TZF1240" s="30"/>
      <c r="TZG1240" s="30"/>
      <c r="TZH1240" s="30"/>
      <c r="TZI1240" s="30"/>
      <c r="TZJ1240" s="30"/>
      <c r="TZK1240" s="30"/>
      <c r="TZL1240" s="30"/>
      <c r="TZM1240" s="30"/>
      <c r="TZN1240" s="30"/>
      <c r="TZO1240" s="30"/>
      <c r="TZP1240" s="30"/>
      <c r="TZQ1240" s="30"/>
      <c r="TZR1240" s="30"/>
      <c r="TZS1240" s="30"/>
      <c r="TZT1240" s="30"/>
      <c r="TZU1240" s="30"/>
      <c r="TZV1240" s="30"/>
      <c r="TZW1240" s="30"/>
      <c r="TZX1240" s="30"/>
      <c r="TZY1240" s="30"/>
      <c r="TZZ1240" s="30"/>
      <c r="UAA1240" s="30"/>
      <c r="UAB1240" s="30"/>
      <c r="UAC1240" s="30"/>
      <c r="UAD1240" s="30"/>
      <c r="UAE1240" s="30"/>
      <c r="UAF1240" s="30"/>
      <c r="UAG1240" s="30"/>
      <c r="UAH1240" s="30"/>
      <c r="UAI1240" s="30"/>
      <c r="UAJ1240" s="30"/>
      <c r="UAK1240" s="30"/>
      <c r="UAL1240" s="30"/>
      <c r="UAM1240" s="30"/>
      <c r="UAN1240" s="30"/>
      <c r="UAO1240" s="30"/>
      <c r="UAP1240" s="30"/>
      <c r="UAQ1240" s="30"/>
      <c r="UAR1240" s="30"/>
      <c r="UAS1240" s="30"/>
      <c r="UAT1240" s="30"/>
      <c r="UAU1240" s="30"/>
      <c r="UAV1240" s="30"/>
      <c r="UAW1240" s="30"/>
      <c r="UAX1240" s="30"/>
      <c r="UAY1240" s="30"/>
      <c r="UAZ1240" s="30"/>
      <c r="UBA1240" s="30"/>
      <c r="UBB1240" s="30"/>
      <c r="UBC1240" s="30"/>
      <c r="UBD1240" s="30"/>
      <c r="UBE1240" s="30"/>
      <c r="UBF1240" s="30"/>
      <c r="UBG1240" s="30"/>
      <c r="UBH1240" s="30"/>
      <c r="UBI1240" s="30"/>
      <c r="UBJ1240" s="30"/>
      <c r="UBK1240" s="30"/>
      <c r="UBL1240" s="30"/>
      <c r="UBM1240" s="30"/>
      <c r="UBN1240" s="30"/>
      <c r="UBO1240" s="30"/>
      <c r="UBP1240" s="30"/>
      <c r="UBQ1240" s="30"/>
      <c r="UBR1240" s="30"/>
      <c r="UBS1240" s="30"/>
      <c r="UBT1240" s="30"/>
      <c r="UBU1240" s="30"/>
      <c r="UBV1240" s="30"/>
      <c r="UBW1240" s="30"/>
      <c r="UBX1240" s="30"/>
      <c r="UBY1240" s="30"/>
      <c r="UBZ1240" s="30"/>
      <c r="UCA1240" s="30"/>
      <c r="UCB1240" s="30"/>
      <c r="UCC1240" s="30"/>
      <c r="UCD1240" s="30"/>
      <c r="UCE1240" s="30"/>
      <c r="UCF1240" s="30"/>
      <c r="UCG1240" s="30"/>
      <c r="UCH1240" s="30"/>
      <c r="UCI1240" s="30"/>
      <c r="UCJ1240" s="30"/>
      <c r="UCK1240" s="30"/>
      <c r="UCL1240" s="30"/>
      <c r="UCM1240" s="30"/>
      <c r="UCN1240" s="30"/>
      <c r="UCO1240" s="30"/>
      <c r="UCP1240" s="30"/>
      <c r="UCQ1240" s="30"/>
      <c r="UCR1240" s="30"/>
      <c r="UCS1240" s="30"/>
      <c r="UCT1240" s="30"/>
      <c r="UCU1240" s="30"/>
      <c r="UCV1240" s="30"/>
      <c r="UCW1240" s="30"/>
      <c r="UCX1240" s="30"/>
      <c r="UCY1240" s="30"/>
      <c r="UCZ1240" s="30"/>
      <c r="UDA1240" s="30"/>
      <c r="UDB1240" s="30"/>
      <c r="UDC1240" s="30"/>
      <c r="UDD1240" s="30"/>
      <c r="UDE1240" s="30"/>
      <c r="UDF1240" s="30"/>
      <c r="UDG1240" s="30"/>
      <c r="UDH1240" s="30"/>
      <c r="UDI1240" s="30"/>
      <c r="UDJ1240" s="30"/>
      <c r="UDK1240" s="30"/>
      <c r="UDL1240" s="30"/>
      <c r="UDM1240" s="30"/>
      <c r="UDN1240" s="30"/>
      <c r="UDO1240" s="30"/>
      <c r="UDP1240" s="30"/>
      <c r="UDQ1240" s="30"/>
      <c r="UDR1240" s="30"/>
      <c r="UDS1240" s="30"/>
      <c r="UDT1240" s="30"/>
      <c r="UDU1240" s="30"/>
      <c r="UDV1240" s="30"/>
      <c r="UDW1240" s="30"/>
      <c r="UDX1240" s="30"/>
      <c r="UDY1240" s="30"/>
      <c r="UDZ1240" s="30"/>
      <c r="UEA1240" s="30"/>
      <c r="UEB1240" s="30"/>
      <c r="UEC1240" s="30"/>
      <c r="UED1240" s="30"/>
      <c r="UEE1240" s="30"/>
      <c r="UEF1240" s="30"/>
      <c r="UEG1240" s="30"/>
      <c r="UEH1240" s="30"/>
      <c r="UEI1240" s="30"/>
      <c r="UEJ1240" s="30"/>
      <c r="UEK1240" s="30"/>
      <c r="UEL1240" s="30"/>
      <c r="UEM1240" s="30"/>
      <c r="UEN1240" s="30"/>
      <c r="UEO1240" s="30"/>
      <c r="UEP1240" s="30"/>
      <c r="UEQ1240" s="30"/>
      <c r="UER1240" s="30"/>
      <c r="UES1240" s="30"/>
      <c r="UET1240" s="30"/>
      <c r="UEU1240" s="30"/>
      <c r="UEV1240" s="30"/>
      <c r="UEW1240" s="30"/>
      <c r="UEX1240" s="30"/>
      <c r="UEY1240" s="30"/>
      <c r="UEZ1240" s="30"/>
      <c r="UFA1240" s="30"/>
      <c r="UFB1240" s="30"/>
      <c r="UFC1240" s="30"/>
      <c r="UFD1240" s="30"/>
      <c r="UFE1240" s="30"/>
      <c r="UFF1240" s="30"/>
      <c r="UFG1240" s="30"/>
      <c r="UFH1240" s="30"/>
      <c r="UFI1240" s="30"/>
      <c r="UFJ1240" s="30"/>
      <c r="UFK1240" s="30"/>
      <c r="UFL1240" s="30"/>
      <c r="UFM1240" s="30"/>
      <c r="UFN1240" s="30"/>
      <c r="UFO1240" s="30"/>
      <c r="UFP1240" s="30"/>
      <c r="UFQ1240" s="30"/>
      <c r="UFR1240" s="30"/>
      <c r="UFS1240" s="30"/>
      <c r="UFT1240" s="30"/>
      <c r="UFU1240" s="30"/>
      <c r="UFV1240" s="30"/>
      <c r="UFW1240" s="30"/>
      <c r="UFX1240" s="30"/>
      <c r="UFY1240" s="30"/>
      <c r="UFZ1240" s="30"/>
      <c r="UGA1240" s="30"/>
      <c r="UGB1240" s="30"/>
      <c r="UGC1240" s="30"/>
      <c r="UGD1240" s="30"/>
      <c r="UGE1240" s="30"/>
      <c r="UGF1240" s="30"/>
      <c r="UGG1240" s="30"/>
      <c r="UGH1240" s="30"/>
      <c r="UGI1240" s="30"/>
      <c r="UGJ1240" s="30"/>
      <c r="UGK1240" s="30"/>
      <c r="UGL1240" s="30"/>
      <c r="UGM1240" s="30"/>
      <c r="UGN1240" s="30"/>
      <c r="UGO1240" s="30"/>
      <c r="UGP1240" s="30"/>
      <c r="UGQ1240" s="30"/>
      <c r="UGR1240" s="30"/>
      <c r="UGS1240" s="30"/>
      <c r="UGT1240" s="30"/>
      <c r="UGU1240" s="30"/>
      <c r="UGV1240" s="30"/>
      <c r="UGW1240" s="30"/>
      <c r="UGX1240" s="30"/>
      <c r="UGY1240" s="30"/>
      <c r="UGZ1240" s="30"/>
      <c r="UHA1240" s="30"/>
      <c r="UHB1240" s="30"/>
      <c r="UHC1240" s="30"/>
      <c r="UHD1240" s="30"/>
      <c r="UHE1240" s="30"/>
      <c r="UHF1240" s="30"/>
      <c r="UHG1240" s="30"/>
      <c r="UHH1240" s="30"/>
      <c r="UHI1240" s="30"/>
      <c r="UHJ1240" s="30"/>
      <c r="UHK1240" s="30"/>
      <c r="UHL1240" s="30"/>
      <c r="UHM1240" s="30"/>
      <c r="UHN1240" s="30"/>
      <c r="UHO1240" s="30"/>
      <c r="UHP1240" s="30"/>
      <c r="UHQ1240" s="30"/>
      <c r="UHR1240" s="30"/>
      <c r="UHS1240" s="30"/>
      <c r="UHT1240" s="30"/>
      <c r="UHU1240" s="30"/>
      <c r="UHV1240" s="30"/>
      <c r="UHW1240" s="30"/>
      <c r="UHX1240" s="30"/>
      <c r="UHY1240" s="30"/>
      <c r="UHZ1240" s="30"/>
      <c r="UIA1240" s="30"/>
      <c r="UIB1240" s="30"/>
      <c r="UIC1240" s="30"/>
      <c r="UID1240" s="30"/>
      <c r="UIE1240" s="30"/>
      <c r="UIF1240" s="30"/>
      <c r="UIG1240" s="30"/>
      <c r="UIH1240" s="30"/>
      <c r="UII1240" s="30"/>
      <c r="UIJ1240" s="30"/>
      <c r="UIK1240" s="30"/>
      <c r="UIL1240" s="30"/>
      <c r="UIM1240" s="30"/>
      <c r="UIN1240" s="30"/>
      <c r="UIO1240" s="30"/>
      <c r="UIP1240" s="30"/>
      <c r="UIQ1240" s="30"/>
      <c r="UIR1240" s="30"/>
      <c r="UIS1240" s="30"/>
      <c r="UIT1240" s="30"/>
      <c r="UIU1240" s="30"/>
      <c r="UIV1240" s="30"/>
      <c r="UIW1240" s="30"/>
      <c r="UIX1240" s="30"/>
      <c r="UIY1240" s="30"/>
      <c r="UIZ1240" s="30"/>
      <c r="UJA1240" s="30"/>
      <c r="UJB1240" s="30"/>
      <c r="UJC1240" s="30"/>
      <c r="UJD1240" s="30"/>
      <c r="UJE1240" s="30"/>
      <c r="UJF1240" s="30"/>
      <c r="UJG1240" s="30"/>
      <c r="UJH1240" s="30"/>
      <c r="UJI1240" s="30"/>
      <c r="UJJ1240" s="30"/>
      <c r="UJK1240" s="30"/>
      <c r="UJL1240" s="30"/>
      <c r="UJM1240" s="30"/>
      <c r="UJN1240" s="30"/>
      <c r="UJO1240" s="30"/>
      <c r="UJP1240" s="30"/>
      <c r="UJQ1240" s="30"/>
      <c r="UJR1240" s="30"/>
      <c r="UJS1240" s="30"/>
      <c r="UJT1240" s="30"/>
      <c r="UJU1240" s="30"/>
      <c r="UJV1240" s="30"/>
      <c r="UJW1240" s="30"/>
      <c r="UJX1240" s="30"/>
      <c r="UJY1240" s="30"/>
      <c r="UJZ1240" s="30"/>
      <c r="UKA1240" s="30"/>
      <c r="UKB1240" s="30"/>
      <c r="UKC1240" s="30"/>
      <c r="UKD1240" s="30"/>
      <c r="UKE1240" s="30"/>
      <c r="UKF1240" s="30"/>
      <c r="UKG1240" s="30"/>
      <c r="UKH1240" s="30"/>
      <c r="UKI1240" s="30"/>
      <c r="UKJ1240" s="30"/>
      <c r="UKK1240" s="30"/>
      <c r="UKL1240" s="30"/>
      <c r="UKM1240" s="30"/>
      <c r="UKN1240" s="30"/>
      <c r="UKO1240" s="30"/>
      <c r="UKP1240" s="30"/>
      <c r="UKQ1240" s="30"/>
      <c r="UKR1240" s="30"/>
      <c r="UKS1240" s="30"/>
      <c r="UKT1240" s="30"/>
      <c r="UKU1240" s="30"/>
      <c r="UKV1240" s="30"/>
      <c r="UKW1240" s="30"/>
      <c r="UKX1240" s="30"/>
      <c r="UKY1240" s="30"/>
      <c r="UKZ1240" s="30"/>
      <c r="ULA1240" s="30"/>
      <c r="ULB1240" s="30"/>
      <c r="ULC1240" s="30"/>
      <c r="ULD1240" s="30"/>
      <c r="ULE1240" s="30"/>
      <c r="ULF1240" s="30"/>
      <c r="ULG1240" s="30"/>
      <c r="ULH1240" s="30"/>
      <c r="ULI1240" s="30"/>
      <c r="ULJ1240" s="30"/>
      <c r="ULK1240" s="30"/>
      <c r="ULL1240" s="30"/>
      <c r="ULM1240" s="30"/>
      <c r="ULN1240" s="30"/>
      <c r="ULO1240" s="30"/>
      <c r="ULP1240" s="30"/>
      <c r="ULQ1240" s="30"/>
      <c r="ULR1240" s="30"/>
      <c r="ULS1240" s="30"/>
      <c r="ULT1240" s="30"/>
      <c r="ULU1240" s="30"/>
      <c r="ULV1240" s="30"/>
      <c r="ULW1240" s="30"/>
      <c r="ULX1240" s="30"/>
      <c r="ULY1240" s="30"/>
      <c r="ULZ1240" s="30"/>
      <c r="UMA1240" s="30"/>
      <c r="UMB1240" s="30"/>
      <c r="UMC1240" s="30"/>
      <c r="UMD1240" s="30"/>
      <c r="UME1240" s="30"/>
      <c r="UMF1240" s="30"/>
      <c r="UMG1240" s="30"/>
      <c r="UMH1240" s="30"/>
      <c r="UMI1240" s="30"/>
      <c r="UMJ1240" s="30"/>
      <c r="UMK1240" s="30"/>
      <c r="UML1240" s="30"/>
      <c r="UMM1240" s="30"/>
      <c r="UMN1240" s="30"/>
      <c r="UMO1240" s="30"/>
      <c r="UMP1240" s="30"/>
      <c r="UMQ1240" s="30"/>
      <c r="UMR1240" s="30"/>
      <c r="UMS1240" s="30"/>
      <c r="UMT1240" s="30"/>
      <c r="UMU1240" s="30"/>
      <c r="UMV1240" s="30"/>
      <c r="UMW1240" s="30"/>
      <c r="UMX1240" s="30"/>
      <c r="UMY1240" s="30"/>
      <c r="UMZ1240" s="30"/>
      <c r="UNA1240" s="30"/>
      <c r="UNB1240" s="30"/>
      <c r="UNC1240" s="30"/>
      <c r="UND1240" s="30"/>
      <c r="UNE1240" s="30"/>
      <c r="UNF1240" s="30"/>
      <c r="UNG1240" s="30"/>
      <c r="UNH1240" s="30"/>
      <c r="UNI1240" s="30"/>
      <c r="UNJ1240" s="30"/>
      <c r="UNK1240" s="30"/>
      <c r="UNL1240" s="30"/>
      <c r="UNM1240" s="30"/>
      <c r="UNN1240" s="30"/>
      <c r="UNO1240" s="30"/>
      <c r="UNP1240" s="30"/>
      <c r="UNQ1240" s="30"/>
      <c r="UNR1240" s="30"/>
      <c r="UNS1240" s="30"/>
      <c r="UNT1240" s="30"/>
      <c r="UNU1240" s="30"/>
      <c r="UNV1240" s="30"/>
      <c r="UNW1240" s="30"/>
      <c r="UNX1240" s="30"/>
      <c r="UNY1240" s="30"/>
      <c r="UNZ1240" s="30"/>
      <c r="UOA1240" s="30"/>
      <c r="UOB1240" s="30"/>
      <c r="UOC1240" s="30"/>
      <c r="UOD1240" s="30"/>
      <c r="UOE1240" s="30"/>
      <c r="UOF1240" s="30"/>
      <c r="UOG1240" s="30"/>
      <c r="UOH1240" s="30"/>
      <c r="UOI1240" s="30"/>
      <c r="UOJ1240" s="30"/>
      <c r="UOK1240" s="30"/>
      <c r="UOL1240" s="30"/>
      <c r="UOM1240" s="30"/>
      <c r="UON1240" s="30"/>
      <c r="UOO1240" s="30"/>
      <c r="UOP1240" s="30"/>
      <c r="UOQ1240" s="30"/>
      <c r="UOR1240" s="30"/>
      <c r="UOS1240" s="30"/>
      <c r="UOT1240" s="30"/>
      <c r="UOU1240" s="30"/>
      <c r="UOV1240" s="30"/>
      <c r="UOW1240" s="30"/>
      <c r="UOX1240" s="30"/>
      <c r="UOY1240" s="30"/>
      <c r="UOZ1240" s="30"/>
      <c r="UPA1240" s="30"/>
      <c r="UPB1240" s="30"/>
      <c r="UPC1240" s="30"/>
      <c r="UPD1240" s="30"/>
      <c r="UPE1240" s="30"/>
      <c r="UPF1240" s="30"/>
      <c r="UPG1240" s="30"/>
      <c r="UPH1240" s="30"/>
      <c r="UPI1240" s="30"/>
      <c r="UPJ1240" s="30"/>
      <c r="UPK1240" s="30"/>
      <c r="UPL1240" s="30"/>
      <c r="UPM1240" s="30"/>
      <c r="UPN1240" s="30"/>
      <c r="UPO1240" s="30"/>
      <c r="UPP1240" s="30"/>
      <c r="UPQ1240" s="30"/>
      <c r="UPR1240" s="30"/>
      <c r="UPS1240" s="30"/>
      <c r="UPT1240" s="30"/>
      <c r="UPU1240" s="30"/>
      <c r="UPV1240" s="30"/>
      <c r="UPW1240" s="30"/>
      <c r="UPX1240" s="30"/>
      <c r="UPY1240" s="30"/>
      <c r="UPZ1240" s="30"/>
      <c r="UQA1240" s="30"/>
      <c r="UQB1240" s="30"/>
      <c r="UQC1240" s="30"/>
      <c r="UQD1240" s="30"/>
      <c r="UQE1240" s="30"/>
      <c r="UQF1240" s="30"/>
      <c r="UQG1240" s="30"/>
      <c r="UQH1240" s="30"/>
      <c r="UQI1240" s="30"/>
      <c r="UQJ1240" s="30"/>
      <c r="UQK1240" s="30"/>
      <c r="UQL1240" s="30"/>
      <c r="UQM1240" s="30"/>
      <c r="UQN1240" s="30"/>
      <c r="UQO1240" s="30"/>
      <c r="UQP1240" s="30"/>
      <c r="UQQ1240" s="30"/>
      <c r="UQR1240" s="30"/>
      <c r="UQS1240" s="30"/>
      <c r="UQT1240" s="30"/>
      <c r="UQU1240" s="30"/>
      <c r="UQV1240" s="30"/>
      <c r="UQW1240" s="30"/>
      <c r="UQX1240" s="30"/>
      <c r="UQY1240" s="30"/>
      <c r="UQZ1240" s="30"/>
      <c r="URA1240" s="30"/>
      <c r="URB1240" s="30"/>
      <c r="URC1240" s="30"/>
      <c r="URD1240" s="30"/>
      <c r="URE1240" s="30"/>
      <c r="URF1240" s="30"/>
      <c r="URG1240" s="30"/>
      <c r="URH1240" s="30"/>
      <c r="URI1240" s="30"/>
      <c r="URJ1240" s="30"/>
      <c r="URK1240" s="30"/>
      <c r="URL1240" s="30"/>
      <c r="URM1240" s="30"/>
      <c r="URN1240" s="30"/>
      <c r="URO1240" s="30"/>
      <c r="URP1240" s="30"/>
      <c r="URQ1240" s="30"/>
      <c r="URR1240" s="30"/>
      <c r="URS1240" s="30"/>
      <c r="URT1240" s="30"/>
      <c r="URU1240" s="30"/>
      <c r="URV1240" s="30"/>
      <c r="URW1240" s="30"/>
      <c r="URX1240" s="30"/>
      <c r="URY1240" s="30"/>
      <c r="URZ1240" s="30"/>
      <c r="USA1240" s="30"/>
      <c r="USB1240" s="30"/>
      <c r="USC1240" s="30"/>
      <c r="USD1240" s="30"/>
      <c r="USE1240" s="30"/>
      <c r="USF1240" s="30"/>
      <c r="USG1240" s="30"/>
      <c r="USH1240" s="30"/>
      <c r="USI1240" s="30"/>
      <c r="USJ1240" s="30"/>
      <c r="USK1240" s="30"/>
      <c r="USL1240" s="30"/>
      <c r="USM1240" s="30"/>
      <c r="USN1240" s="30"/>
      <c r="USO1240" s="30"/>
      <c r="USP1240" s="30"/>
      <c r="USQ1240" s="30"/>
      <c r="USR1240" s="30"/>
      <c r="USS1240" s="30"/>
      <c r="UST1240" s="30"/>
      <c r="USU1240" s="30"/>
      <c r="USV1240" s="30"/>
      <c r="USW1240" s="30"/>
      <c r="USX1240" s="30"/>
      <c r="USY1240" s="30"/>
      <c r="USZ1240" s="30"/>
      <c r="UTA1240" s="30"/>
      <c r="UTB1240" s="30"/>
      <c r="UTC1240" s="30"/>
      <c r="UTD1240" s="30"/>
      <c r="UTE1240" s="30"/>
      <c r="UTF1240" s="30"/>
      <c r="UTG1240" s="30"/>
      <c r="UTH1240" s="30"/>
      <c r="UTI1240" s="30"/>
      <c r="UTJ1240" s="30"/>
      <c r="UTK1240" s="30"/>
      <c r="UTL1240" s="30"/>
      <c r="UTM1240" s="30"/>
      <c r="UTN1240" s="30"/>
      <c r="UTO1240" s="30"/>
      <c r="UTP1240" s="30"/>
      <c r="UTQ1240" s="30"/>
      <c r="UTR1240" s="30"/>
      <c r="UTS1240" s="30"/>
      <c r="UTT1240" s="30"/>
      <c r="UTU1240" s="30"/>
      <c r="UTV1240" s="30"/>
      <c r="UTW1240" s="30"/>
      <c r="UTX1240" s="30"/>
      <c r="UTY1240" s="30"/>
      <c r="UTZ1240" s="30"/>
      <c r="UUA1240" s="30"/>
      <c r="UUB1240" s="30"/>
      <c r="UUC1240" s="30"/>
      <c r="UUD1240" s="30"/>
      <c r="UUE1240" s="30"/>
      <c r="UUF1240" s="30"/>
      <c r="UUG1240" s="30"/>
      <c r="UUH1240" s="30"/>
      <c r="UUI1240" s="30"/>
      <c r="UUJ1240" s="30"/>
      <c r="UUK1240" s="30"/>
      <c r="UUL1240" s="30"/>
      <c r="UUM1240" s="30"/>
      <c r="UUN1240" s="30"/>
      <c r="UUO1240" s="30"/>
      <c r="UUP1240" s="30"/>
      <c r="UUQ1240" s="30"/>
      <c r="UUR1240" s="30"/>
      <c r="UUS1240" s="30"/>
      <c r="UUT1240" s="30"/>
      <c r="UUU1240" s="30"/>
      <c r="UUV1240" s="30"/>
      <c r="UUW1240" s="30"/>
      <c r="UUX1240" s="30"/>
      <c r="UUY1240" s="30"/>
      <c r="UUZ1240" s="30"/>
      <c r="UVA1240" s="30"/>
      <c r="UVB1240" s="30"/>
      <c r="UVC1240" s="30"/>
      <c r="UVD1240" s="30"/>
      <c r="UVE1240" s="30"/>
      <c r="UVF1240" s="30"/>
      <c r="UVG1240" s="30"/>
      <c r="UVH1240" s="30"/>
      <c r="UVI1240" s="30"/>
      <c r="UVJ1240" s="30"/>
      <c r="UVK1240" s="30"/>
      <c r="UVL1240" s="30"/>
      <c r="UVM1240" s="30"/>
      <c r="UVN1240" s="30"/>
      <c r="UVO1240" s="30"/>
      <c r="UVP1240" s="30"/>
      <c r="UVQ1240" s="30"/>
      <c r="UVR1240" s="30"/>
      <c r="UVS1240" s="30"/>
      <c r="UVT1240" s="30"/>
      <c r="UVU1240" s="30"/>
      <c r="UVV1240" s="30"/>
      <c r="UVW1240" s="30"/>
      <c r="UVX1240" s="30"/>
      <c r="UVY1240" s="30"/>
      <c r="UVZ1240" s="30"/>
      <c r="UWA1240" s="30"/>
      <c r="UWB1240" s="30"/>
      <c r="UWC1240" s="30"/>
      <c r="UWD1240" s="30"/>
      <c r="UWE1240" s="30"/>
      <c r="UWF1240" s="30"/>
      <c r="UWG1240" s="30"/>
      <c r="UWH1240" s="30"/>
      <c r="UWI1240" s="30"/>
      <c r="UWJ1240" s="30"/>
      <c r="UWK1240" s="30"/>
      <c r="UWL1240" s="30"/>
      <c r="UWM1240" s="30"/>
      <c r="UWN1240" s="30"/>
      <c r="UWO1240" s="30"/>
      <c r="UWP1240" s="30"/>
      <c r="UWQ1240" s="30"/>
      <c r="UWR1240" s="30"/>
      <c r="UWS1240" s="30"/>
      <c r="UWT1240" s="30"/>
      <c r="UWU1240" s="30"/>
      <c r="UWV1240" s="30"/>
      <c r="UWW1240" s="30"/>
      <c r="UWX1240" s="30"/>
      <c r="UWY1240" s="30"/>
      <c r="UWZ1240" s="30"/>
      <c r="UXA1240" s="30"/>
      <c r="UXB1240" s="30"/>
      <c r="UXC1240" s="30"/>
      <c r="UXD1240" s="30"/>
      <c r="UXE1240" s="30"/>
      <c r="UXF1240" s="30"/>
      <c r="UXG1240" s="30"/>
      <c r="UXH1240" s="30"/>
      <c r="UXI1240" s="30"/>
      <c r="UXJ1240" s="30"/>
      <c r="UXK1240" s="30"/>
      <c r="UXL1240" s="30"/>
      <c r="UXM1240" s="30"/>
      <c r="UXN1240" s="30"/>
      <c r="UXO1240" s="30"/>
      <c r="UXP1240" s="30"/>
      <c r="UXQ1240" s="30"/>
      <c r="UXR1240" s="30"/>
      <c r="UXS1240" s="30"/>
      <c r="UXT1240" s="30"/>
      <c r="UXU1240" s="30"/>
      <c r="UXV1240" s="30"/>
      <c r="UXW1240" s="30"/>
      <c r="UXX1240" s="30"/>
      <c r="UXY1240" s="30"/>
      <c r="UXZ1240" s="30"/>
      <c r="UYA1240" s="30"/>
      <c r="UYB1240" s="30"/>
      <c r="UYC1240" s="30"/>
      <c r="UYD1240" s="30"/>
      <c r="UYE1240" s="30"/>
      <c r="UYF1240" s="30"/>
      <c r="UYG1240" s="30"/>
      <c r="UYH1240" s="30"/>
      <c r="UYI1240" s="30"/>
      <c r="UYJ1240" s="30"/>
      <c r="UYK1240" s="30"/>
      <c r="UYL1240" s="30"/>
      <c r="UYM1240" s="30"/>
      <c r="UYN1240" s="30"/>
      <c r="UYO1240" s="30"/>
      <c r="UYP1240" s="30"/>
      <c r="UYQ1240" s="30"/>
      <c r="UYR1240" s="30"/>
      <c r="UYS1240" s="30"/>
      <c r="UYT1240" s="30"/>
      <c r="UYU1240" s="30"/>
      <c r="UYV1240" s="30"/>
      <c r="UYW1240" s="30"/>
      <c r="UYX1240" s="30"/>
      <c r="UYY1240" s="30"/>
      <c r="UYZ1240" s="30"/>
      <c r="UZA1240" s="30"/>
      <c r="UZB1240" s="30"/>
      <c r="UZC1240" s="30"/>
      <c r="UZD1240" s="30"/>
      <c r="UZE1240" s="30"/>
      <c r="UZF1240" s="30"/>
      <c r="UZG1240" s="30"/>
      <c r="UZH1240" s="30"/>
      <c r="UZI1240" s="30"/>
      <c r="UZJ1240" s="30"/>
      <c r="UZK1240" s="30"/>
      <c r="UZL1240" s="30"/>
      <c r="UZM1240" s="30"/>
      <c r="UZN1240" s="30"/>
      <c r="UZO1240" s="30"/>
      <c r="UZP1240" s="30"/>
      <c r="UZQ1240" s="30"/>
      <c r="UZR1240" s="30"/>
      <c r="UZS1240" s="30"/>
      <c r="UZT1240" s="30"/>
      <c r="UZU1240" s="30"/>
      <c r="UZV1240" s="30"/>
      <c r="UZW1240" s="30"/>
      <c r="UZX1240" s="30"/>
      <c r="UZY1240" s="30"/>
      <c r="UZZ1240" s="30"/>
      <c r="VAA1240" s="30"/>
      <c r="VAB1240" s="30"/>
      <c r="VAC1240" s="30"/>
      <c r="VAD1240" s="30"/>
      <c r="VAE1240" s="30"/>
      <c r="VAF1240" s="30"/>
      <c r="VAG1240" s="30"/>
      <c r="VAH1240" s="30"/>
      <c r="VAI1240" s="30"/>
      <c r="VAJ1240" s="30"/>
      <c r="VAK1240" s="30"/>
      <c r="VAL1240" s="30"/>
      <c r="VAM1240" s="30"/>
      <c r="VAN1240" s="30"/>
      <c r="VAO1240" s="30"/>
      <c r="VAP1240" s="30"/>
      <c r="VAQ1240" s="30"/>
      <c r="VAR1240" s="30"/>
      <c r="VAS1240" s="30"/>
      <c r="VAT1240" s="30"/>
      <c r="VAU1240" s="30"/>
      <c r="VAV1240" s="30"/>
      <c r="VAW1240" s="30"/>
      <c r="VAX1240" s="30"/>
      <c r="VAY1240" s="30"/>
      <c r="VAZ1240" s="30"/>
      <c r="VBA1240" s="30"/>
      <c r="VBB1240" s="30"/>
      <c r="VBC1240" s="30"/>
      <c r="VBD1240" s="30"/>
      <c r="VBE1240" s="30"/>
      <c r="VBF1240" s="30"/>
      <c r="VBG1240" s="30"/>
      <c r="VBH1240" s="30"/>
      <c r="VBI1240" s="30"/>
      <c r="VBJ1240" s="30"/>
      <c r="VBK1240" s="30"/>
      <c r="VBL1240" s="30"/>
      <c r="VBM1240" s="30"/>
      <c r="VBN1240" s="30"/>
      <c r="VBO1240" s="30"/>
      <c r="VBP1240" s="30"/>
      <c r="VBQ1240" s="30"/>
      <c r="VBR1240" s="30"/>
      <c r="VBS1240" s="30"/>
      <c r="VBT1240" s="30"/>
      <c r="VBU1240" s="30"/>
      <c r="VBV1240" s="30"/>
      <c r="VBW1240" s="30"/>
      <c r="VBX1240" s="30"/>
      <c r="VBY1240" s="30"/>
      <c r="VBZ1240" s="30"/>
      <c r="VCA1240" s="30"/>
      <c r="VCB1240" s="30"/>
      <c r="VCC1240" s="30"/>
      <c r="VCD1240" s="30"/>
      <c r="VCE1240" s="30"/>
      <c r="VCF1240" s="30"/>
      <c r="VCG1240" s="30"/>
      <c r="VCH1240" s="30"/>
      <c r="VCI1240" s="30"/>
      <c r="VCJ1240" s="30"/>
      <c r="VCK1240" s="30"/>
      <c r="VCL1240" s="30"/>
      <c r="VCM1240" s="30"/>
      <c r="VCN1240" s="30"/>
      <c r="VCO1240" s="30"/>
      <c r="VCP1240" s="30"/>
      <c r="VCQ1240" s="30"/>
      <c r="VCR1240" s="30"/>
      <c r="VCS1240" s="30"/>
      <c r="VCT1240" s="30"/>
      <c r="VCU1240" s="30"/>
      <c r="VCV1240" s="30"/>
      <c r="VCW1240" s="30"/>
      <c r="VCX1240" s="30"/>
      <c r="VCY1240" s="30"/>
      <c r="VCZ1240" s="30"/>
      <c r="VDA1240" s="30"/>
      <c r="VDB1240" s="30"/>
      <c r="VDC1240" s="30"/>
      <c r="VDD1240" s="30"/>
      <c r="VDE1240" s="30"/>
      <c r="VDF1240" s="30"/>
      <c r="VDG1240" s="30"/>
      <c r="VDH1240" s="30"/>
      <c r="VDI1240" s="30"/>
      <c r="VDJ1240" s="30"/>
      <c r="VDK1240" s="30"/>
      <c r="VDL1240" s="30"/>
      <c r="VDM1240" s="30"/>
      <c r="VDN1240" s="30"/>
      <c r="VDO1240" s="30"/>
      <c r="VDP1240" s="30"/>
      <c r="VDQ1240" s="30"/>
      <c r="VDR1240" s="30"/>
      <c r="VDS1240" s="30"/>
      <c r="VDT1240" s="30"/>
      <c r="VDU1240" s="30"/>
      <c r="VDV1240" s="30"/>
      <c r="VDW1240" s="30"/>
      <c r="VDX1240" s="30"/>
      <c r="VDY1240" s="30"/>
      <c r="VDZ1240" s="30"/>
      <c r="VEA1240" s="30"/>
      <c r="VEB1240" s="30"/>
      <c r="VEC1240" s="30"/>
      <c r="VED1240" s="30"/>
      <c r="VEE1240" s="30"/>
      <c r="VEF1240" s="30"/>
      <c r="VEG1240" s="30"/>
      <c r="VEH1240" s="30"/>
      <c r="VEI1240" s="30"/>
      <c r="VEJ1240" s="30"/>
      <c r="VEK1240" s="30"/>
      <c r="VEL1240" s="30"/>
      <c r="VEM1240" s="30"/>
      <c r="VEN1240" s="30"/>
      <c r="VEO1240" s="30"/>
      <c r="VEP1240" s="30"/>
      <c r="VEQ1240" s="30"/>
      <c r="VER1240" s="30"/>
      <c r="VES1240" s="30"/>
      <c r="VET1240" s="30"/>
      <c r="VEU1240" s="30"/>
      <c r="VEV1240" s="30"/>
      <c r="VEW1240" s="30"/>
      <c r="VEX1240" s="30"/>
      <c r="VEY1240" s="30"/>
      <c r="VEZ1240" s="30"/>
      <c r="VFA1240" s="30"/>
      <c r="VFB1240" s="30"/>
      <c r="VFC1240" s="30"/>
      <c r="VFD1240" s="30"/>
      <c r="VFE1240" s="30"/>
      <c r="VFF1240" s="30"/>
      <c r="VFG1240" s="30"/>
      <c r="VFH1240" s="30"/>
      <c r="VFI1240" s="30"/>
      <c r="VFJ1240" s="30"/>
      <c r="VFK1240" s="30"/>
      <c r="VFL1240" s="30"/>
      <c r="VFM1240" s="30"/>
      <c r="VFN1240" s="30"/>
      <c r="VFO1240" s="30"/>
      <c r="VFP1240" s="30"/>
      <c r="VFQ1240" s="30"/>
      <c r="VFR1240" s="30"/>
      <c r="VFS1240" s="30"/>
      <c r="VFT1240" s="30"/>
      <c r="VFU1240" s="30"/>
      <c r="VFV1240" s="30"/>
      <c r="VFW1240" s="30"/>
      <c r="VFX1240" s="30"/>
      <c r="VFY1240" s="30"/>
      <c r="VFZ1240" s="30"/>
      <c r="VGA1240" s="30"/>
      <c r="VGB1240" s="30"/>
      <c r="VGC1240" s="30"/>
      <c r="VGD1240" s="30"/>
      <c r="VGE1240" s="30"/>
      <c r="VGF1240" s="30"/>
      <c r="VGG1240" s="30"/>
      <c r="VGH1240" s="30"/>
      <c r="VGI1240" s="30"/>
      <c r="VGJ1240" s="30"/>
      <c r="VGK1240" s="30"/>
      <c r="VGL1240" s="30"/>
      <c r="VGM1240" s="30"/>
      <c r="VGN1240" s="30"/>
      <c r="VGO1240" s="30"/>
      <c r="VGP1240" s="30"/>
      <c r="VGQ1240" s="30"/>
      <c r="VGR1240" s="30"/>
      <c r="VGS1240" s="30"/>
      <c r="VGT1240" s="30"/>
      <c r="VGU1240" s="30"/>
      <c r="VGV1240" s="30"/>
      <c r="VGW1240" s="30"/>
      <c r="VGX1240" s="30"/>
      <c r="VGY1240" s="30"/>
      <c r="VGZ1240" s="30"/>
      <c r="VHA1240" s="30"/>
      <c r="VHB1240" s="30"/>
      <c r="VHC1240" s="30"/>
      <c r="VHD1240" s="30"/>
      <c r="VHE1240" s="30"/>
      <c r="VHF1240" s="30"/>
      <c r="VHG1240" s="30"/>
      <c r="VHH1240" s="30"/>
      <c r="VHI1240" s="30"/>
      <c r="VHJ1240" s="30"/>
      <c r="VHK1240" s="30"/>
      <c r="VHL1240" s="30"/>
      <c r="VHM1240" s="30"/>
      <c r="VHN1240" s="30"/>
      <c r="VHO1240" s="30"/>
      <c r="VHP1240" s="30"/>
      <c r="VHQ1240" s="30"/>
      <c r="VHR1240" s="30"/>
      <c r="VHS1240" s="30"/>
      <c r="VHT1240" s="30"/>
      <c r="VHU1240" s="30"/>
      <c r="VHV1240" s="30"/>
      <c r="VHW1240" s="30"/>
      <c r="VHX1240" s="30"/>
      <c r="VHY1240" s="30"/>
      <c r="VHZ1240" s="30"/>
      <c r="VIA1240" s="30"/>
      <c r="VIB1240" s="30"/>
      <c r="VIC1240" s="30"/>
      <c r="VID1240" s="30"/>
      <c r="VIE1240" s="30"/>
      <c r="VIF1240" s="30"/>
      <c r="VIG1240" s="30"/>
      <c r="VIH1240" s="30"/>
      <c r="VII1240" s="30"/>
      <c r="VIJ1240" s="30"/>
      <c r="VIK1240" s="30"/>
      <c r="VIL1240" s="30"/>
      <c r="VIM1240" s="30"/>
      <c r="VIN1240" s="30"/>
      <c r="VIO1240" s="30"/>
      <c r="VIP1240" s="30"/>
      <c r="VIQ1240" s="30"/>
      <c r="VIR1240" s="30"/>
      <c r="VIS1240" s="30"/>
      <c r="VIT1240" s="30"/>
      <c r="VIU1240" s="30"/>
      <c r="VIV1240" s="30"/>
      <c r="VIW1240" s="30"/>
      <c r="VIX1240" s="30"/>
      <c r="VIY1240" s="30"/>
      <c r="VIZ1240" s="30"/>
      <c r="VJA1240" s="30"/>
      <c r="VJB1240" s="30"/>
      <c r="VJC1240" s="30"/>
      <c r="VJD1240" s="30"/>
      <c r="VJE1240" s="30"/>
      <c r="VJF1240" s="30"/>
      <c r="VJG1240" s="30"/>
      <c r="VJH1240" s="30"/>
      <c r="VJI1240" s="30"/>
      <c r="VJJ1240" s="30"/>
      <c r="VJK1240" s="30"/>
      <c r="VJL1240" s="30"/>
      <c r="VJM1240" s="30"/>
      <c r="VJN1240" s="30"/>
      <c r="VJO1240" s="30"/>
      <c r="VJP1240" s="30"/>
      <c r="VJQ1240" s="30"/>
      <c r="VJR1240" s="30"/>
      <c r="VJS1240" s="30"/>
      <c r="VJT1240" s="30"/>
      <c r="VJU1240" s="30"/>
      <c r="VJV1240" s="30"/>
      <c r="VJW1240" s="30"/>
      <c r="VJX1240" s="30"/>
      <c r="VJY1240" s="30"/>
      <c r="VJZ1240" s="30"/>
      <c r="VKA1240" s="30"/>
      <c r="VKB1240" s="30"/>
      <c r="VKC1240" s="30"/>
      <c r="VKD1240" s="30"/>
      <c r="VKE1240" s="30"/>
      <c r="VKF1240" s="30"/>
      <c r="VKG1240" s="30"/>
      <c r="VKH1240" s="30"/>
      <c r="VKI1240" s="30"/>
      <c r="VKJ1240" s="30"/>
      <c r="VKK1240" s="30"/>
      <c r="VKL1240" s="30"/>
      <c r="VKM1240" s="30"/>
      <c r="VKN1240" s="30"/>
      <c r="VKO1240" s="30"/>
      <c r="VKP1240" s="30"/>
      <c r="VKQ1240" s="30"/>
      <c r="VKR1240" s="30"/>
      <c r="VKS1240" s="30"/>
      <c r="VKT1240" s="30"/>
      <c r="VKU1240" s="30"/>
      <c r="VKV1240" s="30"/>
      <c r="VKW1240" s="30"/>
      <c r="VKX1240" s="30"/>
      <c r="VKY1240" s="30"/>
      <c r="VKZ1240" s="30"/>
      <c r="VLA1240" s="30"/>
      <c r="VLB1240" s="30"/>
      <c r="VLC1240" s="30"/>
      <c r="VLD1240" s="30"/>
      <c r="VLE1240" s="30"/>
      <c r="VLF1240" s="30"/>
      <c r="VLG1240" s="30"/>
      <c r="VLH1240" s="30"/>
      <c r="VLI1240" s="30"/>
      <c r="VLJ1240" s="30"/>
      <c r="VLK1240" s="30"/>
      <c r="VLL1240" s="30"/>
      <c r="VLM1240" s="30"/>
      <c r="VLN1240" s="30"/>
      <c r="VLO1240" s="30"/>
      <c r="VLP1240" s="30"/>
      <c r="VLQ1240" s="30"/>
      <c r="VLR1240" s="30"/>
      <c r="VLS1240" s="30"/>
      <c r="VLT1240" s="30"/>
      <c r="VLU1240" s="30"/>
      <c r="VLV1240" s="30"/>
      <c r="VLW1240" s="30"/>
      <c r="VLX1240" s="30"/>
      <c r="VLY1240" s="30"/>
      <c r="VLZ1240" s="30"/>
      <c r="VMA1240" s="30"/>
      <c r="VMB1240" s="30"/>
      <c r="VMC1240" s="30"/>
      <c r="VMD1240" s="30"/>
      <c r="VME1240" s="30"/>
      <c r="VMF1240" s="30"/>
      <c r="VMG1240" s="30"/>
      <c r="VMH1240" s="30"/>
      <c r="VMI1240" s="30"/>
      <c r="VMJ1240" s="30"/>
      <c r="VMK1240" s="30"/>
      <c r="VML1240" s="30"/>
      <c r="VMM1240" s="30"/>
      <c r="VMN1240" s="30"/>
      <c r="VMO1240" s="30"/>
      <c r="VMP1240" s="30"/>
      <c r="VMQ1240" s="30"/>
      <c r="VMR1240" s="30"/>
      <c r="VMS1240" s="30"/>
      <c r="VMT1240" s="30"/>
      <c r="VMU1240" s="30"/>
      <c r="VMV1240" s="30"/>
      <c r="VMW1240" s="30"/>
      <c r="VMX1240" s="30"/>
      <c r="VMY1240" s="30"/>
      <c r="VMZ1240" s="30"/>
      <c r="VNA1240" s="30"/>
      <c r="VNB1240" s="30"/>
      <c r="VNC1240" s="30"/>
      <c r="VND1240" s="30"/>
      <c r="VNE1240" s="30"/>
      <c r="VNF1240" s="30"/>
      <c r="VNG1240" s="30"/>
      <c r="VNH1240" s="30"/>
      <c r="VNI1240" s="30"/>
      <c r="VNJ1240" s="30"/>
      <c r="VNK1240" s="30"/>
      <c r="VNL1240" s="30"/>
      <c r="VNM1240" s="30"/>
      <c r="VNN1240" s="30"/>
      <c r="VNO1240" s="30"/>
      <c r="VNP1240" s="30"/>
      <c r="VNQ1240" s="30"/>
      <c r="VNR1240" s="30"/>
      <c r="VNS1240" s="30"/>
      <c r="VNT1240" s="30"/>
      <c r="VNU1240" s="30"/>
      <c r="VNV1240" s="30"/>
      <c r="VNW1240" s="30"/>
      <c r="VNX1240" s="30"/>
      <c r="VNY1240" s="30"/>
      <c r="VNZ1240" s="30"/>
      <c r="VOA1240" s="30"/>
      <c r="VOB1240" s="30"/>
      <c r="VOC1240" s="30"/>
      <c r="VOD1240" s="30"/>
      <c r="VOE1240" s="30"/>
      <c r="VOF1240" s="30"/>
      <c r="VOG1240" s="30"/>
      <c r="VOH1240" s="30"/>
      <c r="VOI1240" s="30"/>
      <c r="VOJ1240" s="30"/>
      <c r="VOK1240" s="30"/>
      <c r="VOL1240" s="30"/>
      <c r="VOM1240" s="30"/>
      <c r="VON1240" s="30"/>
      <c r="VOO1240" s="30"/>
      <c r="VOP1240" s="30"/>
      <c r="VOQ1240" s="30"/>
      <c r="VOR1240" s="30"/>
      <c r="VOS1240" s="30"/>
      <c r="VOT1240" s="30"/>
      <c r="VOU1240" s="30"/>
      <c r="VOV1240" s="30"/>
      <c r="VOW1240" s="30"/>
      <c r="VOX1240" s="30"/>
      <c r="VOY1240" s="30"/>
      <c r="VOZ1240" s="30"/>
      <c r="VPA1240" s="30"/>
      <c r="VPB1240" s="30"/>
      <c r="VPC1240" s="30"/>
      <c r="VPD1240" s="30"/>
      <c r="VPE1240" s="30"/>
      <c r="VPF1240" s="30"/>
      <c r="VPG1240" s="30"/>
      <c r="VPH1240" s="30"/>
      <c r="VPI1240" s="30"/>
      <c r="VPJ1240" s="30"/>
      <c r="VPK1240" s="30"/>
      <c r="VPL1240" s="30"/>
      <c r="VPM1240" s="30"/>
      <c r="VPN1240" s="30"/>
      <c r="VPO1240" s="30"/>
      <c r="VPP1240" s="30"/>
      <c r="VPQ1240" s="30"/>
      <c r="VPR1240" s="30"/>
      <c r="VPS1240" s="30"/>
      <c r="VPT1240" s="30"/>
      <c r="VPU1240" s="30"/>
      <c r="VPV1240" s="30"/>
      <c r="VPW1240" s="30"/>
      <c r="VPX1240" s="30"/>
      <c r="VPY1240" s="30"/>
      <c r="VPZ1240" s="30"/>
      <c r="VQA1240" s="30"/>
      <c r="VQB1240" s="30"/>
      <c r="VQC1240" s="30"/>
      <c r="VQD1240" s="30"/>
      <c r="VQE1240" s="30"/>
      <c r="VQF1240" s="30"/>
      <c r="VQG1240" s="30"/>
      <c r="VQH1240" s="30"/>
      <c r="VQI1240" s="30"/>
      <c r="VQJ1240" s="30"/>
      <c r="VQK1240" s="30"/>
      <c r="VQL1240" s="30"/>
      <c r="VQM1240" s="30"/>
      <c r="VQN1240" s="30"/>
      <c r="VQO1240" s="30"/>
      <c r="VQP1240" s="30"/>
      <c r="VQQ1240" s="30"/>
      <c r="VQR1240" s="30"/>
      <c r="VQS1240" s="30"/>
      <c r="VQT1240" s="30"/>
      <c r="VQU1240" s="30"/>
      <c r="VQV1240" s="30"/>
      <c r="VQW1240" s="30"/>
      <c r="VQX1240" s="30"/>
      <c r="VQY1240" s="30"/>
      <c r="VQZ1240" s="30"/>
      <c r="VRA1240" s="30"/>
      <c r="VRB1240" s="30"/>
      <c r="VRC1240" s="30"/>
      <c r="VRD1240" s="30"/>
      <c r="VRE1240" s="30"/>
      <c r="VRF1240" s="30"/>
      <c r="VRG1240" s="30"/>
      <c r="VRH1240" s="30"/>
      <c r="VRI1240" s="30"/>
      <c r="VRJ1240" s="30"/>
      <c r="VRK1240" s="30"/>
      <c r="VRL1240" s="30"/>
      <c r="VRM1240" s="30"/>
      <c r="VRN1240" s="30"/>
      <c r="VRO1240" s="30"/>
      <c r="VRP1240" s="30"/>
      <c r="VRQ1240" s="30"/>
      <c r="VRR1240" s="30"/>
      <c r="VRS1240" s="30"/>
      <c r="VRT1240" s="30"/>
      <c r="VRU1240" s="30"/>
      <c r="VRV1240" s="30"/>
      <c r="VRW1240" s="30"/>
      <c r="VRX1240" s="30"/>
      <c r="VRY1240" s="30"/>
      <c r="VRZ1240" s="30"/>
      <c r="VSA1240" s="30"/>
      <c r="VSB1240" s="30"/>
      <c r="VSC1240" s="30"/>
      <c r="VSD1240" s="30"/>
      <c r="VSE1240" s="30"/>
      <c r="VSF1240" s="30"/>
      <c r="VSG1240" s="30"/>
      <c r="VSH1240" s="30"/>
      <c r="VSI1240" s="30"/>
      <c r="VSJ1240" s="30"/>
      <c r="VSK1240" s="30"/>
      <c r="VSL1240" s="30"/>
      <c r="VSM1240" s="30"/>
      <c r="VSN1240" s="30"/>
      <c r="VSO1240" s="30"/>
      <c r="VSP1240" s="30"/>
      <c r="VSQ1240" s="30"/>
      <c r="VSR1240" s="30"/>
      <c r="VSS1240" s="30"/>
      <c r="VST1240" s="30"/>
      <c r="VSU1240" s="30"/>
      <c r="VSV1240" s="30"/>
      <c r="VSW1240" s="30"/>
      <c r="VSX1240" s="30"/>
      <c r="VSY1240" s="30"/>
      <c r="VSZ1240" s="30"/>
      <c r="VTA1240" s="30"/>
      <c r="VTB1240" s="30"/>
      <c r="VTC1240" s="30"/>
      <c r="VTD1240" s="30"/>
      <c r="VTE1240" s="30"/>
      <c r="VTF1240" s="30"/>
      <c r="VTG1240" s="30"/>
      <c r="VTH1240" s="30"/>
      <c r="VTI1240" s="30"/>
      <c r="VTJ1240" s="30"/>
      <c r="VTK1240" s="30"/>
      <c r="VTL1240" s="30"/>
      <c r="VTM1240" s="30"/>
      <c r="VTN1240" s="30"/>
      <c r="VTO1240" s="30"/>
      <c r="VTP1240" s="30"/>
      <c r="VTQ1240" s="30"/>
      <c r="VTR1240" s="30"/>
      <c r="VTS1240" s="30"/>
      <c r="VTT1240" s="30"/>
      <c r="VTU1240" s="30"/>
      <c r="VTV1240" s="30"/>
      <c r="VTW1240" s="30"/>
      <c r="VTX1240" s="30"/>
      <c r="VTY1240" s="30"/>
      <c r="VTZ1240" s="30"/>
      <c r="VUA1240" s="30"/>
      <c r="VUB1240" s="30"/>
      <c r="VUC1240" s="30"/>
      <c r="VUD1240" s="30"/>
      <c r="VUE1240" s="30"/>
      <c r="VUF1240" s="30"/>
      <c r="VUG1240" s="30"/>
      <c r="VUH1240" s="30"/>
      <c r="VUI1240" s="30"/>
      <c r="VUJ1240" s="30"/>
      <c r="VUK1240" s="30"/>
      <c r="VUL1240" s="30"/>
      <c r="VUM1240" s="30"/>
      <c r="VUN1240" s="30"/>
      <c r="VUO1240" s="30"/>
      <c r="VUP1240" s="30"/>
      <c r="VUQ1240" s="30"/>
      <c r="VUR1240" s="30"/>
      <c r="VUS1240" s="30"/>
      <c r="VUT1240" s="30"/>
      <c r="VUU1240" s="30"/>
      <c r="VUV1240" s="30"/>
      <c r="VUW1240" s="30"/>
      <c r="VUX1240" s="30"/>
      <c r="VUY1240" s="30"/>
      <c r="VUZ1240" s="30"/>
      <c r="VVA1240" s="30"/>
      <c r="VVB1240" s="30"/>
      <c r="VVC1240" s="30"/>
      <c r="VVD1240" s="30"/>
      <c r="VVE1240" s="30"/>
      <c r="VVF1240" s="30"/>
      <c r="VVG1240" s="30"/>
      <c r="VVH1240" s="30"/>
      <c r="VVI1240" s="30"/>
      <c r="VVJ1240" s="30"/>
      <c r="VVK1240" s="30"/>
      <c r="VVL1240" s="30"/>
      <c r="VVM1240" s="30"/>
      <c r="VVN1240" s="30"/>
      <c r="VVO1240" s="30"/>
      <c r="VVP1240" s="30"/>
      <c r="VVQ1240" s="30"/>
      <c r="VVR1240" s="30"/>
      <c r="VVS1240" s="30"/>
      <c r="VVT1240" s="30"/>
      <c r="VVU1240" s="30"/>
      <c r="VVV1240" s="30"/>
      <c r="VVW1240" s="30"/>
      <c r="VVX1240" s="30"/>
      <c r="VVY1240" s="30"/>
      <c r="VVZ1240" s="30"/>
      <c r="VWA1240" s="30"/>
      <c r="VWB1240" s="30"/>
      <c r="VWC1240" s="30"/>
      <c r="VWD1240" s="30"/>
      <c r="VWE1240" s="30"/>
      <c r="VWF1240" s="30"/>
      <c r="VWG1240" s="30"/>
      <c r="VWH1240" s="30"/>
      <c r="VWI1240" s="30"/>
      <c r="VWJ1240" s="30"/>
      <c r="VWK1240" s="30"/>
      <c r="VWL1240" s="30"/>
      <c r="VWM1240" s="30"/>
      <c r="VWN1240" s="30"/>
      <c r="VWO1240" s="30"/>
      <c r="VWP1240" s="30"/>
      <c r="VWQ1240" s="30"/>
      <c r="VWR1240" s="30"/>
      <c r="VWS1240" s="30"/>
      <c r="VWT1240" s="30"/>
      <c r="VWU1240" s="30"/>
      <c r="VWV1240" s="30"/>
      <c r="VWW1240" s="30"/>
      <c r="VWX1240" s="30"/>
      <c r="VWY1240" s="30"/>
      <c r="VWZ1240" s="30"/>
      <c r="VXA1240" s="30"/>
      <c r="VXB1240" s="30"/>
      <c r="VXC1240" s="30"/>
      <c r="VXD1240" s="30"/>
      <c r="VXE1240" s="30"/>
      <c r="VXF1240" s="30"/>
      <c r="VXG1240" s="30"/>
      <c r="VXH1240" s="30"/>
      <c r="VXI1240" s="30"/>
      <c r="VXJ1240" s="30"/>
      <c r="VXK1240" s="30"/>
      <c r="VXL1240" s="30"/>
      <c r="VXM1240" s="30"/>
      <c r="VXN1240" s="30"/>
      <c r="VXO1240" s="30"/>
      <c r="VXP1240" s="30"/>
      <c r="VXQ1240" s="30"/>
      <c r="VXR1240" s="30"/>
      <c r="VXS1240" s="30"/>
      <c r="VXT1240" s="30"/>
      <c r="VXU1240" s="30"/>
      <c r="VXV1240" s="30"/>
      <c r="VXW1240" s="30"/>
      <c r="VXX1240" s="30"/>
      <c r="VXY1240" s="30"/>
      <c r="VXZ1240" s="30"/>
      <c r="VYA1240" s="30"/>
      <c r="VYB1240" s="30"/>
      <c r="VYC1240" s="30"/>
      <c r="VYD1240" s="30"/>
      <c r="VYE1240" s="30"/>
      <c r="VYF1240" s="30"/>
      <c r="VYG1240" s="30"/>
      <c r="VYH1240" s="30"/>
      <c r="VYI1240" s="30"/>
      <c r="VYJ1240" s="30"/>
      <c r="VYK1240" s="30"/>
      <c r="VYL1240" s="30"/>
      <c r="VYM1240" s="30"/>
      <c r="VYN1240" s="30"/>
      <c r="VYO1240" s="30"/>
      <c r="VYP1240" s="30"/>
      <c r="VYQ1240" s="30"/>
      <c r="VYR1240" s="30"/>
      <c r="VYS1240" s="30"/>
      <c r="VYT1240" s="30"/>
      <c r="VYU1240" s="30"/>
      <c r="VYV1240" s="30"/>
      <c r="VYW1240" s="30"/>
      <c r="VYX1240" s="30"/>
      <c r="VYY1240" s="30"/>
      <c r="VYZ1240" s="30"/>
      <c r="VZA1240" s="30"/>
      <c r="VZB1240" s="30"/>
      <c r="VZC1240" s="30"/>
      <c r="VZD1240" s="30"/>
      <c r="VZE1240" s="30"/>
      <c r="VZF1240" s="30"/>
      <c r="VZG1240" s="30"/>
      <c r="VZH1240" s="30"/>
      <c r="VZI1240" s="30"/>
      <c r="VZJ1240" s="30"/>
      <c r="VZK1240" s="30"/>
      <c r="VZL1240" s="30"/>
      <c r="VZM1240" s="30"/>
      <c r="VZN1240" s="30"/>
      <c r="VZO1240" s="30"/>
      <c r="VZP1240" s="30"/>
      <c r="VZQ1240" s="30"/>
      <c r="VZR1240" s="30"/>
      <c r="VZS1240" s="30"/>
      <c r="VZT1240" s="30"/>
      <c r="VZU1240" s="30"/>
      <c r="VZV1240" s="30"/>
      <c r="VZW1240" s="30"/>
      <c r="VZX1240" s="30"/>
      <c r="VZY1240" s="30"/>
      <c r="VZZ1240" s="30"/>
      <c r="WAA1240" s="30"/>
      <c r="WAB1240" s="30"/>
      <c r="WAC1240" s="30"/>
      <c r="WAD1240" s="30"/>
      <c r="WAE1240" s="30"/>
      <c r="WAF1240" s="30"/>
      <c r="WAG1240" s="30"/>
      <c r="WAH1240" s="30"/>
      <c r="WAI1240" s="30"/>
      <c r="WAJ1240" s="30"/>
      <c r="WAK1240" s="30"/>
      <c r="WAL1240" s="30"/>
      <c r="WAM1240" s="30"/>
      <c r="WAN1240" s="30"/>
      <c r="WAO1240" s="30"/>
      <c r="WAP1240" s="30"/>
      <c r="WAQ1240" s="30"/>
      <c r="WAR1240" s="30"/>
      <c r="WAS1240" s="30"/>
      <c r="WAT1240" s="30"/>
      <c r="WAU1240" s="30"/>
      <c r="WAV1240" s="30"/>
      <c r="WAW1240" s="30"/>
      <c r="WAX1240" s="30"/>
      <c r="WAY1240" s="30"/>
      <c r="WAZ1240" s="30"/>
      <c r="WBA1240" s="30"/>
      <c r="WBB1240" s="30"/>
      <c r="WBC1240" s="30"/>
      <c r="WBD1240" s="30"/>
      <c r="WBE1240" s="30"/>
      <c r="WBF1240" s="30"/>
      <c r="WBG1240" s="30"/>
      <c r="WBH1240" s="30"/>
      <c r="WBI1240" s="30"/>
      <c r="WBJ1240" s="30"/>
      <c r="WBK1240" s="30"/>
      <c r="WBL1240" s="30"/>
      <c r="WBM1240" s="30"/>
      <c r="WBN1240" s="30"/>
      <c r="WBO1240" s="30"/>
      <c r="WBP1240" s="30"/>
      <c r="WBQ1240" s="30"/>
      <c r="WBR1240" s="30"/>
      <c r="WBS1240" s="30"/>
      <c r="WBT1240" s="30"/>
      <c r="WBU1240" s="30"/>
      <c r="WBV1240" s="30"/>
      <c r="WBW1240" s="30"/>
      <c r="WBX1240" s="30"/>
      <c r="WBY1240" s="30"/>
      <c r="WBZ1240" s="30"/>
      <c r="WCA1240" s="30"/>
      <c r="WCB1240" s="30"/>
      <c r="WCC1240" s="30"/>
      <c r="WCD1240" s="30"/>
      <c r="WCE1240" s="30"/>
      <c r="WCF1240" s="30"/>
      <c r="WCG1240" s="30"/>
      <c r="WCH1240" s="30"/>
      <c r="WCI1240" s="30"/>
      <c r="WCJ1240" s="30"/>
      <c r="WCK1240" s="30"/>
      <c r="WCL1240" s="30"/>
      <c r="WCM1240" s="30"/>
      <c r="WCN1240" s="30"/>
      <c r="WCO1240" s="30"/>
      <c r="WCP1240" s="30"/>
      <c r="WCQ1240" s="30"/>
      <c r="WCR1240" s="30"/>
      <c r="WCS1240" s="30"/>
      <c r="WCT1240" s="30"/>
      <c r="WCU1240" s="30"/>
      <c r="WCV1240" s="30"/>
      <c r="WCW1240" s="30"/>
      <c r="WCX1240" s="30"/>
      <c r="WCY1240" s="30"/>
      <c r="WCZ1240" s="30"/>
      <c r="WDA1240" s="30"/>
      <c r="WDB1240" s="30"/>
      <c r="WDC1240" s="30"/>
      <c r="WDD1240" s="30"/>
      <c r="WDE1240" s="30"/>
      <c r="WDF1240" s="30"/>
      <c r="WDG1240" s="30"/>
      <c r="WDH1240" s="30"/>
      <c r="WDI1240" s="30"/>
      <c r="WDJ1240" s="30"/>
      <c r="WDK1240" s="30"/>
      <c r="WDL1240" s="30"/>
      <c r="WDM1240" s="30"/>
      <c r="WDN1240" s="30"/>
      <c r="WDO1240" s="30"/>
      <c r="WDP1240" s="30"/>
      <c r="WDQ1240" s="30"/>
      <c r="WDR1240" s="30"/>
      <c r="WDS1240" s="30"/>
      <c r="WDT1240" s="30"/>
      <c r="WDU1240" s="30"/>
      <c r="WDV1240" s="30"/>
      <c r="WDW1240" s="30"/>
      <c r="WDX1240" s="30"/>
      <c r="WDY1240" s="30"/>
      <c r="WDZ1240" s="30"/>
      <c r="WEA1240" s="30"/>
      <c r="WEB1240" s="30"/>
      <c r="WEC1240" s="30"/>
      <c r="WED1240" s="30"/>
      <c r="WEE1240" s="30"/>
      <c r="WEF1240" s="30"/>
      <c r="WEG1240" s="30"/>
      <c r="WEH1240" s="30"/>
      <c r="WEI1240" s="30"/>
      <c r="WEJ1240" s="30"/>
      <c r="WEK1240" s="30"/>
      <c r="WEL1240" s="30"/>
      <c r="WEM1240" s="30"/>
      <c r="WEN1240" s="30"/>
      <c r="WEO1240" s="30"/>
      <c r="WEP1240" s="30"/>
      <c r="WEQ1240" s="30"/>
      <c r="WER1240" s="30"/>
      <c r="WES1240" s="30"/>
      <c r="WET1240" s="30"/>
      <c r="WEU1240" s="30"/>
      <c r="WEV1240" s="30"/>
      <c r="WEW1240" s="30"/>
      <c r="WEX1240" s="30"/>
      <c r="WEY1240" s="30"/>
      <c r="WEZ1240" s="30"/>
      <c r="WFA1240" s="30"/>
      <c r="WFB1240" s="30"/>
      <c r="WFC1240" s="30"/>
      <c r="WFD1240" s="30"/>
      <c r="WFE1240" s="30"/>
      <c r="WFF1240" s="30"/>
      <c r="WFG1240" s="30"/>
      <c r="WFH1240" s="30"/>
      <c r="WFI1240" s="30"/>
      <c r="WFJ1240" s="30"/>
      <c r="WFK1240" s="30"/>
      <c r="WFL1240" s="30"/>
      <c r="WFM1240" s="30"/>
      <c r="WFN1240" s="30"/>
      <c r="WFO1240" s="30"/>
      <c r="WFP1240" s="30"/>
      <c r="WFQ1240" s="30"/>
      <c r="WFR1240" s="30"/>
      <c r="WFS1240" s="30"/>
      <c r="WFT1240" s="30"/>
      <c r="WFU1240" s="30"/>
      <c r="WFV1240" s="30"/>
      <c r="WFW1240" s="30"/>
      <c r="WFX1240" s="30"/>
      <c r="WFY1240" s="30"/>
      <c r="WFZ1240" s="30"/>
      <c r="WGA1240" s="30"/>
      <c r="WGB1240" s="30"/>
      <c r="WGC1240" s="30"/>
      <c r="WGD1240" s="30"/>
      <c r="WGE1240" s="30"/>
      <c r="WGF1240" s="30"/>
      <c r="WGG1240" s="30"/>
      <c r="WGH1240" s="30"/>
      <c r="WGI1240" s="30"/>
      <c r="WGJ1240" s="30"/>
      <c r="WGK1240" s="30"/>
      <c r="WGL1240" s="30"/>
      <c r="WGM1240" s="30"/>
      <c r="WGN1240" s="30"/>
      <c r="WGO1240" s="30"/>
      <c r="WGP1240" s="30"/>
      <c r="WGQ1240" s="30"/>
      <c r="WGR1240" s="30"/>
      <c r="WGS1240" s="30"/>
      <c r="WGT1240" s="30"/>
      <c r="WGU1240" s="30"/>
      <c r="WGV1240" s="30"/>
      <c r="WGW1240" s="30"/>
      <c r="WGX1240" s="30"/>
      <c r="WGY1240" s="30"/>
      <c r="WGZ1240" s="30"/>
      <c r="WHA1240" s="30"/>
      <c r="WHB1240" s="30"/>
      <c r="WHC1240" s="30"/>
      <c r="WHD1240" s="30"/>
      <c r="WHE1240" s="30"/>
      <c r="WHF1240" s="30"/>
      <c r="WHG1240" s="30"/>
      <c r="WHH1240" s="30"/>
      <c r="WHI1240" s="30"/>
      <c r="WHJ1240" s="30"/>
      <c r="WHK1240" s="30"/>
      <c r="WHL1240" s="30"/>
      <c r="WHM1240" s="30"/>
      <c r="WHN1240" s="30"/>
      <c r="WHO1240" s="30"/>
      <c r="WHP1240" s="30"/>
      <c r="WHQ1240" s="30"/>
      <c r="WHR1240" s="30"/>
      <c r="WHS1240" s="30"/>
      <c r="WHT1240" s="30"/>
      <c r="WHU1240" s="30"/>
      <c r="WHV1240" s="30"/>
      <c r="WHW1240" s="30"/>
      <c r="WHX1240" s="30"/>
      <c r="WHY1240" s="30"/>
      <c r="WHZ1240" s="30"/>
      <c r="WIA1240" s="30"/>
      <c r="WIB1240" s="30"/>
      <c r="WIC1240" s="30"/>
      <c r="WID1240" s="30"/>
      <c r="WIE1240" s="30"/>
      <c r="WIF1240" s="30"/>
      <c r="WIG1240" s="30"/>
      <c r="WIH1240" s="30"/>
      <c r="WII1240" s="30"/>
      <c r="WIJ1240" s="30"/>
      <c r="WIK1240" s="30"/>
      <c r="WIL1240" s="30"/>
      <c r="WIM1240" s="30"/>
      <c r="WIN1240" s="30"/>
      <c r="WIO1240" s="30"/>
      <c r="WIP1240" s="30"/>
      <c r="WIQ1240" s="30"/>
      <c r="WIR1240" s="30"/>
      <c r="WIS1240" s="30"/>
      <c r="WIT1240" s="30"/>
      <c r="WIU1240" s="30"/>
      <c r="WIV1240" s="30"/>
      <c r="WIW1240" s="30"/>
      <c r="WIX1240" s="30"/>
      <c r="WIY1240" s="30"/>
      <c r="WIZ1240" s="30"/>
      <c r="WJA1240" s="30"/>
      <c r="WJB1240" s="30"/>
      <c r="WJC1240" s="30"/>
      <c r="WJD1240" s="30"/>
      <c r="WJE1240" s="30"/>
      <c r="WJF1240" s="30"/>
      <c r="WJG1240" s="30"/>
      <c r="WJH1240" s="30"/>
      <c r="WJI1240" s="30"/>
      <c r="WJJ1240" s="30"/>
      <c r="WJK1240" s="30"/>
      <c r="WJL1240" s="30"/>
      <c r="WJM1240" s="30"/>
      <c r="WJN1240" s="30"/>
      <c r="WJO1240" s="30"/>
      <c r="WJP1240" s="30"/>
      <c r="WJQ1240" s="30"/>
      <c r="WJR1240" s="30"/>
      <c r="WJS1240" s="30"/>
      <c r="WJT1240" s="30"/>
      <c r="WJU1240" s="30"/>
      <c r="WJV1240" s="30"/>
      <c r="WJW1240" s="30"/>
      <c r="WJX1240" s="30"/>
      <c r="WJY1240" s="30"/>
      <c r="WJZ1240" s="30"/>
      <c r="WKA1240" s="30"/>
      <c r="WKB1240" s="30"/>
      <c r="WKC1240" s="30"/>
      <c r="WKD1240" s="30"/>
      <c r="WKE1240" s="30"/>
      <c r="WKF1240" s="30"/>
      <c r="WKG1240" s="30"/>
      <c r="WKH1240" s="30"/>
      <c r="WKI1240" s="30"/>
      <c r="WKJ1240" s="30"/>
      <c r="WKK1240" s="30"/>
      <c r="WKL1240" s="30"/>
      <c r="WKM1240" s="30"/>
      <c r="WKN1240" s="30"/>
      <c r="WKO1240" s="30"/>
      <c r="WKP1240" s="30"/>
      <c r="WKQ1240" s="30"/>
      <c r="WKR1240" s="30"/>
      <c r="WKS1240" s="30"/>
      <c r="WKT1240" s="30"/>
      <c r="WKU1240" s="30"/>
      <c r="WKV1240" s="30"/>
      <c r="WKW1240" s="30"/>
      <c r="WKX1240" s="30"/>
      <c r="WKY1240" s="30"/>
      <c r="WKZ1240" s="30"/>
      <c r="WLA1240" s="30"/>
      <c r="WLB1240" s="30"/>
      <c r="WLC1240" s="30"/>
      <c r="WLD1240" s="30"/>
      <c r="WLE1240" s="30"/>
      <c r="WLF1240" s="30"/>
      <c r="WLG1240" s="30"/>
      <c r="WLH1240" s="30"/>
      <c r="WLI1240" s="30"/>
      <c r="WLJ1240" s="30"/>
      <c r="WLK1240" s="30"/>
      <c r="WLL1240" s="30"/>
      <c r="WLM1240" s="30"/>
      <c r="WLN1240" s="30"/>
      <c r="WLO1240" s="30"/>
      <c r="WLP1240" s="30"/>
      <c r="WLQ1240" s="30"/>
      <c r="WLR1240" s="30"/>
      <c r="WLS1240" s="30"/>
      <c r="WLT1240" s="30"/>
      <c r="WLU1240" s="30"/>
      <c r="WLV1240" s="30"/>
      <c r="WLW1240" s="30"/>
      <c r="WLX1240" s="30"/>
      <c r="WLY1240" s="30"/>
      <c r="WLZ1240" s="30"/>
      <c r="WMA1240" s="30"/>
      <c r="WMB1240" s="30"/>
      <c r="WMC1240" s="30"/>
      <c r="WMD1240" s="30"/>
      <c r="WME1240" s="30"/>
      <c r="WMF1240" s="30"/>
      <c r="WMG1240" s="30"/>
      <c r="WMH1240" s="30"/>
      <c r="WMI1240" s="30"/>
      <c r="WMJ1240" s="30"/>
      <c r="WMK1240" s="30"/>
      <c r="WML1240" s="30"/>
      <c r="WMM1240" s="30"/>
      <c r="WMN1240" s="30"/>
      <c r="WMO1240" s="30"/>
      <c r="WMP1240" s="30"/>
      <c r="WMQ1240" s="30"/>
      <c r="WMR1240" s="30"/>
      <c r="WMS1240" s="30"/>
      <c r="WMT1240" s="30"/>
      <c r="WMU1240" s="30"/>
      <c r="WMV1240" s="30"/>
      <c r="WMW1240" s="30"/>
      <c r="WMX1240" s="30"/>
      <c r="WMY1240" s="30"/>
      <c r="WMZ1240" s="30"/>
      <c r="WNA1240" s="30"/>
      <c r="WNB1240" s="30"/>
      <c r="WNC1240" s="30"/>
      <c r="WND1240" s="30"/>
      <c r="WNE1240" s="30"/>
      <c r="WNF1240" s="30"/>
      <c r="WNG1240" s="30"/>
      <c r="WNH1240" s="30"/>
      <c r="WNI1240" s="30"/>
      <c r="WNJ1240" s="30"/>
      <c r="WNK1240" s="30"/>
      <c r="WNL1240" s="30"/>
      <c r="WNM1240" s="30"/>
      <c r="WNN1240" s="30"/>
      <c r="WNO1240" s="30"/>
      <c r="WNP1240" s="30"/>
      <c r="WNQ1240" s="30"/>
      <c r="WNR1240" s="30"/>
      <c r="WNS1240" s="30"/>
      <c r="WNT1240" s="30"/>
      <c r="WNU1240" s="30"/>
      <c r="WNV1240" s="30"/>
      <c r="WNW1240" s="30"/>
      <c r="WNX1240" s="30"/>
      <c r="WNY1240" s="30"/>
      <c r="WNZ1240" s="30"/>
      <c r="WOA1240" s="30"/>
      <c r="WOB1240" s="30"/>
      <c r="WOC1240" s="30"/>
      <c r="WOD1240" s="30"/>
      <c r="WOE1240" s="30"/>
      <c r="WOF1240" s="30"/>
      <c r="WOG1240" s="30"/>
      <c r="WOH1240" s="30"/>
      <c r="WOI1240" s="30"/>
      <c r="WOJ1240" s="30"/>
      <c r="WOK1240" s="30"/>
      <c r="WOL1240" s="30"/>
      <c r="WOM1240" s="30"/>
      <c r="WON1240" s="30"/>
      <c r="WOO1240" s="30"/>
      <c r="WOP1240" s="30"/>
      <c r="WOQ1240" s="30"/>
      <c r="WOR1240" s="30"/>
      <c r="WOS1240" s="30"/>
      <c r="WOT1240" s="30"/>
      <c r="WOU1240" s="30"/>
      <c r="WOV1240" s="30"/>
      <c r="WOW1240" s="30"/>
      <c r="WOX1240" s="30"/>
      <c r="WOY1240" s="30"/>
      <c r="WOZ1240" s="30"/>
      <c r="WPA1240" s="30"/>
      <c r="WPB1240" s="30"/>
      <c r="WPC1240" s="30"/>
      <c r="WPD1240" s="30"/>
      <c r="WPE1240" s="30"/>
      <c r="WPF1240" s="30"/>
      <c r="WPG1240" s="30"/>
      <c r="WPH1240" s="30"/>
      <c r="WPI1240" s="30"/>
      <c r="WPJ1240" s="30"/>
      <c r="WPK1240" s="30"/>
      <c r="WPL1240" s="30"/>
      <c r="WPM1240" s="30"/>
      <c r="WPN1240" s="30"/>
      <c r="WPO1240" s="30"/>
      <c r="WPP1240" s="30"/>
      <c r="WPQ1240" s="30"/>
      <c r="WPR1240" s="30"/>
      <c r="WPS1240" s="30"/>
      <c r="WPT1240" s="30"/>
      <c r="WPU1240" s="30"/>
      <c r="WPV1240" s="30"/>
      <c r="WPW1240" s="30"/>
      <c r="WPX1240" s="30"/>
      <c r="WPY1240" s="30"/>
      <c r="WPZ1240" s="30"/>
      <c r="WQA1240" s="30"/>
      <c r="WQB1240" s="30"/>
      <c r="WQC1240" s="30"/>
      <c r="WQD1240" s="30"/>
      <c r="WQE1240" s="30"/>
      <c r="WQF1240" s="30"/>
      <c r="WQG1240" s="30"/>
      <c r="WQH1240" s="30"/>
      <c r="WQI1240" s="30"/>
      <c r="WQJ1240" s="30"/>
      <c r="WQK1240" s="30"/>
      <c r="WQL1240" s="30"/>
      <c r="WQM1240" s="30"/>
      <c r="WQN1240" s="30"/>
      <c r="WQO1240" s="30"/>
      <c r="WQP1240" s="30"/>
      <c r="WQQ1240" s="30"/>
      <c r="WQR1240" s="30"/>
      <c r="WQS1240" s="30"/>
      <c r="WQT1240" s="30"/>
      <c r="WQU1240" s="30"/>
      <c r="WQV1240" s="30"/>
      <c r="WQW1240" s="30"/>
      <c r="WQX1240" s="30"/>
      <c r="WQY1240" s="30"/>
      <c r="WQZ1240" s="30"/>
      <c r="WRA1240" s="30"/>
      <c r="WRB1240" s="30"/>
      <c r="WRC1240" s="30"/>
      <c r="WRD1240" s="30"/>
      <c r="WRE1240" s="30"/>
      <c r="WRF1240" s="30"/>
      <c r="WRG1240" s="30"/>
      <c r="WRH1240" s="30"/>
      <c r="WRI1240" s="30"/>
      <c r="WRJ1240" s="30"/>
      <c r="WRK1240" s="30"/>
      <c r="WRL1240" s="30"/>
      <c r="WRM1240" s="30"/>
      <c r="WRN1240" s="30"/>
      <c r="WRO1240" s="30"/>
      <c r="WRP1240" s="30"/>
      <c r="WRQ1240" s="30"/>
      <c r="WRR1240" s="30"/>
      <c r="WRS1240" s="30"/>
      <c r="WRT1240" s="30"/>
      <c r="WRU1240" s="30"/>
      <c r="WRV1240" s="30"/>
      <c r="WRW1240" s="30"/>
      <c r="WRX1240" s="30"/>
      <c r="WRY1240" s="30"/>
      <c r="WRZ1240" s="30"/>
      <c r="WSA1240" s="30"/>
      <c r="WSB1240" s="30"/>
      <c r="WSC1240" s="30"/>
      <c r="WSD1240" s="30"/>
      <c r="WSE1240" s="30"/>
      <c r="WSF1240" s="30"/>
      <c r="WSG1240" s="30"/>
      <c r="WSH1240" s="30"/>
      <c r="WSI1240" s="30"/>
      <c r="WSJ1240" s="30"/>
      <c r="WSK1240" s="30"/>
      <c r="WSL1240" s="30"/>
      <c r="WSM1240" s="30"/>
      <c r="WSN1240" s="30"/>
      <c r="WSO1240" s="30"/>
      <c r="WSP1240" s="30"/>
      <c r="WSQ1240" s="30"/>
      <c r="WSR1240" s="30"/>
      <c r="WSS1240" s="30"/>
      <c r="WST1240" s="30"/>
      <c r="WSU1240" s="30"/>
      <c r="WSV1240" s="30"/>
      <c r="WSW1240" s="30"/>
      <c r="WSX1240" s="30"/>
      <c r="WSY1240" s="30"/>
      <c r="WSZ1240" s="30"/>
      <c r="WTA1240" s="30"/>
      <c r="WTB1240" s="30"/>
      <c r="WTC1240" s="30"/>
      <c r="WTD1240" s="30"/>
      <c r="WTE1240" s="30"/>
      <c r="WTF1240" s="30"/>
      <c r="WTG1240" s="30"/>
      <c r="WTH1240" s="30"/>
      <c r="WTI1240" s="30"/>
      <c r="WTJ1240" s="30"/>
      <c r="WTK1240" s="30"/>
      <c r="WTL1240" s="30"/>
      <c r="WTM1240" s="30"/>
      <c r="WTN1240" s="30"/>
      <c r="WTO1240" s="30"/>
      <c r="WTP1240" s="30"/>
      <c r="WTQ1240" s="30"/>
      <c r="WTR1240" s="30"/>
      <c r="WTS1240" s="30"/>
      <c r="WTT1240" s="30"/>
      <c r="WTU1240" s="30"/>
      <c r="WTV1240" s="30"/>
      <c r="WTW1240" s="30"/>
      <c r="WTX1240" s="30"/>
      <c r="WTY1240" s="30"/>
      <c r="WTZ1240" s="30"/>
      <c r="WUA1240" s="30"/>
      <c r="WUB1240" s="30"/>
      <c r="WUC1240" s="30"/>
      <c r="WUD1240" s="30"/>
      <c r="WUE1240" s="30"/>
      <c r="WUF1240" s="30"/>
      <c r="WUG1240" s="30"/>
      <c r="WUH1240" s="30"/>
      <c r="WUI1240" s="30"/>
      <c r="WUJ1240" s="30"/>
      <c r="WUK1240" s="30"/>
      <c r="WUL1240" s="30"/>
      <c r="WUM1240" s="30"/>
      <c r="WUN1240" s="30"/>
      <c r="WUO1240" s="30"/>
      <c r="WUP1240" s="30"/>
      <c r="WUQ1240" s="30"/>
      <c r="WUR1240" s="30"/>
      <c r="WUS1240" s="30"/>
      <c r="WUT1240" s="30"/>
      <c r="WUU1240" s="30"/>
      <c r="WUV1240" s="30"/>
      <c r="WUW1240" s="30"/>
      <c r="WUX1240" s="30"/>
      <c r="WUY1240" s="30"/>
      <c r="WUZ1240" s="30"/>
      <c r="WVA1240" s="30"/>
      <c r="WVB1240" s="30"/>
      <c r="WVC1240" s="30"/>
      <c r="WVD1240" s="30"/>
      <c r="WVE1240" s="30"/>
      <c r="WVF1240" s="30"/>
      <c r="WVG1240" s="30"/>
      <c r="WVH1240" s="30"/>
      <c r="WVI1240" s="30"/>
      <c r="WVJ1240" s="30"/>
      <c r="WVK1240" s="30"/>
      <c r="WVL1240" s="30"/>
      <c r="WVM1240" s="30"/>
      <c r="WVN1240" s="30"/>
      <c r="WVO1240" s="30"/>
      <c r="WVP1240" s="30"/>
      <c r="WVQ1240" s="30"/>
      <c r="WVR1240" s="30"/>
      <c r="WVS1240" s="30"/>
      <c r="WVT1240" s="30"/>
      <c r="WVU1240" s="30"/>
      <c r="WVV1240" s="30"/>
      <c r="WVW1240" s="30"/>
      <c r="WVX1240" s="30"/>
      <c r="WVY1240" s="30"/>
      <c r="WVZ1240" s="30"/>
      <c r="WWA1240" s="30"/>
      <c r="WWB1240" s="30"/>
      <c r="WWC1240" s="30"/>
      <c r="WWD1240" s="30"/>
      <c r="WWE1240" s="30"/>
      <c r="WWF1240" s="30"/>
      <c r="WWG1240" s="30"/>
      <c r="WWH1240" s="30"/>
      <c r="WWI1240" s="30"/>
      <c r="WWJ1240" s="30"/>
      <c r="WWK1240" s="30"/>
      <c r="WWL1240" s="30"/>
      <c r="WWM1240" s="30"/>
      <c r="WWN1240" s="30"/>
      <c r="WWO1240" s="30"/>
      <c r="WWP1240" s="30"/>
      <c r="WWQ1240" s="30"/>
      <c r="WWR1240" s="30"/>
      <c r="WWS1240" s="30"/>
      <c r="WWT1240" s="30"/>
      <c r="WWU1240" s="30"/>
      <c r="WWV1240" s="30"/>
      <c r="WWW1240" s="30"/>
      <c r="WWX1240" s="30"/>
      <c r="WWY1240" s="30"/>
      <c r="WWZ1240" s="30"/>
      <c r="WXA1240" s="30"/>
      <c r="WXB1240" s="30"/>
      <c r="WXC1240" s="30"/>
      <c r="WXD1240" s="30"/>
      <c r="WXE1240" s="30"/>
      <c r="WXF1240" s="30"/>
      <c r="WXG1240" s="30"/>
      <c r="WXH1240" s="30"/>
      <c r="WXI1240" s="30"/>
      <c r="WXJ1240" s="30"/>
      <c r="WXK1240" s="30"/>
      <c r="WXL1240" s="30"/>
      <c r="WXM1240" s="30"/>
      <c r="WXN1240" s="30"/>
      <c r="WXO1240" s="30"/>
      <c r="WXP1240" s="30"/>
      <c r="WXQ1240" s="30"/>
      <c r="WXR1240" s="30"/>
      <c r="WXS1240" s="30"/>
      <c r="WXT1240" s="30"/>
      <c r="WXU1240" s="30"/>
      <c r="WXV1240" s="30"/>
      <c r="WXW1240" s="30"/>
      <c r="WXX1240" s="30"/>
      <c r="WXY1240" s="30"/>
      <c r="WXZ1240" s="30"/>
      <c r="WYA1240" s="30"/>
      <c r="WYB1240" s="30"/>
      <c r="WYC1240" s="30"/>
      <c r="WYD1240" s="30"/>
      <c r="WYE1240" s="30"/>
      <c r="WYF1240" s="30"/>
      <c r="WYG1240" s="30"/>
      <c r="WYH1240" s="30"/>
      <c r="WYI1240" s="30"/>
      <c r="WYJ1240" s="30"/>
      <c r="WYK1240" s="30"/>
      <c r="WYL1240" s="30"/>
      <c r="WYM1240" s="30"/>
      <c r="WYN1240" s="30"/>
      <c r="WYO1240" s="30"/>
      <c r="WYP1240" s="30"/>
      <c r="WYQ1240" s="30"/>
      <c r="WYR1240" s="30"/>
      <c r="WYS1240" s="30"/>
      <c r="WYT1240" s="30"/>
      <c r="WYU1240" s="30"/>
      <c r="WYV1240" s="30"/>
      <c r="WYW1240" s="30"/>
      <c r="WYX1240" s="30"/>
      <c r="WYY1240" s="30"/>
      <c r="WYZ1240" s="30"/>
      <c r="WZA1240" s="30"/>
      <c r="WZB1240" s="30"/>
      <c r="WZC1240" s="30"/>
      <c r="WZD1240" s="30"/>
      <c r="WZE1240" s="30"/>
      <c r="WZF1240" s="30"/>
      <c r="WZG1240" s="30"/>
      <c r="WZH1240" s="30"/>
      <c r="WZI1240" s="30"/>
      <c r="WZJ1240" s="30"/>
      <c r="WZK1240" s="30"/>
      <c r="WZL1240" s="30"/>
      <c r="WZM1240" s="30"/>
      <c r="WZN1240" s="30"/>
      <c r="WZO1240" s="30"/>
      <c r="WZP1240" s="30"/>
      <c r="WZQ1240" s="30"/>
      <c r="WZR1240" s="30"/>
      <c r="WZS1240" s="30"/>
      <c r="WZT1240" s="30"/>
      <c r="WZU1240" s="30"/>
      <c r="WZV1240" s="30"/>
      <c r="WZW1240" s="30"/>
      <c r="WZX1240" s="30"/>
      <c r="WZY1240" s="30"/>
      <c r="WZZ1240" s="30"/>
      <c r="XAA1240" s="30"/>
      <c r="XAB1240" s="30"/>
      <c r="XAC1240" s="30"/>
      <c r="XAD1240" s="30"/>
      <c r="XAE1240" s="30"/>
      <c r="XAF1240" s="30"/>
      <c r="XAG1240" s="30"/>
      <c r="XAH1240" s="30"/>
      <c r="XAI1240" s="30"/>
      <c r="XAJ1240" s="30"/>
      <c r="XAK1240" s="30"/>
      <c r="XAL1240" s="30"/>
      <c r="XAM1240" s="30"/>
      <c r="XAN1240" s="30"/>
      <c r="XAO1240" s="30"/>
      <c r="XAP1240" s="30"/>
      <c r="XAQ1240" s="30"/>
      <c r="XAR1240" s="30"/>
      <c r="XAS1240" s="30"/>
      <c r="XAT1240" s="30"/>
      <c r="XAU1240" s="30"/>
      <c r="XAV1240" s="30"/>
      <c r="XAW1240" s="30"/>
      <c r="XAX1240" s="30"/>
      <c r="XAY1240" s="30"/>
      <c r="XAZ1240" s="30"/>
      <c r="XBA1240" s="30"/>
      <c r="XBB1240" s="30"/>
      <c r="XBC1240" s="30"/>
      <c r="XBD1240" s="30"/>
      <c r="XBE1240" s="30"/>
      <c r="XBF1240" s="30"/>
      <c r="XBG1240" s="30"/>
      <c r="XBH1240" s="30"/>
      <c r="XBI1240" s="30"/>
      <c r="XBJ1240" s="30"/>
      <c r="XBK1240" s="30"/>
      <c r="XBL1240" s="30"/>
      <c r="XBM1240" s="30"/>
      <c r="XBN1240" s="30"/>
      <c r="XBO1240" s="30"/>
      <c r="XBP1240" s="30"/>
      <c r="XBQ1240" s="30"/>
      <c r="XBR1240" s="30"/>
      <c r="XBS1240" s="30"/>
      <c r="XBT1240" s="30"/>
      <c r="XBU1240" s="30"/>
      <c r="XBV1240" s="30"/>
      <c r="XBW1240" s="30"/>
      <c r="XBX1240" s="30"/>
      <c r="XBY1240" s="30"/>
      <c r="XBZ1240" s="30"/>
      <c r="XCA1240" s="30"/>
      <c r="XCB1240" s="30"/>
      <c r="XCC1240" s="30"/>
      <c r="XCD1240" s="30"/>
      <c r="XCE1240" s="30"/>
      <c r="XCF1240" s="30"/>
      <c r="XCG1240" s="30"/>
      <c r="XCH1240" s="30"/>
      <c r="XCI1240" s="30"/>
      <c r="XCJ1240" s="30"/>
      <c r="XCK1240" s="30"/>
      <c r="XCL1240" s="30"/>
      <c r="XCM1240" s="30"/>
      <c r="XCN1240" s="30"/>
      <c r="XCO1240" s="30"/>
      <c r="XCP1240" s="30"/>
      <c r="XCQ1240" s="30"/>
      <c r="XCR1240" s="30"/>
      <c r="XCS1240" s="30"/>
      <c r="XCT1240" s="30"/>
      <c r="XCU1240" s="30"/>
      <c r="XCV1240" s="30"/>
      <c r="XCW1240" s="30"/>
      <c r="XCX1240" s="30"/>
      <c r="XCY1240" s="30"/>
      <c r="XCZ1240" s="30"/>
      <c r="XDA1240" s="30"/>
      <c r="XDB1240" s="30"/>
      <c r="XDC1240" s="30"/>
      <c r="XDD1240" s="30"/>
      <c r="XDE1240" s="30"/>
      <c r="XDF1240" s="30"/>
      <c r="XDG1240" s="30"/>
      <c r="XDH1240" s="30"/>
      <c r="XDI1240" s="30"/>
      <c r="XDJ1240" s="30"/>
      <c r="XDK1240" s="30"/>
      <c r="XDL1240" s="30"/>
      <c r="XDM1240" s="30"/>
      <c r="XDN1240" s="30"/>
      <c r="XDO1240" s="30"/>
      <c r="XDP1240" s="30"/>
      <c r="XDQ1240" s="30"/>
      <c r="XDR1240" s="30"/>
      <c r="XDS1240" s="30"/>
      <c r="XDT1240" s="30"/>
      <c r="XDU1240" s="30"/>
      <c r="XDV1240" s="30"/>
      <c r="XDW1240" s="30"/>
      <c r="XDX1240" s="30"/>
      <c r="XDY1240" s="30"/>
      <c r="XDZ1240" s="30"/>
      <c r="XEA1240" s="30"/>
      <c r="XEB1240" s="30"/>
      <c r="XEC1240" s="30"/>
      <c r="XED1240" s="30"/>
      <c r="XEE1240" s="30"/>
      <c r="XEF1240" s="30"/>
      <c r="XEG1240" s="30"/>
      <c r="XEH1240" s="30"/>
      <c r="XEI1240" s="30"/>
      <c r="XEJ1240" s="30"/>
      <c r="XEK1240" s="30"/>
      <c r="XEL1240" s="30"/>
      <c r="XEM1240" s="30"/>
      <c r="XEN1240" s="30"/>
      <c r="XEO1240" s="30"/>
      <c r="XEP1240" s="30"/>
      <c r="XEQ1240" s="30"/>
      <c r="XER1240" s="30"/>
      <c r="XES1240" s="30"/>
      <c r="XET1240" s="30"/>
      <c r="XEU1240" s="30"/>
      <c r="XEV1240" s="30"/>
      <c r="XEW1240" s="30"/>
      <c r="XEX1240" s="30"/>
      <c r="XEY1240" s="30"/>
      <c r="XEZ1240" s="30"/>
    </row>
    <row r="1241" spans="1:16380" s="105" customFormat="1">
      <c r="A1241" s="3" t="s">
        <v>4</v>
      </c>
      <c r="B1241" s="3" t="s">
        <v>5864</v>
      </c>
      <c r="C1241" s="3" t="s">
        <v>4567</v>
      </c>
      <c r="D1241" s="104" t="s">
        <v>5861</v>
      </c>
      <c r="E1241" s="3" t="s">
        <v>3334</v>
      </c>
      <c r="F1241" s="3" t="s">
        <v>3391</v>
      </c>
      <c r="G1241" s="3" t="s">
        <v>9</v>
      </c>
      <c r="H1241" s="3" t="s">
        <v>9</v>
      </c>
      <c r="I1241" s="3" t="s">
        <v>3534</v>
      </c>
      <c r="J1241" s="3" t="s">
        <v>9</v>
      </c>
      <c r="K1241" s="4" t="s">
        <v>1211</v>
      </c>
      <c r="L1241" s="101"/>
      <c r="M1241" s="102"/>
      <c r="N1241" s="102"/>
      <c r="O1241" s="102"/>
      <c r="P1241" s="106"/>
      <c r="Q1241" s="106"/>
      <c r="R1241" s="106"/>
      <c r="S1241" s="106"/>
      <c r="T1241" s="106"/>
      <c r="U1241" s="106"/>
      <c r="V1241" s="106"/>
      <c r="W1241" s="106"/>
      <c r="X1241" s="106"/>
      <c r="Y1241" s="106"/>
      <c r="Z1241" s="106"/>
      <c r="AA1241" s="106"/>
      <c r="AB1241" s="106"/>
      <c r="AC1241" s="106"/>
      <c r="AD1241" s="106"/>
      <c r="AE1241" s="106"/>
      <c r="AF1241" s="106"/>
      <c r="AG1241" s="106"/>
      <c r="AH1241" s="106"/>
      <c r="AI1241" s="106"/>
      <c r="AJ1241" s="106"/>
      <c r="AK1241" s="106"/>
      <c r="AL1241" s="106"/>
      <c r="AM1241" s="106"/>
      <c r="AN1241" s="106"/>
      <c r="AO1241" s="106"/>
      <c r="AP1241" s="106"/>
      <c r="AQ1241" s="106"/>
      <c r="AR1241" s="106"/>
      <c r="AS1241" s="106"/>
      <c r="AT1241" s="106"/>
      <c r="AU1241" s="106"/>
      <c r="AV1241" s="106"/>
      <c r="AW1241" s="106"/>
      <c r="AX1241" s="106"/>
      <c r="AY1241" s="106"/>
      <c r="AZ1241" s="106"/>
      <c r="BA1241" s="106"/>
      <c r="BB1241" s="106"/>
      <c r="BC1241" s="106"/>
      <c r="BD1241" s="106"/>
      <c r="BE1241" s="106"/>
      <c r="BF1241" s="106"/>
      <c r="BG1241" s="106"/>
      <c r="BH1241" s="106"/>
      <c r="BI1241" s="106"/>
      <c r="BJ1241" s="106"/>
      <c r="BK1241" s="106"/>
      <c r="BL1241" s="106"/>
      <c r="BM1241" s="106"/>
      <c r="BN1241" s="106"/>
      <c r="BO1241" s="106"/>
      <c r="BP1241" s="106"/>
      <c r="BQ1241" s="106"/>
      <c r="BR1241" s="106"/>
      <c r="BS1241" s="106"/>
      <c r="BT1241" s="106"/>
      <c r="BU1241" s="106"/>
      <c r="BV1241" s="106"/>
      <c r="BW1241" s="106"/>
      <c r="BX1241" s="106"/>
      <c r="BY1241" s="106"/>
      <c r="BZ1241" s="106"/>
      <c r="CA1241" s="106"/>
      <c r="CB1241" s="106"/>
      <c r="CC1241" s="106"/>
      <c r="CD1241" s="106"/>
      <c r="CE1241" s="106"/>
      <c r="CF1241" s="106"/>
      <c r="CG1241" s="106"/>
      <c r="CH1241" s="106"/>
      <c r="CI1241" s="106"/>
      <c r="CJ1241" s="106"/>
      <c r="CK1241" s="106"/>
      <c r="CL1241" s="106"/>
      <c r="CM1241" s="106"/>
      <c r="CN1241" s="106"/>
      <c r="CO1241" s="106"/>
      <c r="CP1241" s="106"/>
      <c r="CQ1241" s="106"/>
      <c r="CR1241" s="106"/>
      <c r="CS1241" s="106"/>
      <c r="CT1241" s="106"/>
      <c r="CU1241" s="106"/>
      <c r="CV1241" s="106"/>
      <c r="CW1241" s="106"/>
      <c r="CX1241" s="106"/>
      <c r="CY1241" s="106"/>
      <c r="CZ1241" s="106"/>
      <c r="DA1241" s="106"/>
      <c r="DB1241" s="106"/>
      <c r="DC1241" s="106"/>
      <c r="DD1241" s="106"/>
      <c r="DE1241" s="106"/>
      <c r="DF1241" s="106"/>
      <c r="DG1241" s="106"/>
      <c r="DH1241" s="106"/>
      <c r="DI1241" s="106"/>
      <c r="DJ1241" s="106"/>
      <c r="DK1241" s="106"/>
      <c r="DL1241" s="106"/>
      <c r="DM1241" s="106"/>
      <c r="DN1241" s="106"/>
      <c r="DO1241" s="106"/>
      <c r="DP1241" s="106"/>
      <c r="DQ1241" s="106"/>
      <c r="DR1241" s="106"/>
      <c r="DS1241" s="106"/>
      <c r="DT1241" s="106"/>
      <c r="DU1241" s="106"/>
      <c r="DV1241" s="106"/>
      <c r="DW1241" s="106"/>
      <c r="DX1241" s="106"/>
      <c r="DY1241" s="106"/>
      <c r="DZ1241" s="106"/>
      <c r="EA1241" s="106"/>
      <c r="EB1241" s="106"/>
      <c r="EC1241" s="106"/>
      <c r="ED1241" s="106"/>
      <c r="EE1241" s="106"/>
      <c r="EF1241" s="106"/>
      <c r="EG1241" s="106"/>
      <c r="EH1241" s="106"/>
      <c r="EI1241" s="106"/>
      <c r="EJ1241" s="106"/>
      <c r="EK1241" s="106"/>
      <c r="EL1241" s="106"/>
      <c r="EM1241" s="106"/>
      <c r="EN1241" s="106"/>
      <c r="EO1241" s="106"/>
      <c r="EP1241" s="106"/>
      <c r="EQ1241" s="106"/>
      <c r="ER1241" s="106"/>
      <c r="ES1241" s="106"/>
      <c r="ET1241" s="106"/>
      <c r="EU1241" s="106"/>
      <c r="EV1241" s="106"/>
      <c r="EW1241" s="106"/>
      <c r="EX1241" s="106"/>
      <c r="EY1241" s="106"/>
      <c r="EZ1241" s="106"/>
      <c r="FA1241" s="106"/>
      <c r="FB1241" s="106"/>
      <c r="FC1241" s="106"/>
      <c r="FD1241" s="106"/>
      <c r="FE1241" s="106"/>
      <c r="FF1241" s="106"/>
      <c r="FG1241" s="106"/>
      <c r="FH1241" s="106"/>
      <c r="FI1241" s="106"/>
      <c r="FJ1241" s="106"/>
      <c r="FK1241" s="106"/>
      <c r="FL1241" s="106"/>
      <c r="FM1241" s="106"/>
      <c r="FN1241" s="106"/>
      <c r="FO1241" s="106"/>
      <c r="FP1241" s="106"/>
      <c r="FQ1241" s="106"/>
      <c r="FR1241" s="106"/>
      <c r="FS1241" s="106"/>
      <c r="FT1241" s="106"/>
      <c r="FU1241" s="106"/>
      <c r="FV1241" s="106"/>
      <c r="FW1241" s="106"/>
      <c r="FX1241" s="106"/>
      <c r="FY1241" s="106"/>
      <c r="FZ1241" s="106"/>
      <c r="GA1241" s="106"/>
      <c r="GB1241" s="106"/>
      <c r="GC1241" s="106"/>
      <c r="GD1241" s="106"/>
      <c r="GE1241" s="106"/>
      <c r="GF1241" s="106"/>
      <c r="GG1241" s="106"/>
      <c r="GH1241" s="106"/>
      <c r="GI1241" s="106"/>
      <c r="GJ1241" s="106"/>
      <c r="GK1241" s="106"/>
      <c r="GL1241" s="106"/>
      <c r="GM1241" s="106"/>
      <c r="GN1241" s="106"/>
      <c r="GO1241" s="106"/>
      <c r="GP1241" s="106"/>
      <c r="GQ1241" s="106"/>
      <c r="GR1241" s="106"/>
      <c r="GS1241" s="106"/>
      <c r="GT1241" s="106"/>
      <c r="GU1241" s="106"/>
      <c r="GV1241" s="106"/>
      <c r="GW1241" s="106"/>
      <c r="GX1241" s="106"/>
      <c r="GY1241" s="106"/>
      <c r="GZ1241" s="106"/>
      <c r="HA1241" s="106"/>
      <c r="HB1241" s="106"/>
      <c r="HC1241" s="106"/>
      <c r="HD1241" s="106"/>
      <c r="HE1241" s="106"/>
      <c r="HF1241" s="106"/>
      <c r="HG1241" s="106"/>
      <c r="HH1241" s="106"/>
      <c r="HI1241" s="106"/>
      <c r="HJ1241" s="106"/>
      <c r="HK1241" s="106"/>
      <c r="HL1241" s="106"/>
      <c r="HM1241" s="106"/>
      <c r="HN1241" s="106"/>
      <c r="HO1241" s="106"/>
      <c r="HP1241" s="106"/>
      <c r="HQ1241" s="106"/>
      <c r="HR1241" s="106"/>
      <c r="HS1241" s="106"/>
      <c r="HT1241" s="106"/>
      <c r="HU1241" s="106"/>
      <c r="HV1241" s="106"/>
      <c r="HW1241" s="106"/>
      <c r="HX1241" s="106"/>
      <c r="HY1241" s="106"/>
      <c r="HZ1241" s="106"/>
      <c r="IA1241" s="106"/>
      <c r="IB1241" s="106"/>
      <c r="IC1241" s="106"/>
      <c r="ID1241" s="106"/>
      <c r="IE1241" s="106"/>
      <c r="IF1241" s="106"/>
      <c r="IG1241" s="106"/>
      <c r="IH1241" s="106"/>
      <c r="II1241" s="106"/>
      <c r="IJ1241" s="106"/>
      <c r="IK1241" s="106"/>
      <c r="IL1241" s="106"/>
      <c r="IM1241" s="106"/>
      <c r="IN1241" s="106"/>
      <c r="IO1241" s="106"/>
      <c r="IP1241" s="106"/>
      <c r="IQ1241" s="106"/>
      <c r="IR1241" s="106"/>
      <c r="IS1241" s="106"/>
      <c r="IT1241" s="106"/>
      <c r="IU1241" s="106"/>
      <c r="IV1241" s="106"/>
      <c r="IW1241" s="106"/>
      <c r="IX1241" s="106"/>
      <c r="IY1241" s="106"/>
      <c r="IZ1241" s="106"/>
      <c r="JA1241" s="106"/>
      <c r="JB1241" s="106"/>
      <c r="JC1241" s="106"/>
      <c r="JD1241" s="106"/>
      <c r="JE1241" s="106"/>
      <c r="JF1241" s="106"/>
      <c r="JG1241" s="106"/>
      <c r="JH1241" s="106"/>
      <c r="JI1241" s="106"/>
      <c r="JJ1241" s="106"/>
      <c r="JK1241" s="106"/>
      <c r="JL1241" s="106"/>
      <c r="JM1241" s="106"/>
      <c r="JN1241" s="106"/>
      <c r="JO1241" s="106"/>
      <c r="JP1241" s="106"/>
      <c r="JQ1241" s="106"/>
      <c r="JR1241" s="106"/>
      <c r="JS1241" s="106"/>
      <c r="JT1241" s="106"/>
      <c r="JU1241" s="106"/>
      <c r="JV1241" s="106"/>
      <c r="JW1241" s="106"/>
      <c r="JX1241" s="106"/>
      <c r="JY1241" s="106"/>
      <c r="JZ1241" s="106"/>
      <c r="KA1241" s="106"/>
      <c r="KB1241" s="106"/>
      <c r="KC1241" s="106"/>
      <c r="KD1241" s="106"/>
      <c r="KE1241" s="106"/>
      <c r="KF1241" s="106"/>
      <c r="KG1241" s="106"/>
      <c r="KH1241" s="106"/>
      <c r="KI1241" s="106"/>
      <c r="KJ1241" s="106"/>
      <c r="KK1241" s="106"/>
      <c r="KL1241" s="106"/>
      <c r="KM1241" s="106"/>
      <c r="KN1241" s="106"/>
      <c r="KO1241" s="106"/>
      <c r="KP1241" s="106"/>
      <c r="KQ1241" s="106"/>
      <c r="KR1241" s="106"/>
      <c r="KS1241" s="106"/>
      <c r="KT1241" s="106"/>
      <c r="KU1241" s="106"/>
      <c r="KV1241" s="106"/>
      <c r="KW1241" s="106"/>
      <c r="KX1241" s="106"/>
      <c r="KY1241" s="106"/>
      <c r="KZ1241" s="106"/>
      <c r="LA1241" s="106"/>
      <c r="LB1241" s="106"/>
      <c r="LC1241" s="106"/>
      <c r="LD1241" s="106"/>
      <c r="LE1241" s="106"/>
      <c r="LF1241" s="106"/>
      <c r="LG1241" s="106"/>
      <c r="LH1241" s="106"/>
      <c r="LI1241" s="106"/>
      <c r="LJ1241" s="106"/>
      <c r="LK1241" s="106"/>
      <c r="LL1241" s="106"/>
      <c r="LM1241" s="106"/>
      <c r="LN1241" s="106"/>
      <c r="LO1241" s="106"/>
      <c r="LP1241" s="106"/>
      <c r="LQ1241" s="106"/>
      <c r="LR1241" s="106"/>
      <c r="LS1241" s="106"/>
      <c r="LT1241" s="106"/>
      <c r="LU1241" s="106"/>
      <c r="LV1241" s="106"/>
      <c r="LW1241" s="106"/>
      <c r="LX1241" s="106"/>
      <c r="LY1241" s="106"/>
      <c r="LZ1241" s="106"/>
      <c r="MA1241" s="106"/>
      <c r="MB1241" s="106"/>
      <c r="MC1241" s="106"/>
      <c r="MD1241" s="106"/>
      <c r="ME1241" s="106"/>
      <c r="MF1241" s="106"/>
      <c r="MG1241" s="106"/>
      <c r="MH1241" s="106"/>
      <c r="MI1241" s="106"/>
      <c r="MJ1241" s="106"/>
      <c r="MK1241" s="106"/>
      <c r="ML1241" s="106"/>
      <c r="MM1241" s="106"/>
      <c r="MN1241" s="106"/>
      <c r="MO1241" s="106"/>
      <c r="MP1241" s="106"/>
      <c r="MQ1241" s="106"/>
      <c r="MR1241" s="106"/>
      <c r="MS1241" s="106"/>
      <c r="MT1241" s="106"/>
      <c r="MU1241" s="106"/>
      <c r="MV1241" s="106"/>
      <c r="MW1241" s="106"/>
      <c r="MX1241" s="106"/>
      <c r="MY1241" s="106"/>
      <c r="MZ1241" s="106"/>
      <c r="NA1241" s="106"/>
      <c r="NB1241" s="106"/>
      <c r="NC1241" s="106"/>
      <c r="ND1241" s="106"/>
      <c r="NE1241" s="106"/>
      <c r="NF1241" s="106"/>
      <c r="NG1241" s="106"/>
      <c r="NH1241" s="106"/>
      <c r="NI1241" s="106"/>
      <c r="NJ1241" s="106"/>
      <c r="NK1241" s="106"/>
      <c r="NL1241" s="106"/>
      <c r="NM1241" s="106"/>
      <c r="NN1241" s="106"/>
      <c r="NO1241" s="106"/>
      <c r="NP1241" s="106"/>
      <c r="NQ1241" s="106"/>
      <c r="NR1241" s="106"/>
      <c r="NS1241" s="106"/>
      <c r="NT1241" s="106"/>
      <c r="NU1241" s="106"/>
      <c r="NV1241" s="106"/>
      <c r="NW1241" s="106"/>
      <c r="NX1241" s="106"/>
      <c r="NY1241" s="106"/>
      <c r="NZ1241" s="106"/>
      <c r="OA1241" s="106"/>
      <c r="OB1241" s="106"/>
      <c r="OC1241" s="106"/>
      <c r="OD1241" s="106"/>
      <c r="OE1241" s="106"/>
      <c r="OF1241" s="106"/>
      <c r="OG1241" s="106"/>
      <c r="OH1241" s="106"/>
      <c r="OI1241" s="106"/>
      <c r="OJ1241" s="106"/>
      <c r="OK1241" s="106"/>
      <c r="OL1241" s="106"/>
      <c r="OM1241" s="106"/>
      <c r="ON1241" s="106"/>
      <c r="OO1241" s="106"/>
      <c r="OP1241" s="106"/>
      <c r="OQ1241" s="106"/>
      <c r="OR1241" s="106"/>
      <c r="OS1241" s="106"/>
      <c r="OT1241" s="106"/>
      <c r="OU1241" s="106"/>
      <c r="OV1241" s="106"/>
      <c r="OW1241" s="106"/>
      <c r="OX1241" s="106"/>
      <c r="OY1241" s="106"/>
      <c r="OZ1241" s="106"/>
      <c r="PA1241" s="106"/>
      <c r="PB1241" s="106"/>
      <c r="PC1241" s="106"/>
      <c r="PD1241" s="106"/>
      <c r="PE1241" s="106"/>
      <c r="PF1241" s="106"/>
      <c r="PG1241" s="106"/>
      <c r="PH1241" s="106"/>
      <c r="PI1241" s="106"/>
      <c r="PJ1241" s="106"/>
      <c r="PK1241" s="106"/>
      <c r="PL1241" s="106"/>
      <c r="PM1241" s="106"/>
      <c r="PN1241" s="106"/>
      <c r="PO1241" s="106"/>
      <c r="PP1241" s="106"/>
      <c r="PQ1241" s="106"/>
      <c r="PR1241" s="106"/>
      <c r="PS1241" s="106"/>
      <c r="PT1241" s="106"/>
      <c r="PU1241" s="106"/>
      <c r="PV1241" s="106"/>
      <c r="PW1241" s="106"/>
      <c r="PX1241" s="106"/>
      <c r="PY1241" s="106"/>
      <c r="PZ1241" s="106"/>
      <c r="QA1241" s="106"/>
      <c r="QB1241" s="106"/>
      <c r="QC1241" s="106"/>
      <c r="QD1241" s="106"/>
      <c r="QE1241" s="106"/>
      <c r="QF1241" s="106"/>
      <c r="QG1241" s="106"/>
      <c r="QH1241" s="106"/>
      <c r="QI1241" s="106"/>
      <c r="QJ1241" s="106"/>
      <c r="QK1241" s="106"/>
      <c r="QL1241" s="106"/>
      <c r="QM1241" s="106"/>
      <c r="QN1241" s="106"/>
      <c r="QO1241" s="106"/>
      <c r="QP1241" s="106"/>
      <c r="QQ1241" s="106"/>
      <c r="QR1241" s="106"/>
      <c r="QS1241" s="106"/>
      <c r="QT1241" s="106"/>
      <c r="QU1241" s="106"/>
      <c r="QV1241" s="106"/>
      <c r="QW1241" s="106"/>
      <c r="QX1241" s="106"/>
      <c r="QY1241" s="106"/>
      <c r="QZ1241" s="106"/>
      <c r="RA1241" s="106"/>
      <c r="RB1241" s="106"/>
      <c r="RC1241" s="106"/>
      <c r="RD1241" s="106"/>
      <c r="RE1241" s="106"/>
      <c r="RF1241" s="106"/>
      <c r="RG1241" s="106"/>
      <c r="RH1241" s="106"/>
      <c r="RI1241" s="106"/>
      <c r="RJ1241" s="106"/>
      <c r="RK1241" s="106"/>
      <c r="RL1241" s="106"/>
      <c r="RM1241" s="106"/>
      <c r="RN1241" s="106"/>
      <c r="RO1241" s="106"/>
      <c r="RP1241" s="106"/>
      <c r="RQ1241" s="106"/>
      <c r="RR1241" s="106"/>
      <c r="RS1241" s="106"/>
      <c r="RT1241" s="106"/>
      <c r="RU1241" s="106"/>
      <c r="RV1241" s="106"/>
      <c r="RW1241" s="106"/>
      <c r="RX1241" s="106"/>
      <c r="RY1241" s="106"/>
      <c r="RZ1241" s="106"/>
      <c r="SA1241" s="106"/>
      <c r="SB1241" s="106"/>
      <c r="SC1241" s="106"/>
      <c r="SD1241" s="106"/>
      <c r="SE1241" s="106"/>
      <c r="SF1241" s="106"/>
      <c r="SG1241" s="106"/>
      <c r="SH1241" s="106"/>
      <c r="SI1241" s="106"/>
      <c r="SJ1241" s="106"/>
      <c r="SK1241" s="106"/>
      <c r="SL1241" s="106"/>
      <c r="SM1241" s="106"/>
      <c r="SN1241" s="106"/>
      <c r="SO1241" s="106"/>
      <c r="SP1241" s="106"/>
      <c r="SQ1241" s="106"/>
      <c r="SR1241" s="106"/>
      <c r="SS1241" s="106"/>
      <c r="ST1241" s="106"/>
      <c r="SU1241" s="106"/>
      <c r="SV1241" s="106"/>
      <c r="SW1241" s="106"/>
      <c r="SX1241" s="106"/>
      <c r="SY1241" s="106"/>
      <c r="SZ1241" s="106"/>
      <c r="TA1241" s="106"/>
      <c r="TB1241" s="106"/>
      <c r="TC1241" s="106"/>
      <c r="TD1241" s="106"/>
      <c r="TE1241" s="106"/>
      <c r="TF1241" s="106"/>
      <c r="TG1241" s="106"/>
      <c r="TH1241" s="106"/>
      <c r="TI1241" s="106"/>
      <c r="TJ1241" s="106"/>
      <c r="TK1241" s="106"/>
      <c r="TL1241" s="106"/>
      <c r="TM1241" s="106"/>
      <c r="TN1241" s="106"/>
      <c r="TO1241" s="106"/>
      <c r="TP1241" s="106"/>
      <c r="TQ1241" s="106"/>
      <c r="TR1241" s="106"/>
      <c r="TS1241" s="106"/>
      <c r="TT1241" s="106"/>
      <c r="TU1241" s="106"/>
      <c r="TV1241" s="106"/>
      <c r="TW1241" s="106"/>
      <c r="TX1241" s="106"/>
      <c r="TY1241" s="106"/>
      <c r="TZ1241" s="106"/>
      <c r="UA1241" s="106"/>
      <c r="UB1241" s="106"/>
      <c r="UC1241" s="106"/>
      <c r="UD1241" s="106"/>
      <c r="UE1241" s="106"/>
      <c r="UF1241" s="106"/>
      <c r="UG1241" s="106"/>
      <c r="UH1241" s="106"/>
      <c r="UI1241" s="106"/>
      <c r="UJ1241" s="106"/>
      <c r="UK1241" s="106"/>
      <c r="UL1241" s="106"/>
      <c r="UM1241" s="106"/>
      <c r="UN1241" s="106"/>
      <c r="UO1241" s="106"/>
      <c r="UP1241" s="106"/>
      <c r="UQ1241" s="106"/>
      <c r="UR1241" s="106"/>
      <c r="US1241" s="106"/>
      <c r="UT1241" s="106"/>
      <c r="UU1241" s="106"/>
      <c r="UV1241" s="106"/>
      <c r="UW1241" s="106"/>
      <c r="UX1241" s="106"/>
      <c r="UY1241" s="106"/>
      <c r="UZ1241" s="106"/>
      <c r="VA1241" s="106"/>
      <c r="VB1241" s="106"/>
      <c r="VC1241" s="106"/>
      <c r="VD1241" s="106"/>
      <c r="VE1241" s="106"/>
      <c r="VF1241" s="106"/>
      <c r="VG1241" s="106"/>
      <c r="VH1241" s="106"/>
      <c r="VI1241" s="106"/>
      <c r="VJ1241" s="106"/>
      <c r="VK1241" s="106"/>
      <c r="VL1241" s="106"/>
      <c r="VM1241" s="106"/>
      <c r="VN1241" s="106"/>
      <c r="VO1241" s="106"/>
      <c r="VP1241" s="106"/>
      <c r="VQ1241" s="106"/>
      <c r="VR1241" s="106"/>
      <c r="VS1241" s="106"/>
      <c r="VT1241" s="106"/>
      <c r="VU1241" s="106"/>
      <c r="VV1241" s="106"/>
      <c r="VW1241" s="106"/>
      <c r="VX1241" s="106"/>
      <c r="VY1241" s="106"/>
      <c r="VZ1241" s="106"/>
      <c r="WA1241" s="106"/>
      <c r="WB1241" s="106"/>
      <c r="WC1241" s="106"/>
      <c r="WD1241" s="106"/>
      <c r="WE1241" s="106"/>
      <c r="WF1241" s="106"/>
      <c r="WG1241" s="106"/>
      <c r="WH1241" s="106"/>
      <c r="WI1241" s="106"/>
      <c r="WJ1241" s="106"/>
      <c r="WK1241" s="106"/>
      <c r="WL1241" s="106"/>
      <c r="WM1241" s="106"/>
      <c r="WN1241" s="106"/>
      <c r="WO1241" s="106"/>
      <c r="WP1241" s="106"/>
      <c r="WQ1241" s="106"/>
      <c r="WR1241" s="106"/>
      <c r="WS1241" s="106"/>
      <c r="WT1241" s="106"/>
      <c r="WU1241" s="106"/>
      <c r="WV1241" s="106"/>
      <c r="WW1241" s="106"/>
      <c r="WX1241" s="106"/>
      <c r="WY1241" s="106"/>
      <c r="WZ1241" s="106"/>
      <c r="XA1241" s="106"/>
      <c r="XB1241" s="106"/>
      <c r="XC1241" s="106"/>
      <c r="XD1241" s="106"/>
      <c r="XE1241" s="106"/>
      <c r="XF1241" s="106"/>
      <c r="XG1241" s="106"/>
      <c r="XH1241" s="106"/>
      <c r="XI1241" s="106"/>
      <c r="XJ1241" s="106"/>
      <c r="XK1241" s="106"/>
      <c r="XL1241" s="106"/>
      <c r="XM1241" s="106"/>
      <c r="XN1241" s="106"/>
      <c r="XO1241" s="106"/>
      <c r="XP1241" s="106"/>
      <c r="XQ1241" s="106"/>
      <c r="XR1241" s="106"/>
      <c r="XS1241" s="106"/>
      <c r="XT1241" s="106"/>
      <c r="XU1241" s="106"/>
      <c r="XV1241" s="106"/>
      <c r="XW1241" s="106"/>
      <c r="XX1241" s="106"/>
      <c r="XY1241" s="106"/>
      <c r="XZ1241" s="106"/>
      <c r="YA1241" s="106"/>
      <c r="YB1241" s="106"/>
      <c r="YC1241" s="106"/>
      <c r="YD1241" s="106"/>
      <c r="YE1241" s="106"/>
      <c r="YF1241" s="106"/>
      <c r="YG1241" s="106"/>
      <c r="YH1241" s="106"/>
      <c r="YI1241" s="106"/>
      <c r="YJ1241" s="106"/>
      <c r="YK1241" s="106"/>
      <c r="YL1241" s="106"/>
      <c r="YM1241" s="106"/>
      <c r="YN1241" s="106"/>
      <c r="YO1241" s="106"/>
      <c r="YP1241" s="106"/>
      <c r="YQ1241" s="106"/>
      <c r="YR1241" s="106"/>
      <c r="YS1241" s="106"/>
      <c r="YT1241" s="106"/>
      <c r="YU1241" s="106"/>
      <c r="YV1241" s="106"/>
      <c r="YW1241" s="106"/>
      <c r="YX1241" s="106"/>
      <c r="YY1241" s="106"/>
      <c r="YZ1241" s="106"/>
      <c r="ZA1241" s="106"/>
      <c r="ZB1241" s="106"/>
      <c r="ZC1241" s="106"/>
      <c r="ZD1241" s="106"/>
      <c r="ZE1241" s="106"/>
      <c r="ZF1241" s="106"/>
      <c r="ZG1241" s="106"/>
      <c r="ZH1241" s="106"/>
      <c r="ZI1241" s="106"/>
      <c r="ZJ1241" s="106"/>
      <c r="ZK1241" s="106"/>
      <c r="ZL1241" s="106"/>
      <c r="ZM1241" s="106"/>
      <c r="ZN1241" s="106"/>
      <c r="ZO1241" s="106"/>
      <c r="ZP1241" s="106"/>
      <c r="ZQ1241" s="106"/>
      <c r="ZR1241" s="106"/>
      <c r="ZS1241" s="106"/>
      <c r="ZT1241" s="106"/>
      <c r="ZU1241" s="106"/>
      <c r="ZV1241" s="106"/>
      <c r="ZW1241" s="106"/>
      <c r="ZX1241" s="106"/>
      <c r="ZY1241" s="106"/>
      <c r="ZZ1241" s="106"/>
      <c r="AAA1241" s="106"/>
      <c r="AAB1241" s="106"/>
      <c r="AAC1241" s="106"/>
      <c r="AAD1241" s="106"/>
      <c r="AAE1241" s="106"/>
      <c r="AAF1241" s="106"/>
      <c r="AAG1241" s="106"/>
      <c r="AAH1241" s="106"/>
      <c r="AAI1241" s="106"/>
      <c r="AAJ1241" s="106"/>
      <c r="AAK1241" s="106"/>
      <c r="AAL1241" s="106"/>
      <c r="AAM1241" s="106"/>
      <c r="AAN1241" s="106"/>
      <c r="AAO1241" s="106"/>
      <c r="AAP1241" s="106"/>
      <c r="AAQ1241" s="106"/>
      <c r="AAR1241" s="106"/>
      <c r="AAS1241" s="106"/>
      <c r="AAT1241" s="106"/>
      <c r="AAU1241" s="106"/>
      <c r="AAV1241" s="106"/>
      <c r="AAW1241" s="106"/>
      <c r="AAX1241" s="106"/>
      <c r="AAY1241" s="106"/>
      <c r="AAZ1241" s="106"/>
      <c r="ABA1241" s="106"/>
      <c r="ABB1241" s="106"/>
      <c r="ABC1241" s="106"/>
      <c r="ABD1241" s="106"/>
      <c r="ABE1241" s="106"/>
      <c r="ABF1241" s="106"/>
      <c r="ABG1241" s="106"/>
      <c r="ABH1241" s="106"/>
      <c r="ABI1241" s="106"/>
      <c r="ABJ1241" s="106"/>
      <c r="ABK1241" s="106"/>
      <c r="ABL1241" s="106"/>
      <c r="ABM1241" s="106"/>
      <c r="ABN1241" s="106"/>
      <c r="ABO1241" s="106"/>
      <c r="ABP1241" s="106"/>
      <c r="ABQ1241" s="106"/>
      <c r="ABR1241" s="106"/>
      <c r="ABS1241" s="106"/>
      <c r="ABT1241" s="106"/>
      <c r="ABU1241" s="106"/>
      <c r="ABV1241" s="106"/>
      <c r="ABW1241" s="106"/>
      <c r="ABX1241" s="106"/>
      <c r="ABY1241" s="106"/>
      <c r="ABZ1241" s="106"/>
      <c r="ACA1241" s="106"/>
      <c r="ACB1241" s="106"/>
      <c r="ACC1241" s="106"/>
      <c r="ACD1241" s="106"/>
      <c r="ACE1241" s="106"/>
      <c r="ACF1241" s="106"/>
      <c r="ACG1241" s="106"/>
      <c r="ACH1241" s="106"/>
      <c r="ACI1241" s="106"/>
      <c r="ACJ1241" s="106"/>
      <c r="ACK1241" s="106"/>
      <c r="ACL1241" s="106"/>
      <c r="ACM1241" s="106"/>
      <c r="ACN1241" s="106"/>
      <c r="ACO1241" s="106"/>
      <c r="ACP1241" s="106"/>
      <c r="ACQ1241" s="106"/>
      <c r="ACR1241" s="106"/>
      <c r="ACS1241" s="106"/>
      <c r="ACT1241" s="106"/>
      <c r="ACU1241" s="106"/>
      <c r="ACV1241" s="106"/>
      <c r="ACW1241" s="106"/>
      <c r="ACX1241" s="106"/>
      <c r="ACY1241" s="106"/>
      <c r="ACZ1241" s="106"/>
      <c r="ADA1241" s="106"/>
      <c r="ADB1241" s="106"/>
      <c r="ADC1241" s="106"/>
      <c r="ADD1241" s="106"/>
      <c r="ADE1241" s="106"/>
      <c r="ADF1241" s="106"/>
      <c r="ADG1241" s="106"/>
      <c r="ADH1241" s="106"/>
      <c r="ADI1241" s="106"/>
      <c r="ADJ1241" s="106"/>
      <c r="ADK1241" s="106"/>
      <c r="ADL1241" s="106"/>
      <c r="ADM1241" s="106"/>
      <c r="ADN1241" s="106"/>
      <c r="ADO1241" s="106"/>
      <c r="ADP1241" s="106"/>
      <c r="ADQ1241" s="106"/>
      <c r="ADR1241" s="106"/>
      <c r="ADS1241" s="106"/>
      <c r="ADT1241" s="106"/>
      <c r="ADU1241" s="106"/>
      <c r="ADV1241" s="106"/>
      <c r="ADW1241" s="106"/>
      <c r="ADX1241" s="106"/>
      <c r="ADY1241" s="106"/>
      <c r="ADZ1241" s="106"/>
      <c r="AEA1241" s="106"/>
      <c r="AEB1241" s="106"/>
      <c r="AEC1241" s="106"/>
      <c r="AED1241" s="106"/>
      <c r="AEE1241" s="106"/>
      <c r="AEF1241" s="106"/>
      <c r="AEG1241" s="106"/>
      <c r="AEH1241" s="106"/>
      <c r="AEI1241" s="106"/>
      <c r="AEJ1241" s="106"/>
      <c r="AEK1241" s="106"/>
      <c r="AEL1241" s="106"/>
      <c r="AEM1241" s="106"/>
      <c r="AEN1241" s="106"/>
      <c r="AEO1241" s="106"/>
      <c r="AEP1241" s="106"/>
      <c r="AEQ1241" s="106"/>
      <c r="AER1241" s="106"/>
      <c r="AES1241" s="106"/>
      <c r="AET1241" s="106"/>
      <c r="AEU1241" s="106"/>
      <c r="AEV1241" s="106"/>
      <c r="AEW1241" s="106"/>
      <c r="AEX1241" s="106"/>
      <c r="AEY1241" s="106"/>
      <c r="AEZ1241" s="106"/>
      <c r="AFA1241" s="106"/>
      <c r="AFB1241" s="106"/>
      <c r="AFC1241" s="106"/>
      <c r="AFD1241" s="106"/>
      <c r="AFE1241" s="106"/>
      <c r="AFF1241" s="106"/>
      <c r="AFG1241" s="106"/>
      <c r="AFH1241" s="106"/>
      <c r="AFI1241" s="106"/>
      <c r="AFJ1241" s="106"/>
      <c r="AFK1241" s="106"/>
      <c r="AFL1241" s="106"/>
      <c r="AFM1241" s="106"/>
      <c r="AFN1241" s="106"/>
      <c r="AFO1241" s="106"/>
      <c r="AFP1241" s="106"/>
      <c r="AFQ1241" s="106"/>
      <c r="AFR1241" s="106"/>
      <c r="AFS1241" s="106"/>
      <c r="AFT1241" s="106"/>
      <c r="AFU1241" s="106"/>
      <c r="AFV1241" s="106"/>
      <c r="AFW1241" s="106"/>
      <c r="AFX1241" s="106"/>
      <c r="AFY1241" s="106"/>
      <c r="AFZ1241" s="106"/>
      <c r="AGA1241" s="106"/>
      <c r="AGB1241" s="106"/>
      <c r="AGC1241" s="106"/>
      <c r="AGD1241" s="106"/>
      <c r="AGE1241" s="106"/>
      <c r="AGF1241" s="106"/>
      <c r="AGG1241" s="106"/>
      <c r="AGH1241" s="106"/>
      <c r="AGI1241" s="106"/>
      <c r="AGJ1241" s="106"/>
      <c r="AGK1241" s="106"/>
      <c r="AGL1241" s="106"/>
      <c r="AGM1241" s="106"/>
      <c r="AGN1241" s="106"/>
      <c r="AGO1241" s="106"/>
      <c r="AGP1241" s="106"/>
      <c r="AGQ1241" s="106"/>
      <c r="AGR1241" s="106"/>
      <c r="AGS1241" s="106"/>
      <c r="AGT1241" s="106"/>
      <c r="AGU1241" s="106"/>
      <c r="AGV1241" s="106"/>
      <c r="AGW1241" s="106"/>
      <c r="AGX1241" s="106"/>
      <c r="AGY1241" s="106"/>
      <c r="AGZ1241" s="106"/>
      <c r="AHA1241" s="106"/>
      <c r="AHB1241" s="106"/>
      <c r="AHC1241" s="106"/>
      <c r="AHD1241" s="106"/>
      <c r="AHE1241" s="106"/>
      <c r="AHF1241" s="106"/>
      <c r="AHG1241" s="106"/>
      <c r="AHH1241" s="106"/>
      <c r="AHI1241" s="106"/>
      <c r="AHJ1241" s="106"/>
      <c r="AHK1241" s="106"/>
      <c r="AHL1241" s="106"/>
      <c r="AHM1241" s="106"/>
      <c r="AHN1241" s="106"/>
      <c r="AHO1241" s="106"/>
      <c r="AHP1241" s="106"/>
      <c r="AHQ1241" s="106"/>
      <c r="AHR1241" s="106"/>
      <c r="AHS1241" s="106"/>
      <c r="AHT1241" s="106"/>
      <c r="AHU1241" s="106"/>
      <c r="AHV1241" s="106"/>
      <c r="AHW1241" s="106"/>
      <c r="AHX1241" s="106"/>
      <c r="AHY1241" s="106"/>
      <c r="AHZ1241" s="106"/>
      <c r="AIA1241" s="106"/>
      <c r="AIB1241" s="106"/>
      <c r="AIC1241" s="106"/>
      <c r="AID1241" s="106"/>
      <c r="AIE1241" s="106"/>
      <c r="AIF1241" s="106"/>
      <c r="AIG1241" s="106"/>
      <c r="AIH1241" s="106"/>
      <c r="AII1241" s="106"/>
      <c r="AIJ1241" s="106"/>
      <c r="AIK1241" s="106"/>
      <c r="AIL1241" s="106"/>
      <c r="AIM1241" s="106"/>
      <c r="AIN1241" s="106"/>
      <c r="AIO1241" s="106"/>
      <c r="AIP1241" s="106"/>
      <c r="AIQ1241" s="106"/>
      <c r="AIR1241" s="106"/>
      <c r="AIS1241" s="106"/>
      <c r="AIT1241" s="106"/>
      <c r="AIU1241" s="106"/>
      <c r="AIV1241" s="106"/>
      <c r="AIW1241" s="106"/>
      <c r="AIX1241" s="106"/>
      <c r="AIY1241" s="106"/>
      <c r="AIZ1241" s="106"/>
      <c r="AJA1241" s="106"/>
      <c r="AJB1241" s="106"/>
      <c r="AJC1241" s="106"/>
      <c r="AJD1241" s="106"/>
      <c r="AJE1241" s="106"/>
      <c r="AJF1241" s="106"/>
      <c r="AJG1241" s="106"/>
      <c r="AJH1241" s="106"/>
      <c r="AJI1241" s="106"/>
      <c r="AJJ1241" s="106"/>
      <c r="AJK1241" s="106"/>
      <c r="AJL1241" s="106"/>
      <c r="AJM1241" s="106"/>
      <c r="AJN1241" s="106"/>
      <c r="AJO1241" s="106"/>
      <c r="AJP1241" s="106"/>
      <c r="AJQ1241" s="106"/>
      <c r="AJR1241" s="106"/>
      <c r="AJS1241" s="106"/>
      <c r="AJT1241" s="106"/>
      <c r="AJU1241" s="106"/>
      <c r="AJV1241" s="106"/>
      <c r="AJW1241" s="106"/>
      <c r="AJX1241" s="106"/>
      <c r="AJY1241" s="106"/>
      <c r="AJZ1241" s="106"/>
      <c r="AKA1241" s="106"/>
      <c r="AKB1241" s="106"/>
      <c r="AKC1241" s="106"/>
      <c r="AKD1241" s="106"/>
      <c r="AKE1241" s="106"/>
      <c r="AKF1241" s="106"/>
      <c r="AKG1241" s="106"/>
      <c r="AKH1241" s="106"/>
      <c r="AKI1241" s="106"/>
      <c r="AKJ1241" s="106"/>
      <c r="AKK1241" s="106"/>
      <c r="AKL1241" s="106"/>
      <c r="AKM1241" s="106"/>
      <c r="AKN1241" s="106"/>
      <c r="AKO1241" s="106"/>
      <c r="AKP1241" s="106"/>
      <c r="AKQ1241" s="106"/>
      <c r="AKR1241" s="106"/>
      <c r="AKS1241" s="106"/>
      <c r="AKT1241" s="106"/>
      <c r="AKU1241" s="106"/>
      <c r="AKV1241" s="106"/>
      <c r="AKW1241" s="106"/>
      <c r="AKX1241" s="106"/>
      <c r="AKY1241" s="106"/>
      <c r="AKZ1241" s="106"/>
      <c r="ALA1241" s="106"/>
      <c r="ALB1241" s="106"/>
      <c r="ALC1241" s="106"/>
      <c r="ALD1241" s="106"/>
      <c r="ALE1241" s="106"/>
      <c r="ALF1241" s="106"/>
      <c r="ALG1241" s="106"/>
      <c r="ALH1241" s="106"/>
      <c r="ALI1241" s="106"/>
      <c r="ALJ1241" s="106"/>
      <c r="ALK1241" s="106"/>
      <c r="ALL1241" s="106"/>
      <c r="ALM1241" s="106"/>
      <c r="ALN1241" s="106"/>
      <c r="ALO1241" s="106"/>
      <c r="ALP1241" s="106"/>
      <c r="ALQ1241" s="106"/>
      <c r="ALR1241" s="106"/>
      <c r="ALS1241" s="106"/>
      <c r="ALT1241" s="106"/>
      <c r="ALU1241" s="106"/>
      <c r="ALV1241" s="106"/>
      <c r="ALW1241" s="106"/>
      <c r="ALX1241" s="106"/>
      <c r="ALY1241" s="106"/>
      <c r="ALZ1241" s="106"/>
      <c r="AMA1241" s="106"/>
      <c r="AMB1241" s="106"/>
      <c r="AMC1241" s="106"/>
      <c r="AMD1241" s="106"/>
      <c r="AME1241" s="106"/>
      <c r="AMF1241" s="106"/>
      <c r="AMG1241" s="106"/>
      <c r="AMH1241" s="106"/>
      <c r="AMI1241" s="106"/>
      <c r="AMJ1241" s="106"/>
      <c r="AMK1241" s="106"/>
      <c r="AML1241" s="106"/>
      <c r="AMM1241" s="106"/>
      <c r="AMN1241" s="106"/>
      <c r="AMO1241" s="106"/>
      <c r="AMP1241" s="106"/>
      <c r="AMQ1241" s="106"/>
      <c r="AMR1241" s="106"/>
      <c r="AMS1241" s="106"/>
      <c r="AMT1241" s="106"/>
      <c r="AMU1241" s="106"/>
      <c r="AMV1241" s="106"/>
      <c r="AMW1241" s="106"/>
      <c r="AMX1241" s="106"/>
      <c r="AMY1241" s="106"/>
      <c r="AMZ1241" s="106"/>
      <c r="ANA1241" s="106"/>
      <c r="ANB1241" s="106"/>
      <c r="ANC1241" s="106"/>
      <c r="AND1241" s="106"/>
      <c r="ANE1241" s="106"/>
      <c r="ANF1241" s="106"/>
      <c r="ANG1241" s="106"/>
      <c r="ANH1241" s="106"/>
      <c r="ANI1241" s="106"/>
      <c r="ANJ1241" s="106"/>
      <c r="ANK1241" s="106"/>
      <c r="ANL1241" s="106"/>
      <c r="ANM1241" s="106"/>
      <c r="ANN1241" s="106"/>
      <c r="ANO1241" s="106"/>
      <c r="ANP1241" s="106"/>
      <c r="ANQ1241" s="106"/>
      <c r="ANR1241" s="106"/>
      <c r="ANS1241" s="106"/>
      <c r="ANT1241" s="106"/>
      <c r="ANU1241" s="106"/>
      <c r="ANV1241" s="106"/>
      <c r="ANW1241" s="106"/>
      <c r="ANX1241" s="106"/>
      <c r="ANY1241" s="106"/>
      <c r="ANZ1241" s="106"/>
      <c r="AOA1241" s="106"/>
      <c r="AOB1241" s="106"/>
      <c r="AOC1241" s="106"/>
      <c r="AOD1241" s="106"/>
      <c r="AOE1241" s="106"/>
      <c r="AOF1241" s="106"/>
      <c r="AOG1241" s="106"/>
      <c r="AOH1241" s="106"/>
      <c r="AOI1241" s="106"/>
      <c r="AOJ1241" s="106"/>
      <c r="AOK1241" s="106"/>
      <c r="AOL1241" s="106"/>
      <c r="AOM1241" s="106"/>
      <c r="AON1241" s="106"/>
      <c r="AOO1241" s="106"/>
      <c r="AOP1241" s="106"/>
      <c r="AOQ1241" s="106"/>
      <c r="AOR1241" s="106"/>
      <c r="AOS1241" s="106"/>
      <c r="AOT1241" s="106"/>
      <c r="AOU1241" s="106"/>
      <c r="AOV1241" s="106"/>
      <c r="AOW1241" s="106"/>
      <c r="AOX1241" s="106"/>
      <c r="AOY1241" s="106"/>
      <c r="AOZ1241" s="106"/>
      <c r="APA1241" s="106"/>
      <c r="APB1241" s="106"/>
      <c r="APC1241" s="106"/>
      <c r="APD1241" s="106"/>
      <c r="APE1241" s="106"/>
      <c r="APF1241" s="106"/>
      <c r="APG1241" s="106"/>
      <c r="APH1241" s="106"/>
      <c r="API1241" s="106"/>
      <c r="APJ1241" s="106"/>
      <c r="APK1241" s="106"/>
      <c r="APL1241" s="106"/>
      <c r="APM1241" s="106"/>
      <c r="APN1241" s="106"/>
      <c r="APO1241" s="106"/>
      <c r="APP1241" s="106"/>
      <c r="APQ1241" s="106"/>
      <c r="APR1241" s="106"/>
      <c r="APS1241" s="106"/>
      <c r="APT1241" s="106"/>
      <c r="APU1241" s="106"/>
      <c r="APV1241" s="106"/>
      <c r="APW1241" s="106"/>
      <c r="APX1241" s="106"/>
      <c r="APY1241" s="106"/>
      <c r="APZ1241" s="106"/>
      <c r="AQA1241" s="106"/>
      <c r="AQB1241" s="106"/>
      <c r="AQC1241" s="106"/>
      <c r="AQD1241" s="106"/>
      <c r="AQE1241" s="106"/>
      <c r="AQF1241" s="106"/>
      <c r="AQG1241" s="106"/>
      <c r="AQH1241" s="106"/>
      <c r="AQI1241" s="106"/>
      <c r="AQJ1241" s="106"/>
      <c r="AQK1241" s="106"/>
      <c r="AQL1241" s="106"/>
      <c r="AQM1241" s="106"/>
      <c r="AQN1241" s="106"/>
      <c r="AQO1241" s="106"/>
      <c r="AQP1241" s="106"/>
      <c r="AQQ1241" s="106"/>
      <c r="AQR1241" s="106"/>
      <c r="AQS1241" s="106"/>
      <c r="AQT1241" s="106"/>
      <c r="AQU1241" s="106"/>
      <c r="AQV1241" s="106"/>
      <c r="AQW1241" s="106"/>
      <c r="AQX1241" s="106"/>
      <c r="AQY1241" s="106"/>
      <c r="AQZ1241" s="106"/>
      <c r="ARA1241" s="106"/>
      <c r="ARB1241" s="106"/>
      <c r="ARC1241" s="106"/>
      <c r="ARD1241" s="106"/>
      <c r="ARE1241" s="106"/>
      <c r="ARF1241" s="106"/>
      <c r="ARG1241" s="106"/>
      <c r="ARH1241" s="106"/>
      <c r="ARI1241" s="106"/>
      <c r="ARJ1241" s="106"/>
      <c r="ARK1241" s="106"/>
      <c r="ARL1241" s="106"/>
      <c r="ARM1241" s="106"/>
      <c r="ARN1241" s="106"/>
      <c r="ARO1241" s="106"/>
      <c r="ARP1241" s="106"/>
      <c r="ARQ1241" s="106"/>
      <c r="ARR1241" s="106"/>
      <c r="ARS1241" s="106"/>
      <c r="ART1241" s="106"/>
      <c r="ARU1241" s="106"/>
      <c r="ARV1241" s="106"/>
      <c r="ARW1241" s="106"/>
      <c r="ARX1241" s="106"/>
      <c r="ARY1241" s="106"/>
      <c r="ARZ1241" s="106"/>
      <c r="ASA1241" s="106"/>
      <c r="ASB1241" s="106"/>
      <c r="ASC1241" s="106"/>
      <c r="ASD1241" s="106"/>
      <c r="ASE1241" s="106"/>
      <c r="ASF1241" s="106"/>
      <c r="ASG1241" s="106"/>
      <c r="ASH1241" s="106"/>
      <c r="ASI1241" s="106"/>
      <c r="ASJ1241" s="106"/>
      <c r="ASK1241" s="106"/>
      <c r="ASL1241" s="106"/>
      <c r="ASM1241" s="106"/>
      <c r="ASN1241" s="106"/>
      <c r="ASO1241" s="106"/>
      <c r="ASP1241" s="106"/>
      <c r="ASQ1241" s="106"/>
      <c r="ASR1241" s="106"/>
      <c r="ASS1241" s="106"/>
      <c r="AST1241" s="106"/>
      <c r="ASU1241" s="106"/>
      <c r="ASV1241" s="106"/>
      <c r="ASW1241" s="106"/>
      <c r="ASX1241" s="106"/>
      <c r="ASY1241" s="106"/>
      <c r="ASZ1241" s="106"/>
      <c r="ATA1241" s="106"/>
      <c r="ATB1241" s="106"/>
      <c r="ATC1241" s="106"/>
      <c r="ATD1241" s="106"/>
      <c r="ATE1241" s="106"/>
      <c r="ATF1241" s="106"/>
      <c r="ATG1241" s="106"/>
      <c r="ATH1241" s="106"/>
      <c r="ATI1241" s="106"/>
      <c r="ATJ1241" s="106"/>
      <c r="ATK1241" s="106"/>
      <c r="ATL1241" s="106"/>
      <c r="ATM1241" s="106"/>
      <c r="ATN1241" s="106"/>
      <c r="ATO1241" s="106"/>
      <c r="ATP1241" s="106"/>
      <c r="ATQ1241" s="106"/>
      <c r="ATR1241" s="106"/>
      <c r="ATS1241" s="106"/>
      <c r="ATT1241" s="106"/>
      <c r="ATU1241" s="106"/>
      <c r="ATV1241" s="106"/>
      <c r="ATW1241" s="106"/>
      <c r="ATX1241" s="106"/>
      <c r="ATY1241" s="106"/>
      <c r="ATZ1241" s="106"/>
      <c r="AUA1241" s="106"/>
      <c r="AUB1241" s="106"/>
      <c r="AUC1241" s="106"/>
      <c r="AUD1241" s="106"/>
      <c r="AUE1241" s="106"/>
      <c r="AUF1241" s="106"/>
      <c r="AUG1241" s="106"/>
      <c r="AUH1241" s="106"/>
      <c r="AUI1241" s="106"/>
      <c r="AUJ1241" s="106"/>
      <c r="AUK1241" s="106"/>
      <c r="AUL1241" s="106"/>
      <c r="AUM1241" s="106"/>
      <c r="AUN1241" s="106"/>
      <c r="AUO1241" s="106"/>
      <c r="AUP1241" s="106"/>
      <c r="AUQ1241" s="106"/>
      <c r="AUR1241" s="106"/>
      <c r="AUS1241" s="106"/>
      <c r="AUT1241" s="106"/>
      <c r="AUU1241" s="106"/>
      <c r="AUV1241" s="106"/>
      <c r="AUW1241" s="106"/>
      <c r="AUX1241" s="106"/>
      <c r="AUY1241" s="106"/>
      <c r="AUZ1241" s="106"/>
      <c r="AVA1241" s="106"/>
      <c r="AVB1241" s="106"/>
      <c r="AVC1241" s="106"/>
      <c r="AVD1241" s="106"/>
      <c r="AVE1241" s="106"/>
      <c r="AVF1241" s="106"/>
      <c r="AVG1241" s="106"/>
      <c r="AVH1241" s="106"/>
      <c r="AVI1241" s="106"/>
      <c r="AVJ1241" s="106"/>
      <c r="AVK1241" s="106"/>
      <c r="AVL1241" s="106"/>
      <c r="AVM1241" s="106"/>
      <c r="AVN1241" s="106"/>
      <c r="AVO1241" s="106"/>
      <c r="AVP1241" s="106"/>
      <c r="AVQ1241" s="106"/>
      <c r="AVR1241" s="106"/>
      <c r="AVS1241" s="106"/>
      <c r="AVT1241" s="106"/>
      <c r="AVU1241" s="106"/>
      <c r="AVV1241" s="106"/>
      <c r="AVW1241" s="106"/>
      <c r="AVX1241" s="106"/>
      <c r="AVY1241" s="106"/>
      <c r="AVZ1241" s="106"/>
      <c r="AWA1241" s="106"/>
      <c r="AWB1241" s="106"/>
      <c r="AWC1241" s="106"/>
      <c r="AWD1241" s="106"/>
      <c r="AWE1241" s="106"/>
      <c r="AWF1241" s="106"/>
      <c r="AWG1241" s="106"/>
      <c r="AWH1241" s="106"/>
      <c r="AWI1241" s="106"/>
      <c r="AWJ1241" s="106"/>
      <c r="AWK1241" s="106"/>
      <c r="AWL1241" s="106"/>
      <c r="AWM1241" s="106"/>
      <c r="AWN1241" s="106"/>
      <c r="AWO1241" s="106"/>
      <c r="AWP1241" s="106"/>
      <c r="AWQ1241" s="106"/>
      <c r="AWR1241" s="106"/>
      <c r="AWS1241" s="106"/>
      <c r="AWT1241" s="106"/>
      <c r="AWU1241" s="106"/>
      <c r="AWV1241" s="106"/>
      <c r="AWW1241" s="106"/>
      <c r="AWX1241" s="106"/>
      <c r="AWY1241" s="106"/>
      <c r="AWZ1241" s="106"/>
      <c r="AXA1241" s="106"/>
      <c r="AXB1241" s="106"/>
      <c r="AXC1241" s="106"/>
      <c r="AXD1241" s="106"/>
      <c r="AXE1241" s="106"/>
      <c r="AXF1241" s="106"/>
      <c r="AXG1241" s="106"/>
      <c r="AXH1241" s="106"/>
      <c r="AXI1241" s="106"/>
      <c r="AXJ1241" s="106"/>
      <c r="AXK1241" s="106"/>
      <c r="AXL1241" s="106"/>
      <c r="AXM1241" s="106"/>
      <c r="AXN1241" s="106"/>
      <c r="AXO1241" s="106"/>
      <c r="AXP1241" s="106"/>
      <c r="AXQ1241" s="106"/>
      <c r="AXR1241" s="106"/>
      <c r="AXS1241" s="106"/>
      <c r="AXT1241" s="106"/>
      <c r="AXU1241" s="106"/>
      <c r="AXV1241" s="106"/>
      <c r="AXW1241" s="106"/>
      <c r="AXX1241" s="106"/>
      <c r="AXY1241" s="106"/>
      <c r="AXZ1241" s="106"/>
      <c r="AYA1241" s="106"/>
      <c r="AYB1241" s="106"/>
      <c r="AYC1241" s="106"/>
      <c r="AYD1241" s="106"/>
      <c r="AYE1241" s="106"/>
      <c r="AYF1241" s="106"/>
      <c r="AYG1241" s="106"/>
      <c r="AYH1241" s="106"/>
      <c r="AYI1241" s="106"/>
      <c r="AYJ1241" s="106"/>
      <c r="AYK1241" s="106"/>
      <c r="AYL1241" s="106"/>
      <c r="AYM1241" s="106"/>
      <c r="AYN1241" s="106"/>
      <c r="AYO1241" s="106"/>
      <c r="AYP1241" s="106"/>
      <c r="AYQ1241" s="106"/>
      <c r="AYR1241" s="106"/>
      <c r="AYS1241" s="106"/>
      <c r="AYT1241" s="106"/>
      <c r="AYU1241" s="106"/>
      <c r="AYV1241" s="106"/>
      <c r="AYW1241" s="106"/>
      <c r="AYX1241" s="106"/>
      <c r="AYY1241" s="106"/>
      <c r="AYZ1241" s="106"/>
      <c r="AZA1241" s="106"/>
      <c r="AZB1241" s="106"/>
      <c r="AZC1241" s="106"/>
      <c r="AZD1241" s="106"/>
      <c r="AZE1241" s="106"/>
      <c r="AZF1241" s="106"/>
      <c r="AZG1241" s="106"/>
      <c r="AZH1241" s="106"/>
      <c r="AZI1241" s="106"/>
      <c r="AZJ1241" s="106"/>
      <c r="AZK1241" s="106"/>
      <c r="AZL1241" s="106"/>
      <c r="AZM1241" s="106"/>
      <c r="AZN1241" s="106"/>
      <c r="AZO1241" s="106"/>
      <c r="AZP1241" s="106"/>
      <c r="AZQ1241" s="106"/>
      <c r="AZR1241" s="106"/>
      <c r="AZS1241" s="106"/>
      <c r="AZT1241" s="106"/>
      <c r="AZU1241" s="106"/>
      <c r="AZV1241" s="106"/>
      <c r="AZW1241" s="106"/>
      <c r="AZX1241" s="106"/>
      <c r="AZY1241" s="106"/>
      <c r="AZZ1241" s="106"/>
      <c r="BAA1241" s="106"/>
      <c r="BAB1241" s="106"/>
      <c r="BAC1241" s="106"/>
      <c r="BAD1241" s="106"/>
      <c r="BAE1241" s="106"/>
      <c r="BAF1241" s="106"/>
      <c r="BAG1241" s="106"/>
      <c r="BAH1241" s="106"/>
      <c r="BAI1241" s="106"/>
      <c r="BAJ1241" s="106"/>
      <c r="BAK1241" s="106"/>
      <c r="BAL1241" s="106"/>
      <c r="BAM1241" s="106"/>
      <c r="BAN1241" s="106"/>
      <c r="BAO1241" s="106"/>
      <c r="BAP1241" s="106"/>
      <c r="BAQ1241" s="106"/>
      <c r="BAR1241" s="106"/>
      <c r="BAS1241" s="106"/>
      <c r="BAT1241" s="106"/>
      <c r="BAU1241" s="106"/>
      <c r="BAV1241" s="106"/>
      <c r="BAW1241" s="106"/>
      <c r="BAX1241" s="106"/>
      <c r="BAY1241" s="106"/>
      <c r="BAZ1241" s="106"/>
      <c r="BBA1241" s="106"/>
      <c r="BBB1241" s="106"/>
      <c r="BBC1241" s="106"/>
      <c r="BBD1241" s="106"/>
      <c r="BBE1241" s="106"/>
      <c r="BBF1241" s="106"/>
      <c r="BBG1241" s="106"/>
      <c r="BBH1241" s="106"/>
      <c r="BBI1241" s="106"/>
      <c r="BBJ1241" s="106"/>
      <c r="BBK1241" s="106"/>
      <c r="BBL1241" s="106"/>
      <c r="BBM1241" s="106"/>
      <c r="BBN1241" s="106"/>
      <c r="BBO1241" s="106"/>
      <c r="BBP1241" s="106"/>
      <c r="BBQ1241" s="106"/>
      <c r="BBR1241" s="106"/>
      <c r="BBS1241" s="106"/>
      <c r="BBT1241" s="106"/>
      <c r="BBU1241" s="106"/>
      <c r="BBV1241" s="106"/>
      <c r="BBW1241" s="106"/>
      <c r="BBX1241" s="106"/>
      <c r="BBY1241" s="106"/>
      <c r="BBZ1241" s="106"/>
      <c r="BCA1241" s="106"/>
      <c r="BCB1241" s="106"/>
      <c r="BCC1241" s="106"/>
      <c r="BCD1241" s="106"/>
      <c r="BCE1241" s="106"/>
      <c r="BCF1241" s="106"/>
      <c r="BCG1241" s="106"/>
      <c r="BCH1241" s="106"/>
      <c r="BCI1241" s="106"/>
      <c r="BCJ1241" s="106"/>
      <c r="BCK1241" s="106"/>
      <c r="BCL1241" s="106"/>
      <c r="BCM1241" s="106"/>
      <c r="BCN1241" s="106"/>
      <c r="BCO1241" s="106"/>
      <c r="BCP1241" s="106"/>
      <c r="BCQ1241" s="106"/>
      <c r="BCR1241" s="106"/>
      <c r="BCS1241" s="106"/>
      <c r="BCT1241" s="106"/>
      <c r="BCU1241" s="106"/>
      <c r="BCV1241" s="106"/>
      <c r="BCW1241" s="106"/>
      <c r="BCX1241" s="106"/>
      <c r="BCY1241" s="106"/>
      <c r="BCZ1241" s="106"/>
      <c r="BDA1241" s="106"/>
      <c r="BDB1241" s="106"/>
      <c r="BDC1241" s="106"/>
      <c r="BDD1241" s="106"/>
      <c r="BDE1241" s="106"/>
      <c r="BDF1241" s="106"/>
      <c r="BDG1241" s="106"/>
      <c r="BDH1241" s="106"/>
      <c r="BDI1241" s="106"/>
      <c r="BDJ1241" s="106"/>
      <c r="BDK1241" s="106"/>
      <c r="BDL1241" s="106"/>
      <c r="BDM1241" s="106"/>
      <c r="BDN1241" s="106"/>
      <c r="BDO1241" s="106"/>
      <c r="BDP1241" s="106"/>
      <c r="BDQ1241" s="106"/>
      <c r="BDR1241" s="106"/>
      <c r="BDS1241" s="106"/>
      <c r="BDT1241" s="106"/>
      <c r="BDU1241" s="106"/>
      <c r="BDV1241" s="106"/>
      <c r="BDW1241" s="106"/>
      <c r="BDX1241" s="106"/>
      <c r="BDY1241" s="106"/>
      <c r="BDZ1241" s="106"/>
      <c r="BEA1241" s="106"/>
      <c r="BEB1241" s="106"/>
      <c r="BEC1241" s="106"/>
      <c r="BED1241" s="106"/>
      <c r="BEE1241" s="106"/>
      <c r="BEF1241" s="106"/>
      <c r="BEG1241" s="106"/>
      <c r="BEH1241" s="106"/>
      <c r="BEI1241" s="106"/>
      <c r="BEJ1241" s="106"/>
      <c r="BEK1241" s="106"/>
      <c r="BEL1241" s="106"/>
      <c r="BEM1241" s="106"/>
      <c r="BEN1241" s="106"/>
      <c r="BEO1241" s="106"/>
      <c r="BEP1241" s="106"/>
      <c r="BEQ1241" s="106"/>
      <c r="BER1241" s="106"/>
      <c r="BES1241" s="106"/>
      <c r="BET1241" s="106"/>
      <c r="BEU1241" s="106"/>
      <c r="BEV1241" s="106"/>
      <c r="BEW1241" s="106"/>
      <c r="BEX1241" s="106"/>
      <c r="BEY1241" s="106"/>
      <c r="BEZ1241" s="106"/>
      <c r="BFA1241" s="106"/>
      <c r="BFB1241" s="106"/>
      <c r="BFC1241" s="106"/>
      <c r="BFD1241" s="106"/>
      <c r="BFE1241" s="106"/>
      <c r="BFF1241" s="106"/>
      <c r="BFG1241" s="106"/>
      <c r="BFH1241" s="106"/>
      <c r="BFI1241" s="106"/>
      <c r="BFJ1241" s="106"/>
      <c r="BFK1241" s="106"/>
      <c r="BFL1241" s="106"/>
      <c r="BFM1241" s="106"/>
      <c r="BFN1241" s="106"/>
      <c r="BFO1241" s="106"/>
      <c r="BFP1241" s="106"/>
      <c r="BFQ1241" s="106"/>
      <c r="BFR1241" s="106"/>
      <c r="BFS1241" s="106"/>
      <c r="BFT1241" s="106"/>
      <c r="BFU1241" s="106"/>
      <c r="BFV1241" s="106"/>
      <c r="BFW1241" s="106"/>
      <c r="BFX1241" s="106"/>
      <c r="BFY1241" s="106"/>
      <c r="BFZ1241" s="106"/>
      <c r="BGA1241" s="106"/>
      <c r="BGB1241" s="106"/>
      <c r="BGC1241" s="106"/>
      <c r="BGD1241" s="106"/>
      <c r="BGE1241" s="106"/>
      <c r="BGF1241" s="106"/>
      <c r="BGG1241" s="106"/>
      <c r="BGH1241" s="106"/>
      <c r="BGI1241" s="106"/>
      <c r="BGJ1241" s="106"/>
      <c r="BGK1241" s="106"/>
      <c r="BGL1241" s="106"/>
      <c r="BGM1241" s="106"/>
      <c r="BGN1241" s="106"/>
      <c r="BGO1241" s="106"/>
      <c r="BGP1241" s="106"/>
      <c r="BGQ1241" s="106"/>
      <c r="BGR1241" s="106"/>
      <c r="BGS1241" s="106"/>
      <c r="BGT1241" s="106"/>
      <c r="BGU1241" s="106"/>
      <c r="BGV1241" s="106"/>
      <c r="BGW1241" s="106"/>
      <c r="BGX1241" s="106"/>
      <c r="BGY1241" s="106"/>
      <c r="BGZ1241" s="106"/>
      <c r="BHA1241" s="106"/>
      <c r="BHB1241" s="106"/>
      <c r="BHC1241" s="106"/>
      <c r="BHD1241" s="106"/>
      <c r="BHE1241" s="106"/>
      <c r="BHF1241" s="106"/>
      <c r="BHG1241" s="106"/>
      <c r="BHH1241" s="106"/>
      <c r="BHI1241" s="106"/>
      <c r="BHJ1241" s="106"/>
      <c r="BHK1241" s="106"/>
      <c r="BHL1241" s="106"/>
      <c r="BHM1241" s="106"/>
      <c r="BHN1241" s="106"/>
      <c r="BHO1241" s="106"/>
      <c r="BHP1241" s="106"/>
      <c r="BHQ1241" s="106"/>
      <c r="BHR1241" s="106"/>
      <c r="BHS1241" s="106"/>
      <c r="BHT1241" s="106"/>
      <c r="BHU1241" s="106"/>
      <c r="BHV1241" s="106"/>
      <c r="BHW1241" s="106"/>
      <c r="BHX1241" s="106"/>
      <c r="BHY1241" s="106"/>
      <c r="BHZ1241" s="106"/>
      <c r="BIA1241" s="106"/>
      <c r="BIB1241" s="106"/>
      <c r="BIC1241" s="106"/>
      <c r="BID1241" s="106"/>
      <c r="BIE1241" s="106"/>
      <c r="BIF1241" s="106"/>
      <c r="BIG1241" s="106"/>
      <c r="BIH1241" s="106"/>
      <c r="BII1241" s="106"/>
      <c r="BIJ1241" s="106"/>
      <c r="BIK1241" s="106"/>
      <c r="BIL1241" s="106"/>
      <c r="BIM1241" s="106"/>
      <c r="BIN1241" s="106"/>
      <c r="BIO1241" s="106"/>
      <c r="BIP1241" s="106"/>
      <c r="BIQ1241" s="106"/>
      <c r="BIR1241" s="106"/>
      <c r="BIS1241" s="106"/>
      <c r="BIT1241" s="106"/>
      <c r="BIU1241" s="106"/>
      <c r="BIV1241" s="106"/>
      <c r="BIW1241" s="106"/>
      <c r="BIX1241" s="106"/>
      <c r="BIY1241" s="106"/>
      <c r="BIZ1241" s="106"/>
      <c r="BJA1241" s="106"/>
      <c r="BJB1241" s="106"/>
      <c r="BJC1241" s="106"/>
      <c r="BJD1241" s="106"/>
      <c r="BJE1241" s="106"/>
      <c r="BJF1241" s="106"/>
      <c r="BJG1241" s="106"/>
      <c r="BJH1241" s="106"/>
      <c r="BJI1241" s="106"/>
      <c r="BJJ1241" s="106"/>
      <c r="BJK1241" s="106"/>
      <c r="BJL1241" s="106"/>
      <c r="BJM1241" s="106"/>
      <c r="BJN1241" s="106"/>
      <c r="BJO1241" s="106"/>
      <c r="BJP1241" s="106"/>
      <c r="BJQ1241" s="106"/>
      <c r="BJR1241" s="106"/>
      <c r="BJS1241" s="106"/>
      <c r="BJT1241" s="106"/>
      <c r="BJU1241" s="106"/>
      <c r="BJV1241" s="106"/>
      <c r="BJW1241" s="106"/>
      <c r="BJX1241" s="106"/>
      <c r="BJY1241" s="106"/>
      <c r="BJZ1241" s="106"/>
      <c r="BKA1241" s="106"/>
      <c r="BKB1241" s="106"/>
      <c r="BKC1241" s="106"/>
      <c r="BKD1241" s="106"/>
      <c r="BKE1241" s="106"/>
      <c r="BKF1241" s="106"/>
      <c r="BKG1241" s="106"/>
      <c r="BKH1241" s="106"/>
      <c r="BKI1241" s="106"/>
      <c r="BKJ1241" s="106"/>
      <c r="BKK1241" s="106"/>
      <c r="BKL1241" s="106"/>
      <c r="BKM1241" s="106"/>
      <c r="BKN1241" s="106"/>
      <c r="BKO1241" s="106"/>
      <c r="BKP1241" s="106"/>
      <c r="BKQ1241" s="106"/>
      <c r="BKR1241" s="106"/>
      <c r="BKS1241" s="106"/>
      <c r="BKT1241" s="106"/>
      <c r="BKU1241" s="106"/>
      <c r="BKV1241" s="106"/>
      <c r="BKW1241" s="106"/>
      <c r="BKX1241" s="106"/>
      <c r="BKY1241" s="106"/>
      <c r="BKZ1241" s="106"/>
      <c r="BLA1241" s="106"/>
      <c r="BLB1241" s="106"/>
      <c r="BLC1241" s="106"/>
      <c r="BLD1241" s="106"/>
      <c r="BLE1241" s="106"/>
      <c r="BLF1241" s="106"/>
      <c r="BLG1241" s="106"/>
      <c r="BLH1241" s="106"/>
      <c r="BLI1241" s="106"/>
      <c r="BLJ1241" s="106"/>
      <c r="BLK1241" s="106"/>
      <c r="BLL1241" s="106"/>
      <c r="BLM1241" s="106"/>
      <c r="BLN1241" s="106"/>
      <c r="BLO1241" s="106"/>
      <c r="BLP1241" s="106"/>
      <c r="BLQ1241" s="106"/>
      <c r="BLR1241" s="106"/>
      <c r="BLS1241" s="106"/>
      <c r="BLT1241" s="106"/>
      <c r="BLU1241" s="106"/>
      <c r="BLV1241" s="106"/>
      <c r="BLW1241" s="106"/>
      <c r="BLX1241" s="106"/>
      <c r="BLY1241" s="106"/>
      <c r="BLZ1241" s="106"/>
      <c r="BMA1241" s="106"/>
      <c r="BMB1241" s="106"/>
      <c r="BMC1241" s="106"/>
      <c r="BMD1241" s="106"/>
      <c r="BME1241" s="106"/>
      <c r="BMF1241" s="106"/>
      <c r="BMG1241" s="106"/>
      <c r="BMH1241" s="106"/>
      <c r="BMI1241" s="106"/>
      <c r="BMJ1241" s="106"/>
      <c r="BMK1241" s="106"/>
      <c r="BML1241" s="106"/>
      <c r="BMM1241" s="106"/>
      <c r="BMN1241" s="106"/>
      <c r="BMO1241" s="106"/>
      <c r="BMP1241" s="106"/>
      <c r="BMQ1241" s="106"/>
      <c r="BMR1241" s="106"/>
      <c r="BMS1241" s="106"/>
      <c r="BMT1241" s="106"/>
      <c r="BMU1241" s="106"/>
      <c r="BMV1241" s="106"/>
      <c r="BMW1241" s="106"/>
      <c r="BMX1241" s="106"/>
      <c r="BMY1241" s="106"/>
      <c r="BMZ1241" s="106"/>
      <c r="BNA1241" s="106"/>
      <c r="BNB1241" s="106"/>
      <c r="BNC1241" s="106"/>
      <c r="BND1241" s="106"/>
      <c r="BNE1241" s="106"/>
      <c r="BNF1241" s="106"/>
      <c r="BNG1241" s="106"/>
      <c r="BNH1241" s="106"/>
      <c r="BNI1241" s="106"/>
      <c r="BNJ1241" s="106"/>
      <c r="BNK1241" s="106"/>
      <c r="BNL1241" s="106"/>
      <c r="BNM1241" s="106"/>
      <c r="BNN1241" s="106"/>
      <c r="BNO1241" s="106"/>
      <c r="BNP1241" s="106"/>
      <c r="BNQ1241" s="106"/>
      <c r="BNR1241" s="106"/>
      <c r="BNS1241" s="106"/>
      <c r="BNT1241" s="106"/>
      <c r="BNU1241" s="106"/>
      <c r="BNV1241" s="106"/>
      <c r="BNW1241" s="106"/>
      <c r="BNX1241" s="106"/>
      <c r="BNY1241" s="106"/>
      <c r="BNZ1241" s="106"/>
      <c r="BOA1241" s="106"/>
      <c r="BOB1241" s="106"/>
      <c r="BOC1241" s="106"/>
      <c r="BOD1241" s="106"/>
      <c r="BOE1241" s="106"/>
      <c r="BOF1241" s="106"/>
      <c r="BOG1241" s="106"/>
      <c r="BOH1241" s="106"/>
      <c r="BOI1241" s="106"/>
      <c r="BOJ1241" s="106"/>
      <c r="BOK1241" s="106"/>
      <c r="BOL1241" s="106"/>
      <c r="BOM1241" s="106"/>
      <c r="BON1241" s="106"/>
      <c r="BOO1241" s="106"/>
      <c r="BOP1241" s="106"/>
      <c r="BOQ1241" s="106"/>
      <c r="BOR1241" s="106"/>
      <c r="BOS1241" s="106"/>
      <c r="BOT1241" s="106"/>
      <c r="BOU1241" s="106"/>
      <c r="BOV1241" s="106"/>
      <c r="BOW1241" s="106"/>
      <c r="BOX1241" s="106"/>
      <c r="BOY1241" s="106"/>
      <c r="BOZ1241" s="106"/>
      <c r="BPA1241" s="106"/>
      <c r="BPB1241" s="106"/>
      <c r="BPC1241" s="106"/>
      <c r="BPD1241" s="106"/>
      <c r="BPE1241" s="106"/>
      <c r="BPF1241" s="106"/>
      <c r="BPG1241" s="106"/>
      <c r="BPH1241" s="106"/>
      <c r="BPI1241" s="106"/>
      <c r="BPJ1241" s="106"/>
      <c r="BPK1241" s="106"/>
      <c r="BPL1241" s="106"/>
      <c r="BPM1241" s="106"/>
      <c r="BPN1241" s="106"/>
      <c r="BPO1241" s="106"/>
      <c r="BPP1241" s="106"/>
      <c r="BPQ1241" s="106"/>
      <c r="BPR1241" s="106"/>
      <c r="BPS1241" s="106"/>
      <c r="BPT1241" s="106"/>
      <c r="BPU1241" s="106"/>
      <c r="BPV1241" s="106"/>
      <c r="BPW1241" s="106"/>
      <c r="BPX1241" s="106"/>
      <c r="BPY1241" s="106"/>
      <c r="BPZ1241" s="106"/>
      <c r="BQA1241" s="106"/>
      <c r="BQB1241" s="106"/>
      <c r="BQC1241" s="106"/>
      <c r="BQD1241" s="106"/>
      <c r="BQE1241" s="106"/>
      <c r="BQF1241" s="106"/>
      <c r="BQG1241" s="106"/>
      <c r="BQH1241" s="106"/>
      <c r="BQI1241" s="106"/>
      <c r="BQJ1241" s="106"/>
      <c r="BQK1241" s="106"/>
      <c r="BQL1241" s="106"/>
      <c r="BQM1241" s="106"/>
      <c r="BQN1241" s="106"/>
      <c r="BQO1241" s="106"/>
      <c r="BQP1241" s="106"/>
      <c r="BQQ1241" s="106"/>
      <c r="BQR1241" s="106"/>
      <c r="BQS1241" s="106"/>
      <c r="BQT1241" s="106"/>
      <c r="BQU1241" s="106"/>
      <c r="BQV1241" s="106"/>
      <c r="BQW1241" s="106"/>
      <c r="BQX1241" s="106"/>
      <c r="BQY1241" s="106"/>
      <c r="BQZ1241" s="106"/>
      <c r="BRA1241" s="106"/>
      <c r="BRB1241" s="106"/>
      <c r="BRC1241" s="106"/>
      <c r="BRD1241" s="106"/>
      <c r="BRE1241" s="106"/>
      <c r="BRF1241" s="106"/>
      <c r="BRG1241" s="106"/>
      <c r="BRH1241" s="106"/>
      <c r="BRI1241" s="106"/>
      <c r="BRJ1241" s="106"/>
      <c r="BRK1241" s="106"/>
      <c r="BRL1241" s="106"/>
      <c r="BRM1241" s="106"/>
      <c r="BRN1241" s="106"/>
      <c r="BRO1241" s="106"/>
      <c r="BRP1241" s="106"/>
      <c r="BRQ1241" s="106"/>
      <c r="BRR1241" s="106"/>
      <c r="BRS1241" s="106"/>
      <c r="BRT1241" s="106"/>
      <c r="BRU1241" s="106"/>
      <c r="BRV1241" s="106"/>
      <c r="BRW1241" s="106"/>
      <c r="BRX1241" s="106"/>
      <c r="BRY1241" s="106"/>
      <c r="BRZ1241" s="106"/>
      <c r="BSA1241" s="106"/>
      <c r="BSB1241" s="106"/>
      <c r="BSC1241" s="106"/>
      <c r="BSD1241" s="106"/>
      <c r="BSE1241" s="106"/>
      <c r="BSF1241" s="106"/>
      <c r="BSG1241" s="106"/>
      <c r="BSH1241" s="106"/>
      <c r="BSI1241" s="106"/>
      <c r="BSJ1241" s="106"/>
      <c r="BSK1241" s="106"/>
      <c r="BSL1241" s="106"/>
      <c r="BSM1241" s="106"/>
      <c r="BSN1241" s="106"/>
      <c r="BSO1241" s="106"/>
      <c r="BSP1241" s="106"/>
      <c r="BSQ1241" s="106"/>
      <c r="BSR1241" s="106"/>
      <c r="BSS1241" s="106"/>
      <c r="BST1241" s="106"/>
      <c r="BSU1241" s="106"/>
      <c r="BSV1241" s="106"/>
      <c r="BSW1241" s="106"/>
      <c r="BSX1241" s="106"/>
      <c r="BSY1241" s="106"/>
      <c r="BSZ1241" s="106"/>
      <c r="BTA1241" s="106"/>
      <c r="BTB1241" s="106"/>
      <c r="BTC1241" s="106"/>
      <c r="BTD1241" s="106"/>
      <c r="BTE1241" s="106"/>
      <c r="BTF1241" s="106"/>
      <c r="BTG1241" s="106"/>
      <c r="BTH1241" s="106"/>
      <c r="BTI1241" s="106"/>
      <c r="BTJ1241" s="106"/>
      <c r="BTK1241" s="106"/>
      <c r="BTL1241" s="106"/>
      <c r="BTM1241" s="106"/>
      <c r="BTN1241" s="106"/>
      <c r="BTO1241" s="106"/>
      <c r="BTP1241" s="106"/>
      <c r="BTQ1241" s="106"/>
      <c r="BTR1241" s="106"/>
      <c r="BTS1241" s="106"/>
      <c r="BTT1241" s="106"/>
      <c r="BTU1241" s="106"/>
      <c r="BTV1241" s="106"/>
      <c r="BTW1241" s="106"/>
      <c r="BTX1241" s="106"/>
      <c r="BTY1241" s="106"/>
      <c r="BTZ1241" s="106"/>
      <c r="BUA1241" s="106"/>
      <c r="BUB1241" s="106"/>
      <c r="BUC1241" s="106"/>
      <c r="BUD1241" s="106"/>
      <c r="BUE1241" s="106"/>
      <c r="BUF1241" s="106"/>
      <c r="BUG1241" s="106"/>
      <c r="BUH1241" s="106"/>
      <c r="BUI1241" s="106"/>
      <c r="BUJ1241" s="106"/>
      <c r="BUK1241" s="106"/>
      <c r="BUL1241" s="106"/>
      <c r="BUM1241" s="106"/>
      <c r="BUN1241" s="106"/>
      <c r="BUO1241" s="106"/>
      <c r="BUP1241" s="106"/>
      <c r="BUQ1241" s="106"/>
      <c r="BUR1241" s="106"/>
      <c r="BUS1241" s="106"/>
      <c r="BUT1241" s="106"/>
      <c r="BUU1241" s="106"/>
      <c r="BUV1241" s="106"/>
      <c r="BUW1241" s="106"/>
      <c r="BUX1241" s="106"/>
      <c r="BUY1241" s="106"/>
      <c r="BUZ1241" s="106"/>
      <c r="BVA1241" s="106"/>
      <c r="BVB1241" s="106"/>
      <c r="BVC1241" s="106"/>
      <c r="BVD1241" s="106"/>
      <c r="BVE1241" s="106"/>
      <c r="BVF1241" s="106"/>
      <c r="BVG1241" s="106"/>
      <c r="BVH1241" s="106"/>
      <c r="BVI1241" s="106"/>
      <c r="BVJ1241" s="106"/>
      <c r="BVK1241" s="106"/>
      <c r="BVL1241" s="106"/>
      <c r="BVM1241" s="106"/>
      <c r="BVN1241" s="106"/>
      <c r="BVO1241" s="106"/>
      <c r="BVP1241" s="106"/>
      <c r="BVQ1241" s="106"/>
      <c r="BVR1241" s="106"/>
      <c r="BVS1241" s="106"/>
      <c r="BVT1241" s="106"/>
      <c r="BVU1241" s="106"/>
      <c r="BVV1241" s="106"/>
      <c r="BVW1241" s="106"/>
      <c r="BVX1241" s="106"/>
      <c r="BVY1241" s="106"/>
      <c r="BVZ1241" s="106"/>
      <c r="BWA1241" s="106"/>
      <c r="BWB1241" s="106"/>
      <c r="BWC1241" s="106"/>
      <c r="BWD1241" s="106"/>
      <c r="BWE1241" s="106"/>
      <c r="BWF1241" s="106"/>
      <c r="BWG1241" s="106"/>
      <c r="BWH1241" s="106"/>
      <c r="BWI1241" s="106"/>
      <c r="BWJ1241" s="106"/>
      <c r="BWK1241" s="106"/>
      <c r="BWL1241" s="106"/>
      <c r="BWM1241" s="106"/>
      <c r="BWN1241" s="106"/>
      <c r="BWO1241" s="106"/>
      <c r="BWP1241" s="106"/>
      <c r="BWQ1241" s="106"/>
      <c r="BWR1241" s="106"/>
      <c r="BWS1241" s="106"/>
      <c r="BWT1241" s="106"/>
      <c r="BWU1241" s="106"/>
      <c r="BWV1241" s="106"/>
      <c r="BWW1241" s="106"/>
      <c r="BWX1241" s="106"/>
      <c r="BWY1241" s="106"/>
      <c r="BWZ1241" s="106"/>
      <c r="BXA1241" s="106"/>
      <c r="BXB1241" s="106"/>
      <c r="BXC1241" s="106"/>
      <c r="BXD1241" s="106"/>
      <c r="BXE1241" s="106"/>
      <c r="BXF1241" s="106"/>
      <c r="BXG1241" s="106"/>
      <c r="BXH1241" s="106"/>
      <c r="BXI1241" s="106"/>
      <c r="BXJ1241" s="106"/>
      <c r="BXK1241" s="106"/>
      <c r="BXL1241" s="106"/>
      <c r="BXM1241" s="106"/>
      <c r="BXN1241" s="106"/>
      <c r="BXO1241" s="106"/>
      <c r="BXP1241" s="106"/>
      <c r="BXQ1241" s="106"/>
      <c r="BXR1241" s="106"/>
      <c r="BXS1241" s="106"/>
      <c r="BXT1241" s="106"/>
      <c r="BXU1241" s="106"/>
      <c r="BXV1241" s="106"/>
      <c r="BXW1241" s="106"/>
      <c r="BXX1241" s="106"/>
      <c r="BXY1241" s="106"/>
      <c r="BXZ1241" s="106"/>
      <c r="BYA1241" s="106"/>
      <c r="BYB1241" s="106"/>
      <c r="BYC1241" s="106"/>
      <c r="BYD1241" s="106"/>
      <c r="BYE1241" s="106"/>
      <c r="BYF1241" s="106"/>
      <c r="BYG1241" s="106"/>
      <c r="BYH1241" s="106"/>
      <c r="BYI1241" s="106"/>
      <c r="BYJ1241" s="106"/>
      <c r="BYK1241" s="106"/>
      <c r="BYL1241" s="106"/>
      <c r="BYM1241" s="106"/>
      <c r="BYN1241" s="106"/>
      <c r="BYO1241" s="106"/>
      <c r="BYP1241" s="106"/>
      <c r="BYQ1241" s="106"/>
      <c r="BYR1241" s="106"/>
      <c r="BYS1241" s="106"/>
      <c r="BYT1241" s="106"/>
      <c r="BYU1241" s="106"/>
      <c r="BYV1241" s="106"/>
      <c r="BYW1241" s="106"/>
      <c r="BYX1241" s="106"/>
      <c r="BYY1241" s="106"/>
      <c r="BYZ1241" s="106"/>
      <c r="BZA1241" s="106"/>
      <c r="BZB1241" s="106"/>
      <c r="BZC1241" s="106"/>
      <c r="BZD1241" s="106"/>
      <c r="BZE1241" s="106"/>
      <c r="BZF1241" s="106"/>
      <c r="BZG1241" s="106"/>
      <c r="BZH1241" s="106"/>
      <c r="BZI1241" s="106"/>
      <c r="BZJ1241" s="106"/>
      <c r="BZK1241" s="106"/>
      <c r="BZL1241" s="106"/>
      <c r="BZM1241" s="106"/>
      <c r="BZN1241" s="106"/>
      <c r="BZO1241" s="106"/>
      <c r="BZP1241" s="106"/>
      <c r="BZQ1241" s="106"/>
      <c r="BZR1241" s="106"/>
      <c r="BZS1241" s="106"/>
      <c r="BZT1241" s="106"/>
      <c r="BZU1241" s="106"/>
      <c r="BZV1241" s="106"/>
      <c r="BZW1241" s="106"/>
      <c r="BZX1241" s="106"/>
      <c r="BZY1241" s="106"/>
      <c r="BZZ1241" s="106"/>
      <c r="CAA1241" s="106"/>
      <c r="CAB1241" s="106"/>
      <c r="CAC1241" s="106"/>
      <c r="CAD1241" s="106"/>
      <c r="CAE1241" s="106"/>
      <c r="CAF1241" s="106"/>
      <c r="CAG1241" s="106"/>
      <c r="CAH1241" s="106"/>
      <c r="CAI1241" s="106"/>
      <c r="CAJ1241" s="106"/>
      <c r="CAK1241" s="106"/>
      <c r="CAL1241" s="106"/>
      <c r="CAM1241" s="106"/>
      <c r="CAN1241" s="106"/>
      <c r="CAO1241" s="106"/>
      <c r="CAP1241" s="106"/>
      <c r="CAQ1241" s="106"/>
      <c r="CAR1241" s="106"/>
      <c r="CAS1241" s="106"/>
      <c r="CAT1241" s="106"/>
      <c r="CAU1241" s="106"/>
      <c r="CAV1241" s="106"/>
      <c r="CAW1241" s="106"/>
      <c r="CAX1241" s="106"/>
      <c r="CAY1241" s="106"/>
      <c r="CAZ1241" s="106"/>
      <c r="CBA1241" s="106"/>
      <c r="CBB1241" s="106"/>
      <c r="CBC1241" s="106"/>
      <c r="CBD1241" s="106"/>
      <c r="CBE1241" s="106"/>
      <c r="CBF1241" s="106"/>
      <c r="CBG1241" s="106"/>
      <c r="CBH1241" s="106"/>
      <c r="CBI1241" s="106"/>
      <c r="CBJ1241" s="106"/>
      <c r="CBK1241" s="106"/>
      <c r="CBL1241" s="106"/>
      <c r="CBM1241" s="106"/>
      <c r="CBN1241" s="106"/>
      <c r="CBO1241" s="106"/>
      <c r="CBP1241" s="106"/>
      <c r="CBQ1241" s="106"/>
      <c r="CBR1241" s="106"/>
      <c r="CBS1241" s="106"/>
      <c r="CBT1241" s="106"/>
      <c r="CBU1241" s="106"/>
      <c r="CBV1241" s="106"/>
      <c r="CBW1241" s="106"/>
      <c r="CBX1241" s="106"/>
      <c r="CBY1241" s="106"/>
      <c r="CBZ1241" s="106"/>
      <c r="CCA1241" s="106"/>
      <c r="CCB1241" s="106"/>
      <c r="CCC1241" s="106"/>
      <c r="CCD1241" s="106"/>
      <c r="CCE1241" s="106"/>
      <c r="CCF1241" s="106"/>
      <c r="CCG1241" s="106"/>
      <c r="CCH1241" s="106"/>
      <c r="CCI1241" s="106"/>
      <c r="CCJ1241" s="106"/>
      <c r="CCK1241" s="106"/>
      <c r="CCL1241" s="106"/>
      <c r="CCM1241" s="106"/>
      <c r="CCN1241" s="106"/>
      <c r="CCO1241" s="106"/>
      <c r="CCP1241" s="106"/>
      <c r="CCQ1241" s="106"/>
      <c r="CCR1241" s="106"/>
      <c r="CCS1241" s="106"/>
      <c r="CCT1241" s="106"/>
      <c r="CCU1241" s="106"/>
      <c r="CCV1241" s="106"/>
      <c r="CCW1241" s="106"/>
      <c r="CCX1241" s="106"/>
      <c r="CCY1241" s="106"/>
      <c r="CCZ1241" s="106"/>
      <c r="CDA1241" s="106"/>
      <c r="CDB1241" s="106"/>
      <c r="CDC1241" s="106"/>
      <c r="CDD1241" s="106"/>
      <c r="CDE1241" s="106"/>
      <c r="CDF1241" s="106"/>
      <c r="CDG1241" s="106"/>
      <c r="CDH1241" s="106"/>
      <c r="CDI1241" s="106"/>
      <c r="CDJ1241" s="106"/>
      <c r="CDK1241" s="106"/>
      <c r="CDL1241" s="106"/>
      <c r="CDM1241" s="106"/>
      <c r="CDN1241" s="106"/>
      <c r="CDO1241" s="106"/>
      <c r="CDP1241" s="106"/>
      <c r="CDQ1241" s="106"/>
      <c r="CDR1241" s="106"/>
      <c r="CDS1241" s="106"/>
      <c r="CDT1241" s="106"/>
      <c r="CDU1241" s="106"/>
      <c r="CDV1241" s="106"/>
      <c r="CDW1241" s="106"/>
      <c r="CDX1241" s="106"/>
      <c r="CDY1241" s="106"/>
      <c r="CDZ1241" s="106"/>
      <c r="CEA1241" s="106"/>
      <c r="CEB1241" s="106"/>
      <c r="CEC1241" s="106"/>
      <c r="CED1241" s="106"/>
      <c r="CEE1241" s="106"/>
      <c r="CEF1241" s="106"/>
      <c r="CEG1241" s="106"/>
      <c r="CEH1241" s="106"/>
      <c r="CEI1241" s="106"/>
      <c r="CEJ1241" s="106"/>
      <c r="CEK1241" s="106"/>
      <c r="CEL1241" s="106"/>
      <c r="CEM1241" s="106"/>
      <c r="CEN1241" s="106"/>
      <c r="CEO1241" s="106"/>
      <c r="CEP1241" s="106"/>
      <c r="CEQ1241" s="106"/>
      <c r="CER1241" s="106"/>
      <c r="CES1241" s="106"/>
      <c r="CET1241" s="106"/>
      <c r="CEU1241" s="106"/>
      <c r="CEV1241" s="106"/>
      <c r="CEW1241" s="106"/>
      <c r="CEX1241" s="106"/>
      <c r="CEY1241" s="106"/>
      <c r="CEZ1241" s="106"/>
      <c r="CFA1241" s="106"/>
      <c r="CFB1241" s="106"/>
      <c r="CFC1241" s="106"/>
      <c r="CFD1241" s="106"/>
      <c r="CFE1241" s="106"/>
      <c r="CFF1241" s="106"/>
      <c r="CFG1241" s="106"/>
      <c r="CFH1241" s="106"/>
      <c r="CFI1241" s="106"/>
      <c r="CFJ1241" s="106"/>
      <c r="CFK1241" s="106"/>
      <c r="CFL1241" s="106"/>
      <c r="CFM1241" s="106"/>
      <c r="CFN1241" s="106"/>
      <c r="CFO1241" s="106"/>
      <c r="CFP1241" s="106"/>
      <c r="CFQ1241" s="106"/>
      <c r="CFR1241" s="106"/>
      <c r="CFS1241" s="106"/>
      <c r="CFT1241" s="106"/>
      <c r="CFU1241" s="106"/>
      <c r="CFV1241" s="106"/>
      <c r="CFW1241" s="106"/>
      <c r="CFX1241" s="106"/>
      <c r="CFY1241" s="106"/>
      <c r="CFZ1241" s="106"/>
      <c r="CGA1241" s="106"/>
      <c r="CGB1241" s="106"/>
      <c r="CGC1241" s="106"/>
      <c r="CGD1241" s="106"/>
      <c r="CGE1241" s="106"/>
      <c r="CGF1241" s="106"/>
      <c r="CGG1241" s="106"/>
      <c r="CGH1241" s="106"/>
      <c r="CGI1241" s="106"/>
      <c r="CGJ1241" s="106"/>
      <c r="CGK1241" s="106"/>
      <c r="CGL1241" s="106"/>
      <c r="CGM1241" s="106"/>
      <c r="CGN1241" s="106"/>
      <c r="CGO1241" s="106"/>
      <c r="CGP1241" s="106"/>
      <c r="CGQ1241" s="106"/>
      <c r="CGR1241" s="106"/>
      <c r="CGS1241" s="106"/>
      <c r="CGT1241" s="106"/>
      <c r="CGU1241" s="106"/>
      <c r="CGV1241" s="106"/>
      <c r="CGW1241" s="106"/>
      <c r="CGX1241" s="106"/>
      <c r="CGY1241" s="106"/>
      <c r="CGZ1241" s="106"/>
      <c r="CHA1241" s="106"/>
      <c r="CHB1241" s="106"/>
      <c r="CHC1241" s="106"/>
      <c r="CHD1241" s="106"/>
      <c r="CHE1241" s="106"/>
      <c r="CHF1241" s="106"/>
      <c r="CHG1241" s="106"/>
      <c r="CHH1241" s="106"/>
      <c r="CHI1241" s="106"/>
      <c r="CHJ1241" s="106"/>
      <c r="CHK1241" s="106"/>
      <c r="CHL1241" s="106"/>
      <c r="CHM1241" s="106"/>
      <c r="CHN1241" s="106"/>
      <c r="CHO1241" s="106"/>
      <c r="CHP1241" s="106"/>
      <c r="CHQ1241" s="106"/>
      <c r="CHR1241" s="106"/>
      <c r="CHS1241" s="106"/>
      <c r="CHT1241" s="106"/>
      <c r="CHU1241" s="106"/>
      <c r="CHV1241" s="106"/>
      <c r="CHW1241" s="106"/>
      <c r="CHX1241" s="106"/>
      <c r="CHY1241" s="106"/>
      <c r="CHZ1241" s="106"/>
      <c r="CIA1241" s="106"/>
      <c r="CIB1241" s="106"/>
      <c r="CIC1241" s="106"/>
      <c r="CID1241" s="106"/>
      <c r="CIE1241" s="106"/>
      <c r="CIF1241" s="106"/>
      <c r="CIG1241" s="106"/>
      <c r="CIH1241" s="106"/>
      <c r="CII1241" s="106"/>
      <c r="CIJ1241" s="106"/>
      <c r="CIK1241" s="106"/>
      <c r="CIL1241" s="106"/>
      <c r="CIM1241" s="106"/>
      <c r="CIN1241" s="106"/>
      <c r="CIO1241" s="106"/>
      <c r="CIP1241" s="106"/>
      <c r="CIQ1241" s="106"/>
      <c r="CIR1241" s="106"/>
      <c r="CIS1241" s="106"/>
      <c r="CIT1241" s="106"/>
      <c r="CIU1241" s="106"/>
      <c r="CIV1241" s="106"/>
      <c r="CIW1241" s="106"/>
      <c r="CIX1241" s="106"/>
      <c r="CIY1241" s="106"/>
      <c r="CIZ1241" s="106"/>
      <c r="CJA1241" s="106"/>
      <c r="CJB1241" s="106"/>
      <c r="CJC1241" s="106"/>
      <c r="CJD1241" s="106"/>
      <c r="CJE1241" s="106"/>
      <c r="CJF1241" s="106"/>
      <c r="CJG1241" s="106"/>
      <c r="CJH1241" s="106"/>
      <c r="CJI1241" s="106"/>
      <c r="CJJ1241" s="106"/>
      <c r="CJK1241" s="106"/>
      <c r="CJL1241" s="106"/>
      <c r="CJM1241" s="106"/>
      <c r="CJN1241" s="106"/>
      <c r="CJO1241" s="106"/>
      <c r="CJP1241" s="106"/>
      <c r="CJQ1241" s="106"/>
      <c r="CJR1241" s="106"/>
      <c r="CJS1241" s="106"/>
      <c r="CJT1241" s="106"/>
      <c r="CJU1241" s="106"/>
      <c r="CJV1241" s="106"/>
      <c r="CJW1241" s="106"/>
      <c r="CJX1241" s="106"/>
      <c r="CJY1241" s="106"/>
      <c r="CJZ1241" s="106"/>
      <c r="CKA1241" s="106"/>
      <c r="CKB1241" s="106"/>
      <c r="CKC1241" s="106"/>
      <c r="CKD1241" s="106"/>
      <c r="CKE1241" s="106"/>
      <c r="CKF1241" s="106"/>
      <c r="CKG1241" s="106"/>
      <c r="CKH1241" s="106"/>
      <c r="CKI1241" s="106"/>
      <c r="CKJ1241" s="106"/>
      <c r="CKK1241" s="106"/>
      <c r="CKL1241" s="106"/>
      <c r="CKM1241" s="106"/>
      <c r="CKN1241" s="106"/>
      <c r="CKO1241" s="106"/>
      <c r="CKP1241" s="106"/>
      <c r="CKQ1241" s="106"/>
      <c r="CKR1241" s="106"/>
      <c r="CKS1241" s="106"/>
      <c r="CKT1241" s="106"/>
      <c r="CKU1241" s="106"/>
      <c r="CKV1241" s="106"/>
      <c r="CKW1241" s="106"/>
      <c r="CKX1241" s="106"/>
      <c r="CKY1241" s="106"/>
      <c r="CKZ1241" s="106"/>
      <c r="CLA1241" s="106"/>
      <c r="CLB1241" s="106"/>
      <c r="CLC1241" s="106"/>
      <c r="CLD1241" s="106"/>
      <c r="CLE1241" s="106"/>
      <c r="CLF1241" s="106"/>
      <c r="CLG1241" s="106"/>
      <c r="CLH1241" s="106"/>
      <c r="CLI1241" s="106"/>
      <c r="CLJ1241" s="106"/>
      <c r="CLK1241" s="106"/>
      <c r="CLL1241" s="106"/>
      <c r="CLM1241" s="106"/>
      <c r="CLN1241" s="106"/>
      <c r="CLO1241" s="106"/>
      <c r="CLP1241" s="106"/>
      <c r="CLQ1241" s="106"/>
      <c r="CLR1241" s="106"/>
      <c r="CLS1241" s="106"/>
      <c r="CLT1241" s="106"/>
      <c r="CLU1241" s="106"/>
      <c r="CLV1241" s="106"/>
      <c r="CLW1241" s="106"/>
      <c r="CLX1241" s="106"/>
      <c r="CLY1241" s="106"/>
      <c r="CLZ1241" s="106"/>
      <c r="CMA1241" s="106"/>
      <c r="CMB1241" s="106"/>
      <c r="CMC1241" s="106"/>
      <c r="CMD1241" s="106"/>
      <c r="CME1241" s="106"/>
      <c r="CMF1241" s="106"/>
      <c r="CMG1241" s="106"/>
      <c r="CMH1241" s="106"/>
      <c r="CMI1241" s="106"/>
      <c r="CMJ1241" s="106"/>
      <c r="CMK1241" s="106"/>
      <c r="CML1241" s="106"/>
      <c r="CMM1241" s="106"/>
      <c r="CMN1241" s="106"/>
      <c r="CMO1241" s="106"/>
      <c r="CMP1241" s="106"/>
      <c r="CMQ1241" s="106"/>
      <c r="CMR1241" s="106"/>
      <c r="CMS1241" s="106"/>
      <c r="CMT1241" s="106"/>
      <c r="CMU1241" s="106"/>
      <c r="CMV1241" s="106"/>
      <c r="CMW1241" s="106"/>
      <c r="CMX1241" s="106"/>
      <c r="CMY1241" s="106"/>
      <c r="CMZ1241" s="106"/>
      <c r="CNA1241" s="106"/>
      <c r="CNB1241" s="106"/>
      <c r="CNC1241" s="106"/>
      <c r="CND1241" s="106"/>
      <c r="CNE1241" s="106"/>
      <c r="CNF1241" s="106"/>
      <c r="CNG1241" s="106"/>
      <c r="CNH1241" s="106"/>
      <c r="CNI1241" s="106"/>
      <c r="CNJ1241" s="106"/>
      <c r="CNK1241" s="106"/>
      <c r="CNL1241" s="106"/>
      <c r="CNM1241" s="106"/>
      <c r="CNN1241" s="106"/>
      <c r="CNO1241" s="106"/>
      <c r="CNP1241" s="106"/>
      <c r="CNQ1241" s="106"/>
      <c r="CNR1241" s="106"/>
      <c r="CNS1241" s="106"/>
      <c r="CNT1241" s="106"/>
      <c r="CNU1241" s="106"/>
      <c r="CNV1241" s="106"/>
      <c r="CNW1241" s="106"/>
      <c r="CNX1241" s="106"/>
      <c r="CNY1241" s="106"/>
      <c r="CNZ1241" s="106"/>
      <c r="COA1241" s="106"/>
      <c r="COB1241" s="106"/>
      <c r="COC1241" s="106"/>
      <c r="COD1241" s="106"/>
      <c r="COE1241" s="106"/>
      <c r="COF1241" s="106"/>
      <c r="COG1241" s="106"/>
      <c r="COH1241" s="106"/>
      <c r="COI1241" s="106"/>
      <c r="COJ1241" s="106"/>
      <c r="COK1241" s="106"/>
      <c r="COL1241" s="106"/>
      <c r="COM1241" s="106"/>
      <c r="CON1241" s="106"/>
      <c r="COO1241" s="106"/>
      <c r="COP1241" s="106"/>
      <c r="COQ1241" s="106"/>
      <c r="COR1241" s="106"/>
      <c r="COS1241" s="106"/>
      <c r="COT1241" s="106"/>
      <c r="COU1241" s="106"/>
      <c r="COV1241" s="106"/>
      <c r="COW1241" s="106"/>
      <c r="COX1241" s="106"/>
      <c r="COY1241" s="106"/>
      <c r="COZ1241" s="106"/>
      <c r="CPA1241" s="106"/>
      <c r="CPB1241" s="106"/>
      <c r="CPC1241" s="106"/>
      <c r="CPD1241" s="106"/>
      <c r="CPE1241" s="106"/>
      <c r="CPF1241" s="106"/>
      <c r="CPG1241" s="106"/>
      <c r="CPH1241" s="106"/>
      <c r="CPI1241" s="106"/>
      <c r="CPJ1241" s="106"/>
      <c r="CPK1241" s="106"/>
      <c r="CPL1241" s="106"/>
      <c r="CPM1241" s="106"/>
      <c r="CPN1241" s="106"/>
      <c r="CPO1241" s="106"/>
      <c r="CPP1241" s="106"/>
      <c r="CPQ1241" s="106"/>
      <c r="CPR1241" s="106"/>
      <c r="CPS1241" s="106"/>
      <c r="CPT1241" s="106"/>
      <c r="CPU1241" s="106"/>
      <c r="CPV1241" s="106"/>
      <c r="CPW1241" s="106"/>
      <c r="CPX1241" s="106"/>
      <c r="CPY1241" s="106"/>
      <c r="CPZ1241" s="106"/>
      <c r="CQA1241" s="106"/>
      <c r="CQB1241" s="106"/>
      <c r="CQC1241" s="106"/>
      <c r="CQD1241" s="106"/>
      <c r="CQE1241" s="106"/>
      <c r="CQF1241" s="106"/>
      <c r="CQG1241" s="106"/>
      <c r="CQH1241" s="106"/>
      <c r="CQI1241" s="106"/>
      <c r="CQJ1241" s="106"/>
      <c r="CQK1241" s="106"/>
      <c r="CQL1241" s="106"/>
      <c r="CQM1241" s="106"/>
      <c r="CQN1241" s="106"/>
      <c r="CQO1241" s="106"/>
      <c r="CQP1241" s="106"/>
      <c r="CQQ1241" s="106"/>
      <c r="CQR1241" s="106"/>
      <c r="CQS1241" s="106"/>
      <c r="CQT1241" s="106"/>
      <c r="CQU1241" s="106"/>
      <c r="CQV1241" s="106"/>
      <c r="CQW1241" s="106"/>
      <c r="CQX1241" s="106"/>
      <c r="CQY1241" s="106"/>
      <c r="CQZ1241" s="106"/>
      <c r="CRA1241" s="106"/>
      <c r="CRB1241" s="106"/>
      <c r="CRC1241" s="106"/>
      <c r="CRD1241" s="106"/>
      <c r="CRE1241" s="106"/>
      <c r="CRF1241" s="106"/>
      <c r="CRG1241" s="106"/>
      <c r="CRH1241" s="106"/>
      <c r="CRI1241" s="106"/>
      <c r="CRJ1241" s="106"/>
      <c r="CRK1241" s="106"/>
      <c r="CRL1241" s="106"/>
      <c r="CRM1241" s="106"/>
      <c r="CRN1241" s="106"/>
      <c r="CRO1241" s="106"/>
      <c r="CRP1241" s="106"/>
      <c r="CRQ1241" s="106"/>
      <c r="CRR1241" s="106"/>
      <c r="CRS1241" s="106"/>
      <c r="CRT1241" s="106"/>
      <c r="CRU1241" s="106"/>
      <c r="CRV1241" s="106"/>
      <c r="CRW1241" s="106"/>
      <c r="CRX1241" s="106"/>
      <c r="CRY1241" s="106"/>
      <c r="CRZ1241" s="106"/>
      <c r="CSA1241" s="106"/>
      <c r="CSB1241" s="106"/>
      <c r="CSC1241" s="106"/>
      <c r="CSD1241" s="106"/>
      <c r="CSE1241" s="106"/>
      <c r="CSF1241" s="106"/>
      <c r="CSG1241" s="106"/>
      <c r="CSH1241" s="106"/>
      <c r="CSI1241" s="106"/>
      <c r="CSJ1241" s="106"/>
      <c r="CSK1241" s="106"/>
      <c r="CSL1241" s="106"/>
      <c r="CSM1241" s="106"/>
      <c r="CSN1241" s="106"/>
      <c r="CSO1241" s="106"/>
      <c r="CSP1241" s="106"/>
      <c r="CSQ1241" s="106"/>
      <c r="CSR1241" s="106"/>
      <c r="CSS1241" s="106"/>
      <c r="CST1241" s="106"/>
      <c r="CSU1241" s="106"/>
      <c r="CSV1241" s="106"/>
      <c r="CSW1241" s="106"/>
      <c r="CSX1241" s="106"/>
      <c r="CSY1241" s="106"/>
      <c r="CSZ1241" s="106"/>
      <c r="CTA1241" s="106"/>
      <c r="CTB1241" s="106"/>
      <c r="CTC1241" s="106"/>
      <c r="CTD1241" s="106"/>
      <c r="CTE1241" s="106"/>
      <c r="CTF1241" s="106"/>
      <c r="CTG1241" s="106"/>
      <c r="CTH1241" s="106"/>
      <c r="CTI1241" s="106"/>
      <c r="CTJ1241" s="106"/>
      <c r="CTK1241" s="106"/>
      <c r="CTL1241" s="106"/>
      <c r="CTM1241" s="106"/>
      <c r="CTN1241" s="106"/>
      <c r="CTO1241" s="106"/>
      <c r="CTP1241" s="106"/>
      <c r="CTQ1241" s="106"/>
      <c r="CTR1241" s="106"/>
      <c r="CTS1241" s="106"/>
      <c r="CTT1241" s="106"/>
      <c r="CTU1241" s="106"/>
      <c r="CTV1241" s="106"/>
      <c r="CTW1241" s="106"/>
      <c r="CTX1241" s="106"/>
      <c r="CTY1241" s="106"/>
      <c r="CTZ1241" s="106"/>
      <c r="CUA1241" s="106"/>
      <c r="CUB1241" s="106"/>
      <c r="CUC1241" s="106"/>
      <c r="CUD1241" s="106"/>
      <c r="CUE1241" s="106"/>
      <c r="CUF1241" s="106"/>
      <c r="CUG1241" s="106"/>
      <c r="CUH1241" s="106"/>
      <c r="CUI1241" s="106"/>
      <c r="CUJ1241" s="106"/>
      <c r="CUK1241" s="106"/>
      <c r="CUL1241" s="106"/>
      <c r="CUM1241" s="106"/>
      <c r="CUN1241" s="106"/>
      <c r="CUO1241" s="106"/>
      <c r="CUP1241" s="106"/>
      <c r="CUQ1241" s="106"/>
      <c r="CUR1241" s="106"/>
      <c r="CUS1241" s="106"/>
      <c r="CUT1241" s="106"/>
      <c r="CUU1241" s="106"/>
      <c r="CUV1241" s="106"/>
      <c r="CUW1241" s="106"/>
      <c r="CUX1241" s="106"/>
      <c r="CUY1241" s="106"/>
      <c r="CUZ1241" s="106"/>
      <c r="CVA1241" s="106"/>
      <c r="CVB1241" s="106"/>
      <c r="CVC1241" s="106"/>
      <c r="CVD1241" s="106"/>
      <c r="CVE1241" s="106"/>
      <c r="CVF1241" s="106"/>
      <c r="CVG1241" s="106"/>
      <c r="CVH1241" s="106"/>
      <c r="CVI1241" s="106"/>
      <c r="CVJ1241" s="106"/>
      <c r="CVK1241" s="106"/>
      <c r="CVL1241" s="106"/>
      <c r="CVM1241" s="106"/>
      <c r="CVN1241" s="106"/>
      <c r="CVO1241" s="106"/>
      <c r="CVP1241" s="106"/>
      <c r="CVQ1241" s="106"/>
      <c r="CVR1241" s="106"/>
      <c r="CVS1241" s="106"/>
      <c r="CVT1241" s="106"/>
      <c r="CVU1241" s="106"/>
      <c r="CVV1241" s="106"/>
      <c r="CVW1241" s="106"/>
      <c r="CVX1241" s="106"/>
      <c r="CVY1241" s="106"/>
      <c r="CVZ1241" s="106"/>
      <c r="CWA1241" s="106"/>
      <c r="CWB1241" s="106"/>
      <c r="CWC1241" s="106"/>
      <c r="CWD1241" s="106"/>
      <c r="CWE1241" s="106"/>
      <c r="CWF1241" s="106"/>
      <c r="CWG1241" s="106"/>
      <c r="CWH1241" s="106"/>
      <c r="CWI1241" s="106"/>
      <c r="CWJ1241" s="106"/>
      <c r="CWK1241" s="106"/>
      <c r="CWL1241" s="106"/>
      <c r="CWM1241" s="106"/>
      <c r="CWN1241" s="106"/>
      <c r="CWO1241" s="106"/>
      <c r="CWP1241" s="106"/>
      <c r="CWQ1241" s="106"/>
      <c r="CWR1241" s="106"/>
      <c r="CWS1241" s="106"/>
      <c r="CWT1241" s="106"/>
      <c r="CWU1241" s="106"/>
      <c r="CWV1241" s="106"/>
      <c r="CWW1241" s="106"/>
      <c r="CWX1241" s="106"/>
      <c r="CWY1241" s="106"/>
      <c r="CWZ1241" s="106"/>
      <c r="CXA1241" s="106"/>
      <c r="CXB1241" s="106"/>
      <c r="CXC1241" s="106"/>
      <c r="CXD1241" s="106"/>
      <c r="CXE1241" s="106"/>
      <c r="CXF1241" s="106"/>
      <c r="CXG1241" s="106"/>
      <c r="CXH1241" s="106"/>
      <c r="CXI1241" s="106"/>
      <c r="CXJ1241" s="106"/>
      <c r="CXK1241" s="106"/>
      <c r="CXL1241" s="106"/>
      <c r="CXM1241" s="106"/>
      <c r="CXN1241" s="106"/>
      <c r="CXO1241" s="106"/>
      <c r="CXP1241" s="106"/>
      <c r="CXQ1241" s="106"/>
      <c r="CXR1241" s="106"/>
      <c r="CXS1241" s="106"/>
      <c r="CXT1241" s="106"/>
      <c r="CXU1241" s="106"/>
      <c r="CXV1241" s="106"/>
      <c r="CXW1241" s="106"/>
      <c r="CXX1241" s="106"/>
      <c r="CXY1241" s="106"/>
      <c r="CXZ1241" s="106"/>
      <c r="CYA1241" s="106"/>
      <c r="CYB1241" s="106"/>
      <c r="CYC1241" s="106"/>
      <c r="CYD1241" s="106"/>
      <c r="CYE1241" s="106"/>
      <c r="CYF1241" s="106"/>
      <c r="CYG1241" s="106"/>
      <c r="CYH1241" s="106"/>
      <c r="CYI1241" s="106"/>
      <c r="CYJ1241" s="106"/>
      <c r="CYK1241" s="106"/>
      <c r="CYL1241" s="106"/>
      <c r="CYM1241" s="106"/>
      <c r="CYN1241" s="106"/>
      <c r="CYO1241" s="106"/>
      <c r="CYP1241" s="106"/>
      <c r="CYQ1241" s="106"/>
      <c r="CYR1241" s="106"/>
      <c r="CYS1241" s="106"/>
      <c r="CYT1241" s="106"/>
      <c r="CYU1241" s="106"/>
      <c r="CYV1241" s="106"/>
      <c r="CYW1241" s="106"/>
      <c r="CYX1241" s="106"/>
      <c r="CYY1241" s="106"/>
      <c r="CYZ1241" s="106"/>
      <c r="CZA1241" s="106"/>
      <c r="CZB1241" s="106"/>
      <c r="CZC1241" s="106"/>
      <c r="CZD1241" s="106"/>
      <c r="CZE1241" s="106"/>
      <c r="CZF1241" s="106"/>
      <c r="CZG1241" s="106"/>
      <c r="CZH1241" s="106"/>
      <c r="CZI1241" s="106"/>
      <c r="CZJ1241" s="106"/>
      <c r="CZK1241" s="106"/>
      <c r="CZL1241" s="106"/>
      <c r="CZM1241" s="106"/>
      <c r="CZN1241" s="106"/>
      <c r="CZO1241" s="106"/>
      <c r="CZP1241" s="106"/>
      <c r="CZQ1241" s="106"/>
      <c r="CZR1241" s="106"/>
      <c r="CZS1241" s="106"/>
      <c r="CZT1241" s="106"/>
      <c r="CZU1241" s="106"/>
      <c r="CZV1241" s="106"/>
      <c r="CZW1241" s="106"/>
      <c r="CZX1241" s="106"/>
      <c r="CZY1241" s="106"/>
      <c r="CZZ1241" s="106"/>
      <c r="DAA1241" s="106"/>
      <c r="DAB1241" s="106"/>
      <c r="DAC1241" s="106"/>
      <c r="DAD1241" s="106"/>
      <c r="DAE1241" s="106"/>
      <c r="DAF1241" s="106"/>
      <c r="DAG1241" s="106"/>
      <c r="DAH1241" s="106"/>
      <c r="DAI1241" s="106"/>
      <c r="DAJ1241" s="106"/>
      <c r="DAK1241" s="106"/>
      <c r="DAL1241" s="106"/>
      <c r="DAM1241" s="106"/>
      <c r="DAN1241" s="106"/>
      <c r="DAO1241" s="106"/>
      <c r="DAP1241" s="106"/>
      <c r="DAQ1241" s="106"/>
      <c r="DAR1241" s="106"/>
      <c r="DAS1241" s="106"/>
      <c r="DAT1241" s="106"/>
      <c r="DAU1241" s="106"/>
      <c r="DAV1241" s="106"/>
      <c r="DAW1241" s="106"/>
      <c r="DAX1241" s="106"/>
      <c r="DAY1241" s="106"/>
      <c r="DAZ1241" s="106"/>
      <c r="DBA1241" s="106"/>
      <c r="DBB1241" s="106"/>
      <c r="DBC1241" s="106"/>
      <c r="DBD1241" s="106"/>
      <c r="DBE1241" s="106"/>
      <c r="DBF1241" s="106"/>
      <c r="DBG1241" s="106"/>
      <c r="DBH1241" s="106"/>
      <c r="DBI1241" s="106"/>
      <c r="DBJ1241" s="106"/>
      <c r="DBK1241" s="106"/>
      <c r="DBL1241" s="106"/>
      <c r="DBM1241" s="106"/>
      <c r="DBN1241" s="106"/>
      <c r="DBO1241" s="106"/>
      <c r="DBP1241" s="106"/>
      <c r="DBQ1241" s="106"/>
      <c r="DBR1241" s="106"/>
      <c r="DBS1241" s="106"/>
      <c r="DBT1241" s="106"/>
      <c r="DBU1241" s="106"/>
      <c r="DBV1241" s="106"/>
      <c r="DBW1241" s="106"/>
      <c r="DBX1241" s="106"/>
      <c r="DBY1241" s="106"/>
      <c r="DBZ1241" s="106"/>
      <c r="DCA1241" s="106"/>
      <c r="DCB1241" s="106"/>
      <c r="DCC1241" s="106"/>
      <c r="DCD1241" s="106"/>
      <c r="DCE1241" s="106"/>
      <c r="DCF1241" s="106"/>
      <c r="DCG1241" s="106"/>
      <c r="DCH1241" s="106"/>
      <c r="DCI1241" s="106"/>
      <c r="DCJ1241" s="106"/>
      <c r="DCK1241" s="106"/>
      <c r="DCL1241" s="106"/>
      <c r="DCM1241" s="106"/>
      <c r="DCN1241" s="106"/>
      <c r="DCO1241" s="106"/>
      <c r="DCP1241" s="106"/>
      <c r="DCQ1241" s="106"/>
      <c r="DCR1241" s="106"/>
      <c r="DCS1241" s="106"/>
      <c r="DCT1241" s="106"/>
      <c r="DCU1241" s="106"/>
      <c r="DCV1241" s="106"/>
      <c r="DCW1241" s="106"/>
      <c r="DCX1241" s="106"/>
      <c r="DCY1241" s="106"/>
      <c r="DCZ1241" s="106"/>
      <c r="DDA1241" s="106"/>
      <c r="DDB1241" s="106"/>
      <c r="DDC1241" s="106"/>
      <c r="DDD1241" s="106"/>
      <c r="DDE1241" s="106"/>
      <c r="DDF1241" s="106"/>
      <c r="DDG1241" s="106"/>
      <c r="DDH1241" s="106"/>
      <c r="DDI1241" s="106"/>
      <c r="DDJ1241" s="106"/>
      <c r="DDK1241" s="106"/>
      <c r="DDL1241" s="106"/>
      <c r="DDM1241" s="106"/>
      <c r="DDN1241" s="106"/>
      <c r="DDO1241" s="106"/>
      <c r="DDP1241" s="106"/>
      <c r="DDQ1241" s="106"/>
      <c r="DDR1241" s="106"/>
      <c r="DDS1241" s="106"/>
      <c r="DDT1241" s="106"/>
      <c r="DDU1241" s="106"/>
      <c r="DDV1241" s="106"/>
      <c r="DDW1241" s="106"/>
      <c r="DDX1241" s="106"/>
      <c r="DDY1241" s="106"/>
      <c r="DDZ1241" s="106"/>
      <c r="DEA1241" s="106"/>
      <c r="DEB1241" s="106"/>
      <c r="DEC1241" s="106"/>
      <c r="DED1241" s="106"/>
      <c r="DEE1241" s="106"/>
      <c r="DEF1241" s="106"/>
      <c r="DEG1241" s="106"/>
      <c r="DEH1241" s="106"/>
      <c r="DEI1241" s="106"/>
      <c r="DEJ1241" s="106"/>
      <c r="DEK1241" s="106"/>
      <c r="DEL1241" s="106"/>
      <c r="DEM1241" s="106"/>
      <c r="DEN1241" s="106"/>
      <c r="DEO1241" s="106"/>
      <c r="DEP1241" s="106"/>
      <c r="DEQ1241" s="106"/>
      <c r="DER1241" s="106"/>
      <c r="DES1241" s="106"/>
      <c r="DET1241" s="106"/>
      <c r="DEU1241" s="106"/>
      <c r="DEV1241" s="106"/>
      <c r="DEW1241" s="106"/>
      <c r="DEX1241" s="106"/>
      <c r="DEY1241" s="106"/>
      <c r="DEZ1241" s="106"/>
      <c r="DFA1241" s="106"/>
      <c r="DFB1241" s="106"/>
      <c r="DFC1241" s="106"/>
      <c r="DFD1241" s="106"/>
      <c r="DFE1241" s="106"/>
      <c r="DFF1241" s="106"/>
      <c r="DFG1241" s="106"/>
      <c r="DFH1241" s="106"/>
      <c r="DFI1241" s="106"/>
      <c r="DFJ1241" s="106"/>
      <c r="DFK1241" s="106"/>
      <c r="DFL1241" s="106"/>
      <c r="DFM1241" s="106"/>
      <c r="DFN1241" s="106"/>
      <c r="DFO1241" s="106"/>
      <c r="DFP1241" s="106"/>
      <c r="DFQ1241" s="106"/>
      <c r="DFR1241" s="106"/>
      <c r="DFS1241" s="106"/>
      <c r="DFT1241" s="106"/>
      <c r="DFU1241" s="106"/>
      <c r="DFV1241" s="106"/>
      <c r="DFW1241" s="106"/>
      <c r="DFX1241" s="106"/>
      <c r="DFY1241" s="106"/>
      <c r="DFZ1241" s="106"/>
      <c r="DGA1241" s="106"/>
      <c r="DGB1241" s="106"/>
      <c r="DGC1241" s="106"/>
      <c r="DGD1241" s="106"/>
      <c r="DGE1241" s="106"/>
      <c r="DGF1241" s="106"/>
      <c r="DGG1241" s="106"/>
      <c r="DGH1241" s="106"/>
      <c r="DGI1241" s="106"/>
      <c r="DGJ1241" s="106"/>
      <c r="DGK1241" s="106"/>
      <c r="DGL1241" s="106"/>
      <c r="DGM1241" s="106"/>
      <c r="DGN1241" s="106"/>
      <c r="DGO1241" s="106"/>
      <c r="DGP1241" s="106"/>
      <c r="DGQ1241" s="106"/>
      <c r="DGR1241" s="106"/>
      <c r="DGS1241" s="106"/>
      <c r="DGT1241" s="106"/>
      <c r="DGU1241" s="106"/>
      <c r="DGV1241" s="106"/>
      <c r="DGW1241" s="106"/>
      <c r="DGX1241" s="106"/>
      <c r="DGY1241" s="106"/>
      <c r="DGZ1241" s="106"/>
      <c r="DHA1241" s="106"/>
      <c r="DHB1241" s="106"/>
      <c r="DHC1241" s="106"/>
      <c r="DHD1241" s="106"/>
      <c r="DHE1241" s="106"/>
      <c r="DHF1241" s="106"/>
      <c r="DHG1241" s="106"/>
      <c r="DHH1241" s="106"/>
      <c r="DHI1241" s="106"/>
      <c r="DHJ1241" s="106"/>
      <c r="DHK1241" s="106"/>
      <c r="DHL1241" s="106"/>
      <c r="DHM1241" s="106"/>
      <c r="DHN1241" s="106"/>
      <c r="DHO1241" s="106"/>
      <c r="DHP1241" s="106"/>
      <c r="DHQ1241" s="106"/>
      <c r="DHR1241" s="106"/>
      <c r="DHS1241" s="106"/>
      <c r="DHT1241" s="106"/>
      <c r="DHU1241" s="106"/>
      <c r="DHV1241" s="106"/>
      <c r="DHW1241" s="106"/>
      <c r="DHX1241" s="106"/>
      <c r="DHY1241" s="106"/>
      <c r="DHZ1241" s="106"/>
      <c r="DIA1241" s="106"/>
      <c r="DIB1241" s="106"/>
      <c r="DIC1241" s="106"/>
      <c r="DID1241" s="106"/>
      <c r="DIE1241" s="106"/>
      <c r="DIF1241" s="106"/>
      <c r="DIG1241" s="106"/>
      <c r="DIH1241" s="106"/>
      <c r="DII1241" s="106"/>
      <c r="DIJ1241" s="106"/>
      <c r="DIK1241" s="106"/>
      <c r="DIL1241" s="106"/>
      <c r="DIM1241" s="106"/>
      <c r="DIN1241" s="106"/>
      <c r="DIO1241" s="106"/>
      <c r="DIP1241" s="106"/>
      <c r="DIQ1241" s="106"/>
      <c r="DIR1241" s="106"/>
      <c r="DIS1241" s="106"/>
      <c r="DIT1241" s="106"/>
      <c r="DIU1241" s="106"/>
      <c r="DIV1241" s="106"/>
      <c r="DIW1241" s="106"/>
      <c r="DIX1241" s="106"/>
      <c r="DIY1241" s="106"/>
      <c r="DIZ1241" s="106"/>
      <c r="DJA1241" s="106"/>
      <c r="DJB1241" s="106"/>
      <c r="DJC1241" s="106"/>
      <c r="DJD1241" s="106"/>
      <c r="DJE1241" s="106"/>
      <c r="DJF1241" s="106"/>
      <c r="DJG1241" s="106"/>
      <c r="DJH1241" s="106"/>
      <c r="DJI1241" s="106"/>
      <c r="DJJ1241" s="106"/>
      <c r="DJK1241" s="106"/>
      <c r="DJL1241" s="106"/>
      <c r="DJM1241" s="106"/>
      <c r="DJN1241" s="106"/>
      <c r="DJO1241" s="106"/>
      <c r="DJP1241" s="106"/>
      <c r="DJQ1241" s="106"/>
      <c r="DJR1241" s="106"/>
      <c r="DJS1241" s="106"/>
      <c r="DJT1241" s="106"/>
      <c r="DJU1241" s="106"/>
      <c r="DJV1241" s="106"/>
      <c r="DJW1241" s="106"/>
      <c r="DJX1241" s="106"/>
      <c r="DJY1241" s="106"/>
      <c r="DJZ1241" s="106"/>
      <c r="DKA1241" s="106"/>
      <c r="DKB1241" s="106"/>
      <c r="DKC1241" s="106"/>
      <c r="DKD1241" s="106"/>
      <c r="DKE1241" s="106"/>
      <c r="DKF1241" s="106"/>
      <c r="DKG1241" s="106"/>
      <c r="DKH1241" s="106"/>
      <c r="DKI1241" s="106"/>
      <c r="DKJ1241" s="106"/>
      <c r="DKK1241" s="106"/>
      <c r="DKL1241" s="106"/>
      <c r="DKM1241" s="106"/>
      <c r="DKN1241" s="106"/>
      <c r="DKO1241" s="106"/>
      <c r="DKP1241" s="106"/>
      <c r="DKQ1241" s="106"/>
      <c r="DKR1241" s="106"/>
      <c r="DKS1241" s="106"/>
      <c r="DKT1241" s="106"/>
      <c r="DKU1241" s="106"/>
      <c r="DKV1241" s="106"/>
      <c r="DKW1241" s="106"/>
      <c r="DKX1241" s="106"/>
      <c r="DKY1241" s="106"/>
      <c r="DKZ1241" s="106"/>
      <c r="DLA1241" s="106"/>
      <c r="DLB1241" s="106"/>
      <c r="DLC1241" s="106"/>
      <c r="DLD1241" s="106"/>
      <c r="DLE1241" s="106"/>
      <c r="DLF1241" s="106"/>
      <c r="DLG1241" s="106"/>
      <c r="DLH1241" s="106"/>
      <c r="DLI1241" s="106"/>
      <c r="DLJ1241" s="106"/>
      <c r="DLK1241" s="106"/>
      <c r="DLL1241" s="106"/>
      <c r="DLM1241" s="106"/>
      <c r="DLN1241" s="106"/>
      <c r="DLO1241" s="106"/>
      <c r="DLP1241" s="106"/>
      <c r="DLQ1241" s="106"/>
      <c r="DLR1241" s="106"/>
      <c r="DLS1241" s="106"/>
      <c r="DLT1241" s="106"/>
      <c r="DLU1241" s="106"/>
      <c r="DLV1241" s="106"/>
      <c r="DLW1241" s="106"/>
      <c r="DLX1241" s="106"/>
      <c r="DLY1241" s="106"/>
      <c r="DLZ1241" s="106"/>
      <c r="DMA1241" s="106"/>
      <c r="DMB1241" s="106"/>
      <c r="DMC1241" s="106"/>
      <c r="DMD1241" s="106"/>
      <c r="DME1241" s="106"/>
      <c r="DMF1241" s="106"/>
      <c r="DMG1241" s="106"/>
      <c r="DMH1241" s="106"/>
      <c r="DMI1241" s="106"/>
      <c r="DMJ1241" s="106"/>
      <c r="DMK1241" s="106"/>
      <c r="DML1241" s="106"/>
      <c r="DMM1241" s="106"/>
      <c r="DMN1241" s="106"/>
      <c r="DMO1241" s="106"/>
      <c r="DMP1241" s="106"/>
      <c r="DMQ1241" s="106"/>
      <c r="DMR1241" s="106"/>
      <c r="DMS1241" s="106"/>
      <c r="DMT1241" s="106"/>
      <c r="DMU1241" s="106"/>
      <c r="DMV1241" s="106"/>
      <c r="DMW1241" s="106"/>
      <c r="DMX1241" s="106"/>
      <c r="DMY1241" s="106"/>
      <c r="DMZ1241" s="106"/>
      <c r="DNA1241" s="106"/>
      <c r="DNB1241" s="106"/>
      <c r="DNC1241" s="106"/>
      <c r="DND1241" s="106"/>
      <c r="DNE1241" s="106"/>
      <c r="DNF1241" s="106"/>
      <c r="DNG1241" s="106"/>
      <c r="DNH1241" s="106"/>
      <c r="DNI1241" s="106"/>
      <c r="DNJ1241" s="106"/>
      <c r="DNK1241" s="106"/>
      <c r="DNL1241" s="106"/>
      <c r="DNM1241" s="106"/>
      <c r="DNN1241" s="106"/>
      <c r="DNO1241" s="106"/>
      <c r="DNP1241" s="106"/>
      <c r="DNQ1241" s="106"/>
      <c r="DNR1241" s="106"/>
      <c r="DNS1241" s="106"/>
      <c r="DNT1241" s="106"/>
      <c r="DNU1241" s="106"/>
      <c r="DNV1241" s="106"/>
      <c r="DNW1241" s="106"/>
      <c r="DNX1241" s="106"/>
      <c r="DNY1241" s="106"/>
      <c r="DNZ1241" s="106"/>
      <c r="DOA1241" s="106"/>
      <c r="DOB1241" s="106"/>
      <c r="DOC1241" s="106"/>
      <c r="DOD1241" s="106"/>
      <c r="DOE1241" s="106"/>
      <c r="DOF1241" s="106"/>
      <c r="DOG1241" s="106"/>
      <c r="DOH1241" s="106"/>
      <c r="DOI1241" s="106"/>
      <c r="DOJ1241" s="106"/>
      <c r="DOK1241" s="106"/>
      <c r="DOL1241" s="106"/>
      <c r="DOM1241" s="106"/>
      <c r="DON1241" s="106"/>
      <c r="DOO1241" s="106"/>
      <c r="DOP1241" s="106"/>
      <c r="DOQ1241" s="106"/>
      <c r="DOR1241" s="106"/>
      <c r="DOS1241" s="106"/>
      <c r="DOT1241" s="106"/>
      <c r="DOU1241" s="106"/>
      <c r="DOV1241" s="106"/>
      <c r="DOW1241" s="106"/>
      <c r="DOX1241" s="106"/>
      <c r="DOY1241" s="106"/>
      <c r="DOZ1241" s="106"/>
      <c r="DPA1241" s="106"/>
      <c r="DPB1241" s="106"/>
      <c r="DPC1241" s="106"/>
      <c r="DPD1241" s="106"/>
      <c r="DPE1241" s="106"/>
      <c r="DPF1241" s="106"/>
      <c r="DPG1241" s="106"/>
      <c r="DPH1241" s="106"/>
      <c r="DPI1241" s="106"/>
      <c r="DPJ1241" s="106"/>
      <c r="DPK1241" s="106"/>
      <c r="DPL1241" s="106"/>
      <c r="DPM1241" s="106"/>
      <c r="DPN1241" s="106"/>
      <c r="DPO1241" s="106"/>
      <c r="DPP1241" s="106"/>
      <c r="DPQ1241" s="106"/>
      <c r="DPR1241" s="106"/>
      <c r="DPS1241" s="106"/>
      <c r="DPT1241" s="106"/>
      <c r="DPU1241" s="106"/>
      <c r="DPV1241" s="106"/>
      <c r="DPW1241" s="106"/>
      <c r="DPX1241" s="106"/>
      <c r="DPY1241" s="106"/>
      <c r="DPZ1241" s="106"/>
      <c r="DQA1241" s="106"/>
      <c r="DQB1241" s="106"/>
      <c r="DQC1241" s="106"/>
      <c r="DQD1241" s="106"/>
      <c r="DQE1241" s="106"/>
      <c r="DQF1241" s="106"/>
      <c r="DQG1241" s="106"/>
      <c r="DQH1241" s="106"/>
      <c r="DQI1241" s="106"/>
      <c r="DQJ1241" s="106"/>
      <c r="DQK1241" s="106"/>
      <c r="DQL1241" s="106"/>
      <c r="DQM1241" s="106"/>
      <c r="DQN1241" s="106"/>
      <c r="DQO1241" s="106"/>
      <c r="DQP1241" s="106"/>
      <c r="DQQ1241" s="106"/>
      <c r="DQR1241" s="106"/>
      <c r="DQS1241" s="106"/>
      <c r="DQT1241" s="106"/>
      <c r="DQU1241" s="106"/>
      <c r="DQV1241" s="106"/>
      <c r="DQW1241" s="106"/>
      <c r="DQX1241" s="106"/>
      <c r="DQY1241" s="106"/>
      <c r="DQZ1241" s="106"/>
      <c r="DRA1241" s="106"/>
      <c r="DRB1241" s="106"/>
      <c r="DRC1241" s="106"/>
      <c r="DRD1241" s="106"/>
      <c r="DRE1241" s="106"/>
      <c r="DRF1241" s="106"/>
      <c r="DRG1241" s="106"/>
      <c r="DRH1241" s="106"/>
      <c r="DRI1241" s="106"/>
      <c r="DRJ1241" s="106"/>
      <c r="DRK1241" s="106"/>
      <c r="DRL1241" s="106"/>
      <c r="DRM1241" s="106"/>
      <c r="DRN1241" s="106"/>
      <c r="DRO1241" s="106"/>
      <c r="DRP1241" s="106"/>
      <c r="DRQ1241" s="106"/>
      <c r="DRR1241" s="106"/>
      <c r="DRS1241" s="106"/>
      <c r="DRT1241" s="106"/>
      <c r="DRU1241" s="106"/>
      <c r="DRV1241" s="106"/>
      <c r="DRW1241" s="106"/>
      <c r="DRX1241" s="106"/>
      <c r="DRY1241" s="106"/>
      <c r="DRZ1241" s="106"/>
      <c r="DSA1241" s="106"/>
      <c r="DSB1241" s="106"/>
      <c r="DSC1241" s="106"/>
      <c r="DSD1241" s="106"/>
      <c r="DSE1241" s="106"/>
      <c r="DSF1241" s="106"/>
      <c r="DSG1241" s="106"/>
      <c r="DSH1241" s="106"/>
      <c r="DSI1241" s="106"/>
      <c r="DSJ1241" s="106"/>
      <c r="DSK1241" s="106"/>
      <c r="DSL1241" s="106"/>
      <c r="DSM1241" s="106"/>
      <c r="DSN1241" s="106"/>
      <c r="DSO1241" s="106"/>
      <c r="DSP1241" s="106"/>
      <c r="DSQ1241" s="106"/>
      <c r="DSR1241" s="106"/>
      <c r="DSS1241" s="106"/>
      <c r="DST1241" s="106"/>
      <c r="DSU1241" s="106"/>
      <c r="DSV1241" s="106"/>
      <c r="DSW1241" s="106"/>
      <c r="DSX1241" s="106"/>
      <c r="DSY1241" s="106"/>
      <c r="DSZ1241" s="106"/>
      <c r="DTA1241" s="106"/>
      <c r="DTB1241" s="106"/>
      <c r="DTC1241" s="106"/>
      <c r="DTD1241" s="106"/>
      <c r="DTE1241" s="106"/>
      <c r="DTF1241" s="106"/>
      <c r="DTG1241" s="106"/>
      <c r="DTH1241" s="106"/>
      <c r="DTI1241" s="106"/>
      <c r="DTJ1241" s="106"/>
      <c r="DTK1241" s="106"/>
      <c r="DTL1241" s="106"/>
      <c r="DTM1241" s="106"/>
      <c r="DTN1241" s="106"/>
      <c r="DTO1241" s="106"/>
      <c r="DTP1241" s="106"/>
      <c r="DTQ1241" s="106"/>
      <c r="DTR1241" s="106"/>
      <c r="DTS1241" s="106"/>
      <c r="DTT1241" s="106"/>
      <c r="DTU1241" s="106"/>
      <c r="DTV1241" s="106"/>
      <c r="DTW1241" s="106"/>
      <c r="DTX1241" s="106"/>
      <c r="DTY1241" s="106"/>
      <c r="DTZ1241" s="106"/>
      <c r="DUA1241" s="106"/>
      <c r="DUB1241" s="106"/>
      <c r="DUC1241" s="106"/>
      <c r="DUD1241" s="106"/>
      <c r="DUE1241" s="106"/>
      <c r="DUF1241" s="106"/>
      <c r="DUG1241" s="106"/>
      <c r="DUH1241" s="106"/>
      <c r="DUI1241" s="106"/>
      <c r="DUJ1241" s="106"/>
      <c r="DUK1241" s="106"/>
      <c r="DUL1241" s="106"/>
      <c r="DUM1241" s="106"/>
      <c r="DUN1241" s="106"/>
      <c r="DUO1241" s="106"/>
      <c r="DUP1241" s="106"/>
      <c r="DUQ1241" s="106"/>
      <c r="DUR1241" s="106"/>
      <c r="DUS1241" s="106"/>
      <c r="DUT1241" s="106"/>
      <c r="DUU1241" s="106"/>
      <c r="DUV1241" s="106"/>
      <c r="DUW1241" s="106"/>
      <c r="DUX1241" s="106"/>
      <c r="DUY1241" s="106"/>
      <c r="DUZ1241" s="106"/>
      <c r="DVA1241" s="106"/>
      <c r="DVB1241" s="106"/>
      <c r="DVC1241" s="106"/>
      <c r="DVD1241" s="106"/>
      <c r="DVE1241" s="106"/>
      <c r="DVF1241" s="106"/>
      <c r="DVG1241" s="106"/>
      <c r="DVH1241" s="106"/>
      <c r="DVI1241" s="106"/>
      <c r="DVJ1241" s="106"/>
      <c r="DVK1241" s="106"/>
      <c r="DVL1241" s="106"/>
      <c r="DVM1241" s="106"/>
      <c r="DVN1241" s="106"/>
      <c r="DVO1241" s="106"/>
      <c r="DVP1241" s="106"/>
      <c r="DVQ1241" s="106"/>
      <c r="DVR1241" s="106"/>
      <c r="DVS1241" s="106"/>
      <c r="DVT1241" s="106"/>
      <c r="DVU1241" s="106"/>
      <c r="DVV1241" s="106"/>
      <c r="DVW1241" s="106"/>
      <c r="DVX1241" s="106"/>
      <c r="DVY1241" s="106"/>
      <c r="DVZ1241" s="106"/>
      <c r="DWA1241" s="106"/>
      <c r="DWB1241" s="106"/>
      <c r="DWC1241" s="106"/>
      <c r="DWD1241" s="106"/>
      <c r="DWE1241" s="106"/>
      <c r="DWF1241" s="106"/>
      <c r="DWG1241" s="106"/>
      <c r="DWH1241" s="106"/>
      <c r="DWI1241" s="106"/>
      <c r="DWJ1241" s="106"/>
      <c r="DWK1241" s="106"/>
      <c r="DWL1241" s="106"/>
      <c r="DWM1241" s="106"/>
      <c r="DWN1241" s="106"/>
      <c r="DWO1241" s="106"/>
      <c r="DWP1241" s="106"/>
      <c r="DWQ1241" s="106"/>
      <c r="DWR1241" s="106"/>
      <c r="DWS1241" s="106"/>
      <c r="DWT1241" s="106"/>
      <c r="DWU1241" s="106"/>
      <c r="DWV1241" s="106"/>
      <c r="DWW1241" s="106"/>
      <c r="DWX1241" s="106"/>
      <c r="DWY1241" s="106"/>
      <c r="DWZ1241" s="106"/>
      <c r="DXA1241" s="106"/>
      <c r="DXB1241" s="106"/>
      <c r="DXC1241" s="106"/>
      <c r="DXD1241" s="106"/>
      <c r="DXE1241" s="106"/>
      <c r="DXF1241" s="106"/>
      <c r="DXG1241" s="106"/>
      <c r="DXH1241" s="106"/>
      <c r="DXI1241" s="106"/>
      <c r="DXJ1241" s="106"/>
      <c r="DXK1241" s="106"/>
      <c r="DXL1241" s="106"/>
      <c r="DXM1241" s="106"/>
      <c r="DXN1241" s="106"/>
      <c r="DXO1241" s="106"/>
      <c r="DXP1241" s="106"/>
      <c r="DXQ1241" s="106"/>
      <c r="DXR1241" s="106"/>
      <c r="DXS1241" s="106"/>
      <c r="DXT1241" s="106"/>
      <c r="DXU1241" s="106"/>
      <c r="DXV1241" s="106"/>
      <c r="DXW1241" s="106"/>
      <c r="DXX1241" s="106"/>
      <c r="DXY1241" s="106"/>
      <c r="DXZ1241" s="106"/>
      <c r="DYA1241" s="106"/>
      <c r="DYB1241" s="106"/>
      <c r="DYC1241" s="106"/>
      <c r="DYD1241" s="106"/>
      <c r="DYE1241" s="106"/>
      <c r="DYF1241" s="106"/>
      <c r="DYG1241" s="106"/>
      <c r="DYH1241" s="106"/>
      <c r="DYI1241" s="106"/>
      <c r="DYJ1241" s="106"/>
      <c r="DYK1241" s="106"/>
      <c r="DYL1241" s="106"/>
      <c r="DYM1241" s="106"/>
      <c r="DYN1241" s="106"/>
      <c r="DYO1241" s="106"/>
      <c r="DYP1241" s="106"/>
      <c r="DYQ1241" s="106"/>
      <c r="DYR1241" s="106"/>
      <c r="DYS1241" s="106"/>
      <c r="DYT1241" s="106"/>
      <c r="DYU1241" s="106"/>
      <c r="DYV1241" s="106"/>
      <c r="DYW1241" s="106"/>
      <c r="DYX1241" s="106"/>
      <c r="DYY1241" s="106"/>
      <c r="DYZ1241" s="106"/>
      <c r="DZA1241" s="106"/>
      <c r="DZB1241" s="106"/>
      <c r="DZC1241" s="106"/>
      <c r="DZD1241" s="106"/>
      <c r="DZE1241" s="106"/>
      <c r="DZF1241" s="106"/>
      <c r="DZG1241" s="106"/>
      <c r="DZH1241" s="106"/>
      <c r="DZI1241" s="106"/>
      <c r="DZJ1241" s="106"/>
      <c r="DZK1241" s="106"/>
      <c r="DZL1241" s="106"/>
      <c r="DZM1241" s="106"/>
      <c r="DZN1241" s="106"/>
      <c r="DZO1241" s="106"/>
      <c r="DZP1241" s="106"/>
      <c r="DZQ1241" s="106"/>
      <c r="DZR1241" s="106"/>
      <c r="DZS1241" s="106"/>
      <c r="DZT1241" s="106"/>
      <c r="DZU1241" s="106"/>
      <c r="DZV1241" s="106"/>
      <c r="DZW1241" s="106"/>
      <c r="DZX1241" s="106"/>
      <c r="DZY1241" s="106"/>
      <c r="DZZ1241" s="106"/>
      <c r="EAA1241" s="106"/>
      <c r="EAB1241" s="106"/>
      <c r="EAC1241" s="106"/>
      <c r="EAD1241" s="106"/>
      <c r="EAE1241" s="106"/>
      <c r="EAF1241" s="106"/>
      <c r="EAG1241" s="106"/>
      <c r="EAH1241" s="106"/>
      <c r="EAI1241" s="106"/>
      <c r="EAJ1241" s="106"/>
      <c r="EAK1241" s="106"/>
      <c r="EAL1241" s="106"/>
      <c r="EAM1241" s="106"/>
      <c r="EAN1241" s="106"/>
      <c r="EAO1241" s="106"/>
      <c r="EAP1241" s="106"/>
      <c r="EAQ1241" s="106"/>
      <c r="EAR1241" s="106"/>
      <c r="EAS1241" s="106"/>
      <c r="EAT1241" s="106"/>
      <c r="EAU1241" s="106"/>
      <c r="EAV1241" s="106"/>
      <c r="EAW1241" s="106"/>
      <c r="EAX1241" s="106"/>
      <c r="EAY1241" s="106"/>
      <c r="EAZ1241" s="106"/>
      <c r="EBA1241" s="106"/>
      <c r="EBB1241" s="106"/>
      <c r="EBC1241" s="106"/>
      <c r="EBD1241" s="106"/>
      <c r="EBE1241" s="106"/>
      <c r="EBF1241" s="106"/>
      <c r="EBG1241" s="106"/>
      <c r="EBH1241" s="106"/>
      <c r="EBI1241" s="106"/>
      <c r="EBJ1241" s="106"/>
      <c r="EBK1241" s="106"/>
      <c r="EBL1241" s="106"/>
      <c r="EBM1241" s="106"/>
      <c r="EBN1241" s="106"/>
      <c r="EBO1241" s="106"/>
      <c r="EBP1241" s="106"/>
      <c r="EBQ1241" s="106"/>
      <c r="EBR1241" s="106"/>
      <c r="EBS1241" s="106"/>
      <c r="EBT1241" s="106"/>
      <c r="EBU1241" s="106"/>
      <c r="EBV1241" s="106"/>
      <c r="EBW1241" s="106"/>
      <c r="EBX1241" s="106"/>
      <c r="EBY1241" s="106"/>
      <c r="EBZ1241" s="106"/>
      <c r="ECA1241" s="106"/>
      <c r="ECB1241" s="106"/>
      <c r="ECC1241" s="106"/>
      <c r="ECD1241" s="106"/>
      <c r="ECE1241" s="106"/>
      <c r="ECF1241" s="106"/>
      <c r="ECG1241" s="106"/>
      <c r="ECH1241" s="106"/>
      <c r="ECI1241" s="106"/>
      <c r="ECJ1241" s="106"/>
      <c r="ECK1241" s="106"/>
      <c r="ECL1241" s="106"/>
      <c r="ECM1241" s="106"/>
      <c r="ECN1241" s="106"/>
      <c r="ECO1241" s="106"/>
      <c r="ECP1241" s="106"/>
      <c r="ECQ1241" s="106"/>
      <c r="ECR1241" s="106"/>
      <c r="ECS1241" s="106"/>
      <c r="ECT1241" s="106"/>
      <c r="ECU1241" s="106"/>
      <c r="ECV1241" s="106"/>
      <c r="ECW1241" s="106"/>
      <c r="ECX1241" s="106"/>
      <c r="ECY1241" s="106"/>
      <c r="ECZ1241" s="106"/>
      <c r="EDA1241" s="106"/>
      <c r="EDB1241" s="106"/>
      <c r="EDC1241" s="106"/>
      <c r="EDD1241" s="106"/>
      <c r="EDE1241" s="106"/>
      <c r="EDF1241" s="106"/>
      <c r="EDG1241" s="106"/>
      <c r="EDH1241" s="106"/>
      <c r="EDI1241" s="106"/>
      <c r="EDJ1241" s="106"/>
      <c r="EDK1241" s="106"/>
      <c r="EDL1241" s="106"/>
      <c r="EDM1241" s="106"/>
      <c r="EDN1241" s="106"/>
      <c r="EDO1241" s="106"/>
      <c r="EDP1241" s="106"/>
      <c r="EDQ1241" s="106"/>
      <c r="EDR1241" s="106"/>
      <c r="EDS1241" s="106"/>
      <c r="EDT1241" s="106"/>
      <c r="EDU1241" s="106"/>
      <c r="EDV1241" s="106"/>
      <c r="EDW1241" s="106"/>
      <c r="EDX1241" s="106"/>
      <c r="EDY1241" s="106"/>
      <c r="EDZ1241" s="106"/>
      <c r="EEA1241" s="106"/>
      <c r="EEB1241" s="106"/>
      <c r="EEC1241" s="106"/>
      <c r="EED1241" s="106"/>
      <c r="EEE1241" s="106"/>
      <c r="EEF1241" s="106"/>
      <c r="EEG1241" s="106"/>
      <c r="EEH1241" s="106"/>
      <c r="EEI1241" s="106"/>
      <c r="EEJ1241" s="106"/>
      <c r="EEK1241" s="106"/>
      <c r="EEL1241" s="106"/>
      <c r="EEM1241" s="106"/>
      <c r="EEN1241" s="106"/>
      <c r="EEO1241" s="106"/>
      <c r="EEP1241" s="106"/>
      <c r="EEQ1241" s="106"/>
      <c r="EER1241" s="106"/>
      <c r="EES1241" s="106"/>
      <c r="EET1241" s="106"/>
      <c r="EEU1241" s="106"/>
      <c r="EEV1241" s="106"/>
      <c r="EEW1241" s="106"/>
      <c r="EEX1241" s="106"/>
      <c r="EEY1241" s="106"/>
      <c r="EEZ1241" s="106"/>
      <c r="EFA1241" s="106"/>
      <c r="EFB1241" s="106"/>
      <c r="EFC1241" s="106"/>
      <c r="EFD1241" s="106"/>
      <c r="EFE1241" s="106"/>
      <c r="EFF1241" s="106"/>
      <c r="EFG1241" s="106"/>
      <c r="EFH1241" s="106"/>
      <c r="EFI1241" s="106"/>
      <c r="EFJ1241" s="106"/>
      <c r="EFK1241" s="106"/>
      <c r="EFL1241" s="106"/>
      <c r="EFM1241" s="106"/>
      <c r="EFN1241" s="106"/>
      <c r="EFO1241" s="106"/>
      <c r="EFP1241" s="106"/>
      <c r="EFQ1241" s="106"/>
      <c r="EFR1241" s="106"/>
      <c r="EFS1241" s="106"/>
      <c r="EFT1241" s="106"/>
      <c r="EFU1241" s="106"/>
      <c r="EFV1241" s="106"/>
      <c r="EFW1241" s="106"/>
      <c r="EFX1241" s="106"/>
      <c r="EFY1241" s="106"/>
      <c r="EFZ1241" s="106"/>
      <c r="EGA1241" s="106"/>
      <c r="EGB1241" s="106"/>
      <c r="EGC1241" s="106"/>
      <c r="EGD1241" s="106"/>
      <c r="EGE1241" s="106"/>
      <c r="EGF1241" s="106"/>
      <c r="EGG1241" s="106"/>
      <c r="EGH1241" s="106"/>
      <c r="EGI1241" s="106"/>
      <c r="EGJ1241" s="106"/>
      <c r="EGK1241" s="106"/>
      <c r="EGL1241" s="106"/>
      <c r="EGM1241" s="106"/>
      <c r="EGN1241" s="106"/>
      <c r="EGO1241" s="106"/>
      <c r="EGP1241" s="106"/>
      <c r="EGQ1241" s="106"/>
      <c r="EGR1241" s="106"/>
      <c r="EGS1241" s="106"/>
      <c r="EGT1241" s="106"/>
      <c r="EGU1241" s="106"/>
      <c r="EGV1241" s="106"/>
      <c r="EGW1241" s="106"/>
      <c r="EGX1241" s="106"/>
      <c r="EGY1241" s="106"/>
      <c r="EGZ1241" s="106"/>
      <c r="EHA1241" s="106"/>
      <c r="EHB1241" s="106"/>
      <c r="EHC1241" s="106"/>
      <c r="EHD1241" s="106"/>
      <c r="EHE1241" s="106"/>
      <c r="EHF1241" s="106"/>
      <c r="EHG1241" s="106"/>
      <c r="EHH1241" s="106"/>
      <c r="EHI1241" s="106"/>
      <c r="EHJ1241" s="106"/>
      <c r="EHK1241" s="106"/>
      <c r="EHL1241" s="106"/>
      <c r="EHM1241" s="106"/>
      <c r="EHN1241" s="106"/>
      <c r="EHO1241" s="106"/>
      <c r="EHP1241" s="106"/>
      <c r="EHQ1241" s="106"/>
      <c r="EHR1241" s="106"/>
      <c r="EHS1241" s="106"/>
      <c r="EHT1241" s="106"/>
      <c r="EHU1241" s="106"/>
      <c r="EHV1241" s="106"/>
      <c r="EHW1241" s="106"/>
      <c r="EHX1241" s="106"/>
      <c r="EHY1241" s="106"/>
      <c r="EHZ1241" s="106"/>
      <c r="EIA1241" s="106"/>
      <c r="EIB1241" s="106"/>
      <c r="EIC1241" s="106"/>
      <c r="EID1241" s="106"/>
      <c r="EIE1241" s="106"/>
      <c r="EIF1241" s="106"/>
      <c r="EIG1241" s="106"/>
      <c r="EIH1241" s="106"/>
      <c r="EII1241" s="106"/>
      <c r="EIJ1241" s="106"/>
      <c r="EIK1241" s="106"/>
      <c r="EIL1241" s="106"/>
      <c r="EIM1241" s="106"/>
      <c r="EIN1241" s="106"/>
      <c r="EIO1241" s="106"/>
      <c r="EIP1241" s="106"/>
      <c r="EIQ1241" s="106"/>
      <c r="EIR1241" s="106"/>
      <c r="EIS1241" s="106"/>
      <c r="EIT1241" s="106"/>
      <c r="EIU1241" s="106"/>
      <c r="EIV1241" s="106"/>
      <c r="EIW1241" s="106"/>
      <c r="EIX1241" s="106"/>
      <c r="EIY1241" s="106"/>
      <c r="EIZ1241" s="106"/>
      <c r="EJA1241" s="106"/>
      <c r="EJB1241" s="106"/>
      <c r="EJC1241" s="106"/>
      <c r="EJD1241" s="106"/>
      <c r="EJE1241" s="106"/>
      <c r="EJF1241" s="106"/>
      <c r="EJG1241" s="106"/>
      <c r="EJH1241" s="106"/>
      <c r="EJI1241" s="106"/>
      <c r="EJJ1241" s="106"/>
      <c r="EJK1241" s="106"/>
      <c r="EJL1241" s="106"/>
      <c r="EJM1241" s="106"/>
      <c r="EJN1241" s="106"/>
      <c r="EJO1241" s="106"/>
      <c r="EJP1241" s="106"/>
      <c r="EJQ1241" s="106"/>
      <c r="EJR1241" s="106"/>
      <c r="EJS1241" s="106"/>
      <c r="EJT1241" s="106"/>
      <c r="EJU1241" s="106"/>
      <c r="EJV1241" s="106"/>
      <c r="EJW1241" s="106"/>
      <c r="EJX1241" s="106"/>
      <c r="EJY1241" s="106"/>
      <c r="EJZ1241" s="106"/>
      <c r="EKA1241" s="106"/>
      <c r="EKB1241" s="106"/>
      <c r="EKC1241" s="106"/>
      <c r="EKD1241" s="106"/>
      <c r="EKE1241" s="106"/>
      <c r="EKF1241" s="106"/>
      <c r="EKG1241" s="106"/>
      <c r="EKH1241" s="106"/>
      <c r="EKI1241" s="106"/>
      <c r="EKJ1241" s="106"/>
      <c r="EKK1241" s="106"/>
      <c r="EKL1241" s="106"/>
      <c r="EKM1241" s="106"/>
      <c r="EKN1241" s="106"/>
      <c r="EKO1241" s="106"/>
      <c r="EKP1241" s="106"/>
      <c r="EKQ1241" s="106"/>
      <c r="EKR1241" s="106"/>
      <c r="EKS1241" s="106"/>
      <c r="EKT1241" s="106"/>
      <c r="EKU1241" s="106"/>
      <c r="EKV1241" s="106"/>
      <c r="EKW1241" s="106"/>
      <c r="EKX1241" s="106"/>
      <c r="EKY1241" s="106"/>
      <c r="EKZ1241" s="106"/>
      <c r="ELA1241" s="106"/>
      <c r="ELB1241" s="106"/>
      <c r="ELC1241" s="106"/>
      <c r="ELD1241" s="106"/>
      <c r="ELE1241" s="106"/>
      <c r="ELF1241" s="106"/>
      <c r="ELG1241" s="106"/>
      <c r="ELH1241" s="106"/>
      <c r="ELI1241" s="106"/>
      <c r="ELJ1241" s="106"/>
      <c r="ELK1241" s="106"/>
      <c r="ELL1241" s="106"/>
      <c r="ELM1241" s="106"/>
      <c r="ELN1241" s="106"/>
      <c r="ELO1241" s="106"/>
      <c r="ELP1241" s="106"/>
      <c r="ELQ1241" s="106"/>
      <c r="ELR1241" s="106"/>
      <c r="ELS1241" s="106"/>
      <c r="ELT1241" s="106"/>
      <c r="ELU1241" s="106"/>
      <c r="ELV1241" s="106"/>
      <c r="ELW1241" s="106"/>
      <c r="ELX1241" s="106"/>
      <c r="ELY1241" s="106"/>
      <c r="ELZ1241" s="106"/>
      <c r="EMA1241" s="106"/>
      <c r="EMB1241" s="106"/>
      <c r="EMC1241" s="106"/>
      <c r="EMD1241" s="106"/>
      <c r="EME1241" s="106"/>
      <c r="EMF1241" s="106"/>
      <c r="EMG1241" s="106"/>
      <c r="EMH1241" s="106"/>
      <c r="EMI1241" s="106"/>
      <c r="EMJ1241" s="106"/>
      <c r="EMK1241" s="106"/>
      <c r="EML1241" s="106"/>
      <c r="EMM1241" s="106"/>
      <c r="EMN1241" s="106"/>
      <c r="EMO1241" s="106"/>
      <c r="EMP1241" s="106"/>
      <c r="EMQ1241" s="106"/>
      <c r="EMR1241" s="106"/>
      <c r="EMS1241" s="106"/>
      <c r="EMT1241" s="106"/>
      <c r="EMU1241" s="106"/>
      <c r="EMV1241" s="106"/>
      <c r="EMW1241" s="106"/>
      <c r="EMX1241" s="106"/>
      <c r="EMY1241" s="106"/>
      <c r="EMZ1241" s="106"/>
      <c r="ENA1241" s="106"/>
      <c r="ENB1241" s="106"/>
      <c r="ENC1241" s="106"/>
      <c r="END1241" s="106"/>
      <c r="ENE1241" s="106"/>
      <c r="ENF1241" s="106"/>
      <c r="ENG1241" s="106"/>
      <c r="ENH1241" s="106"/>
      <c r="ENI1241" s="106"/>
      <c r="ENJ1241" s="106"/>
      <c r="ENK1241" s="106"/>
      <c r="ENL1241" s="106"/>
      <c r="ENM1241" s="106"/>
      <c r="ENN1241" s="106"/>
      <c r="ENO1241" s="106"/>
      <c r="ENP1241" s="106"/>
      <c r="ENQ1241" s="106"/>
      <c r="ENR1241" s="106"/>
      <c r="ENS1241" s="106"/>
      <c r="ENT1241" s="106"/>
      <c r="ENU1241" s="106"/>
      <c r="ENV1241" s="106"/>
      <c r="ENW1241" s="106"/>
      <c r="ENX1241" s="106"/>
      <c r="ENY1241" s="106"/>
      <c r="ENZ1241" s="106"/>
      <c r="EOA1241" s="106"/>
      <c r="EOB1241" s="106"/>
      <c r="EOC1241" s="106"/>
      <c r="EOD1241" s="106"/>
      <c r="EOE1241" s="106"/>
      <c r="EOF1241" s="106"/>
      <c r="EOG1241" s="106"/>
      <c r="EOH1241" s="106"/>
      <c r="EOI1241" s="106"/>
      <c r="EOJ1241" s="106"/>
      <c r="EOK1241" s="106"/>
      <c r="EOL1241" s="106"/>
      <c r="EOM1241" s="106"/>
      <c r="EON1241" s="106"/>
      <c r="EOO1241" s="106"/>
      <c r="EOP1241" s="106"/>
      <c r="EOQ1241" s="106"/>
      <c r="EOR1241" s="106"/>
      <c r="EOS1241" s="106"/>
      <c r="EOT1241" s="106"/>
      <c r="EOU1241" s="106"/>
      <c r="EOV1241" s="106"/>
      <c r="EOW1241" s="106"/>
      <c r="EOX1241" s="106"/>
      <c r="EOY1241" s="106"/>
      <c r="EOZ1241" s="106"/>
      <c r="EPA1241" s="106"/>
      <c r="EPB1241" s="106"/>
      <c r="EPC1241" s="106"/>
      <c r="EPD1241" s="106"/>
      <c r="EPE1241" s="106"/>
      <c r="EPF1241" s="106"/>
      <c r="EPG1241" s="106"/>
      <c r="EPH1241" s="106"/>
      <c r="EPI1241" s="106"/>
      <c r="EPJ1241" s="106"/>
      <c r="EPK1241" s="106"/>
      <c r="EPL1241" s="106"/>
      <c r="EPM1241" s="106"/>
      <c r="EPN1241" s="106"/>
      <c r="EPO1241" s="106"/>
      <c r="EPP1241" s="106"/>
      <c r="EPQ1241" s="106"/>
      <c r="EPR1241" s="106"/>
      <c r="EPS1241" s="106"/>
      <c r="EPT1241" s="106"/>
      <c r="EPU1241" s="106"/>
      <c r="EPV1241" s="106"/>
      <c r="EPW1241" s="106"/>
      <c r="EPX1241" s="106"/>
      <c r="EPY1241" s="106"/>
      <c r="EPZ1241" s="106"/>
      <c r="EQA1241" s="106"/>
      <c r="EQB1241" s="106"/>
      <c r="EQC1241" s="106"/>
      <c r="EQD1241" s="106"/>
      <c r="EQE1241" s="106"/>
      <c r="EQF1241" s="106"/>
      <c r="EQG1241" s="106"/>
      <c r="EQH1241" s="106"/>
      <c r="EQI1241" s="106"/>
      <c r="EQJ1241" s="106"/>
      <c r="EQK1241" s="106"/>
      <c r="EQL1241" s="106"/>
      <c r="EQM1241" s="106"/>
      <c r="EQN1241" s="106"/>
      <c r="EQO1241" s="106"/>
      <c r="EQP1241" s="106"/>
      <c r="EQQ1241" s="106"/>
      <c r="EQR1241" s="106"/>
      <c r="EQS1241" s="106"/>
      <c r="EQT1241" s="106"/>
      <c r="EQU1241" s="106"/>
      <c r="EQV1241" s="106"/>
      <c r="EQW1241" s="106"/>
      <c r="EQX1241" s="106"/>
      <c r="EQY1241" s="106"/>
      <c r="EQZ1241" s="106"/>
      <c r="ERA1241" s="106"/>
      <c r="ERB1241" s="106"/>
      <c r="ERC1241" s="106"/>
      <c r="ERD1241" s="106"/>
      <c r="ERE1241" s="106"/>
      <c r="ERF1241" s="106"/>
      <c r="ERG1241" s="106"/>
      <c r="ERH1241" s="106"/>
      <c r="ERI1241" s="106"/>
      <c r="ERJ1241" s="106"/>
      <c r="ERK1241" s="106"/>
      <c r="ERL1241" s="106"/>
      <c r="ERM1241" s="106"/>
      <c r="ERN1241" s="106"/>
      <c r="ERO1241" s="106"/>
      <c r="ERP1241" s="106"/>
      <c r="ERQ1241" s="106"/>
      <c r="ERR1241" s="106"/>
      <c r="ERS1241" s="106"/>
      <c r="ERT1241" s="106"/>
      <c r="ERU1241" s="106"/>
      <c r="ERV1241" s="106"/>
      <c r="ERW1241" s="106"/>
      <c r="ERX1241" s="106"/>
      <c r="ERY1241" s="106"/>
      <c r="ERZ1241" s="106"/>
      <c r="ESA1241" s="106"/>
      <c r="ESB1241" s="106"/>
      <c r="ESC1241" s="106"/>
      <c r="ESD1241" s="106"/>
      <c r="ESE1241" s="106"/>
      <c r="ESF1241" s="106"/>
      <c r="ESG1241" s="106"/>
      <c r="ESH1241" s="106"/>
      <c r="ESI1241" s="106"/>
      <c r="ESJ1241" s="106"/>
      <c r="ESK1241" s="106"/>
      <c r="ESL1241" s="106"/>
      <c r="ESM1241" s="106"/>
      <c r="ESN1241" s="106"/>
      <c r="ESO1241" s="106"/>
      <c r="ESP1241" s="106"/>
      <c r="ESQ1241" s="106"/>
      <c r="ESR1241" s="106"/>
      <c r="ESS1241" s="106"/>
      <c r="EST1241" s="106"/>
      <c r="ESU1241" s="106"/>
      <c r="ESV1241" s="106"/>
      <c r="ESW1241" s="106"/>
      <c r="ESX1241" s="106"/>
      <c r="ESY1241" s="106"/>
      <c r="ESZ1241" s="106"/>
      <c r="ETA1241" s="106"/>
      <c r="ETB1241" s="106"/>
      <c r="ETC1241" s="106"/>
      <c r="ETD1241" s="106"/>
      <c r="ETE1241" s="106"/>
      <c r="ETF1241" s="106"/>
      <c r="ETG1241" s="106"/>
      <c r="ETH1241" s="106"/>
      <c r="ETI1241" s="106"/>
      <c r="ETJ1241" s="106"/>
      <c r="ETK1241" s="106"/>
      <c r="ETL1241" s="106"/>
      <c r="ETM1241" s="106"/>
      <c r="ETN1241" s="106"/>
      <c r="ETO1241" s="106"/>
      <c r="ETP1241" s="106"/>
      <c r="ETQ1241" s="106"/>
      <c r="ETR1241" s="106"/>
      <c r="ETS1241" s="106"/>
      <c r="ETT1241" s="106"/>
      <c r="ETU1241" s="106"/>
      <c r="ETV1241" s="106"/>
      <c r="ETW1241" s="106"/>
      <c r="ETX1241" s="106"/>
      <c r="ETY1241" s="106"/>
      <c r="ETZ1241" s="106"/>
      <c r="EUA1241" s="106"/>
      <c r="EUB1241" s="106"/>
      <c r="EUC1241" s="106"/>
      <c r="EUD1241" s="106"/>
      <c r="EUE1241" s="106"/>
      <c r="EUF1241" s="106"/>
      <c r="EUG1241" s="106"/>
      <c r="EUH1241" s="106"/>
      <c r="EUI1241" s="106"/>
      <c r="EUJ1241" s="106"/>
      <c r="EUK1241" s="106"/>
      <c r="EUL1241" s="106"/>
      <c r="EUM1241" s="106"/>
      <c r="EUN1241" s="106"/>
      <c r="EUO1241" s="106"/>
      <c r="EUP1241" s="106"/>
      <c r="EUQ1241" s="106"/>
      <c r="EUR1241" s="106"/>
      <c r="EUS1241" s="106"/>
      <c r="EUT1241" s="106"/>
      <c r="EUU1241" s="106"/>
      <c r="EUV1241" s="106"/>
      <c r="EUW1241" s="106"/>
      <c r="EUX1241" s="106"/>
      <c r="EUY1241" s="106"/>
      <c r="EUZ1241" s="106"/>
      <c r="EVA1241" s="106"/>
      <c r="EVB1241" s="106"/>
      <c r="EVC1241" s="106"/>
      <c r="EVD1241" s="106"/>
      <c r="EVE1241" s="106"/>
      <c r="EVF1241" s="106"/>
      <c r="EVG1241" s="106"/>
      <c r="EVH1241" s="106"/>
      <c r="EVI1241" s="106"/>
      <c r="EVJ1241" s="106"/>
      <c r="EVK1241" s="106"/>
      <c r="EVL1241" s="106"/>
      <c r="EVM1241" s="106"/>
      <c r="EVN1241" s="106"/>
      <c r="EVO1241" s="106"/>
      <c r="EVP1241" s="106"/>
      <c r="EVQ1241" s="106"/>
      <c r="EVR1241" s="106"/>
      <c r="EVS1241" s="106"/>
      <c r="EVT1241" s="106"/>
      <c r="EVU1241" s="106"/>
      <c r="EVV1241" s="106"/>
      <c r="EVW1241" s="106"/>
      <c r="EVX1241" s="106"/>
      <c r="EVY1241" s="106"/>
      <c r="EVZ1241" s="106"/>
      <c r="EWA1241" s="106"/>
      <c r="EWB1241" s="106"/>
      <c r="EWC1241" s="106"/>
      <c r="EWD1241" s="106"/>
      <c r="EWE1241" s="106"/>
      <c r="EWF1241" s="106"/>
      <c r="EWG1241" s="106"/>
      <c r="EWH1241" s="106"/>
      <c r="EWI1241" s="106"/>
      <c r="EWJ1241" s="106"/>
      <c r="EWK1241" s="106"/>
      <c r="EWL1241" s="106"/>
      <c r="EWM1241" s="106"/>
      <c r="EWN1241" s="106"/>
      <c r="EWO1241" s="106"/>
      <c r="EWP1241" s="106"/>
      <c r="EWQ1241" s="106"/>
      <c r="EWR1241" s="106"/>
      <c r="EWS1241" s="106"/>
      <c r="EWT1241" s="106"/>
      <c r="EWU1241" s="106"/>
      <c r="EWV1241" s="106"/>
      <c r="EWW1241" s="106"/>
      <c r="EWX1241" s="106"/>
      <c r="EWY1241" s="106"/>
      <c r="EWZ1241" s="106"/>
      <c r="EXA1241" s="106"/>
      <c r="EXB1241" s="106"/>
      <c r="EXC1241" s="106"/>
      <c r="EXD1241" s="106"/>
      <c r="EXE1241" s="106"/>
      <c r="EXF1241" s="106"/>
      <c r="EXG1241" s="106"/>
      <c r="EXH1241" s="106"/>
      <c r="EXI1241" s="106"/>
      <c r="EXJ1241" s="106"/>
      <c r="EXK1241" s="106"/>
      <c r="EXL1241" s="106"/>
      <c r="EXM1241" s="106"/>
      <c r="EXN1241" s="106"/>
      <c r="EXO1241" s="106"/>
      <c r="EXP1241" s="106"/>
      <c r="EXQ1241" s="106"/>
      <c r="EXR1241" s="106"/>
      <c r="EXS1241" s="106"/>
      <c r="EXT1241" s="106"/>
      <c r="EXU1241" s="106"/>
      <c r="EXV1241" s="106"/>
      <c r="EXW1241" s="106"/>
      <c r="EXX1241" s="106"/>
      <c r="EXY1241" s="106"/>
      <c r="EXZ1241" s="106"/>
      <c r="EYA1241" s="106"/>
      <c r="EYB1241" s="106"/>
      <c r="EYC1241" s="106"/>
      <c r="EYD1241" s="106"/>
      <c r="EYE1241" s="106"/>
      <c r="EYF1241" s="106"/>
      <c r="EYG1241" s="106"/>
      <c r="EYH1241" s="106"/>
      <c r="EYI1241" s="106"/>
      <c r="EYJ1241" s="106"/>
      <c r="EYK1241" s="106"/>
      <c r="EYL1241" s="106"/>
      <c r="EYM1241" s="106"/>
      <c r="EYN1241" s="106"/>
      <c r="EYO1241" s="106"/>
      <c r="EYP1241" s="106"/>
      <c r="EYQ1241" s="106"/>
      <c r="EYR1241" s="106"/>
      <c r="EYS1241" s="106"/>
      <c r="EYT1241" s="106"/>
      <c r="EYU1241" s="106"/>
      <c r="EYV1241" s="106"/>
      <c r="EYW1241" s="106"/>
      <c r="EYX1241" s="106"/>
      <c r="EYY1241" s="106"/>
      <c r="EYZ1241" s="106"/>
      <c r="EZA1241" s="106"/>
      <c r="EZB1241" s="106"/>
      <c r="EZC1241" s="106"/>
      <c r="EZD1241" s="106"/>
      <c r="EZE1241" s="106"/>
      <c r="EZF1241" s="106"/>
      <c r="EZG1241" s="106"/>
      <c r="EZH1241" s="106"/>
      <c r="EZI1241" s="106"/>
      <c r="EZJ1241" s="106"/>
      <c r="EZK1241" s="106"/>
      <c r="EZL1241" s="106"/>
      <c r="EZM1241" s="106"/>
      <c r="EZN1241" s="106"/>
      <c r="EZO1241" s="106"/>
      <c r="EZP1241" s="106"/>
      <c r="EZQ1241" s="106"/>
      <c r="EZR1241" s="106"/>
      <c r="EZS1241" s="106"/>
      <c r="EZT1241" s="106"/>
      <c r="EZU1241" s="106"/>
      <c r="EZV1241" s="106"/>
      <c r="EZW1241" s="106"/>
      <c r="EZX1241" s="106"/>
      <c r="EZY1241" s="106"/>
      <c r="EZZ1241" s="106"/>
      <c r="FAA1241" s="106"/>
      <c r="FAB1241" s="106"/>
      <c r="FAC1241" s="106"/>
      <c r="FAD1241" s="106"/>
      <c r="FAE1241" s="106"/>
      <c r="FAF1241" s="106"/>
      <c r="FAG1241" s="106"/>
      <c r="FAH1241" s="106"/>
      <c r="FAI1241" s="106"/>
      <c r="FAJ1241" s="106"/>
      <c r="FAK1241" s="106"/>
      <c r="FAL1241" s="106"/>
      <c r="FAM1241" s="106"/>
      <c r="FAN1241" s="106"/>
      <c r="FAO1241" s="106"/>
      <c r="FAP1241" s="106"/>
      <c r="FAQ1241" s="106"/>
      <c r="FAR1241" s="106"/>
      <c r="FAS1241" s="106"/>
      <c r="FAT1241" s="106"/>
      <c r="FAU1241" s="106"/>
      <c r="FAV1241" s="106"/>
      <c r="FAW1241" s="106"/>
      <c r="FAX1241" s="106"/>
      <c r="FAY1241" s="106"/>
      <c r="FAZ1241" s="106"/>
      <c r="FBA1241" s="106"/>
      <c r="FBB1241" s="106"/>
      <c r="FBC1241" s="106"/>
      <c r="FBD1241" s="106"/>
      <c r="FBE1241" s="106"/>
      <c r="FBF1241" s="106"/>
      <c r="FBG1241" s="106"/>
      <c r="FBH1241" s="106"/>
      <c r="FBI1241" s="106"/>
      <c r="FBJ1241" s="106"/>
      <c r="FBK1241" s="106"/>
      <c r="FBL1241" s="106"/>
      <c r="FBM1241" s="106"/>
      <c r="FBN1241" s="106"/>
      <c r="FBO1241" s="106"/>
      <c r="FBP1241" s="106"/>
      <c r="FBQ1241" s="106"/>
      <c r="FBR1241" s="106"/>
      <c r="FBS1241" s="106"/>
      <c r="FBT1241" s="106"/>
      <c r="FBU1241" s="106"/>
      <c r="FBV1241" s="106"/>
      <c r="FBW1241" s="106"/>
      <c r="FBX1241" s="106"/>
      <c r="FBY1241" s="106"/>
      <c r="FBZ1241" s="106"/>
      <c r="FCA1241" s="106"/>
      <c r="FCB1241" s="106"/>
      <c r="FCC1241" s="106"/>
      <c r="FCD1241" s="106"/>
      <c r="FCE1241" s="106"/>
      <c r="FCF1241" s="106"/>
      <c r="FCG1241" s="106"/>
      <c r="FCH1241" s="106"/>
      <c r="FCI1241" s="106"/>
      <c r="FCJ1241" s="106"/>
      <c r="FCK1241" s="106"/>
      <c r="FCL1241" s="106"/>
      <c r="FCM1241" s="106"/>
      <c r="FCN1241" s="106"/>
      <c r="FCO1241" s="106"/>
      <c r="FCP1241" s="106"/>
      <c r="FCQ1241" s="106"/>
      <c r="FCR1241" s="106"/>
      <c r="FCS1241" s="106"/>
      <c r="FCT1241" s="106"/>
      <c r="FCU1241" s="106"/>
      <c r="FCV1241" s="106"/>
      <c r="FCW1241" s="106"/>
      <c r="FCX1241" s="106"/>
      <c r="FCY1241" s="106"/>
      <c r="FCZ1241" s="106"/>
      <c r="FDA1241" s="106"/>
      <c r="FDB1241" s="106"/>
      <c r="FDC1241" s="106"/>
      <c r="FDD1241" s="106"/>
      <c r="FDE1241" s="106"/>
      <c r="FDF1241" s="106"/>
      <c r="FDG1241" s="106"/>
      <c r="FDH1241" s="106"/>
      <c r="FDI1241" s="106"/>
      <c r="FDJ1241" s="106"/>
      <c r="FDK1241" s="106"/>
      <c r="FDL1241" s="106"/>
      <c r="FDM1241" s="106"/>
      <c r="FDN1241" s="106"/>
      <c r="FDO1241" s="106"/>
      <c r="FDP1241" s="106"/>
      <c r="FDQ1241" s="106"/>
      <c r="FDR1241" s="106"/>
      <c r="FDS1241" s="106"/>
      <c r="FDT1241" s="106"/>
      <c r="FDU1241" s="106"/>
      <c r="FDV1241" s="106"/>
      <c r="FDW1241" s="106"/>
      <c r="FDX1241" s="106"/>
      <c r="FDY1241" s="106"/>
      <c r="FDZ1241" s="106"/>
      <c r="FEA1241" s="106"/>
      <c r="FEB1241" s="106"/>
      <c r="FEC1241" s="106"/>
      <c r="FED1241" s="106"/>
      <c r="FEE1241" s="106"/>
      <c r="FEF1241" s="106"/>
      <c r="FEG1241" s="106"/>
      <c r="FEH1241" s="106"/>
      <c r="FEI1241" s="106"/>
      <c r="FEJ1241" s="106"/>
      <c r="FEK1241" s="106"/>
      <c r="FEL1241" s="106"/>
      <c r="FEM1241" s="106"/>
      <c r="FEN1241" s="106"/>
      <c r="FEO1241" s="106"/>
      <c r="FEP1241" s="106"/>
      <c r="FEQ1241" s="106"/>
      <c r="FER1241" s="106"/>
      <c r="FES1241" s="106"/>
      <c r="FET1241" s="106"/>
      <c r="FEU1241" s="106"/>
      <c r="FEV1241" s="106"/>
      <c r="FEW1241" s="106"/>
      <c r="FEX1241" s="106"/>
      <c r="FEY1241" s="106"/>
      <c r="FEZ1241" s="106"/>
      <c r="FFA1241" s="106"/>
      <c r="FFB1241" s="106"/>
      <c r="FFC1241" s="106"/>
      <c r="FFD1241" s="106"/>
      <c r="FFE1241" s="106"/>
      <c r="FFF1241" s="106"/>
      <c r="FFG1241" s="106"/>
      <c r="FFH1241" s="106"/>
      <c r="FFI1241" s="106"/>
      <c r="FFJ1241" s="106"/>
      <c r="FFK1241" s="106"/>
      <c r="FFL1241" s="106"/>
      <c r="FFM1241" s="106"/>
      <c r="FFN1241" s="106"/>
      <c r="FFO1241" s="106"/>
      <c r="FFP1241" s="106"/>
      <c r="FFQ1241" s="106"/>
      <c r="FFR1241" s="106"/>
      <c r="FFS1241" s="106"/>
      <c r="FFT1241" s="106"/>
      <c r="FFU1241" s="106"/>
      <c r="FFV1241" s="106"/>
      <c r="FFW1241" s="106"/>
      <c r="FFX1241" s="106"/>
      <c r="FFY1241" s="106"/>
      <c r="FFZ1241" s="106"/>
      <c r="FGA1241" s="106"/>
      <c r="FGB1241" s="106"/>
      <c r="FGC1241" s="106"/>
      <c r="FGD1241" s="106"/>
      <c r="FGE1241" s="106"/>
      <c r="FGF1241" s="106"/>
      <c r="FGG1241" s="106"/>
      <c r="FGH1241" s="106"/>
      <c r="FGI1241" s="106"/>
      <c r="FGJ1241" s="106"/>
      <c r="FGK1241" s="106"/>
      <c r="FGL1241" s="106"/>
      <c r="FGM1241" s="106"/>
      <c r="FGN1241" s="106"/>
      <c r="FGO1241" s="106"/>
      <c r="FGP1241" s="106"/>
      <c r="FGQ1241" s="106"/>
      <c r="FGR1241" s="106"/>
      <c r="FGS1241" s="106"/>
      <c r="FGT1241" s="106"/>
      <c r="FGU1241" s="106"/>
      <c r="FGV1241" s="106"/>
      <c r="FGW1241" s="106"/>
      <c r="FGX1241" s="106"/>
      <c r="FGY1241" s="106"/>
      <c r="FGZ1241" s="106"/>
      <c r="FHA1241" s="106"/>
      <c r="FHB1241" s="106"/>
      <c r="FHC1241" s="106"/>
      <c r="FHD1241" s="106"/>
      <c r="FHE1241" s="106"/>
      <c r="FHF1241" s="106"/>
      <c r="FHG1241" s="106"/>
      <c r="FHH1241" s="106"/>
      <c r="FHI1241" s="106"/>
      <c r="FHJ1241" s="106"/>
      <c r="FHK1241" s="106"/>
      <c r="FHL1241" s="106"/>
      <c r="FHM1241" s="106"/>
      <c r="FHN1241" s="106"/>
      <c r="FHO1241" s="106"/>
      <c r="FHP1241" s="106"/>
      <c r="FHQ1241" s="106"/>
      <c r="FHR1241" s="106"/>
      <c r="FHS1241" s="106"/>
      <c r="FHT1241" s="106"/>
      <c r="FHU1241" s="106"/>
      <c r="FHV1241" s="106"/>
      <c r="FHW1241" s="106"/>
      <c r="FHX1241" s="106"/>
      <c r="FHY1241" s="106"/>
      <c r="FHZ1241" s="106"/>
      <c r="FIA1241" s="106"/>
      <c r="FIB1241" s="106"/>
      <c r="FIC1241" s="106"/>
      <c r="FID1241" s="106"/>
      <c r="FIE1241" s="106"/>
      <c r="FIF1241" s="106"/>
      <c r="FIG1241" s="106"/>
      <c r="FIH1241" s="106"/>
      <c r="FII1241" s="106"/>
      <c r="FIJ1241" s="106"/>
      <c r="FIK1241" s="106"/>
      <c r="FIL1241" s="106"/>
      <c r="FIM1241" s="106"/>
      <c r="FIN1241" s="106"/>
      <c r="FIO1241" s="106"/>
      <c r="FIP1241" s="106"/>
      <c r="FIQ1241" s="106"/>
      <c r="FIR1241" s="106"/>
      <c r="FIS1241" s="106"/>
      <c r="FIT1241" s="106"/>
      <c r="FIU1241" s="106"/>
      <c r="FIV1241" s="106"/>
      <c r="FIW1241" s="106"/>
      <c r="FIX1241" s="106"/>
      <c r="FIY1241" s="106"/>
      <c r="FIZ1241" s="106"/>
      <c r="FJA1241" s="106"/>
      <c r="FJB1241" s="106"/>
      <c r="FJC1241" s="106"/>
      <c r="FJD1241" s="106"/>
      <c r="FJE1241" s="106"/>
      <c r="FJF1241" s="106"/>
      <c r="FJG1241" s="106"/>
      <c r="FJH1241" s="106"/>
      <c r="FJI1241" s="106"/>
      <c r="FJJ1241" s="106"/>
      <c r="FJK1241" s="106"/>
      <c r="FJL1241" s="106"/>
      <c r="FJM1241" s="106"/>
      <c r="FJN1241" s="106"/>
      <c r="FJO1241" s="106"/>
      <c r="FJP1241" s="106"/>
      <c r="FJQ1241" s="106"/>
      <c r="FJR1241" s="106"/>
      <c r="FJS1241" s="106"/>
      <c r="FJT1241" s="106"/>
      <c r="FJU1241" s="106"/>
      <c r="FJV1241" s="106"/>
      <c r="FJW1241" s="106"/>
      <c r="FJX1241" s="106"/>
      <c r="FJY1241" s="106"/>
      <c r="FJZ1241" s="106"/>
      <c r="FKA1241" s="106"/>
      <c r="FKB1241" s="106"/>
      <c r="FKC1241" s="106"/>
      <c r="FKD1241" s="106"/>
      <c r="FKE1241" s="106"/>
      <c r="FKF1241" s="106"/>
      <c r="FKG1241" s="106"/>
      <c r="FKH1241" s="106"/>
      <c r="FKI1241" s="106"/>
      <c r="FKJ1241" s="106"/>
      <c r="FKK1241" s="106"/>
      <c r="FKL1241" s="106"/>
      <c r="FKM1241" s="106"/>
      <c r="FKN1241" s="106"/>
      <c r="FKO1241" s="106"/>
      <c r="FKP1241" s="106"/>
      <c r="FKQ1241" s="106"/>
      <c r="FKR1241" s="106"/>
      <c r="FKS1241" s="106"/>
      <c r="FKT1241" s="106"/>
      <c r="FKU1241" s="106"/>
      <c r="FKV1241" s="106"/>
      <c r="FKW1241" s="106"/>
      <c r="FKX1241" s="106"/>
      <c r="FKY1241" s="106"/>
      <c r="FKZ1241" s="106"/>
      <c r="FLA1241" s="106"/>
      <c r="FLB1241" s="106"/>
      <c r="FLC1241" s="106"/>
      <c r="FLD1241" s="106"/>
      <c r="FLE1241" s="106"/>
      <c r="FLF1241" s="106"/>
      <c r="FLG1241" s="106"/>
      <c r="FLH1241" s="106"/>
      <c r="FLI1241" s="106"/>
      <c r="FLJ1241" s="106"/>
      <c r="FLK1241" s="106"/>
      <c r="FLL1241" s="106"/>
      <c r="FLM1241" s="106"/>
      <c r="FLN1241" s="106"/>
      <c r="FLO1241" s="106"/>
      <c r="FLP1241" s="106"/>
      <c r="FLQ1241" s="106"/>
      <c r="FLR1241" s="106"/>
      <c r="FLS1241" s="106"/>
      <c r="FLT1241" s="106"/>
      <c r="FLU1241" s="106"/>
      <c r="FLV1241" s="106"/>
      <c r="FLW1241" s="106"/>
      <c r="FLX1241" s="106"/>
      <c r="FLY1241" s="106"/>
      <c r="FLZ1241" s="106"/>
      <c r="FMA1241" s="106"/>
      <c r="FMB1241" s="106"/>
      <c r="FMC1241" s="106"/>
      <c r="FMD1241" s="106"/>
      <c r="FME1241" s="106"/>
      <c r="FMF1241" s="106"/>
      <c r="FMG1241" s="106"/>
      <c r="FMH1241" s="106"/>
      <c r="FMI1241" s="106"/>
      <c r="FMJ1241" s="106"/>
      <c r="FMK1241" s="106"/>
      <c r="FML1241" s="106"/>
      <c r="FMM1241" s="106"/>
      <c r="FMN1241" s="106"/>
      <c r="FMO1241" s="106"/>
      <c r="FMP1241" s="106"/>
      <c r="FMQ1241" s="106"/>
      <c r="FMR1241" s="106"/>
      <c r="FMS1241" s="106"/>
      <c r="FMT1241" s="106"/>
      <c r="FMU1241" s="106"/>
      <c r="FMV1241" s="106"/>
      <c r="FMW1241" s="106"/>
      <c r="FMX1241" s="106"/>
      <c r="FMY1241" s="106"/>
      <c r="FMZ1241" s="106"/>
      <c r="FNA1241" s="106"/>
      <c r="FNB1241" s="106"/>
      <c r="FNC1241" s="106"/>
      <c r="FND1241" s="106"/>
      <c r="FNE1241" s="106"/>
      <c r="FNF1241" s="106"/>
      <c r="FNG1241" s="106"/>
      <c r="FNH1241" s="106"/>
      <c r="FNI1241" s="106"/>
      <c r="FNJ1241" s="106"/>
      <c r="FNK1241" s="106"/>
      <c r="FNL1241" s="106"/>
      <c r="FNM1241" s="106"/>
      <c r="FNN1241" s="106"/>
      <c r="FNO1241" s="106"/>
      <c r="FNP1241" s="106"/>
      <c r="FNQ1241" s="106"/>
      <c r="FNR1241" s="106"/>
      <c r="FNS1241" s="106"/>
      <c r="FNT1241" s="106"/>
      <c r="FNU1241" s="106"/>
      <c r="FNV1241" s="106"/>
      <c r="FNW1241" s="106"/>
      <c r="FNX1241" s="106"/>
      <c r="FNY1241" s="106"/>
      <c r="FNZ1241" s="106"/>
      <c r="FOA1241" s="106"/>
      <c r="FOB1241" s="106"/>
      <c r="FOC1241" s="106"/>
      <c r="FOD1241" s="106"/>
      <c r="FOE1241" s="106"/>
      <c r="FOF1241" s="106"/>
      <c r="FOG1241" s="106"/>
      <c r="FOH1241" s="106"/>
      <c r="FOI1241" s="106"/>
      <c r="FOJ1241" s="106"/>
      <c r="FOK1241" s="106"/>
      <c r="FOL1241" s="106"/>
      <c r="FOM1241" s="106"/>
      <c r="FON1241" s="106"/>
      <c r="FOO1241" s="106"/>
      <c r="FOP1241" s="106"/>
      <c r="FOQ1241" s="106"/>
      <c r="FOR1241" s="106"/>
      <c r="FOS1241" s="106"/>
      <c r="FOT1241" s="106"/>
      <c r="FOU1241" s="106"/>
      <c r="FOV1241" s="106"/>
      <c r="FOW1241" s="106"/>
      <c r="FOX1241" s="106"/>
      <c r="FOY1241" s="106"/>
      <c r="FOZ1241" s="106"/>
      <c r="FPA1241" s="106"/>
      <c r="FPB1241" s="106"/>
      <c r="FPC1241" s="106"/>
      <c r="FPD1241" s="106"/>
      <c r="FPE1241" s="106"/>
      <c r="FPF1241" s="106"/>
      <c r="FPG1241" s="106"/>
      <c r="FPH1241" s="106"/>
      <c r="FPI1241" s="106"/>
      <c r="FPJ1241" s="106"/>
      <c r="FPK1241" s="106"/>
      <c r="FPL1241" s="106"/>
      <c r="FPM1241" s="106"/>
      <c r="FPN1241" s="106"/>
      <c r="FPO1241" s="106"/>
      <c r="FPP1241" s="106"/>
      <c r="FPQ1241" s="106"/>
      <c r="FPR1241" s="106"/>
      <c r="FPS1241" s="106"/>
      <c r="FPT1241" s="106"/>
      <c r="FPU1241" s="106"/>
      <c r="FPV1241" s="106"/>
      <c r="FPW1241" s="106"/>
      <c r="FPX1241" s="106"/>
      <c r="FPY1241" s="106"/>
      <c r="FPZ1241" s="106"/>
      <c r="FQA1241" s="106"/>
      <c r="FQB1241" s="106"/>
      <c r="FQC1241" s="106"/>
      <c r="FQD1241" s="106"/>
      <c r="FQE1241" s="106"/>
      <c r="FQF1241" s="106"/>
      <c r="FQG1241" s="106"/>
      <c r="FQH1241" s="106"/>
      <c r="FQI1241" s="106"/>
      <c r="FQJ1241" s="106"/>
      <c r="FQK1241" s="106"/>
      <c r="FQL1241" s="106"/>
      <c r="FQM1241" s="106"/>
      <c r="FQN1241" s="106"/>
      <c r="FQO1241" s="106"/>
      <c r="FQP1241" s="106"/>
      <c r="FQQ1241" s="106"/>
      <c r="FQR1241" s="106"/>
      <c r="FQS1241" s="106"/>
      <c r="FQT1241" s="106"/>
      <c r="FQU1241" s="106"/>
      <c r="FQV1241" s="106"/>
      <c r="FQW1241" s="106"/>
      <c r="FQX1241" s="106"/>
      <c r="FQY1241" s="106"/>
      <c r="FQZ1241" s="106"/>
      <c r="FRA1241" s="106"/>
      <c r="FRB1241" s="106"/>
      <c r="FRC1241" s="106"/>
      <c r="FRD1241" s="106"/>
      <c r="FRE1241" s="106"/>
      <c r="FRF1241" s="106"/>
      <c r="FRG1241" s="106"/>
      <c r="FRH1241" s="106"/>
      <c r="FRI1241" s="106"/>
      <c r="FRJ1241" s="106"/>
      <c r="FRK1241" s="106"/>
      <c r="FRL1241" s="106"/>
      <c r="FRM1241" s="106"/>
      <c r="FRN1241" s="106"/>
      <c r="FRO1241" s="106"/>
      <c r="FRP1241" s="106"/>
      <c r="FRQ1241" s="106"/>
      <c r="FRR1241" s="106"/>
      <c r="FRS1241" s="106"/>
      <c r="FRT1241" s="106"/>
      <c r="FRU1241" s="106"/>
      <c r="FRV1241" s="106"/>
      <c r="FRW1241" s="106"/>
      <c r="FRX1241" s="106"/>
      <c r="FRY1241" s="106"/>
      <c r="FRZ1241" s="106"/>
      <c r="FSA1241" s="106"/>
      <c r="FSB1241" s="106"/>
      <c r="FSC1241" s="106"/>
      <c r="FSD1241" s="106"/>
      <c r="FSE1241" s="106"/>
      <c r="FSF1241" s="106"/>
      <c r="FSG1241" s="106"/>
      <c r="FSH1241" s="106"/>
      <c r="FSI1241" s="106"/>
      <c r="FSJ1241" s="106"/>
      <c r="FSK1241" s="106"/>
      <c r="FSL1241" s="106"/>
      <c r="FSM1241" s="106"/>
      <c r="FSN1241" s="106"/>
      <c r="FSO1241" s="106"/>
      <c r="FSP1241" s="106"/>
      <c r="FSQ1241" s="106"/>
      <c r="FSR1241" s="106"/>
      <c r="FSS1241" s="106"/>
      <c r="FST1241" s="106"/>
      <c r="FSU1241" s="106"/>
      <c r="FSV1241" s="106"/>
      <c r="FSW1241" s="106"/>
      <c r="FSX1241" s="106"/>
      <c r="FSY1241" s="106"/>
      <c r="FSZ1241" s="106"/>
      <c r="FTA1241" s="106"/>
      <c r="FTB1241" s="106"/>
      <c r="FTC1241" s="106"/>
      <c r="FTD1241" s="106"/>
      <c r="FTE1241" s="106"/>
      <c r="FTF1241" s="106"/>
      <c r="FTG1241" s="106"/>
      <c r="FTH1241" s="106"/>
      <c r="FTI1241" s="106"/>
      <c r="FTJ1241" s="106"/>
      <c r="FTK1241" s="106"/>
      <c r="FTL1241" s="106"/>
      <c r="FTM1241" s="106"/>
      <c r="FTN1241" s="106"/>
      <c r="FTO1241" s="106"/>
      <c r="FTP1241" s="106"/>
      <c r="FTQ1241" s="106"/>
      <c r="FTR1241" s="106"/>
      <c r="FTS1241" s="106"/>
      <c r="FTT1241" s="106"/>
      <c r="FTU1241" s="106"/>
      <c r="FTV1241" s="106"/>
      <c r="FTW1241" s="106"/>
      <c r="FTX1241" s="106"/>
      <c r="FTY1241" s="106"/>
      <c r="FTZ1241" s="106"/>
      <c r="FUA1241" s="106"/>
      <c r="FUB1241" s="106"/>
      <c r="FUC1241" s="106"/>
      <c r="FUD1241" s="106"/>
      <c r="FUE1241" s="106"/>
      <c r="FUF1241" s="106"/>
      <c r="FUG1241" s="106"/>
      <c r="FUH1241" s="106"/>
      <c r="FUI1241" s="106"/>
      <c r="FUJ1241" s="106"/>
      <c r="FUK1241" s="106"/>
      <c r="FUL1241" s="106"/>
      <c r="FUM1241" s="106"/>
      <c r="FUN1241" s="106"/>
      <c r="FUO1241" s="106"/>
      <c r="FUP1241" s="106"/>
      <c r="FUQ1241" s="106"/>
      <c r="FUR1241" s="106"/>
      <c r="FUS1241" s="106"/>
      <c r="FUT1241" s="106"/>
      <c r="FUU1241" s="106"/>
      <c r="FUV1241" s="106"/>
      <c r="FUW1241" s="106"/>
      <c r="FUX1241" s="106"/>
      <c r="FUY1241" s="106"/>
      <c r="FUZ1241" s="106"/>
      <c r="FVA1241" s="106"/>
      <c r="FVB1241" s="106"/>
      <c r="FVC1241" s="106"/>
      <c r="FVD1241" s="106"/>
      <c r="FVE1241" s="106"/>
      <c r="FVF1241" s="106"/>
      <c r="FVG1241" s="106"/>
      <c r="FVH1241" s="106"/>
      <c r="FVI1241" s="106"/>
      <c r="FVJ1241" s="106"/>
      <c r="FVK1241" s="106"/>
      <c r="FVL1241" s="106"/>
      <c r="FVM1241" s="106"/>
      <c r="FVN1241" s="106"/>
      <c r="FVO1241" s="106"/>
      <c r="FVP1241" s="106"/>
      <c r="FVQ1241" s="106"/>
      <c r="FVR1241" s="106"/>
      <c r="FVS1241" s="106"/>
      <c r="FVT1241" s="106"/>
      <c r="FVU1241" s="106"/>
      <c r="FVV1241" s="106"/>
      <c r="FVW1241" s="106"/>
      <c r="FVX1241" s="106"/>
      <c r="FVY1241" s="106"/>
      <c r="FVZ1241" s="106"/>
      <c r="FWA1241" s="106"/>
      <c r="FWB1241" s="106"/>
      <c r="FWC1241" s="106"/>
      <c r="FWD1241" s="106"/>
      <c r="FWE1241" s="106"/>
      <c r="FWF1241" s="106"/>
      <c r="FWG1241" s="106"/>
      <c r="FWH1241" s="106"/>
      <c r="FWI1241" s="106"/>
      <c r="FWJ1241" s="106"/>
      <c r="FWK1241" s="106"/>
      <c r="FWL1241" s="106"/>
      <c r="FWM1241" s="106"/>
      <c r="FWN1241" s="106"/>
      <c r="FWO1241" s="106"/>
      <c r="FWP1241" s="106"/>
      <c r="FWQ1241" s="106"/>
      <c r="FWR1241" s="106"/>
      <c r="FWS1241" s="106"/>
      <c r="FWT1241" s="106"/>
      <c r="FWU1241" s="106"/>
      <c r="FWV1241" s="106"/>
      <c r="FWW1241" s="106"/>
      <c r="FWX1241" s="106"/>
      <c r="FWY1241" s="106"/>
      <c r="FWZ1241" s="106"/>
      <c r="FXA1241" s="106"/>
      <c r="FXB1241" s="106"/>
      <c r="FXC1241" s="106"/>
      <c r="FXD1241" s="106"/>
      <c r="FXE1241" s="106"/>
      <c r="FXF1241" s="106"/>
      <c r="FXG1241" s="106"/>
      <c r="FXH1241" s="106"/>
      <c r="FXI1241" s="106"/>
      <c r="FXJ1241" s="106"/>
      <c r="FXK1241" s="106"/>
      <c r="FXL1241" s="106"/>
      <c r="FXM1241" s="106"/>
      <c r="FXN1241" s="106"/>
      <c r="FXO1241" s="106"/>
      <c r="FXP1241" s="106"/>
      <c r="FXQ1241" s="106"/>
      <c r="FXR1241" s="106"/>
      <c r="FXS1241" s="106"/>
      <c r="FXT1241" s="106"/>
      <c r="FXU1241" s="106"/>
      <c r="FXV1241" s="106"/>
      <c r="FXW1241" s="106"/>
      <c r="FXX1241" s="106"/>
      <c r="FXY1241" s="106"/>
      <c r="FXZ1241" s="106"/>
      <c r="FYA1241" s="106"/>
      <c r="FYB1241" s="106"/>
      <c r="FYC1241" s="106"/>
      <c r="FYD1241" s="106"/>
      <c r="FYE1241" s="106"/>
      <c r="FYF1241" s="106"/>
      <c r="FYG1241" s="106"/>
      <c r="FYH1241" s="106"/>
      <c r="FYI1241" s="106"/>
      <c r="FYJ1241" s="106"/>
      <c r="FYK1241" s="106"/>
      <c r="FYL1241" s="106"/>
      <c r="FYM1241" s="106"/>
      <c r="FYN1241" s="106"/>
      <c r="FYO1241" s="106"/>
      <c r="FYP1241" s="106"/>
      <c r="FYQ1241" s="106"/>
      <c r="FYR1241" s="106"/>
      <c r="FYS1241" s="106"/>
      <c r="FYT1241" s="106"/>
      <c r="FYU1241" s="106"/>
      <c r="FYV1241" s="106"/>
      <c r="FYW1241" s="106"/>
      <c r="FYX1241" s="106"/>
      <c r="FYY1241" s="106"/>
      <c r="FYZ1241" s="106"/>
      <c r="FZA1241" s="106"/>
      <c r="FZB1241" s="106"/>
      <c r="FZC1241" s="106"/>
      <c r="FZD1241" s="106"/>
      <c r="FZE1241" s="106"/>
      <c r="FZF1241" s="106"/>
      <c r="FZG1241" s="106"/>
      <c r="FZH1241" s="106"/>
      <c r="FZI1241" s="106"/>
      <c r="FZJ1241" s="106"/>
      <c r="FZK1241" s="106"/>
      <c r="FZL1241" s="106"/>
      <c r="FZM1241" s="106"/>
      <c r="FZN1241" s="106"/>
      <c r="FZO1241" s="106"/>
      <c r="FZP1241" s="106"/>
      <c r="FZQ1241" s="106"/>
      <c r="FZR1241" s="106"/>
      <c r="FZS1241" s="106"/>
      <c r="FZT1241" s="106"/>
      <c r="FZU1241" s="106"/>
      <c r="FZV1241" s="106"/>
      <c r="FZW1241" s="106"/>
      <c r="FZX1241" s="106"/>
      <c r="FZY1241" s="106"/>
      <c r="FZZ1241" s="106"/>
      <c r="GAA1241" s="106"/>
      <c r="GAB1241" s="106"/>
      <c r="GAC1241" s="106"/>
      <c r="GAD1241" s="106"/>
      <c r="GAE1241" s="106"/>
      <c r="GAF1241" s="106"/>
      <c r="GAG1241" s="106"/>
      <c r="GAH1241" s="106"/>
      <c r="GAI1241" s="106"/>
      <c r="GAJ1241" s="106"/>
      <c r="GAK1241" s="106"/>
      <c r="GAL1241" s="106"/>
      <c r="GAM1241" s="106"/>
      <c r="GAN1241" s="106"/>
      <c r="GAO1241" s="106"/>
      <c r="GAP1241" s="106"/>
      <c r="GAQ1241" s="106"/>
      <c r="GAR1241" s="106"/>
      <c r="GAS1241" s="106"/>
      <c r="GAT1241" s="106"/>
      <c r="GAU1241" s="106"/>
      <c r="GAV1241" s="106"/>
      <c r="GAW1241" s="106"/>
      <c r="GAX1241" s="106"/>
      <c r="GAY1241" s="106"/>
      <c r="GAZ1241" s="106"/>
      <c r="GBA1241" s="106"/>
      <c r="GBB1241" s="106"/>
      <c r="GBC1241" s="106"/>
      <c r="GBD1241" s="106"/>
      <c r="GBE1241" s="106"/>
      <c r="GBF1241" s="106"/>
      <c r="GBG1241" s="106"/>
      <c r="GBH1241" s="106"/>
      <c r="GBI1241" s="106"/>
      <c r="GBJ1241" s="106"/>
      <c r="GBK1241" s="106"/>
      <c r="GBL1241" s="106"/>
      <c r="GBM1241" s="106"/>
      <c r="GBN1241" s="106"/>
      <c r="GBO1241" s="106"/>
      <c r="GBP1241" s="106"/>
      <c r="GBQ1241" s="106"/>
      <c r="GBR1241" s="106"/>
      <c r="GBS1241" s="106"/>
      <c r="GBT1241" s="106"/>
      <c r="GBU1241" s="106"/>
      <c r="GBV1241" s="106"/>
      <c r="GBW1241" s="106"/>
      <c r="GBX1241" s="106"/>
      <c r="GBY1241" s="106"/>
      <c r="GBZ1241" s="106"/>
      <c r="GCA1241" s="106"/>
      <c r="GCB1241" s="106"/>
      <c r="GCC1241" s="106"/>
      <c r="GCD1241" s="106"/>
      <c r="GCE1241" s="106"/>
      <c r="GCF1241" s="106"/>
      <c r="GCG1241" s="106"/>
      <c r="GCH1241" s="106"/>
      <c r="GCI1241" s="106"/>
      <c r="GCJ1241" s="106"/>
      <c r="GCK1241" s="106"/>
      <c r="GCL1241" s="106"/>
      <c r="GCM1241" s="106"/>
      <c r="GCN1241" s="106"/>
      <c r="GCO1241" s="106"/>
      <c r="GCP1241" s="106"/>
      <c r="GCQ1241" s="106"/>
      <c r="GCR1241" s="106"/>
      <c r="GCS1241" s="106"/>
      <c r="GCT1241" s="106"/>
      <c r="GCU1241" s="106"/>
      <c r="GCV1241" s="106"/>
      <c r="GCW1241" s="106"/>
      <c r="GCX1241" s="106"/>
      <c r="GCY1241" s="106"/>
      <c r="GCZ1241" s="106"/>
      <c r="GDA1241" s="106"/>
      <c r="GDB1241" s="106"/>
      <c r="GDC1241" s="106"/>
      <c r="GDD1241" s="106"/>
      <c r="GDE1241" s="106"/>
      <c r="GDF1241" s="106"/>
      <c r="GDG1241" s="106"/>
      <c r="GDH1241" s="106"/>
      <c r="GDI1241" s="106"/>
      <c r="GDJ1241" s="106"/>
      <c r="GDK1241" s="106"/>
      <c r="GDL1241" s="106"/>
      <c r="GDM1241" s="106"/>
      <c r="GDN1241" s="106"/>
      <c r="GDO1241" s="106"/>
      <c r="GDP1241" s="106"/>
      <c r="GDQ1241" s="106"/>
      <c r="GDR1241" s="106"/>
      <c r="GDS1241" s="106"/>
      <c r="GDT1241" s="106"/>
      <c r="GDU1241" s="106"/>
      <c r="GDV1241" s="106"/>
      <c r="GDW1241" s="106"/>
      <c r="GDX1241" s="106"/>
      <c r="GDY1241" s="106"/>
      <c r="GDZ1241" s="106"/>
      <c r="GEA1241" s="106"/>
      <c r="GEB1241" s="106"/>
      <c r="GEC1241" s="106"/>
      <c r="GED1241" s="106"/>
      <c r="GEE1241" s="106"/>
      <c r="GEF1241" s="106"/>
      <c r="GEG1241" s="106"/>
      <c r="GEH1241" s="106"/>
      <c r="GEI1241" s="106"/>
      <c r="GEJ1241" s="106"/>
      <c r="GEK1241" s="106"/>
      <c r="GEL1241" s="106"/>
      <c r="GEM1241" s="106"/>
      <c r="GEN1241" s="106"/>
      <c r="GEO1241" s="106"/>
      <c r="GEP1241" s="106"/>
      <c r="GEQ1241" s="106"/>
      <c r="GER1241" s="106"/>
      <c r="GES1241" s="106"/>
      <c r="GET1241" s="106"/>
      <c r="GEU1241" s="106"/>
      <c r="GEV1241" s="106"/>
      <c r="GEW1241" s="106"/>
      <c r="GEX1241" s="106"/>
      <c r="GEY1241" s="106"/>
      <c r="GEZ1241" s="106"/>
      <c r="GFA1241" s="106"/>
      <c r="GFB1241" s="106"/>
      <c r="GFC1241" s="106"/>
      <c r="GFD1241" s="106"/>
      <c r="GFE1241" s="106"/>
      <c r="GFF1241" s="106"/>
      <c r="GFG1241" s="106"/>
      <c r="GFH1241" s="106"/>
      <c r="GFI1241" s="106"/>
      <c r="GFJ1241" s="106"/>
      <c r="GFK1241" s="106"/>
      <c r="GFL1241" s="106"/>
      <c r="GFM1241" s="106"/>
      <c r="GFN1241" s="106"/>
      <c r="GFO1241" s="106"/>
      <c r="GFP1241" s="106"/>
      <c r="GFQ1241" s="106"/>
      <c r="GFR1241" s="106"/>
      <c r="GFS1241" s="106"/>
      <c r="GFT1241" s="106"/>
      <c r="GFU1241" s="106"/>
      <c r="GFV1241" s="106"/>
      <c r="GFW1241" s="106"/>
      <c r="GFX1241" s="106"/>
      <c r="GFY1241" s="106"/>
      <c r="GFZ1241" s="106"/>
      <c r="GGA1241" s="106"/>
      <c r="GGB1241" s="106"/>
      <c r="GGC1241" s="106"/>
      <c r="GGD1241" s="106"/>
      <c r="GGE1241" s="106"/>
      <c r="GGF1241" s="106"/>
      <c r="GGG1241" s="106"/>
      <c r="GGH1241" s="106"/>
      <c r="GGI1241" s="106"/>
      <c r="GGJ1241" s="106"/>
      <c r="GGK1241" s="106"/>
      <c r="GGL1241" s="106"/>
      <c r="GGM1241" s="106"/>
      <c r="GGN1241" s="106"/>
      <c r="GGO1241" s="106"/>
      <c r="GGP1241" s="106"/>
      <c r="GGQ1241" s="106"/>
      <c r="GGR1241" s="106"/>
      <c r="GGS1241" s="106"/>
      <c r="GGT1241" s="106"/>
      <c r="GGU1241" s="106"/>
      <c r="GGV1241" s="106"/>
      <c r="GGW1241" s="106"/>
      <c r="GGX1241" s="106"/>
      <c r="GGY1241" s="106"/>
      <c r="GGZ1241" s="106"/>
      <c r="GHA1241" s="106"/>
      <c r="GHB1241" s="106"/>
      <c r="GHC1241" s="106"/>
      <c r="GHD1241" s="106"/>
      <c r="GHE1241" s="106"/>
      <c r="GHF1241" s="106"/>
      <c r="GHG1241" s="106"/>
      <c r="GHH1241" s="106"/>
      <c r="GHI1241" s="106"/>
      <c r="GHJ1241" s="106"/>
      <c r="GHK1241" s="106"/>
      <c r="GHL1241" s="106"/>
      <c r="GHM1241" s="106"/>
      <c r="GHN1241" s="106"/>
      <c r="GHO1241" s="106"/>
      <c r="GHP1241" s="106"/>
      <c r="GHQ1241" s="106"/>
      <c r="GHR1241" s="106"/>
      <c r="GHS1241" s="106"/>
      <c r="GHT1241" s="106"/>
      <c r="GHU1241" s="106"/>
      <c r="GHV1241" s="106"/>
      <c r="GHW1241" s="106"/>
      <c r="GHX1241" s="106"/>
      <c r="GHY1241" s="106"/>
      <c r="GHZ1241" s="106"/>
      <c r="GIA1241" s="106"/>
      <c r="GIB1241" s="106"/>
      <c r="GIC1241" s="106"/>
      <c r="GID1241" s="106"/>
      <c r="GIE1241" s="106"/>
      <c r="GIF1241" s="106"/>
      <c r="GIG1241" s="106"/>
      <c r="GIH1241" s="106"/>
      <c r="GII1241" s="106"/>
      <c r="GIJ1241" s="106"/>
      <c r="GIK1241" s="106"/>
      <c r="GIL1241" s="106"/>
      <c r="GIM1241" s="106"/>
      <c r="GIN1241" s="106"/>
      <c r="GIO1241" s="106"/>
      <c r="GIP1241" s="106"/>
      <c r="GIQ1241" s="106"/>
      <c r="GIR1241" s="106"/>
      <c r="GIS1241" s="106"/>
      <c r="GIT1241" s="106"/>
      <c r="GIU1241" s="106"/>
      <c r="GIV1241" s="106"/>
      <c r="GIW1241" s="106"/>
      <c r="GIX1241" s="106"/>
      <c r="GIY1241" s="106"/>
      <c r="GIZ1241" s="106"/>
      <c r="GJA1241" s="106"/>
      <c r="GJB1241" s="106"/>
      <c r="GJC1241" s="106"/>
      <c r="GJD1241" s="106"/>
      <c r="GJE1241" s="106"/>
      <c r="GJF1241" s="106"/>
      <c r="GJG1241" s="106"/>
      <c r="GJH1241" s="106"/>
      <c r="GJI1241" s="106"/>
      <c r="GJJ1241" s="106"/>
      <c r="GJK1241" s="106"/>
      <c r="GJL1241" s="106"/>
      <c r="GJM1241" s="106"/>
      <c r="GJN1241" s="106"/>
      <c r="GJO1241" s="106"/>
      <c r="GJP1241" s="106"/>
      <c r="GJQ1241" s="106"/>
      <c r="GJR1241" s="106"/>
      <c r="GJS1241" s="106"/>
      <c r="GJT1241" s="106"/>
      <c r="GJU1241" s="106"/>
      <c r="GJV1241" s="106"/>
      <c r="GJW1241" s="106"/>
      <c r="GJX1241" s="106"/>
      <c r="GJY1241" s="106"/>
      <c r="GJZ1241" s="106"/>
      <c r="GKA1241" s="106"/>
      <c r="GKB1241" s="106"/>
      <c r="GKC1241" s="106"/>
      <c r="GKD1241" s="106"/>
      <c r="GKE1241" s="106"/>
      <c r="GKF1241" s="106"/>
      <c r="GKG1241" s="106"/>
      <c r="GKH1241" s="106"/>
      <c r="GKI1241" s="106"/>
      <c r="GKJ1241" s="106"/>
      <c r="GKK1241" s="106"/>
      <c r="GKL1241" s="106"/>
      <c r="GKM1241" s="106"/>
      <c r="GKN1241" s="106"/>
      <c r="GKO1241" s="106"/>
      <c r="GKP1241" s="106"/>
      <c r="GKQ1241" s="106"/>
      <c r="GKR1241" s="106"/>
      <c r="GKS1241" s="106"/>
      <c r="GKT1241" s="106"/>
      <c r="GKU1241" s="106"/>
      <c r="GKV1241" s="106"/>
      <c r="GKW1241" s="106"/>
      <c r="GKX1241" s="106"/>
      <c r="GKY1241" s="106"/>
      <c r="GKZ1241" s="106"/>
      <c r="GLA1241" s="106"/>
      <c r="GLB1241" s="106"/>
      <c r="GLC1241" s="106"/>
      <c r="GLD1241" s="106"/>
      <c r="GLE1241" s="106"/>
      <c r="GLF1241" s="106"/>
      <c r="GLG1241" s="106"/>
      <c r="GLH1241" s="106"/>
      <c r="GLI1241" s="106"/>
      <c r="GLJ1241" s="106"/>
      <c r="GLK1241" s="106"/>
      <c r="GLL1241" s="106"/>
      <c r="GLM1241" s="106"/>
      <c r="GLN1241" s="106"/>
      <c r="GLO1241" s="106"/>
      <c r="GLP1241" s="106"/>
      <c r="GLQ1241" s="106"/>
      <c r="GLR1241" s="106"/>
      <c r="GLS1241" s="106"/>
      <c r="GLT1241" s="106"/>
      <c r="GLU1241" s="106"/>
      <c r="GLV1241" s="106"/>
      <c r="GLW1241" s="106"/>
      <c r="GLX1241" s="106"/>
      <c r="GLY1241" s="106"/>
      <c r="GLZ1241" s="106"/>
      <c r="GMA1241" s="106"/>
      <c r="GMB1241" s="106"/>
      <c r="GMC1241" s="106"/>
      <c r="GMD1241" s="106"/>
      <c r="GME1241" s="106"/>
      <c r="GMF1241" s="106"/>
      <c r="GMG1241" s="106"/>
      <c r="GMH1241" s="106"/>
      <c r="GMI1241" s="106"/>
      <c r="GMJ1241" s="106"/>
      <c r="GMK1241" s="106"/>
      <c r="GML1241" s="106"/>
      <c r="GMM1241" s="106"/>
      <c r="GMN1241" s="106"/>
      <c r="GMO1241" s="106"/>
      <c r="GMP1241" s="106"/>
      <c r="GMQ1241" s="106"/>
      <c r="GMR1241" s="106"/>
      <c r="GMS1241" s="106"/>
      <c r="GMT1241" s="106"/>
      <c r="GMU1241" s="106"/>
      <c r="GMV1241" s="106"/>
      <c r="GMW1241" s="106"/>
      <c r="GMX1241" s="106"/>
      <c r="GMY1241" s="106"/>
      <c r="GMZ1241" s="106"/>
      <c r="GNA1241" s="106"/>
      <c r="GNB1241" s="106"/>
      <c r="GNC1241" s="106"/>
      <c r="GND1241" s="106"/>
      <c r="GNE1241" s="106"/>
      <c r="GNF1241" s="106"/>
      <c r="GNG1241" s="106"/>
      <c r="GNH1241" s="106"/>
      <c r="GNI1241" s="106"/>
      <c r="GNJ1241" s="106"/>
      <c r="GNK1241" s="106"/>
      <c r="GNL1241" s="106"/>
      <c r="GNM1241" s="106"/>
      <c r="GNN1241" s="106"/>
      <c r="GNO1241" s="106"/>
      <c r="GNP1241" s="106"/>
      <c r="GNQ1241" s="106"/>
      <c r="GNR1241" s="106"/>
      <c r="GNS1241" s="106"/>
      <c r="GNT1241" s="106"/>
      <c r="GNU1241" s="106"/>
      <c r="GNV1241" s="106"/>
      <c r="GNW1241" s="106"/>
      <c r="GNX1241" s="106"/>
      <c r="GNY1241" s="106"/>
      <c r="GNZ1241" s="106"/>
      <c r="GOA1241" s="106"/>
      <c r="GOB1241" s="106"/>
      <c r="GOC1241" s="106"/>
      <c r="GOD1241" s="106"/>
      <c r="GOE1241" s="106"/>
      <c r="GOF1241" s="106"/>
      <c r="GOG1241" s="106"/>
      <c r="GOH1241" s="106"/>
      <c r="GOI1241" s="106"/>
      <c r="GOJ1241" s="106"/>
      <c r="GOK1241" s="106"/>
      <c r="GOL1241" s="106"/>
      <c r="GOM1241" s="106"/>
      <c r="GON1241" s="106"/>
      <c r="GOO1241" s="106"/>
      <c r="GOP1241" s="106"/>
      <c r="GOQ1241" s="106"/>
      <c r="GOR1241" s="106"/>
      <c r="GOS1241" s="106"/>
      <c r="GOT1241" s="106"/>
      <c r="GOU1241" s="106"/>
      <c r="GOV1241" s="106"/>
      <c r="GOW1241" s="106"/>
      <c r="GOX1241" s="106"/>
      <c r="GOY1241" s="106"/>
      <c r="GOZ1241" s="106"/>
      <c r="GPA1241" s="106"/>
      <c r="GPB1241" s="106"/>
      <c r="GPC1241" s="106"/>
      <c r="GPD1241" s="106"/>
      <c r="GPE1241" s="106"/>
      <c r="GPF1241" s="106"/>
      <c r="GPG1241" s="106"/>
      <c r="GPH1241" s="106"/>
      <c r="GPI1241" s="106"/>
      <c r="GPJ1241" s="106"/>
      <c r="GPK1241" s="106"/>
      <c r="GPL1241" s="106"/>
      <c r="GPM1241" s="106"/>
      <c r="GPN1241" s="106"/>
      <c r="GPO1241" s="106"/>
      <c r="GPP1241" s="106"/>
      <c r="GPQ1241" s="106"/>
      <c r="GPR1241" s="106"/>
      <c r="GPS1241" s="106"/>
      <c r="GPT1241" s="106"/>
      <c r="GPU1241" s="106"/>
      <c r="GPV1241" s="106"/>
      <c r="GPW1241" s="106"/>
      <c r="GPX1241" s="106"/>
      <c r="GPY1241" s="106"/>
      <c r="GPZ1241" s="106"/>
      <c r="GQA1241" s="106"/>
      <c r="GQB1241" s="106"/>
      <c r="GQC1241" s="106"/>
      <c r="GQD1241" s="106"/>
      <c r="GQE1241" s="106"/>
      <c r="GQF1241" s="106"/>
      <c r="GQG1241" s="106"/>
      <c r="GQH1241" s="106"/>
      <c r="GQI1241" s="106"/>
      <c r="GQJ1241" s="106"/>
      <c r="GQK1241" s="106"/>
      <c r="GQL1241" s="106"/>
      <c r="GQM1241" s="106"/>
      <c r="GQN1241" s="106"/>
      <c r="GQO1241" s="106"/>
      <c r="GQP1241" s="106"/>
      <c r="GQQ1241" s="106"/>
      <c r="GQR1241" s="106"/>
      <c r="GQS1241" s="106"/>
      <c r="GQT1241" s="106"/>
      <c r="GQU1241" s="106"/>
      <c r="GQV1241" s="106"/>
      <c r="GQW1241" s="106"/>
      <c r="GQX1241" s="106"/>
      <c r="GQY1241" s="106"/>
      <c r="GQZ1241" s="106"/>
      <c r="GRA1241" s="106"/>
      <c r="GRB1241" s="106"/>
      <c r="GRC1241" s="106"/>
      <c r="GRD1241" s="106"/>
      <c r="GRE1241" s="106"/>
      <c r="GRF1241" s="106"/>
      <c r="GRG1241" s="106"/>
      <c r="GRH1241" s="106"/>
      <c r="GRI1241" s="106"/>
      <c r="GRJ1241" s="106"/>
      <c r="GRK1241" s="106"/>
      <c r="GRL1241" s="106"/>
      <c r="GRM1241" s="106"/>
      <c r="GRN1241" s="106"/>
      <c r="GRO1241" s="106"/>
      <c r="GRP1241" s="106"/>
      <c r="GRQ1241" s="106"/>
      <c r="GRR1241" s="106"/>
      <c r="GRS1241" s="106"/>
      <c r="GRT1241" s="106"/>
      <c r="GRU1241" s="106"/>
      <c r="GRV1241" s="106"/>
      <c r="GRW1241" s="106"/>
      <c r="GRX1241" s="106"/>
      <c r="GRY1241" s="106"/>
      <c r="GRZ1241" s="106"/>
      <c r="GSA1241" s="106"/>
      <c r="GSB1241" s="106"/>
      <c r="GSC1241" s="106"/>
      <c r="GSD1241" s="106"/>
      <c r="GSE1241" s="106"/>
      <c r="GSF1241" s="106"/>
      <c r="GSG1241" s="106"/>
      <c r="GSH1241" s="106"/>
      <c r="GSI1241" s="106"/>
      <c r="GSJ1241" s="106"/>
      <c r="GSK1241" s="106"/>
      <c r="GSL1241" s="106"/>
      <c r="GSM1241" s="106"/>
      <c r="GSN1241" s="106"/>
      <c r="GSO1241" s="106"/>
      <c r="GSP1241" s="106"/>
      <c r="GSQ1241" s="106"/>
      <c r="GSR1241" s="106"/>
      <c r="GSS1241" s="106"/>
      <c r="GST1241" s="106"/>
      <c r="GSU1241" s="106"/>
      <c r="GSV1241" s="106"/>
      <c r="GSW1241" s="106"/>
      <c r="GSX1241" s="106"/>
      <c r="GSY1241" s="106"/>
      <c r="GSZ1241" s="106"/>
      <c r="GTA1241" s="106"/>
      <c r="GTB1241" s="106"/>
      <c r="GTC1241" s="106"/>
      <c r="GTD1241" s="106"/>
      <c r="GTE1241" s="106"/>
      <c r="GTF1241" s="106"/>
      <c r="GTG1241" s="106"/>
      <c r="GTH1241" s="106"/>
      <c r="GTI1241" s="106"/>
      <c r="GTJ1241" s="106"/>
      <c r="GTK1241" s="106"/>
      <c r="GTL1241" s="106"/>
      <c r="GTM1241" s="106"/>
      <c r="GTN1241" s="106"/>
      <c r="GTO1241" s="106"/>
      <c r="GTP1241" s="106"/>
      <c r="GTQ1241" s="106"/>
      <c r="GTR1241" s="106"/>
      <c r="GTS1241" s="106"/>
      <c r="GTT1241" s="106"/>
      <c r="GTU1241" s="106"/>
      <c r="GTV1241" s="106"/>
      <c r="GTW1241" s="106"/>
      <c r="GTX1241" s="106"/>
      <c r="GTY1241" s="106"/>
      <c r="GTZ1241" s="106"/>
      <c r="GUA1241" s="106"/>
      <c r="GUB1241" s="106"/>
      <c r="GUC1241" s="106"/>
      <c r="GUD1241" s="106"/>
      <c r="GUE1241" s="106"/>
      <c r="GUF1241" s="106"/>
      <c r="GUG1241" s="106"/>
      <c r="GUH1241" s="106"/>
      <c r="GUI1241" s="106"/>
      <c r="GUJ1241" s="106"/>
      <c r="GUK1241" s="106"/>
      <c r="GUL1241" s="106"/>
      <c r="GUM1241" s="106"/>
      <c r="GUN1241" s="106"/>
      <c r="GUO1241" s="106"/>
      <c r="GUP1241" s="106"/>
      <c r="GUQ1241" s="106"/>
      <c r="GUR1241" s="106"/>
      <c r="GUS1241" s="106"/>
      <c r="GUT1241" s="106"/>
      <c r="GUU1241" s="106"/>
      <c r="GUV1241" s="106"/>
      <c r="GUW1241" s="106"/>
      <c r="GUX1241" s="106"/>
      <c r="GUY1241" s="106"/>
      <c r="GUZ1241" s="106"/>
      <c r="GVA1241" s="106"/>
      <c r="GVB1241" s="106"/>
      <c r="GVC1241" s="106"/>
      <c r="GVD1241" s="106"/>
      <c r="GVE1241" s="106"/>
      <c r="GVF1241" s="106"/>
      <c r="GVG1241" s="106"/>
      <c r="GVH1241" s="106"/>
      <c r="GVI1241" s="106"/>
      <c r="GVJ1241" s="106"/>
      <c r="GVK1241" s="106"/>
      <c r="GVL1241" s="106"/>
      <c r="GVM1241" s="106"/>
      <c r="GVN1241" s="106"/>
      <c r="GVO1241" s="106"/>
      <c r="GVP1241" s="106"/>
      <c r="GVQ1241" s="106"/>
      <c r="GVR1241" s="106"/>
      <c r="GVS1241" s="106"/>
      <c r="GVT1241" s="106"/>
      <c r="GVU1241" s="106"/>
      <c r="GVV1241" s="106"/>
      <c r="GVW1241" s="106"/>
      <c r="GVX1241" s="106"/>
      <c r="GVY1241" s="106"/>
      <c r="GVZ1241" s="106"/>
      <c r="GWA1241" s="106"/>
      <c r="GWB1241" s="106"/>
      <c r="GWC1241" s="106"/>
      <c r="GWD1241" s="106"/>
      <c r="GWE1241" s="106"/>
      <c r="GWF1241" s="106"/>
      <c r="GWG1241" s="106"/>
      <c r="GWH1241" s="106"/>
      <c r="GWI1241" s="106"/>
      <c r="GWJ1241" s="106"/>
      <c r="GWK1241" s="106"/>
      <c r="GWL1241" s="106"/>
      <c r="GWM1241" s="106"/>
      <c r="GWN1241" s="106"/>
      <c r="GWO1241" s="106"/>
      <c r="GWP1241" s="106"/>
      <c r="GWQ1241" s="106"/>
      <c r="GWR1241" s="106"/>
      <c r="GWS1241" s="106"/>
      <c r="GWT1241" s="106"/>
      <c r="GWU1241" s="106"/>
      <c r="GWV1241" s="106"/>
      <c r="GWW1241" s="106"/>
      <c r="GWX1241" s="106"/>
      <c r="GWY1241" s="106"/>
      <c r="GWZ1241" s="106"/>
      <c r="GXA1241" s="106"/>
      <c r="GXB1241" s="106"/>
      <c r="GXC1241" s="106"/>
      <c r="GXD1241" s="106"/>
      <c r="GXE1241" s="106"/>
      <c r="GXF1241" s="106"/>
      <c r="GXG1241" s="106"/>
      <c r="GXH1241" s="106"/>
      <c r="GXI1241" s="106"/>
      <c r="GXJ1241" s="106"/>
      <c r="GXK1241" s="106"/>
      <c r="GXL1241" s="106"/>
      <c r="GXM1241" s="106"/>
      <c r="GXN1241" s="106"/>
      <c r="GXO1241" s="106"/>
      <c r="GXP1241" s="106"/>
      <c r="GXQ1241" s="106"/>
      <c r="GXR1241" s="106"/>
      <c r="GXS1241" s="106"/>
      <c r="GXT1241" s="106"/>
      <c r="GXU1241" s="106"/>
      <c r="GXV1241" s="106"/>
      <c r="GXW1241" s="106"/>
      <c r="GXX1241" s="106"/>
      <c r="GXY1241" s="106"/>
      <c r="GXZ1241" s="106"/>
      <c r="GYA1241" s="106"/>
      <c r="GYB1241" s="106"/>
      <c r="GYC1241" s="106"/>
      <c r="GYD1241" s="106"/>
      <c r="GYE1241" s="106"/>
      <c r="GYF1241" s="106"/>
      <c r="GYG1241" s="106"/>
      <c r="GYH1241" s="106"/>
      <c r="GYI1241" s="106"/>
      <c r="GYJ1241" s="106"/>
      <c r="GYK1241" s="106"/>
      <c r="GYL1241" s="106"/>
      <c r="GYM1241" s="106"/>
      <c r="GYN1241" s="106"/>
      <c r="GYO1241" s="106"/>
      <c r="GYP1241" s="106"/>
      <c r="GYQ1241" s="106"/>
      <c r="GYR1241" s="106"/>
      <c r="GYS1241" s="106"/>
      <c r="GYT1241" s="106"/>
      <c r="GYU1241" s="106"/>
      <c r="GYV1241" s="106"/>
      <c r="GYW1241" s="106"/>
      <c r="GYX1241" s="106"/>
      <c r="GYY1241" s="106"/>
      <c r="GYZ1241" s="106"/>
      <c r="GZA1241" s="106"/>
      <c r="GZB1241" s="106"/>
      <c r="GZC1241" s="106"/>
      <c r="GZD1241" s="106"/>
      <c r="GZE1241" s="106"/>
      <c r="GZF1241" s="106"/>
      <c r="GZG1241" s="106"/>
      <c r="GZH1241" s="106"/>
      <c r="GZI1241" s="106"/>
      <c r="GZJ1241" s="106"/>
      <c r="GZK1241" s="106"/>
      <c r="GZL1241" s="106"/>
      <c r="GZM1241" s="106"/>
      <c r="GZN1241" s="106"/>
      <c r="GZO1241" s="106"/>
      <c r="GZP1241" s="106"/>
      <c r="GZQ1241" s="106"/>
      <c r="GZR1241" s="106"/>
      <c r="GZS1241" s="106"/>
      <c r="GZT1241" s="106"/>
      <c r="GZU1241" s="106"/>
      <c r="GZV1241" s="106"/>
      <c r="GZW1241" s="106"/>
      <c r="GZX1241" s="106"/>
      <c r="GZY1241" s="106"/>
      <c r="GZZ1241" s="106"/>
      <c r="HAA1241" s="106"/>
      <c r="HAB1241" s="106"/>
      <c r="HAC1241" s="106"/>
      <c r="HAD1241" s="106"/>
      <c r="HAE1241" s="106"/>
      <c r="HAF1241" s="106"/>
      <c r="HAG1241" s="106"/>
      <c r="HAH1241" s="106"/>
      <c r="HAI1241" s="106"/>
      <c r="HAJ1241" s="106"/>
      <c r="HAK1241" s="106"/>
      <c r="HAL1241" s="106"/>
      <c r="HAM1241" s="106"/>
      <c r="HAN1241" s="106"/>
      <c r="HAO1241" s="106"/>
      <c r="HAP1241" s="106"/>
      <c r="HAQ1241" s="106"/>
      <c r="HAR1241" s="106"/>
      <c r="HAS1241" s="106"/>
      <c r="HAT1241" s="106"/>
      <c r="HAU1241" s="106"/>
      <c r="HAV1241" s="106"/>
      <c r="HAW1241" s="106"/>
      <c r="HAX1241" s="106"/>
      <c r="HAY1241" s="106"/>
      <c r="HAZ1241" s="106"/>
      <c r="HBA1241" s="106"/>
      <c r="HBB1241" s="106"/>
      <c r="HBC1241" s="106"/>
      <c r="HBD1241" s="106"/>
      <c r="HBE1241" s="106"/>
      <c r="HBF1241" s="106"/>
      <c r="HBG1241" s="106"/>
      <c r="HBH1241" s="106"/>
      <c r="HBI1241" s="106"/>
      <c r="HBJ1241" s="106"/>
      <c r="HBK1241" s="106"/>
      <c r="HBL1241" s="106"/>
      <c r="HBM1241" s="106"/>
      <c r="HBN1241" s="106"/>
      <c r="HBO1241" s="106"/>
      <c r="HBP1241" s="106"/>
      <c r="HBQ1241" s="106"/>
      <c r="HBR1241" s="106"/>
      <c r="HBS1241" s="106"/>
      <c r="HBT1241" s="106"/>
      <c r="HBU1241" s="106"/>
      <c r="HBV1241" s="106"/>
      <c r="HBW1241" s="106"/>
      <c r="HBX1241" s="106"/>
      <c r="HBY1241" s="106"/>
      <c r="HBZ1241" s="106"/>
      <c r="HCA1241" s="106"/>
      <c r="HCB1241" s="106"/>
      <c r="HCC1241" s="106"/>
      <c r="HCD1241" s="106"/>
      <c r="HCE1241" s="106"/>
      <c r="HCF1241" s="106"/>
      <c r="HCG1241" s="106"/>
      <c r="HCH1241" s="106"/>
      <c r="HCI1241" s="106"/>
      <c r="HCJ1241" s="106"/>
      <c r="HCK1241" s="106"/>
      <c r="HCL1241" s="106"/>
      <c r="HCM1241" s="106"/>
      <c r="HCN1241" s="106"/>
      <c r="HCO1241" s="106"/>
      <c r="HCP1241" s="106"/>
      <c r="HCQ1241" s="106"/>
      <c r="HCR1241" s="106"/>
      <c r="HCS1241" s="106"/>
      <c r="HCT1241" s="106"/>
      <c r="HCU1241" s="106"/>
      <c r="HCV1241" s="106"/>
      <c r="HCW1241" s="106"/>
      <c r="HCX1241" s="106"/>
      <c r="HCY1241" s="106"/>
      <c r="HCZ1241" s="106"/>
      <c r="HDA1241" s="106"/>
      <c r="HDB1241" s="106"/>
      <c r="HDC1241" s="106"/>
      <c r="HDD1241" s="106"/>
      <c r="HDE1241" s="106"/>
      <c r="HDF1241" s="106"/>
      <c r="HDG1241" s="106"/>
      <c r="HDH1241" s="106"/>
      <c r="HDI1241" s="106"/>
      <c r="HDJ1241" s="106"/>
      <c r="HDK1241" s="106"/>
      <c r="HDL1241" s="106"/>
      <c r="HDM1241" s="106"/>
      <c r="HDN1241" s="106"/>
      <c r="HDO1241" s="106"/>
      <c r="HDP1241" s="106"/>
      <c r="HDQ1241" s="106"/>
      <c r="HDR1241" s="106"/>
      <c r="HDS1241" s="106"/>
      <c r="HDT1241" s="106"/>
      <c r="HDU1241" s="106"/>
      <c r="HDV1241" s="106"/>
      <c r="HDW1241" s="106"/>
      <c r="HDX1241" s="106"/>
      <c r="HDY1241" s="106"/>
      <c r="HDZ1241" s="106"/>
      <c r="HEA1241" s="106"/>
      <c r="HEB1241" s="106"/>
      <c r="HEC1241" s="106"/>
      <c r="HED1241" s="106"/>
      <c r="HEE1241" s="106"/>
      <c r="HEF1241" s="106"/>
      <c r="HEG1241" s="106"/>
      <c r="HEH1241" s="106"/>
      <c r="HEI1241" s="106"/>
      <c r="HEJ1241" s="106"/>
      <c r="HEK1241" s="106"/>
      <c r="HEL1241" s="106"/>
      <c r="HEM1241" s="106"/>
      <c r="HEN1241" s="106"/>
      <c r="HEO1241" s="106"/>
      <c r="HEP1241" s="106"/>
      <c r="HEQ1241" s="106"/>
      <c r="HER1241" s="106"/>
      <c r="HES1241" s="106"/>
      <c r="HET1241" s="106"/>
      <c r="HEU1241" s="106"/>
      <c r="HEV1241" s="106"/>
      <c r="HEW1241" s="106"/>
      <c r="HEX1241" s="106"/>
      <c r="HEY1241" s="106"/>
      <c r="HEZ1241" s="106"/>
      <c r="HFA1241" s="106"/>
      <c r="HFB1241" s="106"/>
      <c r="HFC1241" s="106"/>
      <c r="HFD1241" s="106"/>
      <c r="HFE1241" s="106"/>
      <c r="HFF1241" s="106"/>
      <c r="HFG1241" s="106"/>
      <c r="HFH1241" s="106"/>
      <c r="HFI1241" s="106"/>
      <c r="HFJ1241" s="106"/>
      <c r="HFK1241" s="106"/>
      <c r="HFL1241" s="106"/>
      <c r="HFM1241" s="106"/>
      <c r="HFN1241" s="106"/>
      <c r="HFO1241" s="106"/>
      <c r="HFP1241" s="106"/>
      <c r="HFQ1241" s="106"/>
      <c r="HFR1241" s="106"/>
      <c r="HFS1241" s="106"/>
      <c r="HFT1241" s="106"/>
      <c r="HFU1241" s="106"/>
      <c r="HFV1241" s="106"/>
      <c r="HFW1241" s="106"/>
      <c r="HFX1241" s="106"/>
      <c r="HFY1241" s="106"/>
      <c r="HFZ1241" s="106"/>
      <c r="HGA1241" s="106"/>
      <c r="HGB1241" s="106"/>
      <c r="HGC1241" s="106"/>
      <c r="HGD1241" s="106"/>
      <c r="HGE1241" s="106"/>
      <c r="HGF1241" s="106"/>
      <c r="HGG1241" s="106"/>
      <c r="HGH1241" s="106"/>
      <c r="HGI1241" s="106"/>
      <c r="HGJ1241" s="106"/>
      <c r="HGK1241" s="106"/>
      <c r="HGL1241" s="106"/>
      <c r="HGM1241" s="106"/>
      <c r="HGN1241" s="106"/>
      <c r="HGO1241" s="106"/>
      <c r="HGP1241" s="106"/>
      <c r="HGQ1241" s="106"/>
      <c r="HGR1241" s="106"/>
      <c r="HGS1241" s="106"/>
      <c r="HGT1241" s="106"/>
      <c r="HGU1241" s="106"/>
      <c r="HGV1241" s="106"/>
      <c r="HGW1241" s="106"/>
      <c r="HGX1241" s="106"/>
      <c r="HGY1241" s="106"/>
      <c r="HGZ1241" s="106"/>
      <c r="HHA1241" s="106"/>
      <c r="HHB1241" s="106"/>
      <c r="HHC1241" s="106"/>
      <c r="HHD1241" s="106"/>
      <c r="HHE1241" s="106"/>
      <c r="HHF1241" s="106"/>
      <c r="HHG1241" s="106"/>
      <c r="HHH1241" s="106"/>
      <c r="HHI1241" s="106"/>
      <c r="HHJ1241" s="106"/>
      <c r="HHK1241" s="106"/>
      <c r="HHL1241" s="106"/>
      <c r="HHM1241" s="106"/>
      <c r="HHN1241" s="106"/>
      <c r="HHO1241" s="106"/>
      <c r="HHP1241" s="106"/>
      <c r="HHQ1241" s="106"/>
      <c r="HHR1241" s="106"/>
      <c r="HHS1241" s="106"/>
      <c r="HHT1241" s="106"/>
      <c r="HHU1241" s="106"/>
      <c r="HHV1241" s="106"/>
      <c r="HHW1241" s="106"/>
      <c r="HHX1241" s="106"/>
      <c r="HHY1241" s="106"/>
      <c r="HHZ1241" s="106"/>
      <c r="HIA1241" s="106"/>
      <c r="HIB1241" s="106"/>
      <c r="HIC1241" s="106"/>
      <c r="HID1241" s="106"/>
      <c r="HIE1241" s="106"/>
      <c r="HIF1241" s="106"/>
      <c r="HIG1241" s="106"/>
      <c r="HIH1241" s="106"/>
      <c r="HII1241" s="106"/>
      <c r="HIJ1241" s="106"/>
      <c r="HIK1241" s="106"/>
      <c r="HIL1241" s="106"/>
      <c r="HIM1241" s="106"/>
      <c r="HIN1241" s="106"/>
      <c r="HIO1241" s="106"/>
      <c r="HIP1241" s="106"/>
      <c r="HIQ1241" s="106"/>
      <c r="HIR1241" s="106"/>
      <c r="HIS1241" s="106"/>
      <c r="HIT1241" s="106"/>
      <c r="HIU1241" s="106"/>
      <c r="HIV1241" s="106"/>
      <c r="HIW1241" s="106"/>
      <c r="HIX1241" s="106"/>
      <c r="HIY1241" s="106"/>
      <c r="HIZ1241" s="106"/>
      <c r="HJA1241" s="106"/>
      <c r="HJB1241" s="106"/>
      <c r="HJC1241" s="106"/>
      <c r="HJD1241" s="106"/>
      <c r="HJE1241" s="106"/>
      <c r="HJF1241" s="106"/>
      <c r="HJG1241" s="106"/>
      <c r="HJH1241" s="106"/>
      <c r="HJI1241" s="106"/>
      <c r="HJJ1241" s="106"/>
      <c r="HJK1241" s="106"/>
      <c r="HJL1241" s="106"/>
      <c r="HJM1241" s="106"/>
      <c r="HJN1241" s="106"/>
      <c r="HJO1241" s="106"/>
      <c r="HJP1241" s="106"/>
      <c r="HJQ1241" s="106"/>
      <c r="HJR1241" s="106"/>
      <c r="HJS1241" s="106"/>
      <c r="HJT1241" s="106"/>
      <c r="HJU1241" s="106"/>
      <c r="HJV1241" s="106"/>
      <c r="HJW1241" s="106"/>
      <c r="HJX1241" s="106"/>
      <c r="HJY1241" s="106"/>
      <c r="HJZ1241" s="106"/>
      <c r="HKA1241" s="106"/>
      <c r="HKB1241" s="106"/>
      <c r="HKC1241" s="106"/>
      <c r="HKD1241" s="106"/>
      <c r="HKE1241" s="106"/>
      <c r="HKF1241" s="106"/>
      <c r="HKG1241" s="106"/>
      <c r="HKH1241" s="106"/>
      <c r="HKI1241" s="106"/>
      <c r="HKJ1241" s="106"/>
      <c r="HKK1241" s="106"/>
      <c r="HKL1241" s="106"/>
      <c r="HKM1241" s="106"/>
      <c r="HKN1241" s="106"/>
      <c r="HKO1241" s="106"/>
      <c r="HKP1241" s="106"/>
      <c r="HKQ1241" s="106"/>
      <c r="HKR1241" s="106"/>
      <c r="HKS1241" s="106"/>
      <c r="HKT1241" s="106"/>
      <c r="HKU1241" s="106"/>
      <c r="HKV1241" s="106"/>
      <c r="HKW1241" s="106"/>
      <c r="HKX1241" s="106"/>
      <c r="HKY1241" s="106"/>
      <c r="HKZ1241" s="106"/>
      <c r="HLA1241" s="106"/>
      <c r="HLB1241" s="106"/>
      <c r="HLC1241" s="106"/>
      <c r="HLD1241" s="106"/>
      <c r="HLE1241" s="106"/>
      <c r="HLF1241" s="106"/>
      <c r="HLG1241" s="106"/>
      <c r="HLH1241" s="106"/>
      <c r="HLI1241" s="106"/>
      <c r="HLJ1241" s="106"/>
      <c r="HLK1241" s="106"/>
      <c r="HLL1241" s="106"/>
      <c r="HLM1241" s="106"/>
      <c r="HLN1241" s="106"/>
      <c r="HLO1241" s="106"/>
      <c r="HLP1241" s="106"/>
      <c r="HLQ1241" s="106"/>
      <c r="HLR1241" s="106"/>
      <c r="HLS1241" s="106"/>
      <c r="HLT1241" s="106"/>
      <c r="HLU1241" s="106"/>
      <c r="HLV1241" s="106"/>
      <c r="HLW1241" s="106"/>
      <c r="HLX1241" s="106"/>
      <c r="HLY1241" s="106"/>
      <c r="HLZ1241" s="106"/>
      <c r="HMA1241" s="106"/>
      <c r="HMB1241" s="106"/>
      <c r="HMC1241" s="106"/>
      <c r="HMD1241" s="106"/>
      <c r="HME1241" s="106"/>
      <c r="HMF1241" s="106"/>
      <c r="HMG1241" s="106"/>
      <c r="HMH1241" s="106"/>
      <c r="HMI1241" s="106"/>
      <c r="HMJ1241" s="106"/>
      <c r="HMK1241" s="106"/>
      <c r="HML1241" s="106"/>
      <c r="HMM1241" s="106"/>
      <c r="HMN1241" s="106"/>
      <c r="HMO1241" s="106"/>
      <c r="HMP1241" s="106"/>
      <c r="HMQ1241" s="106"/>
      <c r="HMR1241" s="106"/>
      <c r="HMS1241" s="106"/>
      <c r="HMT1241" s="106"/>
      <c r="HMU1241" s="106"/>
      <c r="HMV1241" s="106"/>
      <c r="HMW1241" s="106"/>
      <c r="HMX1241" s="106"/>
      <c r="HMY1241" s="106"/>
      <c r="HMZ1241" s="106"/>
      <c r="HNA1241" s="106"/>
      <c r="HNB1241" s="106"/>
      <c r="HNC1241" s="106"/>
      <c r="HND1241" s="106"/>
      <c r="HNE1241" s="106"/>
      <c r="HNF1241" s="106"/>
      <c r="HNG1241" s="106"/>
      <c r="HNH1241" s="106"/>
      <c r="HNI1241" s="106"/>
      <c r="HNJ1241" s="106"/>
      <c r="HNK1241" s="106"/>
      <c r="HNL1241" s="106"/>
      <c r="HNM1241" s="106"/>
      <c r="HNN1241" s="106"/>
      <c r="HNO1241" s="106"/>
      <c r="HNP1241" s="106"/>
      <c r="HNQ1241" s="106"/>
      <c r="HNR1241" s="106"/>
      <c r="HNS1241" s="106"/>
      <c r="HNT1241" s="106"/>
      <c r="HNU1241" s="106"/>
      <c r="HNV1241" s="106"/>
      <c r="HNW1241" s="106"/>
      <c r="HNX1241" s="106"/>
      <c r="HNY1241" s="106"/>
      <c r="HNZ1241" s="106"/>
      <c r="HOA1241" s="106"/>
      <c r="HOB1241" s="106"/>
      <c r="HOC1241" s="106"/>
      <c r="HOD1241" s="106"/>
      <c r="HOE1241" s="106"/>
      <c r="HOF1241" s="106"/>
      <c r="HOG1241" s="106"/>
      <c r="HOH1241" s="106"/>
      <c r="HOI1241" s="106"/>
      <c r="HOJ1241" s="106"/>
      <c r="HOK1241" s="106"/>
      <c r="HOL1241" s="106"/>
      <c r="HOM1241" s="106"/>
      <c r="HON1241" s="106"/>
      <c r="HOO1241" s="106"/>
      <c r="HOP1241" s="106"/>
      <c r="HOQ1241" s="106"/>
      <c r="HOR1241" s="106"/>
      <c r="HOS1241" s="106"/>
      <c r="HOT1241" s="106"/>
      <c r="HOU1241" s="106"/>
      <c r="HOV1241" s="106"/>
      <c r="HOW1241" s="106"/>
      <c r="HOX1241" s="106"/>
      <c r="HOY1241" s="106"/>
      <c r="HOZ1241" s="106"/>
      <c r="HPA1241" s="106"/>
      <c r="HPB1241" s="106"/>
      <c r="HPC1241" s="106"/>
      <c r="HPD1241" s="106"/>
      <c r="HPE1241" s="106"/>
      <c r="HPF1241" s="106"/>
      <c r="HPG1241" s="106"/>
      <c r="HPH1241" s="106"/>
      <c r="HPI1241" s="106"/>
      <c r="HPJ1241" s="106"/>
      <c r="HPK1241" s="106"/>
      <c r="HPL1241" s="106"/>
      <c r="HPM1241" s="106"/>
      <c r="HPN1241" s="106"/>
      <c r="HPO1241" s="106"/>
      <c r="HPP1241" s="106"/>
      <c r="HPQ1241" s="106"/>
      <c r="HPR1241" s="106"/>
      <c r="HPS1241" s="106"/>
      <c r="HPT1241" s="106"/>
      <c r="HPU1241" s="106"/>
      <c r="HPV1241" s="106"/>
      <c r="HPW1241" s="106"/>
      <c r="HPX1241" s="106"/>
      <c r="HPY1241" s="106"/>
      <c r="HPZ1241" s="106"/>
      <c r="HQA1241" s="106"/>
      <c r="HQB1241" s="106"/>
      <c r="HQC1241" s="106"/>
      <c r="HQD1241" s="106"/>
      <c r="HQE1241" s="106"/>
      <c r="HQF1241" s="106"/>
      <c r="HQG1241" s="106"/>
      <c r="HQH1241" s="106"/>
      <c r="HQI1241" s="106"/>
      <c r="HQJ1241" s="106"/>
      <c r="HQK1241" s="106"/>
      <c r="HQL1241" s="106"/>
      <c r="HQM1241" s="106"/>
      <c r="HQN1241" s="106"/>
      <c r="HQO1241" s="106"/>
      <c r="HQP1241" s="106"/>
      <c r="HQQ1241" s="106"/>
      <c r="HQR1241" s="106"/>
      <c r="HQS1241" s="106"/>
      <c r="HQT1241" s="106"/>
      <c r="HQU1241" s="106"/>
      <c r="HQV1241" s="106"/>
      <c r="HQW1241" s="106"/>
      <c r="HQX1241" s="106"/>
      <c r="HQY1241" s="106"/>
      <c r="HQZ1241" s="106"/>
      <c r="HRA1241" s="106"/>
      <c r="HRB1241" s="106"/>
      <c r="HRC1241" s="106"/>
      <c r="HRD1241" s="106"/>
      <c r="HRE1241" s="106"/>
      <c r="HRF1241" s="106"/>
      <c r="HRG1241" s="106"/>
      <c r="HRH1241" s="106"/>
      <c r="HRI1241" s="106"/>
      <c r="HRJ1241" s="106"/>
      <c r="HRK1241" s="106"/>
      <c r="HRL1241" s="106"/>
      <c r="HRM1241" s="106"/>
      <c r="HRN1241" s="106"/>
      <c r="HRO1241" s="106"/>
      <c r="HRP1241" s="106"/>
      <c r="HRQ1241" s="106"/>
      <c r="HRR1241" s="106"/>
      <c r="HRS1241" s="106"/>
      <c r="HRT1241" s="106"/>
      <c r="HRU1241" s="106"/>
      <c r="HRV1241" s="106"/>
      <c r="HRW1241" s="106"/>
      <c r="HRX1241" s="106"/>
      <c r="HRY1241" s="106"/>
      <c r="HRZ1241" s="106"/>
      <c r="HSA1241" s="106"/>
      <c r="HSB1241" s="106"/>
      <c r="HSC1241" s="106"/>
      <c r="HSD1241" s="106"/>
      <c r="HSE1241" s="106"/>
      <c r="HSF1241" s="106"/>
      <c r="HSG1241" s="106"/>
      <c r="HSH1241" s="106"/>
      <c r="HSI1241" s="106"/>
      <c r="HSJ1241" s="106"/>
      <c r="HSK1241" s="106"/>
      <c r="HSL1241" s="106"/>
      <c r="HSM1241" s="106"/>
      <c r="HSN1241" s="106"/>
      <c r="HSO1241" s="106"/>
      <c r="HSP1241" s="106"/>
      <c r="HSQ1241" s="106"/>
      <c r="HSR1241" s="106"/>
      <c r="HSS1241" s="106"/>
      <c r="HST1241" s="106"/>
      <c r="HSU1241" s="106"/>
      <c r="HSV1241" s="106"/>
      <c r="HSW1241" s="106"/>
      <c r="HSX1241" s="106"/>
      <c r="HSY1241" s="106"/>
      <c r="HSZ1241" s="106"/>
      <c r="HTA1241" s="106"/>
      <c r="HTB1241" s="106"/>
      <c r="HTC1241" s="106"/>
      <c r="HTD1241" s="106"/>
      <c r="HTE1241" s="106"/>
      <c r="HTF1241" s="106"/>
      <c r="HTG1241" s="106"/>
      <c r="HTH1241" s="106"/>
      <c r="HTI1241" s="106"/>
      <c r="HTJ1241" s="106"/>
      <c r="HTK1241" s="106"/>
      <c r="HTL1241" s="106"/>
      <c r="HTM1241" s="106"/>
      <c r="HTN1241" s="106"/>
      <c r="HTO1241" s="106"/>
      <c r="HTP1241" s="106"/>
      <c r="HTQ1241" s="106"/>
      <c r="HTR1241" s="106"/>
      <c r="HTS1241" s="106"/>
      <c r="HTT1241" s="106"/>
      <c r="HTU1241" s="106"/>
      <c r="HTV1241" s="106"/>
      <c r="HTW1241" s="106"/>
      <c r="HTX1241" s="106"/>
      <c r="HTY1241" s="106"/>
      <c r="HTZ1241" s="106"/>
      <c r="HUA1241" s="106"/>
      <c r="HUB1241" s="106"/>
      <c r="HUC1241" s="106"/>
      <c r="HUD1241" s="106"/>
      <c r="HUE1241" s="106"/>
      <c r="HUF1241" s="106"/>
      <c r="HUG1241" s="106"/>
      <c r="HUH1241" s="106"/>
      <c r="HUI1241" s="106"/>
      <c r="HUJ1241" s="106"/>
      <c r="HUK1241" s="106"/>
      <c r="HUL1241" s="106"/>
      <c r="HUM1241" s="106"/>
      <c r="HUN1241" s="106"/>
      <c r="HUO1241" s="106"/>
      <c r="HUP1241" s="106"/>
      <c r="HUQ1241" s="106"/>
      <c r="HUR1241" s="106"/>
      <c r="HUS1241" s="106"/>
      <c r="HUT1241" s="106"/>
      <c r="HUU1241" s="106"/>
      <c r="HUV1241" s="106"/>
      <c r="HUW1241" s="106"/>
      <c r="HUX1241" s="106"/>
      <c r="HUY1241" s="106"/>
      <c r="HUZ1241" s="106"/>
      <c r="HVA1241" s="106"/>
      <c r="HVB1241" s="106"/>
      <c r="HVC1241" s="106"/>
      <c r="HVD1241" s="106"/>
      <c r="HVE1241" s="106"/>
      <c r="HVF1241" s="106"/>
      <c r="HVG1241" s="106"/>
      <c r="HVH1241" s="106"/>
      <c r="HVI1241" s="106"/>
      <c r="HVJ1241" s="106"/>
      <c r="HVK1241" s="106"/>
      <c r="HVL1241" s="106"/>
      <c r="HVM1241" s="106"/>
      <c r="HVN1241" s="106"/>
      <c r="HVO1241" s="106"/>
      <c r="HVP1241" s="106"/>
      <c r="HVQ1241" s="106"/>
      <c r="HVR1241" s="106"/>
      <c r="HVS1241" s="106"/>
      <c r="HVT1241" s="106"/>
      <c r="HVU1241" s="106"/>
      <c r="HVV1241" s="106"/>
      <c r="HVW1241" s="106"/>
      <c r="HVX1241" s="106"/>
      <c r="HVY1241" s="106"/>
      <c r="HVZ1241" s="106"/>
      <c r="HWA1241" s="106"/>
      <c r="HWB1241" s="106"/>
      <c r="HWC1241" s="106"/>
      <c r="HWD1241" s="106"/>
      <c r="HWE1241" s="106"/>
      <c r="HWF1241" s="106"/>
      <c r="HWG1241" s="106"/>
      <c r="HWH1241" s="106"/>
      <c r="HWI1241" s="106"/>
      <c r="HWJ1241" s="106"/>
      <c r="HWK1241" s="106"/>
      <c r="HWL1241" s="106"/>
      <c r="HWM1241" s="106"/>
      <c r="HWN1241" s="106"/>
      <c r="HWO1241" s="106"/>
      <c r="HWP1241" s="106"/>
      <c r="HWQ1241" s="106"/>
      <c r="HWR1241" s="106"/>
      <c r="HWS1241" s="106"/>
      <c r="HWT1241" s="106"/>
      <c r="HWU1241" s="106"/>
      <c r="HWV1241" s="106"/>
      <c r="HWW1241" s="106"/>
      <c r="HWX1241" s="106"/>
      <c r="HWY1241" s="106"/>
      <c r="HWZ1241" s="106"/>
      <c r="HXA1241" s="106"/>
      <c r="HXB1241" s="106"/>
      <c r="HXC1241" s="106"/>
      <c r="HXD1241" s="106"/>
      <c r="HXE1241" s="106"/>
      <c r="HXF1241" s="106"/>
      <c r="HXG1241" s="106"/>
      <c r="HXH1241" s="106"/>
      <c r="HXI1241" s="106"/>
      <c r="HXJ1241" s="106"/>
      <c r="HXK1241" s="106"/>
      <c r="HXL1241" s="106"/>
      <c r="HXM1241" s="106"/>
      <c r="HXN1241" s="106"/>
      <c r="HXO1241" s="106"/>
      <c r="HXP1241" s="106"/>
      <c r="HXQ1241" s="106"/>
      <c r="HXR1241" s="106"/>
      <c r="HXS1241" s="106"/>
      <c r="HXT1241" s="106"/>
      <c r="HXU1241" s="106"/>
      <c r="HXV1241" s="106"/>
      <c r="HXW1241" s="106"/>
      <c r="HXX1241" s="106"/>
      <c r="HXY1241" s="106"/>
      <c r="HXZ1241" s="106"/>
      <c r="HYA1241" s="106"/>
      <c r="HYB1241" s="106"/>
      <c r="HYC1241" s="106"/>
      <c r="HYD1241" s="106"/>
      <c r="HYE1241" s="106"/>
      <c r="HYF1241" s="106"/>
      <c r="HYG1241" s="106"/>
      <c r="HYH1241" s="106"/>
      <c r="HYI1241" s="106"/>
      <c r="HYJ1241" s="106"/>
      <c r="HYK1241" s="106"/>
      <c r="HYL1241" s="106"/>
      <c r="HYM1241" s="106"/>
      <c r="HYN1241" s="106"/>
      <c r="HYO1241" s="106"/>
      <c r="HYP1241" s="106"/>
      <c r="HYQ1241" s="106"/>
      <c r="HYR1241" s="106"/>
      <c r="HYS1241" s="106"/>
      <c r="HYT1241" s="106"/>
      <c r="HYU1241" s="106"/>
      <c r="HYV1241" s="106"/>
      <c r="HYW1241" s="106"/>
      <c r="HYX1241" s="106"/>
      <c r="HYY1241" s="106"/>
      <c r="HYZ1241" s="106"/>
      <c r="HZA1241" s="106"/>
      <c r="HZB1241" s="106"/>
      <c r="HZC1241" s="106"/>
      <c r="HZD1241" s="106"/>
      <c r="HZE1241" s="106"/>
      <c r="HZF1241" s="106"/>
      <c r="HZG1241" s="106"/>
      <c r="HZH1241" s="106"/>
      <c r="HZI1241" s="106"/>
      <c r="HZJ1241" s="106"/>
      <c r="HZK1241" s="106"/>
      <c r="HZL1241" s="106"/>
      <c r="HZM1241" s="106"/>
      <c r="HZN1241" s="106"/>
      <c r="HZO1241" s="106"/>
      <c r="HZP1241" s="106"/>
      <c r="HZQ1241" s="106"/>
      <c r="HZR1241" s="106"/>
      <c r="HZS1241" s="106"/>
      <c r="HZT1241" s="106"/>
      <c r="HZU1241" s="106"/>
      <c r="HZV1241" s="106"/>
      <c r="HZW1241" s="106"/>
      <c r="HZX1241" s="106"/>
      <c r="HZY1241" s="106"/>
      <c r="HZZ1241" s="106"/>
      <c r="IAA1241" s="106"/>
      <c r="IAB1241" s="106"/>
      <c r="IAC1241" s="106"/>
      <c r="IAD1241" s="106"/>
      <c r="IAE1241" s="106"/>
      <c r="IAF1241" s="106"/>
      <c r="IAG1241" s="106"/>
      <c r="IAH1241" s="106"/>
      <c r="IAI1241" s="106"/>
      <c r="IAJ1241" s="106"/>
      <c r="IAK1241" s="106"/>
      <c r="IAL1241" s="106"/>
      <c r="IAM1241" s="106"/>
      <c r="IAN1241" s="106"/>
      <c r="IAO1241" s="106"/>
      <c r="IAP1241" s="106"/>
      <c r="IAQ1241" s="106"/>
      <c r="IAR1241" s="106"/>
      <c r="IAS1241" s="106"/>
      <c r="IAT1241" s="106"/>
      <c r="IAU1241" s="106"/>
      <c r="IAV1241" s="106"/>
      <c r="IAW1241" s="106"/>
      <c r="IAX1241" s="106"/>
      <c r="IAY1241" s="106"/>
      <c r="IAZ1241" s="106"/>
      <c r="IBA1241" s="106"/>
      <c r="IBB1241" s="106"/>
      <c r="IBC1241" s="106"/>
      <c r="IBD1241" s="106"/>
      <c r="IBE1241" s="106"/>
      <c r="IBF1241" s="106"/>
      <c r="IBG1241" s="106"/>
      <c r="IBH1241" s="106"/>
      <c r="IBI1241" s="106"/>
      <c r="IBJ1241" s="106"/>
      <c r="IBK1241" s="106"/>
      <c r="IBL1241" s="106"/>
      <c r="IBM1241" s="106"/>
      <c r="IBN1241" s="106"/>
      <c r="IBO1241" s="106"/>
      <c r="IBP1241" s="106"/>
      <c r="IBQ1241" s="106"/>
      <c r="IBR1241" s="106"/>
      <c r="IBS1241" s="106"/>
      <c r="IBT1241" s="106"/>
      <c r="IBU1241" s="106"/>
      <c r="IBV1241" s="106"/>
      <c r="IBW1241" s="106"/>
      <c r="IBX1241" s="106"/>
      <c r="IBY1241" s="106"/>
      <c r="IBZ1241" s="106"/>
      <c r="ICA1241" s="106"/>
      <c r="ICB1241" s="106"/>
      <c r="ICC1241" s="106"/>
      <c r="ICD1241" s="106"/>
      <c r="ICE1241" s="106"/>
      <c r="ICF1241" s="106"/>
      <c r="ICG1241" s="106"/>
      <c r="ICH1241" s="106"/>
      <c r="ICI1241" s="106"/>
      <c r="ICJ1241" s="106"/>
      <c r="ICK1241" s="106"/>
      <c r="ICL1241" s="106"/>
      <c r="ICM1241" s="106"/>
      <c r="ICN1241" s="106"/>
      <c r="ICO1241" s="106"/>
      <c r="ICP1241" s="106"/>
      <c r="ICQ1241" s="106"/>
      <c r="ICR1241" s="106"/>
      <c r="ICS1241" s="106"/>
      <c r="ICT1241" s="106"/>
      <c r="ICU1241" s="106"/>
      <c r="ICV1241" s="106"/>
      <c r="ICW1241" s="106"/>
      <c r="ICX1241" s="106"/>
      <c r="ICY1241" s="106"/>
      <c r="ICZ1241" s="106"/>
      <c r="IDA1241" s="106"/>
      <c r="IDB1241" s="106"/>
      <c r="IDC1241" s="106"/>
      <c r="IDD1241" s="106"/>
      <c r="IDE1241" s="106"/>
      <c r="IDF1241" s="106"/>
      <c r="IDG1241" s="106"/>
      <c r="IDH1241" s="106"/>
      <c r="IDI1241" s="106"/>
      <c r="IDJ1241" s="106"/>
      <c r="IDK1241" s="106"/>
      <c r="IDL1241" s="106"/>
      <c r="IDM1241" s="106"/>
      <c r="IDN1241" s="106"/>
      <c r="IDO1241" s="106"/>
      <c r="IDP1241" s="106"/>
      <c r="IDQ1241" s="106"/>
      <c r="IDR1241" s="106"/>
      <c r="IDS1241" s="106"/>
      <c r="IDT1241" s="106"/>
      <c r="IDU1241" s="106"/>
      <c r="IDV1241" s="106"/>
      <c r="IDW1241" s="106"/>
      <c r="IDX1241" s="106"/>
      <c r="IDY1241" s="106"/>
      <c r="IDZ1241" s="106"/>
      <c r="IEA1241" s="106"/>
      <c r="IEB1241" s="106"/>
      <c r="IEC1241" s="106"/>
      <c r="IED1241" s="106"/>
      <c r="IEE1241" s="106"/>
      <c r="IEF1241" s="106"/>
      <c r="IEG1241" s="106"/>
      <c r="IEH1241" s="106"/>
      <c r="IEI1241" s="106"/>
      <c r="IEJ1241" s="106"/>
      <c r="IEK1241" s="106"/>
      <c r="IEL1241" s="106"/>
      <c r="IEM1241" s="106"/>
      <c r="IEN1241" s="106"/>
      <c r="IEO1241" s="106"/>
      <c r="IEP1241" s="106"/>
      <c r="IEQ1241" s="106"/>
      <c r="IER1241" s="106"/>
      <c r="IES1241" s="106"/>
      <c r="IET1241" s="106"/>
      <c r="IEU1241" s="106"/>
      <c r="IEV1241" s="106"/>
      <c r="IEW1241" s="106"/>
      <c r="IEX1241" s="106"/>
      <c r="IEY1241" s="106"/>
      <c r="IEZ1241" s="106"/>
      <c r="IFA1241" s="106"/>
      <c r="IFB1241" s="106"/>
      <c r="IFC1241" s="106"/>
      <c r="IFD1241" s="106"/>
      <c r="IFE1241" s="106"/>
      <c r="IFF1241" s="106"/>
      <c r="IFG1241" s="106"/>
      <c r="IFH1241" s="106"/>
      <c r="IFI1241" s="106"/>
      <c r="IFJ1241" s="106"/>
      <c r="IFK1241" s="106"/>
      <c r="IFL1241" s="106"/>
      <c r="IFM1241" s="106"/>
      <c r="IFN1241" s="106"/>
      <c r="IFO1241" s="106"/>
      <c r="IFP1241" s="106"/>
      <c r="IFQ1241" s="106"/>
      <c r="IFR1241" s="106"/>
      <c r="IFS1241" s="106"/>
      <c r="IFT1241" s="106"/>
      <c r="IFU1241" s="106"/>
      <c r="IFV1241" s="106"/>
      <c r="IFW1241" s="106"/>
      <c r="IFX1241" s="106"/>
      <c r="IFY1241" s="106"/>
      <c r="IFZ1241" s="106"/>
      <c r="IGA1241" s="106"/>
      <c r="IGB1241" s="106"/>
      <c r="IGC1241" s="106"/>
      <c r="IGD1241" s="106"/>
      <c r="IGE1241" s="106"/>
      <c r="IGF1241" s="106"/>
      <c r="IGG1241" s="106"/>
      <c r="IGH1241" s="106"/>
      <c r="IGI1241" s="106"/>
      <c r="IGJ1241" s="106"/>
      <c r="IGK1241" s="106"/>
      <c r="IGL1241" s="106"/>
      <c r="IGM1241" s="106"/>
      <c r="IGN1241" s="106"/>
      <c r="IGO1241" s="106"/>
      <c r="IGP1241" s="106"/>
      <c r="IGQ1241" s="106"/>
      <c r="IGR1241" s="106"/>
      <c r="IGS1241" s="106"/>
      <c r="IGT1241" s="106"/>
      <c r="IGU1241" s="106"/>
      <c r="IGV1241" s="106"/>
      <c r="IGW1241" s="106"/>
      <c r="IGX1241" s="106"/>
      <c r="IGY1241" s="106"/>
      <c r="IGZ1241" s="106"/>
      <c r="IHA1241" s="106"/>
      <c r="IHB1241" s="106"/>
      <c r="IHC1241" s="106"/>
      <c r="IHD1241" s="106"/>
      <c r="IHE1241" s="106"/>
      <c r="IHF1241" s="106"/>
      <c r="IHG1241" s="106"/>
      <c r="IHH1241" s="106"/>
      <c r="IHI1241" s="106"/>
      <c r="IHJ1241" s="106"/>
      <c r="IHK1241" s="106"/>
      <c r="IHL1241" s="106"/>
      <c r="IHM1241" s="106"/>
      <c r="IHN1241" s="106"/>
      <c r="IHO1241" s="106"/>
      <c r="IHP1241" s="106"/>
      <c r="IHQ1241" s="106"/>
      <c r="IHR1241" s="106"/>
      <c r="IHS1241" s="106"/>
      <c r="IHT1241" s="106"/>
      <c r="IHU1241" s="106"/>
      <c r="IHV1241" s="106"/>
      <c r="IHW1241" s="106"/>
      <c r="IHX1241" s="106"/>
      <c r="IHY1241" s="106"/>
      <c r="IHZ1241" s="106"/>
      <c r="IIA1241" s="106"/>
      <c r="IIB1241" s="106"/>
      <c r="IIC1241" s="106"/>
      <c r="IID1241" s="106"/>
      <c r="IIE1241" s="106"/>
      <c r="IIF1241" s="106"/>
      <c r="IIG1241" s="106"/>
      <c r="IIH1241" s="106"/>
      <c r="III1241" s="106"/>
      <c r="IIJ1241" s="106"/>
      <c r="IIK1241" s="106"/>
      <c r="IIL1241" s="106"/>
      <c r="IIM1241" s="106"/>
      <c r="IIN1241" s="106"/>
      <c r="IIO1241" s="106"/>
      <c r="IIP1241" s="106"/>
      <c r="IIQ1241" s="106"/>
      <c r="IIR1241" s="106"/>
      <c r="IIS1241" s="106"/>
      <c r="IIT1241" s="106"/>
      <c r="IIU1241" s="106"/>
      <c r="IIV1241" s="106"/>
      <c r="IIW1241" s="106"/>
      <c r="IIX1241" s="106"/>
      <c r="IIY1241" s="106"/>
      <c r="IIZ1241" s="106"/>
      <c r="IJA1241" s="106"/>
      <c r="IJB1241" s="106"/>
      <c r="IJC1241" s="106"/>
      <c r="IJD1241" s="106"/>
      <c r="IJE1241" s="106"/>
      <c r="IJF1241" s="106"/>
      <c r="IJG1241" s="106"/>
      <c r="IJH1241" s="106"/>
      <c r="IJI1241" s="106"/>
      <c r="IJJ1241" s="106"/>
      <c r="IJK1241" s="106"/>
      <c r="IJL1241" s="106"/>
      <c r="IJM1241" s="106"/>
      <c r="IJN1241" s="106"/>
      <c r="IJO1241" s="106"/>
      <c r="IJP1241" s="106"/>
      <c r="IJQ1241" s="106"/>
      <c r="IJR1241" s="106"/>
      <c r="IJS1241" s="106"/>
      <c r="IJT1241" s="106"/>
      <c r="IJU1241" s="106"/>
      <c r="IJV1241" s="106"/>
      <c r="IJW1241" s="106"/>
      <c r="IJX1241" s="106"/>
      <c r="IJY1241" s="106"/>
      <c r="IJZ1241" s="106"/>
      <c r="IKA1241" s="106"/>
      <c r="IKB1241" s="106"/>
      <c r="IKC1241" s="106"/>
      <c r="IKD1241" s="106"/>
      <c r="IKE1241" s="106"/>
      <c r="IKF1241" s="106"/>
      <c r="IKG1241" s="106"/>
      <c r="IKH1241" s="106"/>
      <c r="IKI1241" s="106"/>
      <c r="IKJ1241" s="106"/>
      <c r="IKK1241" s="106"/>
      <c r="IKL1241" s="106"/>
      <c r="IKM1241" s="106"/>
      <c r="IKN1241" s="106"/>
      <c r="IKO1241" s="106"/>
      <c r="IKP1241" s="106"/>
      <c r="IKQ1241" s="106"/>
      <c r="IKR1241" s="106"/>
      <c r="IKS1241" s="106"/>
      <c r="IKT1241" s="106"/>
      <c r="IKU1241" s="106"/>
      <c r="IKV1241" s="106"/>
      <c r="IKW1241" s="106"/>
      <c r="IKX1241" s="106"/>
      <c r="IKY1241" s="106"/>
      <c r="IKZ1241" s="106"/>
      <c r="ILA1241" s="106"/>
      <c r="ILB1241" s="106"/>
      <c r="ILC1241" s="106"/>
      <c r="ILD1241" s="106"/>
      <c r="ILE1241" s="106"/>
      <c r="ILF1241" s="106"/>
      <c r="ILG1241" s="106"/>
      <c r="ILH1241" s="106"/>
      <c r="ILI1241" s="106"/>
      <c r="ILJ1241" s="106"/>
      <c r="ILK1241" s="106"/>
      <c r="ILL1241" s="106"/>
      <c r="ILM1241" s="106"/>
      <c r="ILN1241" s="106"/>
      <c r="ILO1241" s="106"/>
      <c r="ILP1241" s="106"/>
      <c r="ILQ1241" s="106"/>
      <c r="ILR1241" s="106"/>
      <c r="ILS1241" s="106"/>
      <c r="ILT1241" s="106"/>
      <c r="ILU1241" s="106"/>
      <c r="ILV1241" s="106"/>
      <c r="ILW1241" s="106"/>
      <c r="ILX1241" s="106"/>
      <c r="ILY1241" s="106"/>
      <c r="ILZ1241" s="106"/>
      <c r="IMA1241" s="106"/>
      <c r="IMB1241" s="106"/>
      <c r="IMC1241" s="106"/>
      <c r="IMD1241" s="106"/>
      <c r="IME1241" s="106"/>
      <c r="IMF1241" s="106"/>
      <c r="IMG1241" s="106"/>
      <c r="IMH1241" s="106"/>
      <c r="IMI1241" s="106"/>
      <c r="IMJ1241" s="106"/>
      <c r="IMK1241" s="106"/>
      <c r="IML1241" s="106"/>
      <c r="IMM1241" s="106"/>
      <c r="IMN1241" s="106"/>
      <c r="IMO1241" s="106"/>
      <c r="IMP1241" s="106"/>
      <c r="IMQ1241" s="106"/>
      <c r="IMR1241" s="106"/>
      <c r="IMS1241" s="106"/>
      <c r="IMT1241" s="106"/>
      <c r="IMU1241" s="106"/>
      <c r="IMV1241" s="106"/>
      <c r="IMW1241" s="106"/>
      <c r="IMX1241" s="106"/>
      <c r="IMY1241" s="106"/>
      <c r="IMZ1241" s="106"/>
      <c r="INA1241" s="106"/>
      <c r="INB1241" s="106"/>
      <c r="INC1241" s="106"/>
      <c r="IND1241" s="106"/>
      <c r="INE1241" s="106"/>
      <c r="INF1241" s="106"/>
      <c r="ING1241" s="106"/>
      <c r="INH1241" s="106"/>
      <c r="INI1241" s="106"/>
      <c r="INJ1241" s="106"/>
      <c r="INK1241" s="106"/>
      <c r="INL1241" s="106"/>
      <c r="INM1241" s="106"/>
      <c r="INN1241" s="106"/>
      <c r="INO1241" s="106"/>
      <c r="INP1241" s="106"/>
      <c r="INQ1241" s="106"/>
      <c r="INR1241" s="106"/>
      <c r="INS1241" s="106"/>
      <c r="INT1241" s="106"/>
      <c r="INU1241" s="106"/>
      <c r="INV1241" s="106"/>
      <c r="INW1241" s="106"/>
      <c r="INX1241" s="106"/>
      <c r="INY1241" s="106"/>
      <c r="INZ1241" s="106"/>
      <c r="IOA1241" s="106"/>
      <c r="IOB1241" s="106"/>
      <c r="IOC1241" s="106"/>
      <c r="IOD1241" s="106"/>
      <c r="IOE1241" s="106"/>
      <c r="IOF1241" s="106"/>
      <c r="IOG1241" s="106"/>
      <c r="IOH1241" s="106"/>
      <c r="IOI1241" s="106"/>
      <c r="IOJ1241" s="106"/>
      <c r="IOK1241" s="106"/>
      <c r="IOL1241" s="106"/>
      <c r="IOM1241" s="106"/>
      <c r="ION1241" s="106"/>
      <c r="IOO1241" s="106"/>
      <c r="IOP1241" s="106"/>
      <c r="IOQ1241" s="106"/>
      <c r="IOR1241" s="106"/>
      <c r="IOS1241" s="106"/>
      <c r="IOT1241" s="106"/>
      <c r="IOU1241" s="106"/>
      <c r="IOV1241" s="106"/>
      <c r="IOW1241" s="106"/>
      <c r="IOX1241" s="106"/>
      <c r="IOY1241" s="106"/>
      <c r="IOZ1241" s="106"/>
      <c r="IPA1241" s="106"/>
      <c r="IPB1241" s="106"/>
      <c r="IPC1241" s="106"/>
      <c r="IPD1241" s="106"/>
      <c r="IPE1241" s="106"/>
      <c r="IPF1241" s="106"/>
      <c r="IPG1241" s="106"/>
      <c r="IPH1241" s="106"/>
      <c r="IPI1241" s="106"/>
      <c r="IPJ1241" s="106"/>
      <c r="IPK1241" s="106"/>
      <c r="IPL1241" s="106"/>
      <c r="IPM1241" s="106"/>
      <c r="IPN1241" s="106"/>
      <c r="IPO1241" s="106"/>
      <c r="IPP1241" s="106"/>
      <c r="IPQ1241" s="106"/>
      <c r="IPR1241" s="106"/>
      <c r="IPS1241" s="106"/>
      <c r="IPT1241" s="106"/>
      <c r="IPU1241" s="106"/>
      <c r="IPV1241" s="106"/>
      <c r="IPW1241" s="106"/>
      <c r="IPX1241" s="106"/>
      <c r="IPY1241" s="106"/>
      <c r="IPZ1241" s="106"/>
      <c r="IQA1241" s="106"/>
      <c r="IQB1241" s="106"/>
      <c r="IQC1241" s="106"/>
      <c r="IQD1241" s="106"/>
      <c r="IQE1241" s="106"/>
      <c r="IQF1241" s="106"/>
      <c r="IQG1241" s="106"/>
      <c r="IQH1241" s="106"/>
      <c r="IQI1241" s="106"/>
      <c r="IQJ1241" s="106"/>
      <c r="IQK1241" s="106"/>
      <c r="IQL1241" s="106"/>
      <c r="IQM1241" s="106"/>
      <c r="IQN1241" s="106"/>
      <c r="IQO1241" s="106"/>
      <c r="IQP1241" s="106"/>
      <c r="IQQ1241" s="106"/>
      <c r="IQR1241" s="106"/>
      <c r="IQS1241" s="106"/>
      <c r="IQT1241" s="106"/>
      <c r="IQU1241" s="106"/>
      <c r="IQV1241" s="106"/>
      <c r="IQW1241" s="106"/>
      <c r="IQX1241" s="106"/>
      <c r="IQY1241" s="106"/>
      <c r="IQZ1241" s="106"/>
      <c r="IRA1241" s="106"/>
      <c r="IRB1241" s="106"/>
      <c r="IRC1241" s="106"/>
      <c r="IRD1241" s="106"/>
      <c r="IRE1241" s="106"/>
      <c r="IRF1241" s="106"/>
      <c r="IRG1241" s="106"/>
      <c r="IRH1241" s="106"/>
      <c r="IRI1241" s="106"/>
      <c r="IRJ1241" s="106"/>
      <c r="IRK1241" s="106"/>
      <c r="IRL1241" s="106"/>
      <c r="IRM1241" s="106"/>
      <c r="IRN1241" s="106"/>
      <c r="IRO1241" s="106"/>
      <c r="IRP1241" s="106"/>
      <c r="IRQ1241" s="106"/>
      <c r="IRR1241" s="106"/>
      <c r="IRS1241" s="106"/>
      <c r="IRT1241" s="106"/>
      <c r="IRU1241" s="106"/>
      <c r="IRV1241" s="106"/>
      <c r="IRW1241" s="106"/>
      <c r="IRX1241" s="106"/>
      <c r="IRY1241" s="106"/>
      <c r="IRZ1241" s="106"/>
      <c r="ISA1241" s="106"/>
      <c r="ISB1241" s="106"/>
      <c r="ISC1241" s="106"/>
      <c r="ISD1241" s="106"/>
      <c r="ISE1241" s="106"/>
      <c r="ISF1241" s="106"/>
      <c r="ISG1241" s="106"/>
      <c r="ISH1241" s="106"/>
      <c r="ISI1241" s="106"/>
      <c r="ISJ1241" s="106"/>
      <c r="ISK1241" s="106"/>
      <c r="ISL1241" s="106"/>
      <c r="ISM1241" s="106"/>
      <c r="ISN1241" s="106"/>
      <c r="ISO1241" s="106"/>
      <c r="ISP1241" s="106"/>
      <c r="ISQ1241" s="106"/>
      <c r="ISR1241" s="106"/>
      <c r="ISS1241" s="106"/>
      <c r="IST1241" s="106"/>
      <c r="ISU1241" s="106"/>
      <c r="ISV1241" s="106"/>
      <c r="ISW1241" s="106"/>
      <c r="ISX1241" s="106"/>
      <c r="ISY1241" s="106"/>
      <c r="ISZ1241" s="106"/>
      <c r="ITA1241" s="106"/>
      <c r="ITB1241" s="106"/>
      <c r="ITC1241" s="106"/>
      <c r="ITD1241" s="106"/>
      <c r="ITE1241" s="106"/>
      <c r="ITF1241" s="106"/>
      <c r="ITG1241" s="106"/>
      <c r="ITH1241" s="106"/>
      <c r="ITI1241" s="106"/>
      <c r="ITJ1241" s="106"/>
      <c r="ITK1241" s="106"/>
      <c r="ITL1241" s="106"/>
      <c r="ITM1241" s="106"/>
      <c r="ITN1241" s="106"/>
      <c r="ITO1241" s="106"/>
      <c r="ITP1241" s="106"/>
      <c r="ITQ1241" s="106"/>
      <c r="ITR1241" s="106"/>
      <c r="ITS1241" s="106"/>
      <c r="ITT1241" s="106"/>
      <c r="ITU1241" s="106"/>
      <c r="ITV1241" s="106"/>
      <c r="ITW1241" s="106"/>
      <c r="ITX1241" s="106"/>
      <c r="ITY1241" s="106"/>
      <c r="ITZ1241" s="106"/>
      <c r="IUA1241" s="106"/>
      <c r="IUB1241" s="106"/>
      <c r="IUC1241" s="106"/>
      <c r="IUD1241" s="106"/>
      <c r="IUE1241" s="106"/>
      <c r="IUF1241" s="106"/>
      <c r="IUG1241" s="106"/>
      <c r="IUH1241" s="106"/>
      <c r="IUI1241" s="106"/>
      <c r="IUJ1241" s="106"/>
      <c r="IUK1241" s="106"/>
      <c r="IUL1241" s="106"/>
      <c r="IUM1241" s="106"/>
      <c r="IUN1241" s="106"/>
      <c r="IUO1241" s="106"/>
      <c r="IUP1241" s="106"/>
      <c r="IUQ1241" s="106"/>
      <c r="IUR1241" s="106"/>
      <c r="IUS1241" s="106"/>
      <c r="IUT1241" s="106"/>
      <c r="IUU1241" s="106"/>
      <c r="IUV1241" s="106"/>
      <c r="IUW1241" s="106"/>
      <c r="IUX1241" s="106"/>
      <c r="IUY1241" s="106"/>
      <c r="IUZ1241" s="106"/>
      <c r="IVA1241" s="106"/>
      <c r="IVB1241" s="106"/>
      <c r="IVC1241" s="106"/>
      <c r="IVD1241" s="106"/>
      <c r="IVE1241" s="106"/>
      <c r="IVF1241" s="106"/>
      <c r="IVG1241" s="106"/>
      <c r="IVH1241" s="106"/>
      <c r="IVI1241" s="106"/>
      <c r="IVJ1241" s="106"/>
      <c r="IVK1241" s="106"/>
      <c r="IVL1241" s="106"/>
      <c r="IVM1241" s="106"/>
      <c r="IVN1241" s="106"/>
      <c r="IVO1241" s="106"/>
      <c r="IVP1241" s="106"/>
      <c r="IVQ1241" s="106"/>
      <c r="IVR1241" s="106"/>
      <c r="IVS1241" s="106"/>
      <c r="IVT1241" s="106"/>
      <c r="IVU1241" s="106"/>
      <c r="IVV1241" s="106"/>
      <c r="IVW1241" s="106"/>
      <c r="IVX1241" s="106"/>
      <c r="IVY1241" s="106"/>
      <c r="IVZ1241" s="106"/>
      <c r="IWA1241" s="106"/>
      <c r="IWB1241" s="106"/>
      <c r="IWC1241" s="106"/>
      <c r="IWD1241" s="106"/>
      <c r="IWE1241" s="106"/>
      <c r="IWF1241" s="106"/>
      <c r="IWG1241" s="106"/>
      <c r="IWH1241" s="106"/>
      <c r="IWI1241" s="106"/>
      <c r="IWJ1241" s="106"/>
      <c r="IWK1241" s="106"/>
      <c r="IWL1241" s="106"/>
      <c r="IWM1241" s="106"/>
      <c r="IWN1241" s="106"/>
      <c r="IWO1241" s="106"/>
      <c r="IWP1241" s="106"/>
      <c r="IWQ1241" s="106"/>
      <c r="IWR1241" s="106"/>
      <c r="IWS1241" s="106"/>
      <c r="IWT1241" s="106"/>
      <c r="IWU1241" s="106"/>
      <c r="IWV1241" s="106"/>
      <c r="IWW1241" s="106"/>
      <c r="IWX1241" s="106"/>
      <c r="IWY1241" s="106"/>
      <c r="IWZ1241" s="106"/>
      <c r="IXA1241" s="106"/>
      <c r="IXB1241" s="106"/>
      <c r="IXC1241" s="106"/>
      <c r="IXD1241" s="106"/>
      <c r="IXE1241" s="106"/>
      <c r="IXF1241" s="106"/>
      <c r="IXG1241" s="106"/>
      <c r="IXH1241" s="106"/>
      <c r="IXI1241" s="106"/>
      <c r="IXJ1241" s="106"/>
      <c r="IXK1241" s="106"/>
      <c r="IXL1241" s="106"/>
      <c r="IXM1241" s="106"/>
      <c r="IXN1241" s="106"/>
      <c r="IXO1241" s="106"/>
      <c r="IXP1241" s="106"/>
      <c r="IXQ1241" s="106"/>
      <c r="IXR1241" s="106"/>
      <c r="IXS1241" s="106"/>
      <c r="IXT1241" s="106"/>
      <c r="IXU1241" s="106"/>
      <c r="IXV1241" s="106"/>
      <c r="IXW1241" s="106"/>
      <c r="IXX1241" s="106"/>
      <c r="IXY1241" s="106"/>
      <c r="IXZ1241" s="106"/>
      <c r="IYA1241" s="106"/>
      <c r="IYB1241" s="106"/>
      <c r="IYC1241" s="106"/>
      <c r="IYD1241" s="106"/>
      <c r="IYE1241" s="106"/>
      <c r="IYF1241" s="106"/>
      <c r="IYG1241" s="106"/>
      <c r="IYH1241" s="106"/>
      <c r="IYI1241" s="106"/>
      <c r="IYJ1241" s="106"/>
      <c r="IYK1241" s="106"/>
      <c r="IYL1241" s="106"/>
      <c r="IYM1241" s="106"/>
      <c r="IYN1241" s="106"/>
      <c r="IYO1241" s="106"/>
      <c r="IYP1241" s="106"/>
      <c r="IYQ1241" s="106"/>
      <c r="IYR1241" s="106"/>
      <c r="IYS1241" s="106"/>
      <c r="IYT1241" s="106"/>
      <c r="IYU1241" s="106"/>
      <c r="IYV1241" s="106"/>
      <c r="IYW1241" s="106"/>
      <c r="IYX1241" s="106"/>
      <c r="IYY1241" s="106"/>
      <c r="IYZ1241" s="106"/>
      <c r="IZA1241" s="106"/>
      <c r="IZB1241" s="106"/>
      <c r="IZC1241" s="106"/>
      <c r="IZD1241" s="106"/>
      <c r="IZE1241" s="106"/>
      <c r="IZF1241" s="106"/>
      <c r="IZG1241" s="106"/>
      <c r="IZH1241" s="106"/>
      <c r="IZI1241" s="106"/>
      <c r="IZJ1241" s="106"/>
      <c r="IZK1241" s="106"/>
      <c r="IZL1241" s="106"/>
      <c r="IZM1241" s="106"/>
      <c r="IZN1241" s="106"/>
      <c r="IZO1241" s="106"/>
      <c r="IZP1241" s="106"/>
      <c r="IZQ1241" s="106"/>
      <c r="IZR1241" s="106"/>
      <c r="IZS1241" s="106"/>
      <c r="IZT1241" s="106"/>
      <c r="IZU1241" s="106"/>
      <c r="IZV1241" s="106"/>
      <c r="IZW1241" s="106"/>
      <c r="IZX1241" s="106"/>
      <c r="IZY1241" s="106"/>
      <c r="IZZ1241" s="106"/>
      <c r="JAA1241" s="106"/>
      <c r="JAB1241" s="106"/>
      <c r="JAC1241" s="106"/>
      <c r="JAD1241" s="106"/>
      <c r="JAE1241" s="106"/>
      <c r="JAF1241" s="106"/>
      <c r="JAG1241" s="106"/>
      <c r="JAH1241" s="106"/>
      <c r="JAI1241" s="106"/>
      <c r="JAJ1241" s="106"/>
      <c r="JAK1241" s="106"/>
      <c r="JAL1241" s="106"/>
      <c r="JAM1241" s="106"/>
      <c r="JAN1241" s="106"/>
      <c r="JAO1241" s="106"/>
      <c r="JAP1241" s="106"/>
      <c r="JAQ1241" s="106"/>
      <c r="JAR1241" s="106"/>
      <c r="JAS1241" s="106"/>
      <c r="JAT1241" s="106"/>
      <c r="JAU1241" s="106"/>
      <c r="JAV1241" s="106"/>
      <c r="JAW1241" s="106"/>
      <c r="JAX1241" s="106"/>
      <c r="JAY1241" s="106"/>
      <c r="JAZ1241" s="106"/>
      <c r="JBA1241" s="106"/>
      <c r="JBB1241" s="106"/>
      <c r="JBC1241" s="106"/>
      <c r="JBD1241" s="106"/>
      <c r="JBE1241" s="106"/>
      <c r="JBF1241" s="106"/>
      <c r="JBG1241" s="106"/>
      <c r="JBH1241" s="106"/>
      <c r="JBI1241" s="106"/>
      <c r="JBJ1241" s="106"/>
      <c r="JBK1241" s="106"/>
      <c r="JBL1241" s="106"/>
      <c r="JBM1241" s="106"/>
      <c r="JBN1241" s="106"/>
      <c r="JBO1241" s="106"/>
      <c r="JBP1241" s="106"/>
      <c r="JBQ1241" s="106"/>
      <c r="JBR1241" s="106"/>
      <c r="JBS1241" s="106"/>
      <c r="JBT1241" s="106"/>
      <c r="JBU1241" s="106"/>
      <c r="JBV1241" s="106"/>
      <c r="JBW1241" s="106"/>
      <c r="JBX1241" s="106"/>
      <c r="JBY1241" s="106"/>
      <c r="JBZ1241" s="106"/>
      <c r="JCA1241" s="106"/>
      <c r="JCB1241" s="106"/>
      <c r="JCC1241" s="106"/>
      <c r="JCD1241" s="106"/>
      <c r="JCE1241" s="106"/>
      <c r="JCF1241" s="106"/>
      <c r="JCG1241" s="106"/>
      <c r="JCH1241" s="106"/>
      <c r="JCI1241" s="106"/>
      <c r="JCJ1241" s="106"/>
      <c r="JCK1241" s="106"/>
      <c r="JCL1241" s="106"/>
      <c r="JCM1241" s="106"/>
      <c r="JCN1241" s="106"/>
      <c r="JCO1241" s="106"/>
      <c r="JCP1241" s="106"/>
      <c r="JCQ1241" s="106"/>
      <c r="JCR1241" s="106"/>
      <c r="JCS1241" s="106"/>
      <c r="JCT1241" s="106"/>
      <c r="JCU1241" s="106"/>
      <c r="JCV1241" s="106"/>
      <c r="JCW1241" s="106"/>
      <c r="JCX1241" s="106"/>
      <c r="JCY1241" s="106"/>
      <c r="JCZ1241" s="106"/>
      <c r="JDA1241" s="106"/>
      <c r="JDB1241" s="106"/>
      <c r="JDC1241" s="106"/>
      <c r="JDD1241" s="106"/>
      <c r="JDE1241" s="106"/>
      <c r="JDF1241" s="106"/>
      <c r="JDG1241" s="106"/>
      <c r="JDH1241" s="106"/>
      <c r="JDI1241" s="106"/>
      <c r="JDJ1241" s="106"/>
      <c r="JDK1241" s="106"/>
      <c r="JDL1241" s="106"/>
      <c r="JDM1241" s="106"/>
      <c r="JDN1241" s="106"/>
      <c r="JDO1241" s="106"/>
      <c r="JDP1241" s="106"/>
      <c r="JDQ1241" s="106"/>
      <c r="JDR1241" s="106"/>
      <c r="JDS1241" s="106"/>
      <c r="JDT1241" s="106"/>
      <c r="JDU1241" s="106"/>
      <c r="JDV1241" s="106"/>
      <c r="JDW1241" s="106"/>
      <c r="JDX1241" s="106"/>
      <c r="JDY1241" s="106"/>
      <c r="JDZ1241" s="106"/>
      <c r="JEA1241" s="106"/>
      <c r="JEB1241" s="106"/>
      <c r="JEC1241" s="106"/>
      <c r="JED1241" s="106"/>
      <c r="JEE1241" s="106"/>
      <c r="JEF1241" s="106"/>
      <c r="JEG1241" s="106"/>
      <c r="JEH1241" s="106"/>
      <c r="JEI1241" s="106"/>
      <c r="JEJ1241" s="106"/>
      <c r="JEK1241" s="106"/>
      <c r="JEL1241" s="106"/>
      <c r="JEM1241" s="106"/>
      <c r="JEN1241" s="106"/>
      <c r="JEO1241" s="106"/>
      <c r="JEP1241" s="106"/>
      <c r="JEQ1241" s="106"/>
      <c r="JER1241" s="106"/>
      <c r="JES1241" s="106"/>
      <c r="JET1241" s="106"/>
      <c r="JEU1241" s="106"/>
      <c r="JEV1241" s="106"/>
      <c r="JEW1241" s="106"/>
      <c r="JEX1241" s="106"/>
      <c r="JEY1241" s="106"/>
      <c r="JEZ1241" s="106"/>
      <c r="JFA1241" s="106"/>
      <c r="JFB1241" s="106"/>
      <c r="JFC1241" s="106"/>
      <c r="JFD1241" s="106"/>
      <c r="JFE1241" s="106"/>
      <c r="JFF1241" s="106"/>
      <c r="JFG1241" s="106"/>
      <c r="JFH1241" s="106"/>
      <c r="JFI1241" s="106"/>
      <c r="JFJ1241" s="106"/>
      <c r="JFK1241" s="106"/>
      <c r="JFL1241" s="106"/>
      <c r="JFM1241" s="106"/>
      <c r="JFN1241" s="106"/>
      <c r="JFO1241" s="106"/>
      <c r="JFP1241" s="106"/>
      <c r="JFQ1241" s="106"/>
      <c r="JFR1241" s="106"/>
      <c r="JFS1241" s="106"/>
      <c r="JFT1241" s="106"/>
      <c r="JFU1241" s="106"/>
      <c r="JFV1241" s="106"/>
      <c r="JFW1241" s="106"/>
      <c r="JFX1241" s="106"/>
      <c r="JFY1241" s="106"/>
      <c r="JFZ1241" s="106"/>
      <c r="JGA1241" s="106"/>
      <c r="JGB1241" s="106"/>
      <c r="JGC1241" s="106"/>
      <c r="JGD1241" s="106"/>
      <c r="JGE1241" s="106"/>
      <c r="JGF1241" s="106"/>
      <c r="JGG1241" s="106"/>
      <c r="JGH1241" s="106"/>
      <c r="JGI1241" s="106"/>
      <c r="JGJ1241" s="106"/>
      <c r="JGK1241" s="106"/>
      <c r="JGL1241" s="106"/>
      <c r="JGM1241" s="106"/>
      <c r="JGN1241" s="106"/>
      <c r="JGO1241" s="106"/>
      <c r="JGP1241" s="106"/>
      <c r="JGQ1241" s="106"/>
      <c r="JGR1241" s="106"/>
      <c r="JGS1241" s="106"/>
      <c r="JGT1241" s="106"/>
      <c r="JGU1241" s="106"/>
      <c r="JGV1241" s="106"/>
      <c r="JGW1241" s="106"/>
      <c r="JGX1241" s="106"/>
      <c r="JGY1241" s="106"/>
      <c r="JGZ1241" s="106"/>
      <c r="JHA1241" s="106"/>
      <c r="JHB1241" s="106"/>
      <c r="JHC1241" s="106"/>
      <c r="JHD1241" s="106"/>
      <c r="JHE1241" s="106"/>
      <c r="JHF1241" s="106"/>
      <c r="JHG1241" s="106"/>
      <c r="JHH1241" s="106"/>
      <c r="JHI1241" s="106"/>
      <c r="JHJ1241" s="106"/>
      <c r="JHK1241" s="106"/>
      <c r="JHL1241" s="106"/>
      <c r="JHM1241" s="106"/>
      <c r="JHN1241" s="106"/>
      <c r="JHO1241" s="106"/>
      <c r="JHP1241" s="106"/>
      <c r="JHQ1241" s="106"/>
      <c r="JHR1241" s="106"/>
      <c r="JHS1241" s="106"/>
      <c r="JHT1241" s="106"/>
      <c r="JHU1241" s="106"/>
      <c r="JHV1241" s="106"/>
      <c r="JHW1241" s="106"/>
      <c r="JHX1241" s="106"/>
      <c r="JHY1241" s="106"/>
      <c r="JHZ1241" s="106"/>
      <c r="JIA1241" s="106"/>
      <c r="JIB1241" s="106"/>
      <c r="JIC1241" s="106"/>
      <c r="JID1241" s="106"/>
      <c r="JIE1241" s="106"/>
      <c r="JIF1241" s="106"/>
      <c r="JIG1241" s="106"/>
      <c r="JIH1241" s="106"/>
      <c r="JII1241" s="106"/>
      <c r="JIJ1241" s="106"/>
      <c r="JIK1241" s="106"/>
      <c r="JIL1241" s="106"/>
      <c r="JIM1241" s="106"/>
      <c r="JIN1241" s="106"/>
      <c r="JIO1241" s="106"/>
      <c r="JIP1241" s="106"/>
      <c r="JIQ1241" s="106"/>
      <c r="JIR1241" s="106"/>
      <c r="JIS1241" s="106"/>
      <c r="JIT1241" s="106"/>
      <c r="JIU1241" s="106"/>
      <c r="JIV1241" s="106"/>
      <c r="JIW1241" s="106"/>
      <c r="JIX1241" s="106"/>
      <c r="JIY1241" s="106"/>
      <c r="JIZ1241" s="106"/>
      <c r="JJA1241" s="106"/>
      <c r="JJB1241" s="106"/>
      <c r="JJC1241" s="106"/>
      <c r="JJD1241" s="106"/>
      <c r="JJE1241" s="106"/>
      <c r="JJF1241" s="106"/>
      <c r="JJG1241" s="106"/>
      <c r="JJH1241" s="106"/>
      <c r="JJI1241" s="106"/>
      <c r="JJJ1241" s="106"/>
      <c r="JJK1241" s="106"/>
      <c r="JJL1241" s="106"/>
      <c r="JJM1241" s="106"/>
      <c r="JJN1241" s="106"/>
      <c r="JJO1241" s="106"/>
      <c r="JJP1241" s="106"/>
      <c r="JJQ1241" s="106"/>
      <c r="JJR1241" s="106"/>
      <c r="JJS1241" s="106"/>
      <c r="JJT1241" s="106"/>
      <c r="JJU1241" s="106"/>
      <c r="JJV1241" s="106"/>
      <c r="JJW1241" s="106"/>
      <c r="JJX1241" s="106"/>
      <c r="JJY1241" s="106"/>
      <c r="JJZ1241" s="106"/>
      <c r="JKA1241" s="106"/>
      <c r="JKB1241" s="106"/>
      <c r="JKC1241" s="106"/>
      <c r="JKD1241" s="106"/>
      <c r="JKE1241" s="106"/>
      <c r="JKF1241" s="106"/>
      <c r="JKG1241" s="106"/>
      <c r="JKH1241" s="106"/>
      <c r="JKI1241" s="106"/>
      <c r="JKJ1241" s="106"/>
      <c r="JKK1241" s="106"/>
      <c r="JKL1241" s="106"/>
      <c r="JKM1241" s="106"/>
      <c r="JKN1241" s="106"/>
      <c r="JKO1241" s="106"/>
      <c r="JKP1241" s="106"/>
      <c r="JKQ1241" s="106"/>
      <c r="JKR1241" s="106"/>
      <c r="JKS1241" s="106"/>
      <c r="JKT1241" s="106"/>
      <c r="JKU1241" s="106"/>
      <c r="JKV1241" s="106"/>
      <c r="JKW1241" s="106"/>
      <c r="JKX1241" s="106"/>
      <c r="JKY1241" s="106"/>
      <c r="JKZ1241" s="106"/>
      <c r="JLA1241" s="106"/>
      <c r="JLB1241" s="106"/>
      <c r="JLC1241" s="106"/>
      <c r="JLD1241" s="106"/>
      <c r="JLE1241" s="106"/>
      <c r="JLF1241" s="106"/>
      <c r="JLG1241" s="106"/>
      <c r="JLH1241" s="106"/>
      <c r="JLI1241" s="106"/>
      <c r="JLJ1241" s="106"/>
      <c r="JLK1241" s="106"/>
      <c r="JLL1241" s="106"/>
      <c r="JLM1241" s="106"/>
      <c r="JLN1241" s="106"/>
      <c r="JLO1241" s="106"/>
      <c r="JLP1241" s="106"/>
      <c r="JLQ1241" s="106"/>
      <c r="JLR1241" s="106"/>
      <c r="JLS1241" s="106"/>
      <c r="JLT1241" s="106"/>
      <c r="JLU1241" s="106"/>
      <c r="JLV1241" s="106"/>
      <c r="JLW1241" s="106"/>
      <c r="JLX1241" s="106"/>
      <c r="JLY1241" s="106"/>
      <c r="JLZ1241" s="106"/>
      <c r="JMA1241" s="106"/>
      <c r="JMB1241" s="106"/>
      <c r="JMC1241" s="106"/>
      <c r="JMD1241" s="106"/>
      <c r="JME1241" s="106"/>
      <c r="JMF1241" s="106"/>
      <c r="JMG1241" s="106"/>
      <c r="JMH1241" s="106"/>
      <c r="JMI1241" s="106"/>
      <c r="JMJ1241" s="106"/>
      <c r="JMK1241" s="106"/>
      <c r="JML1241" s="106"/>
      <c r="JMM1241" s="106"/>
      <c r="JMN1241" s="106"/>
      <c r="JMO1241" s="106"/>
      <c r="JMP1241" s="106"/>
      <c r="JMQ1241" s="106"/>
      <c r="JMR1241" s="106"/>
      <c r="JMS1241" s="106"/>
      <c r="JMT1241" s="106"/>
      <c r="JMU1241" s="106"/>
      <c r="JMV1241" s="106"/>
      <c r="JMW1241" s="106"/>
      <c r="JMX1241" s="106"/>
      <c r="JMY1241" s="106"/>
      <c r="JMZ1241" s="106"/>
      <c r="JNA1241" s="106"/>
      <c r="JNB1241" s="106"/>
      <c r="JNC1241" s="106"/>
      <c r="JND1241" s="106"/>
      <c r="JNE1241" s="106"/>
      <c r="JNF1241" s="106"/>
      <c r="JNG1241" s="106"/>
      <c r="JNH1241" s="106"/>
      <c r="JNI1241" s="106"/>
      <c r="JNJ1241" s="106"/>
      <c r="JNK1241" s="106"/>
      <c r="JNL1241" s="106"/>
      <c r="JNM1241" s="106"/>
      <c r="JNN1241" s="106"/>
      <c r="JNO1241" s="106"/>
      <c r="JNP1241" s="106"/>
      <c r="JNQ1241" s="106"/>
      <c r="JNR1241" s="106"/>
      <c r="JNS1241" s="106"/>
      <c r="JNT1241" s="106"/>
      <c r="JNU1241" s="106"/>
      <c r="JNV1241" s="106"/>
      <c r="JNW1241" s="106"/>
      <c r="JNX1241" s="106"/>
      <c r="JNY1241" s="106"/>
      <c r="JNZ1241" s="106"/>
      <c r="JOA1241" s="106"/>
      <c r="JOB1241" s="106"/>
      <c r="JOC1241" s="106"/>
      <c r="JOD1241" s="106"/>
      <c r="JOE1241" s="106"/>
      <c r="JOF1241" s="106"/>
      <c r="JOG1241" s="106"/>
      <c r="JOH1241" s="106"/>
      <c r="JOI1241" s="106"/>
      <c r="JOJ1241" s="106"/>
      <c r="JOK1241" s="106"/>
      <c r="JOL1241" s="106"/>
      <c r="JOM1241" s="106"/>
      <c r="JON1241" s="106"/>
      <c r="JOO1241" s="106"/>
      <c r="JOP1241" s="106"/>
      <c r="JOQ1241" s="106"/>
      <c r="JOR1241" s="106"/>
      <c r="JOS1241" s="106"/>
      <c r="JOT1241" s="106"/>
      <c r="JOU1241" s="106"/>
      <c r="JOV1241" s="106"/>
      <c r="JOW1241" s="106"/>
      <c r="JOX1241" s="106"/>
      <c r="JOY1241" s="106"/>
      <c r="JOZ1241" s="106"/>
      <c r="JPA1241" s="106"/>
      <c r="JPB1241" s="106"/>
      <c r="JPC1241" s="106"/>
      <c r="JPD1241" s="106"/>
      <c r="JPE1241" s="106"/>
      <c r="JPF1241" s="106"/>
      <c r="JPG1241" s="106"/>
      <c r="JPH1241" s="106"/>
      <c r="JPI1241" s="106"/>
      <c r="JPJ1241" s="106"/>
      <c r="JPK1241" s="106"/>
      <c r="JPL1241" s="106"/>
      <c r="JPM1241" s="106"/>
      <c r="JPN1241" s="106"/>
      <c r="JPO1241" s="106"/>
      <c r="JPP1241" s="106"/>
      <c r="JPQ1241" s="106"/>
      <c r="JPR1241" s="106"/>
      <c r="JPS1241" s="106"/>
      <c r="JPT1241" s="106"/>
      <c r="JPU1241" s="106"/>
      <c r="JPV1241" s="106"/>
      <c r="JPW1241" s="106"/>
      <c r="JPX1241" s="106"/>
      <c r="JPY1241" s="106"/>
      <c r="JPZ1241" s="106"/>
      <c r="JQA1241" s="106"/>
      <c r="JQB1241" s="106"/>
      <c r="JQC1241" s="106"/>
      <c r="JQD1241" s="106"/>
      <c r="JQE1241" s="106"/>
      <c r="JQF1241" s="106"/>
      <c r="JQG1241" s="106"/>
      <c r="JQH1241" s="106"/>
      <c r="JQI1241" s="106"/>
      <c r="JQJ1241" s="106"/>
      <c r="JQK1241" s="106"/>
      <c r="JQL1241" s="106"/>
      <c r="JQM1241" s="106"/>
      <c r="JQN1241" s="106"/>
      <c r="JQO1241" s="106"/>
      <c r="JQP1241" s="106"/>
      <c r="JQQ1241" s="106"/>
      <c r="JQR1241" s="106"/>
      <c r="JQS1241" s="106"/>
      <c r="JQT1241" s="106"/>
      <c r="JQU1241" s="106"/>
      <c r="JQV1241" s="106"/>
      <c r="JQW1241" s="106"/>
      <c r="JQX1241" s="106"/>
      <c r="JQY1241" s="106"/>
      <c r="JQZ1241" s="106"/>
      <c r="JRA1241" s="106"/>
      <c r="JRB1241" s="106"/>
      <c r="JRC1241" s="106"/>
      <c r="JRD1241" s="106"/>
      <c r="JRE1241" s="106"/>
      <c r="JRF1241" s="106"/>
      <c r="JRG1241" s="106"/>
      <c r="JRH1241" s="106"/>
      <c r="JRI1241" s="106"/>
      <c r="JRJ1241" s="106"/>
      <c r="JRK1241" s="106"/>
      <c r="JRL1241" s="106"/>
      <c r="JRM1241" s="106"/>
      <c r="JRN1241" s="106"/>
      <c r="JRO1241" s="106"/>
      <c r="JRP1241" s="106"/>
      <c r="JRQ1241" s="106"/>
      <c r="JRR1241" s="106"/>
      <c r="JRS1241" s="106"/>
      <c r="JRT1241" s="106"/>
      <c r="JRU1241" s="106"/>
      <c r="JRV1241" s="106"/>
      <c r="JRW1241" s="106"/>
      <c r="JRX1241" s="106"/>
      <c r="JRY1241" s="106"/>
      <c r="JRZ1241" s="106"/>
      <c r="JSA1241" s="106"/>
      <c r="JSB1241" s="106"/>
      <c r="JSC1241" s="106"/>
      <c r="JSD1241" s="106"/>
      <c r="JSE1241" s="106"/>
      <c r="JSF1241" s="106"/>
      <c r="JSG1241" s="106"/>
      <c r="JSH1241" s="106"/>
      <c r="JSI1241" s="106"/>
      <c r="JSJ1241" s="106"/>
      <c r="JSK1241" s="106"/>
      <c r="JSL1241" s="106"/>
      <c r="JSM1241" s="106"/>
      <c r="JSN1241" s="106"/>
      <c r="JSO1241" s="106"/>
      <c r="JSP1241" s="106"/>
      <c r="JSQ1241" s="106"/>
      <c r="JSR1241" s="106"/>
      <c r="JSS1241" s="106"/>
      <c r="JST1241" s="106"/>
      <c r="JSU1241" s="106"/>
      <c r="JSV1241" s="106"/>
      <c r="JSW1241" s="106"/>
      <c r="JSX1241" s="106"/>
      <c r="JSY1241" s="106"/>
      <c r="JSZ1241" s="106"/>
      <c r="JTA1241" s="106"/>
      <c r="JTB1241" s="106"/>
      <c r="JTC1241" s="106"/>
      <c r="JTD1241" s="106"/>
      <c r="JTE1241" s="106"/>
      <c r="JTF1241" s="106"/>
      <c r="JTG1241" s="106"/>
      <c r="JTH1241" s="106"/>
      <c r="JTI1241" s="106"/>
      <c r="JTJ1241" s="106"/>
      <c r="JTK1241" s="106"/>
      <c r="JTL1241" s="106"/>
      <c r="JTM1241" s="106"/>
      <c r="JTN1241" s="106"/>
      <c r="JTO1241" s="106"/>
      <c r="JTP1241" s="106"/>
      <c r="JTQ1241" s="106"/>
      <c r="JTR1241" s="106"/>
      <c r="JTS1241" s="106"/>
      <c r="JTT1241" s="106"/>
      <c r="JTU1241" s="106"/>
      <c r="JTV1241" s="106"/>
      <c r="JTW1241" s="106"/>
      <c r="JTX1241" s="106"/>
      <c r="JTY1241" s="106"/>
      <c r="JTZ1241" s="106"/>
      <c r="JUA1241" s="106"/>
      <c r="JUB1241" s="106"/>
      <c r="JUC1241" s="106"/>
      <c r="JUD1241" s="106"/>
      <c r="JUE1241" s="106"/>
      <c r="JUF1241" s="106"/>
      <c r="JUG1241" s="106"/>
      <c r="JUH1241" s="106"/>
      <c r="JUI1241" s="106"/>
      <c r="JUJ1241" s="106"/>
      <c r="JUK1241" s="106"/>
      <c r="JUL1241" s="106"/>
      <c r="JUM1241" s="106"/>
      <c r="JUN1241" s="106"/>
      <c r="JUO1241" s="106"/>
      <c r="JUP1241" s="106"/>
      <c r="JUQ1241" s="106"/>
      <c r="JUR1241" s="106"/>
      <c r="JUS1241" s="106"/>
      <c r="JUT1241" s="106"/>
      <c r="JUU1241" s="106"/>
      <c r="JUV1241" s="106"/>
      <c r="JUW1241" s="106"/>
      <c r="JUX1241" s="106"/>
      <c r="JUY1241" s="106"/>
      <c r="JUZ1241" s="106"/>
      <c r="JVA1241" s="106"/>
      <c r="JVB1241" s="106"/>
      <c r="JVC1241" s="106"/>
      <c r="JVD1241" s="106"/>
      <c r="JVE1241" s="106"/>
      <c r="JVF1241" s="106"/>
      <c r="JVG1241" s="106"/>
      <c r="JVH1241" s="106"/>
      <c r="JVI1241" s="106"/>
      <c r="JVJ1241" s="106"/>
      <c r="JVK1241" s="106"/>
      <c r="JVL1241" s="106"/>
      <c r="JVM1241" s="106"/>
      <c r="JVN1241" s="106"/>
      <c r="JVO1241" s="106"/>
      <c r="JVP1241" s="106"/>
      <c r="JVQ1241" s="106"/>
      <c r="JVR1241" s="106"/>
      <c r="JVS1241" s="106"/>
      <c r="JVT1241" s="106"/>
      <c r="JVU1241" s="106"/>
      <c r="JVV1241" s="106"/>
      <c r="JVW1241" s="106"/>
      <c r="JVX1241" s="106"/>
      <c r="JVY1241" s="106"/>
      <c r="JVZ1241" s="106"/>
      <c r="JWA1241" s="106"/>
      <c r="JWB1241" s="106"/>
      <c r="JWC1241" s="106"/>
      <c r="JWD1241" s="106"/>
      <c r="JWE1241" s="106"/>
      <c r="JWF1241" s="106"/>
      <c r="JWG1241" s="106"/>
      <c r="JWH1241" s="106"/>
      <c r="JWI1241" s="106"/>
      <c r="JWJ1241" s="106"/>
      <c r="JWK1241" s="106"/>
      <c r="JWL1241" s="106"/>
      <c r="JWM1241" s="106"/>
      <c r="JWN1241" s="106"/>
      <c r="JWO1241" s="106"/>
      <c r="JWP1241" s="106"/>
      <c r="JWQ1241" s="106"/>
      <c r="JWR1241" s="106"/>
      <c r="JWS1241" s="106"/>
      <c r="JWT1241" s="106"/>
      <c r="JWU1241" s="106"/>
      <c r="JWV1241" s="106"/>
      <c r="JWW1241" s="106"/>
      <c r="JWX1241" s="106"/>
      <c r="JWY1241" s="106"/>
      <c r="JWZ1241" s="106"/>
      <c r="JXA1241" s="106"/>
      <c r="JXB1241" s="106"/>
      <c r="JXC1241" s="106"/>
      <c r="JXD1241" s="106"/>
      <c r="JXE1241" s="106"/>
      <c r="JXF1241" s="106"/>
      <c r="JXG1241" s="106"/>
      <c r="JXH1241" s="106"/>
      <c r="JXI1241" s="106"/>
      <c r="JXJ1241" s="106"/>
      <c r="JXK1241" s="106"/>
      <c r="JXL1241" s="106"/>
      <c r="JXM1241" s="106"/>
      <c r="JXN1241" s="106"/>
      <c r="JXO1241" s="106"/>
      <c r="JXP1241" s="106"/>
      <c r="JXQ1241" s="106"/>
      <c r="JXR1241" s="106"/>
      <c r="JXS1241" s="106"/>
      <c r="JXT1241" s="106"/>
      <c r="JXU1241" s="106"/>
      <c r="JXV1241" s="106"/>
      <c r="JXW1241" s="106"/>
      <c r="JXX1241" s="106"/>
      <c r="JXY1241" s="106"/>
      <c r="JXZ1241" s="106"/>
      <c r="JYA1241" s="106"/>
      <c r="JYB1241" s="106"/>
      <c r="JYC1241" s="106"/>
      <c r="JYD1241" s="106"/>
      <c r="JYE1241" s="106"/>
      <c r="JYF1241" s="106"/>
      <c r="JYG1241" s="106"/>
      <c r="JYH1241" s="106"/>
      <c r="JYI1241" s="106"/>
      <c r="JYJ1241" s="106"/>
      <c r="JYK1241" s="106"/>
      <c r="JYL1241" s="106"/>
      <c r="JYM1241" s="106"/>
      <c r="JYN1241" s="106"/>
      <c r="JYO1241" s="106"/>
      <c r="JYP1241" s="106"/>
      <c r="JYQ1241" s="106"/>
      <c r="JYR1241" s="106"/>
      <c r="JYS1241" s="106"/>
      <c r="JYT1241" s="106"/>
      <c r="JYU1241" s="106"/>
      <c r="JYV1241" s="106"/>
      <c r="JYW1241" s="106"/>
      <c r="JYX1241" s="106"/>
      <c r="JYY1241" s="106"/>
      <c r="JYZ1241" s="106"/>
      <c r="JZA1241" s="106"/>
      <c r="JZB1241" s="106"/>
      <c r="JZC1241" s="106"/>
      <c r="JZD1241" s="106"/>
      <c r="JZE1241" s="106"/>
      <c r="JZF1241" s="106"/>
      <c r="JZG1241" s="106"/>
      <c r="JZH1241" s="106"/>
      <c r="JZI1241" s="106"/>
      <c r="JZJ1241" s="106"/>
      <c r="JZK1241" s="106"/>
      <c r="JZL1241" s="106"/>
      <c r="JZM1241" s="106"/>
      <c r="JZN1241" s="106"/>
      <c r="JZO1241" s="106"/>
      <c r="JZP1241" s="106"/>
      <c r="JZQ1241" s="106"/>
      <c r="JZR1241" s="106"/>
      <c r="JZS1241" s="106"/>
      <c r="JZT1241" s="106"/>
      <c r="JZU1241" s="106"/>
      <c r="JZV1241" s="106"/>
      <c r="JZW1241" s="106"/>
      <c r="JZX1241" s="106"/>
      <c r="JZY1241" s="106"/>
      <c r="JZZ1241" s="106"/>
      <c r="KAA1241" s="106"/>
      <c r="KAB1241" s="106"/>
      <c r="KAC1241" s="106"/>
      <c r="KAD1241" s="106"/>
      <c r="KAE1241" s="106"/>
      <c r="KAF1241" s="106"/>
      <c r="KAG1241" s="106"/>
      <c r="KAH1241" s="106"/>
      <c r="KAI1241" s="106"/>
      <c r="KAJ1241" s="106"/>
      <c r="KAK1241" s="106"/>
      <c r="KAL1241" s="106"/>
      <c r="KAM1241" s="106"/>
      <c r="KAN1241" s="106"/>
      <c r="KAO1241" s="106"/>
      <c r="KAP1241" s="106"/>
      <c r="KAQ1241" s="106"/>
      <c r="KAR1241" s="106"/>
      <c r="KAS1241" s="106"/>
      <c r="KAT1241" s="106"/>
      <c r="KAU1241" s="106"/>
      <c r="KAV1241" s="106"/>
      <c r="KAW1241" s="106"/>
      <c r="KAX1241" s="106"/>
      <c r="KAY1241" s="106"/>
      <c r="KAZ1241" s="106"/>
      <c r="KBA1241" s="106"/>
      <c r="KBB1241" s="106"/>
      <c r="KBC1241" s="106"/>
      <c r="KBD1241" s="106"/>
      <c r="KBE1241" s="106"/>
      <c r="KBF1241" s="106"/>
      <c r="KBG1241" s="106"/>
      <c r="KBH1241" s="106"/>
      <c r="KBI1241" s="106"/>
      <c r="KBJ1241" s="106"/>
      <c r="KBK1241" s="106"/>
      <c r="KBL1241" s="106"/>
      <c r="KBM1241" s="106"/>
      <c r="KBN1241" s="106"/>
      <c r="KBO1241" s="106"/>
      <c r="KBP1241" s="106"/>
      <c r="KBQ1241" s="106"/>
      <c r="KBR1241" s="106"/>
      <c r="KBS1241" s="106"/>
      <c r="KBT1241" s="106"/>
      <c r="KBU1241" s="106"/>
      <c r="KBV1241" s="106"/>
      <c r="KBW1241" s="106"/>
      <c r="KBX1241" s="106"/>
      <c r="KBY1241" s="106"/>
      <c r="KBZ1241" s="106"/>
      <c r="KCA1241" s="106"/>
      <c r="KCB1241" s="106"/>
      <c r="KCC1241" s="106"/>
      <c r="KCD1241" s="106"/>
      <c r="KCE1241" s="106"/>
      <c r="KCF1241" s="106"/>
      <c r="KCG1241" s="106"/>
      <c r="KCH1241" s="106"/>
      <c r="KCI1241" s="106"/>
      <c r="KCJ1241" s="106"/>
      <c r="KCK1241" s="106"/>
      <c r="KCL1241" s="106"/>
      <c r="KCM1241" s="106"/>
      <c r="KCN1241" s="106"/>
      <c r="KCO1241" s="106"/>
      <c r="KCP1241" s="106"/>
      <c r="KCQ1241" s="106"/>
      <c r="KCR1241" s="106"/>
      <c r="KCS1241" s="106"/>
      <c r="KCT1241" s="106"/>
      <c r="KCU1241" s="106"/>
      <c r="KCV1241" s="106"/>
      <c r="KCW1241" s="106"/>
      <c r="KCX1241" s="106"/>
      <c r="KCY1241" s="106"/>
      <c r="KCZ1241" s="106"/>
      <c r="KDA1241" s="106"/>
      <c r="KDB1241" s="106"/>
      <c r="KDC1241" s="106"/>
      <c r="KDD1241" s="106"/>
      <c r="KDE1241" s="106"/>
      <c r="KDF1241" s="106"/>
      <c r="KDG1241" s="106"/>
      <c r="KDH1241" s="106"/>
      <c r="KDI1241" s="106"/>
      <c r="KDJ1241" s="106"/>
      <c r="KDK1241" s="106"/>
      <c r="KDL1241" s="106"/>
      <c r="KDM1241" s="106"/>
      <c r="KDN1241" s="106"/>
      <c r="KDO1241" s="106"/>
      <c r="KDP1241" s="106"/>
      <c r="KDQ1241" s="106"/>
      <c r="KDR1241" s="106"/>
      <c r="KDS1241" s="106"/>
      <c r="KDT1241" s="106"/>
      <c r="KDU1241" s="106"/>
      <c r="KDV1241" s="106"/>
      <c r="KDW1241" s="106"/>
      <c r="KDX1241" s="106"/>
      <c r="KDY1241" s="106"/>
      <c r="KDZ1241" s="106"/>
      <c r="KEA1241" s="106"/>
      <c r="KEB1241" s="106"/>
      <c r="KEC1241" s="106"/>
      <c r="KED1241" s="106"/>
      <c r="KEE1241" s="106"/>
      <c r="KEF1241" s="106"/>
      <c r="KEG1241" s="106"/>
      <c r="KEH1241" s="106"/>
      <c r="KEI1241" s="106"/>
      <c r="KEJ1241" s="106"/>
      <c r="KEK1241" s="106"/>
      <c r="KEL1241" s="106"/>
      <c r="KEM1241" s="106"/>
      <c r="KEN1241" s="106"/>
      <c r="KEO1241" s="106"/>
      <c r="KEP1241" s="106"/>
      <c r="KEQ1241" s="106"/>
      <c r="KER1241" s="106"/>
      <c r="KES1241" s="106"/>
      <c r="KET1241" s="106"/>
      <c r="KEU1241" s="106"/>
      <c r="KEV1241" s="106"/>
      <c r="KEW1241" s="106"/>
      <c r="KEX1241" s="106"/>
      <c r="KEY1241" s="106"/>
      <c r="KEZ1241" s="106"/>
      <c r="KFA1241" s="106"/>
      <c r="KFB1241" s="106"/>
      <c r="KFC1241" s="106"/>
      <c r="KFD1241" s="106"/>
      <c r="KFE1241" s="106"/>
      <c r="KFF1241" s="106"/>
      <c r="KFG1241" s="106"/>
      <c r="KFH1241" s="106"/>
      <c r="KFI1241" s="106"/>
      <c r="KFJ1241" s="106"/>
      <c r="KFK1241" s="106"/>
      <c r="KFL1241" s="106"/>
      <c r="KFM1241" s="106"/>
      <c r="KFN1241" s="106"/>
      <c r="KFO1241" s="106"/>
      <c r="KFP1241" s="106"/>
      <c r="KFQ1241" s="106"/>
      <c r="KFR1241" s="106"/>
      <c r="KFS1241" s="106"/>
      <c r="KFT1241" s="106"/>
      <c r="KFU1241" s="106"/>
      <c r="KFV1241" s="106"/>
      <c r="KFW1241" s="106"/>
      <c r="KFX1241" s="106"/>
      <c r="KFY1241" s="106"/>
      <c r="KFZ1241" s="106"/>
      <c r="KGA1241" s="106"/>
      <c r="KGB1241" s="106"/>
      <c r="KGC1241" s="106"/>
      <c r="KGD1241" s="106"/>
      <c r="KGE1241" s="106"/>
      <c r="KGF1241" s="106"/>
      <c r="KGG1241" s="106"/>
      <c r="KGH1241" s="106"/>
      <c r="KGI1241" s="106"/>
      <c r="KGJ1241" s="106"/>
      <c r="KGK1241" s="106"/>
      <c r="KGL1241" s="106"/>
      <c r="KGM1241" s="106"/>
      <c r="KGN1241" s="106"/>
      <c r="KGO1241" s="106"/>
      <c r="KGP1241" s="106"/>
      <c r="KGQ1241" s="106"/>
      <c r="KGR1241" s="106"/>
      <c r="KGS1241" s="106"/>
      <c r="KGT1241" s="106"/>
      <c r="KGU1241" s="106"/>
      <c r="KGV1241" s="106"/>
      <c r="KGW1241" s="106"/>
      <c r="KGX1241" s="106"/>
      <c r="KGY1241" s="106"/>
      <c r="KGZ1241" s="106"/>
      <c r="KHA1241" s="106"/>
      <c r="KHB1241" s="106"/>
      <c r="KHC1241" s="106"/>
      <c r="KHD1241" s="106"/>
      <c r="KHE1241" s="106"/>
      <c r="KHF1241" s="106"/>
      <c r="KHG1241" s="106"/>
      <c r="KHH1241" s="106"/>
      <c r="KHI1241" s="106"/>
      <c r="KHJ1241" s="106"/>
      <c r="KHK1241" s="106"/>
      <c r="KHL1241" s="106"/>
      <c r="KHM1241" s="106"/>
      <c r="KHN1241" s="106"/>
      <c r="KHO1241" s="106"/>
      <c r="KHP1241" s="106"/>
      <c r="KHQ1241" s="106"/>
      <c r="KHR1241" s="106"/>
      <c r="KHS1241" s="106"/>
      <c r="KHT1241" s="106"/>
      <c r="KHU1241" s="106"/>
      <c r="KHV1241" s="106"/>
      <c r="KHW1241" s="106"/>
      <c r="KHX1241" s="106"/>
      <c r="KHY1241" s="106"/>
      <c r="KHZ1241" s="106"/>
      <c r="KIA1241" s="106"/>
      <c r="KIB1241" s="106"/>
      <c r="KIC1241" s="106"/>
      <c r="KID1241" s="106"/>
      <c r="KIE1241" s="106"/>
      <c r="KIF1241" s="106"/>
      <c r="KIG1241" s="106"/>
      <c r="KIH1241" s="106"/>
      <c r="KII1241" s="106"/>
      <c r="KIJ1241" s="106"/>
      <c r="KIK1241" s="106"/>
      <c r="KIL1241" s="106"/>
      <c r="KIM1241" s="106"/>
      <c r="KIN1241" s="106"/>
      <c r="KIO1241" s="106"/>
      <c r="KIP1241" s="106"/>
      <c r="KIQ1241" s="106"/>
      <c r="KIR1241" s="106"/>
      <c r="KIS1241" s="106"/>
      <c r="KIT1241" s="106"/>
      <c r="KIU1241" s="106"/>
      <c r="KIV1241" s="106"/>
      <c r="KIW1241" s="106"/>
      <c r="KIX1241" s="106"/>
      <c r="KIY1241" s="106"/>
      <c r="KIZ1241" s="106"/>
      <c r="KJA1241" s="106"/>
      <c r="KJB1241" s="106"/>
      <c r="KJC1241" s="106"/>
      <c r="KJD1241" s="106"/>
      <c r="KJE1241" s="106"/>
      <c r="KJF1241" s="106"/>
      <c r="KJG1241" s="106"/>
      <c r="KJH1241" s="106"/>
      <c r="KJI1241" s="106"/>
      <c r="KJJ1241" s="106"/>
      <c r="KJK1241" s="106"/>
      <c r="KJL1241" s="106"/>
      <c r="KJM1241" s="106"/>
      <c r="KJN1241" s="106"/>
      <c r="KJO1241" s="106"/>
      <c r="KJP1241" s="106"/>
      <c r="KJQ1241" s="106"/>
      <c r="KJR1241" s="106"/>
      <c r="KJS1241" s="106"/>
      <c r="KJT1241" s="106"/>
      <c r="KJU1241" s="106"/>
      <c r="KJV1241" s="106"/>
      <c r="KJW1241" s="106"/>
      <c r="KJX1241" s="106"/>
      <c r="KJY1241" s="106"/>
      <c r="KJZ1241" s="106"/>
      <c r="KKA1241" s="106"/>
      <c r="KKB1241" s="106"/>
      <c r="KKC1241" s="106"/>
      <c r="KKD1241" s="106"/>
      <c r="KKE1241" s="106"/>
      <c r="KKF1241" s="106"/>
      <c r="KKG1241" s="106"/>
      <c r="KKH1241" s="106"/>
      <c r="KKI1241" s="106"/>
      <c r="KKJ1241" s="106"/>
      <c r="KKK1241" s="106"/>
      <c r="KKL1241" s="106"/>
      <c r="KKM1241" s="106"/>
      <c r="KKN1241" s="106"/>
      <c r="KKO1241" s="106"/>
      <c r="KKP1241" s="106"/>
      <c r="KKQ1241" s="106"/>
      <c r="KKR1241" s="106"/>
      <c r="KKS1241" s="106"/>
      <c r="KKT1241" s="106"/>
      <c r="KKU1241" s="106"/>
      <c r="KKV1241" s="106"/>
      <c r="KKW1241" s="106"/>
      <c r="KKX1241" s="106"/>
      <c r="KKY1241" s="106"/>
      <c r="KKZ1241" s="106"/>
      <c r="KLA1241" s="106"/>
      <c r="KLB1241" s="106"/>
      <c r="KLC1241" s="106"/>
      <c r="KLD1241" s="106"/>
      <c r="KLE1241" s="106"/>
      <c r="KLF1241" s="106"/>
      <c r="KLG1241" s="106"/>
      <c r="KLH1241" s="106"/>
      <c r="KLI1241" s="106"/>
      <c r="KLJ1241" s="106"/>
      <c r="KLK1241" s="106"/>
      <c r="KLL1241" s="106"/>
      <c r="KLM1241" s="106"/>
      <c r="KLN1241" s="106"/>
      <c r="KLO1241" s="106"/>
      <c r="KLP1241" s="106"/>
      <c r="KLQ1241" s="106"/>
      <c r="KLR1241" s="106"/>
      <c r="KLS1241" s="106"/>
      <c r="KLT1241" s="106"/>
      <c r="KLU1241" s="106"/>
      <c r="KLV1241" s="106"/>
      <c r="KLW1241" s="106"/>
      <c r="KLX1241" s="106"/>
      <c r="KLY1241" s="106"/>
      <c r="KLZ1241" s="106"/>
      <c r="KMA1241" s="106"/>
      <c r="KMB1241" s="106"/>
      <c r="KMC1241" s="106"/>
      <c r="KMD1241" s="106"/>
      <c r="KME1241" s="106"/>
      <c r="KMF1241" s="106"/>
      <c r="KMG1241" s="106"/>
      <c r="KMH1241" s="106"/>
      <c r="KMI1241" s="106"/>
      <c r="KMJ1241" s="106"/>
      <c r="KMK1241" s="106"/>
      <c r="KML1241" s="106"/>
      <c r="KMM1241" s="106"/>
      <c r="KMN1241" s="106"/>
      <c r="KMO1241" s="106"/>
      <c r="KMP1241" s="106"/>
      <c r="KMQ1241" s="106"/>
      <c r="KMR1241" s="106"/>
      <c r="KMS1241" s="106"/>
      <c r="KMT1241" s="106"/>
      <c r="KMU1241" s="106"/>
      <c r="KMV1241" s="106"/>
      <c r="KMW1241" s="106"/>
      <c r="KMX1241" s="106"/>
      <c r="KMY1241" s="106"/>
      <c r="KMZ1241" s="106"/>
      <c r="KNA1241" s="106"/>
      <c r="KNB1241" s="106"/>
      <c r="KNC1241" s="106"/>
      <c r="KND1241" s="106"/>
      <c r="KNE1241" s="106"/>
      <c r="KNF1241" s="106"/>
      <c r="KNG1241" s="106"/>
      <c r="KNH1241" s="106"/>
      <c r="KNI1241" s="106"/>
      <c r="KNJ1241" s="106"/>
      <c r="KNK1241" s="106"/>
      <c r="KNL1241" s="106"/>
      <c r="KNM1241" s="106"/>
      <c r="KNN1241" s="106"/>
      <c r="KNO1241" s="106"/>
      <c r="KNP1241" s="106"/>
      <c r="KNQ1241" s="106"/>
      <c r="KNR1241" s="106"/>
      <c r="KNS1241" s="106"/>
      <c r="KNT1241" s="106"/>
      <c r="KNU1241" s="106"/>
      <c r="KNV1241" s="106"/>
      <c r="KNW1241" s="106"/>
      <c r="KNX1241" s="106"/>
      <c r="KNY1241" s="106"/>
      <c r="KNZ1241" s="106"/>
      <c r="KOA1241" s="106"/>
      <c r="KOB1241" s="106"/>
      <c r="KOC1241" s="106"/>
      <c r="KOD1241" s="106"/>
      <c r="KOE1241" s="106"/>
      <c r="KOF1241" s="106"/>
      <c r="KOG1241" s="106"/>
      <c r="KOH1241" s="106"/>
      <c r="KOI1241" s="106"/>
      <c r="KOJ1241" s="106"/>
      <c r="KOK1241" s="106"/>
      <c r="KOL1241" s="106"/>
      <c r="KOM1241" s="106"/>
      <c r="KON1241" s="106"/>
      <c r="KOO1241" s="106"/>
      <c r="KOP1241" s="106"/>
      <c r="KOQ1241" s="106"/>
      <c r="KOR1241" s="106"/>
      <c r="KOS1241" s="106"/>
      <c r="KOT1241" s="106"/>
      <c r="KOU1241" s="106"/>
      <c r="KOV1241" s="106"/>
      <c r="KOW1241" s="106"/>
      <c r="KOX1241" s="106"/>
      <c r="KOY1241" s="106"/>
      <c r="KOZ1241" s="106"/>
      <c r="KPA1241" s="106"/>
      <c r="KPB1241" s="106"/>
      <c r="KPC1241" s="106"/>
      <c r="KPD1241" s="106"/>
      <c r="KPE1241" s="106"/>
      <c r="KPF1241" s="106"/>
      <c r="KPG1241" s="106"/>
      <c r="KPH1241" s="106"/>
      <c r="KPI1241" s="106"/>
      <c r="KPJ1241" s="106"/>
      <c r="KPK1241" s="106"/>
      <c r="KPL1241" s="106"/>
      <c r="KPM1241" s="106"/>
      <c r="KPN1241" s="106"/>
      <c r="KPO1241" s="106"/>
      <c r="KPP1241" s="106"/>
      <c r="KPQ1241" s="106"/>
      <c r="KPR1241" s="106"/>
      <c r="KPS1241" s="106"/>
      <c r="KPT1241" s="106"/>
      <c r="KPU1241" s="106"/>
      <c r="KPV1241" s="106"/>
      <c r="KPW1241" s="106"/>
      <c r="KPX1241" s="106"/>
      <c r="KPY1241" s="106"/>
      <c r="KPZ1241" s="106"/>
      <c r="KQA1241" s="106"/>
      <c r="KQB1241" s="106"/>
      <c r="KQC1241" s="106"/>
      <c r="KQD1241" s="106"/>
      <c r="KQE1241" s="106"/>
      <c r="KQF1241" s="106"/>
      <c r="KQG1241" s="106"/>
      <c r="KQH1241" s="106"/>
      <c r="KQI1241" s="106"/>
      <c r="KQJ1241" s="106"/>
      <c r="KQK1241" s="106"/>
      <c r="KQL1241" s="106"/>
      <c r="KQM1241" s="106"/>
      <c r="KQN1241" s="106"/>
      <c r="KQO1241" s="106"/>
      <c r="KQP1241" s="106"/>
      <c r="KQQ1241" s="106"/>
      <c r="KQR1241" s="106"/>
      <c r="KQS1241" s="106"/>
      <c r="KQT1241" s="106"/>
      <c r="KQU1241" s="106"/>
      <c r="KQV1241" s="106"/>
      <c r="KQW1241" s="106"/>
      <c r="KQX1241" s="106"/>
      <c r="KQY1241" s="106"/>
      <c r="KQZ1241" s="106"/>
      <c r="KRA1241" s="106"/>
      <c r="KRB1241" s="106"/>
      <c r="KRC1241" s="106"/>
      <c r="KRD1241" s="106"/>
      <c r="KRE1241" s="106"/>
      <c r="KRF1241" s="106"/>
      <c r="KRG1241" s="106"/>
      <c r="KRH1241" s="106"/>
      <c r="KRI1241" s="106"/>
      <c r="KRJ1241" s="106"/>
      <c r="KRK1241" s="106"/>
      <c r="KRL1241" s="106"/>
      <c r="KRM1241" s="106"/>
      <c r="KRN1241" s="106"/>
      <c r="KRO1241" s="106"/>
      <c r="KRP1241" s="106"/>
      <c r="KRQ1241" s="106"/>
      <c r="KRR1241" s="106"/>
      <c r="KRS1241" s="106"/>
      <c r="KRT1241" s="106"/>
      <c r="KRU1241" s="106"/>
      <c r="KRV1241" s="106"/>
      <c r="KRW1241" s="106"/>
      <c r="KRX1241" s="106"/>
      <c r="KRY1241" s="106"/>
      <c r="KRZ1241" s="106"/>
      <c r="KSA1241" s="106"/>
      <c r="KSB1241" s="106"/>
      <c r="KSC1241" s="106"/>
      <c r="KSD1241" s="106"/>
      <c r="KSE1241" s="106"/>
      <c r="KSF1241" s="106"/>
      <c r="KSG1241" s="106"/>
      <c r="KSH1241" s="106"/>
      <c r="KSI1241" s="106"/>
      <c r="KSJ1241" s="106"/>
      <c r="KSK1241" s="106"/>
      <c r="KSL1241" s="106"/>
      <c r="KSM1241" s="106"/>
      <c r="KSN1241" s="106"/>
      <c r="KSO1241" s="106"/>
      <c r="KSP1241" s="106"/>
      <c r="KSQ1241" s="106"/>
      <c r="KSR1241" s="106"/>
      <c r="KSS1241" s="106"/>
      <c r="KST1241" s="106"/>
      <c r="KSU1241" s="106"/>
      <c r="KSV1241" s="106"/>
      <c r="KSW1241" s="106"/>
      <c r="KSX1241" s="106"/>
      <c r="KSY1241" s="106"/>
      <c r="KSZ1241" s="106"/>
      <c r="KTA1241" s="106"/>
      <c r="KTB1241" s="106"/>
      <c r="KTC1241" s="106"/>
      <c r="KTD1241" s="106"/>
      <c r="KTE1241" s="106"/>
      <c r="KTF1241" s="106"/>
      <c r="KTG1241" s="106"/>
      <c r="KTH1241" s="106"/>
      <c r="KTI1241" s="106"/>
      <c r="KTJ1241" s="106"/>
      <c r="KTK1241" s="106"/>
      <c r="KTL1241" s="106"/>
      <c r="KTM1241" s="106"/>
      <c r="KTN1241" s="106"/>
      <c r="KTO1241" s="106"/>
      <c r="KTP1241" s="106"/>
      <c r="KTQ1241" s="106"/>
      <c r="KTR1241" s="106"/>
      <c r="KTS1241" s="106"/>
      <c r="KTT1241" s="106"/>
      <c r="KTU1241" s="106"/>
      <c r="KTV1241" s="106"/>
      <c r="KTW1241" s="106"/>
      <c r="KTX1241" s="106"/>
      <c r="KTY1241" s="106"/>
      <c r="KTZ1241" s="106"/>
      <c r="KUA1241" s="106"/>
      <c r="KUB1241" s="106"/>
      <c r="KUC1241" s="106"/>
      <c r="KUD1241" s="106"/>
      <c r="KUE1241" s="106"/>
      <c r="KUF1241" s="106"/>
      <c r="KUG1241" s="106"/>
      <c r="KUH1241" s="106"/>
      <c r="KUI1241" s="106"/>
      <c r="KUJ1241" s="106"/>
      <c r="KUK1241" s="106"/>
      <c r="KUL1241" s="106"/>
      <c r="KUM1241" s="106"/>
      <c r="KUN1241" s="106"/>
      <c r="KUO1241" s="106"/>
      <c r="KUP1241" s="106"/>
      <c r="KUQ1241" s="106"/>
      <c r="KUR1241" s="106"/>
      <c r="KUS1241" s="106"/>
      <c r="KUT1241" s="106"/>
      <c r="KUU1241" s="106"/>
      <c r="KUV1241" s="106"/>
      <c r="KUW1241" s="106"/>
      <c r="KUX1241" s="106"/>
      <c r="KUY1241" s="106"/>
      <c r="KUZ1241" s="106"/>
      <c r="KVA1241" s="106"/>
      <c r="KVB1241" s="106"/>
      <c r="KVC1241" s="106"/>
      <c r="KVD1241" s="106"/>
      <c r="KVE1241" s="106"/>
      <c r="KVF1241" s="106"/>
      <c r="KVG1241" s="106"/>
      <c r="KVH1241" s="106"/>
      <c r="KVI1241" s="106"/>
      <c r="KVJ1241" s="106"/>
      <c r="KVK1241" s="106"/>
      <c r="KVL1241" s="106"/>
      <c r="KVM1241" s="106"/>
      <c r="KVN1241" s="106"/>
      <c r="KVO1241" s="106"/>
      <c r="KVP1241" s="106"/>
      <c r="KVQ1241" s="106"/>
      <c r="KVR1241" s="106"/>
      <c r="KVS1241" s="106"/>
      <c r="KVT1241" s="106"/>
      <c r="KVU1241" s="106"/>
      <c r="KVV1241" s="106"/>
      <c r="KVW1241" s="106"/>
      <c r="KVX1241" s="106"/>
      <c r="KVY1241" s="106"/>
      <c r="KVZ1241" s="106"/>
      <c r="KWA1241" s="106"/>
      <c r="KWB1241" s="106"/>
      <c r="KWC1241" s="106"/>
      <c r="KWD1241" s="106"/>
      <c r="KWE1241" s="106"/>
      <c r="KWF1241" s="106"/>
      <c r="KWG1241" s="106"/>
      <c r="KWH1241" s="106"/>
      <c r="KWI1241" s="106"/>
      <c r="KWJ1241" s="106"/>
      <c r="KWK1241" s="106"/>
      <c r="KWL1241" s="106"/>
      <c r="KWM1241" s="106"/>
      <c r="KWN1241" s="106"/>
      <c r="KWO1241" s="106"/>
      <c r="KWP1241" s="106"/>
      <c r="KWQ1241" s="106"/>
      <c r="KWR1241" s="106"/>
      <c r="KWS1241" s="106"/>
      <c r="KWT1241" s="106"/>
      <c r="KWU1241" s="106"/>
      <c r="KWV1241" s="106"/>
      <c r="KWW1241" s="106"/>
      <c r="KWX1241" s="106"/>
      <c r="KWY1241" s="106"/>
      <c r="KWZ1241" s="106"/>
      <c r="KXA1241" s="106"/>
      <c r="KXB1241" s="106"/>
      <c r="KXC1241" s="106"/>
      <c r="KXD1241" s="106"/>
      <c r="KXE1241" s="106"/>
      <c r="KXF1241" s="106"/>
      <c r="KXG1241" s="106"/>
      <c r="KXH1241" s="106"/>
      <c r="KXI1241" s="106"/>
      <c r="KXJ1241" s="106"/>
      <c r="KXK1241" s="106"/>
      <c r="KXL1241" s="106"/>
      <c r="KXM1241" s="106"/>
      <c r="KXN1241" s="106"/>
      <c r="KXO1241" s="106"/>
      <c r="KXP1241" s="106"/>
      <c r="KXQ1241" s="106"/>
      <c r="KXR1241" s="106"/>
      <c r="KXS1241" s="106"/>
      <c r="KXT1241" s="106"/>
      <c r="KXU1241" s="106"/>
      <c r="KXV1241" s="106"/>
      <c r="KXW1241" s="106"/>
      <c r="KXX1241" s="106"/>
      <c r="KXY1241" s="106"/>
      <c r="KXZ1241" s="106"/>
      <c r="KYA1241" s="106"/>
      <c r="KYB1241" s="106"/>
      <c r="KYC1241" s="106"/>
      <c r="KYD1241" s="106"/>
      <c r="KYE1241" s="106"/>
      <c r="KYF1241" s="106"/>
      <c r="KYG1241" s="106"/>
      <c r="KYH1241" s="106"/>
      <c r="KYI1241" s="106"/>
      <c r="KYJ1241" s="106"/>
      <c r="KYK1241" s="106"/>
      <c r="KYL1241" s="106"/>
      <c r="KYM1241" s="106"/>
      <c r="KYN1241" s="106"/>
      <c r="KYO1241" s="106"/>
      <c r="KYP1241" s="106"/>
      <c r="KYQ1241" s="106"/>
      <c r="KYR1241" s="106"/>
      <c r="KYS1241" s="106"/>
      <c r="KYT1241" s="106"/>
      <c r="KYU1241" s="106"/>
      <c r="KYV1241" s="106"/>
      <c r="KYW1241" s="106"/>
      <c r="KYX1241" s="106"/>
      <c r="KYY1241" s="106"/>
      <c r="KYZ1241" s="106"/>
      <c r="KZA1241" s="106"/>
      <c r="KZB1241" s="106"/>
      <c r="KZC1241" s="106"/>
      <c r="KZD1241" s="106"/>
      <c r="KZE1241" s="106"/>
      <c r="KZF1241" s="106"/>
      <c r="KZG1241" s="106"/>
      <c r="KZH1241" s="106"/>
      <c r="KZI1241" s="106"/>
      <c r="KZJ1241" s="106"/>
      <c r="KZK1241" s="106"/>
      <c r="KZL1241" s="106"/>
      <c r="KZM1241" s="106"/>
      <c r="KZN1241" s="106"/>
      <c r="KZO1241" s="106"/>
      <c r="KZP1241" s="106"/>
      <c r="KZQ1241" s="106"/>
      <c r="KZR1241" s="106"/>
      <c r="KZS1241" s="106"/>
      <c r="KZT1241" s="106"/>
      <c r="KZU1241" s="106"/>
      <c r="KZV1241" s="106"/>
      <c r="KZW1241" s="106"/>
      <c r="KZX1241" s="106"/>
      <c r="KZY1241" s="106"/>
      <c r="KZZ1241" s="106"/>
      <c r="LAA1241" s="106"/>
      <c r="LAB1241" s="106"/>
      <c r="LAC1241" s="106"/>
      <c r="LAD1241" s="106"/>
      <c r="LAE1241" s="106"/>
      <c r="LAF1241" s="106"/>
      <c r="LAG1241" s="106"/>
      <c r="LAH1241" s="106"/>
      <c r="LAI1241" s="106"/>
      <c r="LAJ1241" s="106"/>
      <c r="LAK1241" s="106"/>
      <c r="LAL1241" s="106"/>
      <c r="LAM1241" s="106"/>
      <c r="LAN1241" s="106"/>
      <c r="LAO1241" s="106"/>
      <c r="LAP1241" s="106"/>
      <c r="LAQ1241" s="106"/>
      <c r="LAR1241" s="106"/>
      <c r="LAS1241" s="106"/>
      <c r="LAT1241" s="106"/>
      <c r="LAU1241" s="106"/>
      <c r="LAV1241" s="106"/>
      <c r="LAW1241" s="106"/>
      <c r="LAX1241" s="106"/>
      <c r="LAY1241" s="106"/>
      <c r="LAZ1241" s="106"/>
      <c r="LBA1241" s="106"/>
      <c r="LBB1241" s="106"/>
      <c r="LBC1241" s="106"/>
      <c r="LBD1241" s="106"/>
      <c r="LBE1241" s="106"/>
      <c r="LBF1241" s="106"/>
      <c r="LBG1241" s="106"/>
      <c r="LBH1241" s="106"/>
      <c r="LBI1241" s="106"/>
      <c r="LBJ1241" s="106"/>
      <c r="LBK1241" s="106"/>
      <c r="LBL1241" s="106"/>
      <c r="LBM1241" s="106"/>
      <c r="LBN1241" s="106"/>
      <c r="LBO1241" s="106"/>
      <c r="LBP1241" s="106"/>
      <c r="LBQ1241" s="106"/>
      <c r="LBR1241" s="106"/>
      <c r="LBS1241" s="106"/>
      <c r="LBT1241" s="106"/>
      <c r="LBU1241" s="106"/>
      <c r="LBV1241" s="106"/>
      <c r="LBW1241" s="106"/>
      <c r="LBX1241" s="106"/>
      <c r="LBY1241" s="106"/>
      <c r="LBZ1241" s="106"/>
      <c r="LCA1241" s="106"/>
      <c r="LCB1241" s="106"/>
      <c r="LCC1241" s="106"/>
      <c r="LCD1241" s="106"/>
      <c r="LCE1241" s="106"/>
      <c r="LCF1241" s="106"/>
      <c r="LCG1241" s="106"/>
      <c r="LCH1241" s="106"/>
      <c r="LCI1241" s="106"/>
      <c r="LCJ1241" s="106"/>
      <c r="LCK1241" s="106"/>
      <c r="LCL1241" s="106"/>
      <c r="LCM1241" s="106"/>
      <c r="LCN1241" s="106"/>
      <c r="LCO1241" s="106"/>
      <c r="LCP1241" s="106"/>
      <c r="LCQ1241" s="106"/>
      <c r="LCR1241" s="106"/>
      <c r="LCS1241" s="106"/>
      <c r="LCT1241" s="106"/>
      <c r="LCU1241" s="106"/>
      <c r="LCV1241" s="106"/>
      <c r="LCW1241" s="106"/>
      <c r="LCX1241" s="106"/>
      <c r="LCY1241" s="106"/>
      <c r="LCZ1241" s="106"/>
      <c r="LDA1241" s="106"/>
      <c r="LDB1241" s="106"/>
      <c r="LDC1241" s="106"/>
      <c r="LDD1241" s="106"/>
      <c r="LDE1241" s="106"/>
      <c r="LDF1241" s="106"/>
      <c r="LDG1241" s="106"/>
      <c r="LDH1241" s="106"/>
      <c r="LDI1241" s="106"/>
      <c r="LDJ1241" s="106"/>
      <c r="LDK1241" s="106"/>
      <c r="LDL1241" s="106"/>
      <c r="LDM1241" s="106"/>
      <c r="LDN1241" s="106"/>
      <c r="LDO1241" s="106"/>
      <c r="LDP1241" s="106"/>
      <c r="LDQ1241" s="106"/>
      <c r="LDR1241" s="106"/>
      <c r="LDS1241" s="106"/>
      <c r="LDT1241" s="106"/>
      <c r="LDU1241" s="106"/>
      <c r="LDV1241" s="106"/>
      <c r="LDW1241" s="106"/>
      <c r="LDX1241" s="106"/>
      <c r="LDY1241" s="106"/>
      <c r="LDZ1241" s="106"/>
      <c r="LEA1241" s="106"/>
      <c r="LEB1241" s="106"/>
      <c r="LEC1241" s="106"/>
      <c r="LED1241" s="106"/>
      <c r="LEE1241" s="106"/>
      <c r="LEF1241" s="106"/>
      <c r="LEG1241" s="106"/>
      <c r="LEH1241" s="106"/>
      <c r="LEI1241" s="106"/>
      <c r="LEJ1241" s="106"/>
      <c r="LEK1241" s="106"/>
      <c r="LEL1241" s="106"/>
      <c r="LEM1241" s="106"/>
      <c r="LEN1241" s="106"/>
      <c r="LEO1241" s="106"/>
      <c r="LEP1241" s="106"/>
      <c r="LEQ1241" s="106"/>
      <c r="LER1241" s="106"/>
      <c r="LES1241" s="106"/>
      <c r="LET1241" s="106"/>
      <c r="LEU1241" s="106"/>
      <c r="LEV1241" s="106"/>
      <c r="LEW1241" s="106"/>
      <c r="LEX1241" s="106"/>
      <c r="LEY1241" s="106"/>
      <c r="LEZ1241" s="106"/>
      <c r="LFA1241" s="106"/>
      <c r="LFB1241" s="106"/>
      <c r="LFC1241" s="106"/>
      <c r="LFD1241" s="106"/>
      <c r="LFE1241" s="106"/>
      <c r="LFF1241" s="106"/>
      <c r="LFG1241" s="106"/>
      <c r="LFH1241" s="106"/>
      <c r="LFI1241" s="106"/>
      <c r="LFJ1241" s="106"/>
      <c r="LFK1241" s="106"/>
      <c r="LFL1241" s="106"/>
      <c r="LFM1241" s="106"/>
      <c r="LFN1241" s="106"/>
      <c r="LFO1241" s="106"/>
      <c r="LFP1241" s="106"/>
      <c r="LFQ1241" s="106"/>
      <c r="LFR1241" s="106"/>
      <c r="LFS1241" s="106"/>
      <c r="LFT1241" s="106"/>
      <c r="LFU1241" s="106"/>
      <c r="LFV1241" s="106"/>
      <c r="LFW1241" s="106"/>
      <c r="LFX1241" s="106"/>
      <c r="LFY1241" s="106"/>
      <c r="LFZ1241" s="106"/>
      <c r="LGA1241" s="106"/>
      <c r="LGB1241" s="106"/>
      <c r="LGC1241" s="106"/>
      <c r="LGD1241" s="106"/>
      <c r="LGE1241" s="106"/>
      <c r="LGF1241" s="106"/>
      <c r="LGG1241" s="106"/>
      <c r="LGH1241" s="106"/>
      <c r="LGI1241" s="106"/>
      <c r="LGJ1241" s="106"/>
      <c r="LGK1241" s="106"/>
      <c r="LGL1241" s="106"/>
      <c r="LGM1241" s="106"/>
      <c r="LGN1241" s="106"/>
      <c r="LGO1241" s="106"/>
      <c r="LGP1241" s="106"/>
      <c r="LGQ1241" s="106"/>
      <c r="LGR1241" s="106"/>
      <c r="LGS1241" s="106"/>
      <c r="LGT1241" s="106"/>
      <c r="LGU1241" s="106"/>
      <c r="LGV1241" s="106"/>
      <c r="LGW1241" s="106"/>
      <c r="LGX1241" s="106"/>
      <c r="LGY1241" s="106"/>
      <c r="LGZ1241" s="106"/>
      <c r="LHA1241" s="106"/>
      <c r="LHB1241" s="106"/>
      <c r="LHC1241" s="106"/>
      <c r="LHD1241" s="106"/>
      <c r="LHE1241" s="106"/>
      <c r="LHF1241" s="106"/>
      <c r="LHG1241" s="106"/>
      <c r="LHH1241" s="106"/>
      <c r="LHI1241" s="106"/>
      <c r="LHJ1241" s="106"/>
      <c r="LHK1241" s="106"/>
      <c r="LHL1241" s="106"/>
      <c r="LHM1241" s="106"/>
      <c r="LHN1241" s="106"/>
      <c r="LHO1241" s="106"/>
      <c r="LHP1241" s="106"/>
      <c r="LHQ1241" s="106"/>
      <c r="LHR1241" s="106"/>
      <c r="LHS1241" s="106"/>
      <c r="LHT1241" s="106"/>
      <c r="LHU1241" s="106"/>
      <c r="LHV1241" s="106"/>
      <c r="LHW1241" s="106"/>
      <c r="LHX1241" s="106"/>
      <c r="LHY1241" s="106"/>
      <c r="LHZ1241" s="106"/>
      <c r="LIA1241" s="106"/>
      <c r="LIB1241" s="106"/>
      <c r="LIC1241" s="106"/>
      <c r="LID1241" s="106"/>
      <c r="LIE1241" s="106"/>
      <c r="LIF1241" s="106"/>
      <c r="LIG1241" s="106"/>
      <c r="LIH1241" s="106"/>
      <c r="LII1241" s="106"/>
      <c r="LIJ1241" s="106"/>
      <c r="LIK1241" s="106"/>
      <c r="LIL1241" s="106"/>
      <c r="LIM1241" s="106"/>
      <c r="LIN1241" s="106"/>
      <c r="LIO1241" s="106"/>
      <c r="LIP1241" s="106"/>
      <c r="LIQ1241" s="106"/>
      <c r="LIR1241" s="106"/>
      <c r="LIS1241" s="106"/>
      <c r="LIT1241" s="106"/>
      <c r="LIU1241" s="106"/>
      <c r="LIV1241" s="106"/>
      <c r="LIW1241" s="106"/>
      <c r="LIX1241" s="106"/>
      <c r="LIY1241" s="106"/>
      <c r="LIZ1241" s="106"/>
      <c r="LJA1241" s="106"/>
      <c r="LJB1241" s="106"/>
      <c r="LJC1241" s="106"/>
      <c r="LJD1241" s="106"/>
      <c r="LJE1241" s="106"/>
      <c r="LJF1241" s="106"/>
      <c r="LJG1241" s="106"/>
      <c r="LJH1241" s="106"/>
      <c r="LJI1241" s="106"/>
      <c r="LJJ1241" s="106"/>
      <c r="LJK1241" s="106"/>
      <c r="LJL1241" s="106"/>
      <c r="LJM1241" s="106"/>
      <c r="LJN1241" s="106"/>
      <c r="LJO1241" s="106"/>
      <c r="LJP1241" s="106"/>
      <c r="LJQ1241" s="106"/>
      <c r="LJR1241" s="106"/>
      <c r="LJS1241" s="106"/>
      <c r="LJT1241" s="106"/>
      <c r="LJU1241" s="106"/>
      <c r="LJV1241" s="106"/>
      <c r="LJW1241" s="106"/>
      <c r="LJX1241" s="106"/>
      <c r="LJY1241" s="106"/>
      <c r="LJZ1241" s="106"/>
      <c r="LKA1241" s="106"/>
      <c r="LKB1241" s="106"/>
      <c r="LKC1241" s="106"/>
      <c r="LKD1241" s="106"/>
      <c r="LKE1241" s="106"/>
      <c r="LKF1241" s="106"/>
      <c r="LKG1241" s="106"/>
      <c r="LKH1241" s="106"/>
      <c r="LKI1241" s="106"/>
      <c r="LKJ1241" s="106"/>
      <c r="LKK1241" s="106"/>
      <c r="LKL1241" s="106"/>
      <c r="LKM1241" s="106"/>
      <c r="LKN1241" s="106"/>
      <c r="LKO1241" s="106"/>
      <c r="LKP1241" s="106"/>
      <c r="LKQ1241" s="106"/>
      <c r="LKR1241" s="106"/>
      <c r="LKS1241" s="106"/>
      <c r="LKT1241" s="106"/>
      <c r="LKU1241" s="106"/>
      <c r="LKV1241" s="106"/>
      <c r="LKW1241" s="106"/>
      <c r="LKX1241" s="106"/>
      <c r="LKY1241" s="106"/>
      <c r="LKZ1241" s="106"/>
      <c r="LLA1241" s="106"/>
      <c r="LLB1241" s="106"/>
      <c r="LLC1241" s="106"/>
      <c r="LLD1241" s="106"/>
      <c r="LLE1241" s="106"/>
      <c r="LLF1241" s="106"/>
      <c r="LLG1241" s="106"/>
      <c r="LLH1241" s="106"/>
      <c r="LLI1241" s="106"/>
      <c r="LLJ1241" s="106"/>
      <c r="LLK1241" s="106"/>
      <c r="LLL1241" s="106"/>
      <c r="LLM1241" s="106"/>
      <c r="LLN1241" s="106"/>
      <c r="LLO1241" s="106"/>
      <c r="LLP1241" s="106"/>
      <c r="LLQ1241" s="106"/>
      <c r="LLR1241" s="106"/>
      <c r="LLS1241" s="106"/>
      <c r="LLT1241" s="106"/>
      <c r="LLU1241" s="106"/>
      <c r="LLV1241" s="106"/>
      <c r="LLW1241" s="106"/>
      <c r="LLX1241" s="106"/>
      <c r="LLY1241" s="106"/>
      <c r="LLZ1241" s="106"/>
      <c r="LMA1241" s="106"/>
      <c r="LMB1241" s="106"/>
      <c r="LMC1241" s="106"/>
      <c r="LMD1241" s="106"/>
      <c r="LME1241" s="106"/>
      <c r="LMF1241" s="106"/>
      <c r="LMG1241" s="106"/>
      <c r="LMH1241" s="106"/>
      <c r="LMI1241" s="106"/>
      <c r="LMJ1241" s="106"/>
      <c r="LMK1241" s="106"/>
      <c r="LML1241" s="106"/>
      <c r="LMM1241" s="106"/>
      <c r="LMN1241" s="106"/>
      <c r="LMO1241" s="106"/>
      <c r="LMP1241" s="106"/>
      <c r="LMQ1241" s="106"/>
      <c r="LMR1241" s="106"/>
      <c r="LMS1241" s="106"/>
      <c r="LMT1241" s="106"/>
      <c r="LMU1241" s="106"/>
      <c r="LMV1241" s="106"/>
      <c r="LMW1241" s="106"/>
      <c r="LMX1241" s="106"/>
      <c r="LMY1241" s="106"/>
      <c r="LMZ1241" s="106"/>
      <c r="LNA1241" s="106"/>
      <c r="LNB1241" s="106"/>
      <c r="LNC1241" s="106"/>
      <c r="LND1241" s="106"/>
      <c r="LNE1241" s="106"/>
      <c r="LNF1241" s="106"/>
      <c r="LNG1241" s="106"/>
      <c r="LNH1241" s="106"/>
      <c r="LNI1241" s="106"/>
      <c r="LNJ1241" s="106"/>
      <c r="LNK1241" s="106"/>
      <c r="LNL1241" s="106"/>
      <c r="LNM1241" s="106"/>
      <c r="LNN1241" s="106"/>
      <c r="LNO1241" s="106"/>
      <c r="LNP1241" s="106"/>
      <c r="LNQ1241" s="106"/>
      <c r="LNR1241" s="106"/>
      <c r="LNS1241" s="106"/>
      <c r="LNT1241" s="106"/>
      <c r="LNU1241" s="106"/>
      <c r="LNV1241" s="106"/>
      <c r="LNW1241" s="106"/>
      <c r="LNX1241" s="106"/>
      <c r="LNY1241" s="106"/>
      <c r="LNZ1241" s="106"/>
      <c r="LOA1241" s="106"/>
      <c r="LOB1241" s="106"/>
      <c r="LOC1241" s="106"/>
      <c r="LOD1241" s="106"/>
      <c r="LOE1241" s="106"/>
      <c r="LOF1241" s="106"/>
      <c r="LOG1241" s="106"/>
      <c r="LOH1241" s="106"/>
      <c r="LOI1241" s="106"/>
      <c r="LOJ1241" s="106"/>
      <c r="LOK1241" s="106"/>
      <c r="LOL1241" s="106"/>
      <c r="LOM1241" s="106"/>
      <c r="LON1241" s="106"/>
      <c r="LOO1241" s="106"/>
      <c r="LOP1241" s="106"/>
      <c r="LOQ1241" s="106"/>
      <c r="LOR1241" s="106"/>
      <c r="LOS1241" s="106"/>
      <c r="LOT1241" s="106"/>
      <c r="LOU1241" s="106"/>
      <c r="LOV1241" s="106"/>
      <c r="LOW1241" s="106"/>
      <c r="LOX1241" s="106"/>
      <c r="LOY1241" s="106"/>
      <c r="LOZ1241" s="106"/>
      <c r="LPA1241" s="106"/>
      <c r="LPB1241" s="106"/>
      <c r="LPC1241" s="106"/>
      <c r="LPD1241" s="106"/>
      <c r="LPE1241" s="106"/>
      <c r="LPF1241" s="106"/>
      <c r="LPG1241" s="106"/>
      <c r="LPH1241" s="106"/>
      <c r="LPI1241" s="106"/>
      <c r="LPJ1241" s="106"/>
      <c r="LPK1241" s="106"/>
      <c r="LPL1241" s="106"/>
      <c r="LPM1241" s="106"/>
      <c r="LPN1241" s="106"/>
      <c r="LPO1241" s="106"/>
      <c r="LPP1241" s="106"/>
      <c r="LPQ1241" s="106"/>
      <c r="LPR1241" s="106"/>
      <c r="LPS1241" s="106"/>
      <c r="LPT1241" s="106"/>
      <c r="LPU1241" s="106"/>
      <c r="LPV1241" s="106"/>
      <c r="LPW1241" s="106"/>
      <c r="LPX1241" s="106"/>
      <c r="LPY1241" s="106"/>
      <c r="LPZ1241" s="106"/>
      <c r="LQA1241" s="106"/>
      <c r="LQB1241" s="106"/>
      <c r="LQC1241" s="106"/>
      <c r="LQD1241" s="106"/>
      <c r="LQE1241" s="106"/>
      <c r="LQF1241" s="106"/>
      <c r="LQG1241" s="106"/>
      <c r="LQH1241" s="106"/>
      <c r="LQI1241" s="106"/>
      <c r="LQJ1241" s="106"/>
      <c r="LQK1241" s="106"/>
      <c r="LQL1241" s="106"/>
      <c r="LQM1241" s="106"/>
      <c r="LQN1241" s="106"/>
      <c r="LQO1241" s="106"/>
      <c r="LQP1241" s="106"/>
      <c r="LQQ1241" s="106"/>
      <c r="LQR1241" s="106"/>
      <c r="LQS1241" s="106"/>
      <c r="LQT1241" s="106"/>
      <c r="LQU1241" s="106"/>
      <c r="LQV1241" s="106"/>
      <c r="LQW1241" s="106"/>
      <c r="LQX1241" s="106"/>
      <c r="LQY1241" s="106"/>
      <c r="LQZ1241" s="106"/>
      <c r="LRA1241" s="106"/>
      <c r="LRB1241" s="106"/>
      <c r="LRC1241" s="106"/>
      <c r="LRD1241" s="106"/>
      <c r="LRE1241" s="106"/>
      <c r="LRF1241" s="106"/>
      <c r="LRG1241" s="106"/>
      <c r="LRH1241" s="106"/>
      <c r="LRI1241" s="106"/>
      <c r="LRJ1241" s="106"/>
      <c r="LRK1241" s="106"/>
      <c r="LRL1241" s="106"/>
      <c r="LRM1241" s="106"/>
      <c r="LRN1241" s="106"/>
      <c r="LRO1241" s="106"/>
      <c r="LRP1241" s="106"/>
      <c r="LRQ1241" s="106"/>
      <c r="LRR1241" s="106"/>
      <c r="LRS1241" s="106"/>
      <c r="LRT1241" s="106"/>
      <c r="LRU1241" s="106"/>
      <c r="LRV1241" s="106"/>
      <c r="LRW1241" s="106"/>
      <c r="LRX1241" s="106"/>
      <c r="LRY1241" s="106"/>
      <c r="LRZ1241" s="106"/>
      <c r="LSA1241" s="106"/>
      <c r="LSB1241" s="106"/>
      <c r="LSC1241" s="106"/>
      <c r="LSD1241" s="106"/>
      <c r="LSE1241" s="106"/>
      <c r="LSF1241" s="106"/>
      <c r="LSG1241" s="106"/>
      <c r="LSH1241" s="106"/>
      <c r="LSI1241" s="106"/>
      <c r="LSJ1241" s="106"/>
      <c r="LSK1241" s="106"/>
      <c r="LSL1241" s="106"/>
      <c r="LSM1241" s="106"/>
      <c r="LSN1241" s="106"/>
      <c r="LSO1241" s="106"/>
      <c r="LSP1241" s="106"/>
      <c r="LSQ1241" s="106"/>
      <c r="LSR1241" s="106"/>
      <c r="LSS1241" s="106"/>
      <c r="LST1241" s="106"/>
      <c r="LSU1241" s="106"/>
      <c r="LSV1241" s="106"/>
      <c r="LSW1241" s="106"/>
      <c r="LSX1241" s="106"/>
      <c r="LSY1241" s="106"/>
      <c r="LSZ1241" s="106"/>
      <c r="LTA1241" s="106"/>
      <c r="LTB1241" s="106"/>
      <c r="LTC1241" s="106"/>
      <c r="LTD1241" s="106"/>
      <c r="LTE1241" s="106"/>
      <c r="LTF1241" s="106"/>
      <c r="LTG1241" s="106"/>
      <c r="LTH1241" s="106"/>
      <c r="LTI1241" s="106"/>
      <c r="LTJ1241" s="106"/>
      <c r="LTK1241" s="106"/>
      <c r="LTL1241" s="106"/>
      <c r="LTM1241" s="106"/>
      <c r="LTN1241" s="106"/>
      <c r="LTO1241" s="106"/>
      <c r="LTP1241" s="106"/>
      <c r="LTQ1241" s="106"/>
      <c r="LTR1241" s="106"/>
      <c r="LTS1241" s="106"/>
      <c r="LTT1241" s="106"/>
      <c r="LTU1241" s="106"/>
      <c r="LTV1241" s="106"/>
      <c r="LTW1241" s="106"/>
      <c r="LTX1241" s="106"/>
      <c r="LTY1241" s="106"/>
      <c r="LTZ1241" s="106"/>
      <c r="LUA1241" s="106"/>
      <c r="LUB1241" s="106"/>
      <c r="LUC1241" s="106"/>
      <c r="LUD1241" s="106"/>
      <c r="LUE1241" s="106"/>
      <c r="LUF1241" s="106"/>
      <c r="LUG1241" s="106"/>
      <c r="LUH1241" s="106"/>
      <c r="LUI1241" s="106"/>
      <c r="LUJ1241" s="106"/>
      <c r="LUK1241" s="106"/>
      <c r="LUL1241" s="106"/>
      <c r="LUM1241" s="106"/>
      <c r="LUN1241" s="106"/>
      <c r="LUO1241" s="106"/>
      <c r="LUP1241" s="106"/>
      <c r="LUQ1241" s="106"/>
      <c r="LUR1241" s="106"/>
      <c r="LUS1241" s="106"/>
      <c r="LUT1241" s="106"/>
      <c r="LUU1241" s="106"/>
      <c r="LUV1241" s="106"/>
      <c r="LUW1241" s="106"/>
      <c r="LUX1241" s="106"/>
      <c r="LUY1241" s="106"/>
      <c r="LUZ1241" s="106"/>
      <c r="LVA1241" s="106"/>
      <c r="LVB1241" s="106"/>
      <c r="LVC1241" s="106"/>
      <c r="LVD1241" s="106"/>
      <c r="LVE1241" s="106"/>
      <c r="LVF1241" s="106"/>
      <c r="LVG1241" s="106"/>
      <c r="LVH1241" s="106"/>
      <c r="LVI1241" s="106"/>
      <c r="LVJ1241" s="106"/>
      <c r="LVK1241" s="106"/>
      <c r="LVL1241" s="106"/>
      <c r="LVM1241" s="106"/>
      <c r="LVN1241" s="106"/>
      <c r="LVO1241" s="106"/>
      <c r="LVP1241" s="106"/>
      <c r="LVQ1241" s="106"/>
      <c r="LVR1241" s="106"/>
      <c r="LVS1241" s="106"/>
      <c r="LVT1241" s="106"/>
      <c r="LVU1241" s="106"/>
      <c r="LVV1241" s="106"/>
      <c r="LVW1241" s="106"/>
      <c r="LVX1241" s="106"/>
      <c r="LVY1241" s="106"/>
      <c r="LVZ1241" s="106"/>
      <c r="LWA1241" s="106"/>
      <c r="LWB1241" s="106"/>
      <c r="LWC1241" s="106"/>
      <c r="LWD1241" s="106"/>
      <c r="LWE1241" s="106"/>
      <c r="LWF1241" s="106"/>
      <c r="LWG1241" s="106"/>
      <c r="LWH1241" s="106"/>
      <c r="LWI1241" s="106"/>
      <c r="LWJ1241" s="106"/>
      <c r="LWK1241" s="106"/>
      <c r="LWL1241" s="106"/>
      <c r="LWM1241" s="106"/>
      <c r="LWN1241" s="106"/>
      <c r="LWO1241" s="106"/>
      <c r="LWP1241" s="106"/>
      <c r="LWQ1241" s="106"/>
      <c r="LWR1241" s="106"/>
      <c r="LWS1241" s="106"/>
      <c r="LWT1241" s="106"/>
      <c r="LWU1241" s="106"/>
      <c r="LWV1241" s="106"/>
      <c r="LWW1241" s="106"/>
      <c r="LWX1241" s="106"/>
      <c r="LWY1241" s="106"/>
      <c r="LWZ1241" s="106"/>
      <c r="LXA1241" s="106"/>
      <c r="LXB1241" s="106"/>
      <c r="LXC1241" s="106"/>
      <c r="LXD1241" s="106"/>
      <c r="LXE1241" s="106"/>
      <c r="LXF1241" s="106"/>
      <c r="LXG1241" s="106"/>
      <c r="LXH1241" s="106"/>
      <c r="LXI1241" s="106"/>
      <c r="LXJ1241" s="106"/>
      <c r="LXK1241" s="106"/>
      <c r="LXL1241" s="106"/>
      <c r="LXM1241" s="106"/>
      <c r="LXN1241" s="106"/>
      <c r="LXO1241" s="106"/>
      <c r="LXP1241" s="106"/>
      <c r="LXQ1241" s="106"/>
      <c r="LXR1241" s="106"/>
      <c r="LXS1241" s="106"/>
      <c r="LXT1241" s="106"/>
      <c r="LXU1241" s="106"/>
      <c r="LXV1241" s="106"/>
      <c r="LXW1241" s="106"/>
      <c r="LXX1241" s="106"/>
      <c r="LXY1241" s="106"/>
      <c r="LXZ1241" s="106"/>
      <c r="LYA1241" s="106"/>
      <c r="LYB1241" s="106"/>
      <c r="LYC1241" s="106"/>
      <c r="LYD1241" s="106"/>
      <c r="LYE1241" s="106"/>
      <c r="LYF1241" s="106"/>
      <c r="LYG1241" s="106"/>
      <c r="LYH1241" s="106"/>
      <c r="LYI1241" s="106"/>
      <c r="LYJ1241" s="106"/>
      <c r="LYK1241" s="106"/>
      <c r="LYL1241" s="106"/>
      <c r="LYM1241" s="106"/>
      <c r="LYN1241" s="106"/>
      <c r="LYO1241" s="106"/>
      <c r="LYP1241" s="106"/>
      <c r="LYQ1241" s="106"/>
      <c r="LYR1241" s="106"/>
      <c r="LYS1241" s="106"/>
      <c r="LYT1241" s="106"/>
      <c r="LYU1241" s="106"/>
      <c r="LYV1241" s="106"/>
      <c r="LYW1241" s="106"/>
      <c r="LYX1241" s="106"/>
      <c r="LYY1241" s="106"/>
      <c r="LYZ1241" s="106"/>
      <c r="LZA1241" s="106"/>
      <c r="LZB1241" s="106"/>
      <c r="LZC1241" s="106"/>
      <c r="LZD1241" s="106"/>
      <c r="LZE1241" s="106"/>
      <c r="LZF1241" s="106"/>
      <c r="LZG1241" s="106"/>
      <c r="LZH1241" s="106"/>
      <c r="LZI1241" s="106"/>
      <c r="LZJ1241" s="106"/>
      <c r="LZK1241" s="106"/>
      <c r="LZL1241" s="106"/>
      <c r="LZM1241" s="106"/>
      <c r="LZN1241" s="106"/>
      <c r="LZO1241" s="106"/>
      <c r="LZP1241" s="106"/>
      <c r="LZQ1241" s="106"/>
      <c r="LZR1241" s="106"/>
      <c r="LZS1241" s="106"/>
      <c r="LZT1241" s="106"/>
      <c r="LZU1241" s="106"/>
      <c r="LZV1241" s="106"/>
      <c r="LZW1241" s="106"/>
      <c r="LZX1241" s="106"/>
      <c r="LZY1241" s="106"/>
      <c r="LZZ1241" s="106"/>
      <c r="MAA1241" s="106"/>
      <c r="MAB1241" s="106"/>
      <c r="MAC1241" s="106"/>
      <c r="MAD1241" s="106"/>
      <c r="MAE1241" s="106"/>
      <c r="MAF1241" s="106"/>
      <c r="MAG1241" s="106"/>
      <c r="MAH1241" s="106"/>
      <c r="MAI1241" s="106"/>
      <c r="MAJ1241" s="106"/>
      <c r="MAK1241" s="106"/>
      <c r="MAL1241" s="106"/>
      <c r="MAM1241" s="106"/>
      <c r="MAN1241" s="106"/>
      <c r="MAO1241" s="106"/>
      <c r="MAP1241" s="106"/>
      <c r="MAQ1241" s="106"/>
      <c r="MAR1241" s="106"/>
      <c r="MAS1241" s="106"/>
      <c r="MAT1241" s="106"/>
      <c r="MAU1241" s="106"/>
      <c r="MAV1241" s="106"/>
      <c r="MAW1241" s="106"/>
      <c r="MAX1241" s="106"/>
      <c r="MAY1241" s="106"/>
      <c r="MAZ1241" s="106"/>
      <c r="MBA1241" s="106"/>
      <c r="MBB1241" s="106"/>
      <c r="MBC1241" s="106"/>
      <c r="MBD1241" s="106"/>
      <c r="MBE1241" s="106"/>
      <c r="MBF1241" s="106"/>
      <c r="MBG1241" s="106"/>
      <c r="MBH1241" s="106"/>
      <c r="MBI1241" s="106"/>
      <c r="MBJ1241" s="106"/>
      <c r="MBK1241" s="106"/>
      <c r="MBL1241" s="106"/>
      <c r="MBM1241" s="106"/>
      <c r="MBN1241" s="106"/>
      <c r="MBO1241" s="106"/>
      <c r="MBP1241" s="106"/>
      <c r="MBQ1241" s="106"/>
      <c r="MBR1241" s="106"/>
      <c r="MBS1241" s="106"/>
      <c r="MBT1241" s="106"/>
      <c r="MBU1241" s="106"/>
      <c r="MBV1241" s="106"/>
      <c r="MBW1241" s="106"/>
      <c r="MBX1241" s="106"/>
      <c r="MBY1241" s="106"/>
      <c r="MBZ1241" s="106"/>
      <c r="MCA1241" s="106"/>
      <c r="MCB1241" s="106"/>
      <c r="MCC1241" s="106"/>
      <c r="MCD1241" s="106"/>
      <c r="MCE1241" s="106"/>
      <c r="MCF1241" s="106"/>
      <c r="MCG1241" s="106"/>
      <c r="MCH1241" s="106"/>
      <c r="MCI1241" s="106"/>
      <c r="MCJ1241" s="106"/>
      <c r="MCK1241" s="106"/>
      <c r="MCL1241" s="106"/>
      <c r="MCM1241" s="106"/>
      <c r="MCN1241" s="106"/>
      <c r="MCO1241" s="106"/>
      <c r="MCP1241" s="106"/>
      <c r="MCQ1241" s="106"/>
      <c r="MCR1241" s="106"/>
      <c r="MCS1241" s="106"/>
      <c r="MCT1241" s="106"/>
      <c r="MCU1241" s="106"/>
      <c r="MCV1241" s="106"/>
      <c r="MCW1241" s="106"/>
      <c r="MCX1241" s="106"/>
      <c r="MCY1241" s="106"/>
      <c r="MCZ1241" s="106"/>
      <c r="MDA1241" s="106"/>
      <c r="MDB1241" s="106"/>
      <c r="MDC1241" s="106"/>
      <c r="MDD1241" s="106"/>
      <c r="MDE1241" s="106"/>
      <c r="MDF1241" s="106"/>
      <c r="MDG1241" s="106"/>
      <c r="MDH1241" s="106"/>
      <c r="MDI1241" s="106"/>
      <c r="MDJ1241" s="106"/>
      <c r="MDK1241" s="106"/>
      <c r="MDL1241" s="106"/>
      <c r="MDM1241" s="106"/>
      <c r="MDN1241" s="106"/>
      <c r="MDO1241" s="106"/>
      <c r="MDP1241" s="106"/>
      <c r="MDQ1241" s="106"/>
      <c r="MDR1241" s="106"/>
      <c r="MDS1241" s="106"/>
      <c r="MDT1241" s="106"/>
      <c r="MDU1241" s="106"/>
      <c r="MDV1241" s="106"/>
      <c r="MDW1241" s="106"/>
      <c r="MDX1241" s="106"/>
      <c r="MDY1241" s="106"/>
      <c r="MDZ1241" s="106"/>
      <c r="MEA1241" s="106"/>
      <c r="MEB1241" s="106"/>
      <c r="MEC1241" s="106"/>
      <c r="MED1241" s="106"/>
      <c r="MEE1241" s="106"/>
      <c r="MEF1241" s="106"/>
      <c r="MEG1241" s="106"/>
      <c r="MEH1241" s="106"/>
      <c r="MEI1241" s="106"/>
      <c r="MEJ1241" s="106"/>
      <c r="MEK1241" s="106"/>
      <c r="MEL1241" s="106"/>
      <c r="MEM1241" s="106"/>
      <c r="MEN1241" s="106"/>
      <c r="MEO1241" s="106"/>
      <c r="MEP1241" s="106"/>
      <c r="MEQ1241" s="106"/>
      <c r="MER1241" s="106"/>
      <c r="MES1241" s="106"/>
      <c r="MET1241" s="106"/>
      <c r="MEU1241" s="106"/>
      <c r="MEV1241" s="106"/>
      <c r="MEW1241" s="106"/>
      <c r="MEX1241" s="106"/>
      <c r="MEY1241" s="106"/>
      <c r="MEZ1241" s="106"/>
      <c r="MFA1241" s="106"/>
      <c r="MFB1241" s="106"/>
      <c r="MFC1241" s="106"/>
      <c r="MFD1241" s="106"/>
      <c r="MFE1241" s="106"/>
      <c r="MFF1241" s="106"/>
      <c r="MFG1241" s="106"/>
      <c r="MFH1241" s="106"/>
      <c r="MFI1241" s="106"/>
      <c r="MFJ1241" s="106"/>
      <c r="MFK1241" s="106"/>
      <c r="MFL1241" s="106"/>
      <c r="MFM1241" s="106"/>
      <c r="MFN1241" s="106"/>
      <c r="MFO1241" s="106"/>
      <c r="MFP1241" s="106"/>
      <c r="MFQ1241" s="106"/>
      <c r="MFR1241" s="106"/>
      <c r="MFS1241" s="106"/>
      <c r="MFT1241" s="106"/>
      <c r="MFU1241" s="106"/>
      <c r="MFV1241" s="106"/>
      <c r="MFW1241" s="106"/>
      <c r="MFX1241" s="106"/>
      <c r="MFY1241" s="106"/>
      <c r="MFZ1241" s="106"/>
      <c r="MGA1241" s="106"/>
      <c r="MGB1241" s="106"/>
      <c r="MGC1241" s="106"/>
      <c r="MGD1241" s="106"/>
      <c r="MGE1241" s="106"/>
      <c r="MGF1241" s="106"/>
      <c r="MGG1241" s="106"/>
      <c r="MGH1241" s="106"/>
      <c r="MGI1241" s="106"/>
      <c r="MGJ1241" s="106"/>
      <c r="MGK1241" s="106"/>
      <c r="MGL1241" s="106"/>
      <c r="MGM1241" s="106"/>
      <c r="MGN1241" s="106"/>
      <c r="MGO1241" s="106"/>
      <c r="MGP1241" s="106"/>
      <c r="MGQ1241" s="106"/>
      <c r="MGR1241" s="106"/>
      <c r="MGS1241" s="106"/>
      <c r="MGT1241" s="106"/>
      <c r="MGU1241" s="106"/>
      <c r="MGV1241" s="106"/>
      <c r="MGW1241" s="106"/>
      <c r="MGX1241" s="106"/>
      <c r="MGY1241" s="106"/>
      <c r="MGZ1241" s="106"/>
      <c r="MHA1241" s="106"/>
      <c r="MHB1241" s="106"/>
      <c r="MHC1241" s="106"/>
      <c r="MHD1241" s="106"/>
      <c r="MHE1241" s="106"/>
      <c r="MHF1241" s="106"/>
      <c r="MHG1241" s="106"/>
      <c r="MHH1241" s="106"/>
      <c r="MHI1241" s="106"/>
      <c r="MHJ1241" s="106"/>
      <c r="MHK1241" s="106"/>
      <c r="MHL1241" s="106"/>
      <c r="MHM1241" s="106"/>
      <c r="MHN1241" s="106"/>
      <c r="MHO1241" s="106"/>
      <c r="MHP1241" s="106"/>
      <c r="MHQ1241" s="106"/>
      <c r="MHR1241" s="106"/>
      <c r="MHS1241" s="106"/>
      <c r="MHT1241" s="106"/>
      <c r="MHU1241" s="106"/>
      <c r="MHV1241" s="106"/>
      <c r="MHW1241" s="106"/>
      <c r="MHX1241" s="106"/>
      <c r="MHY1241" s="106"/>
      <c r="MHZ1241" s="106"/>
      <c r="MIA1241" s="106"/>
      <c r="MIB1241" s="106"/>
      <c r="MIC1241" s="106"/>
      <c r="MID1241" s="106"/>
      <c r="MIE1241" s="106"/>
      <c r="MIF1241" s="106"/>
      <c r="MIG1241" s="106"/>
      <c r="MIH1241" s="106"/>
      <c r="MII1241" s="106"/>
      <c r="MIJ1241" s="106"/>
      <c r="MIK1241" s="106"/>
      <c r="MIL1241" s="106"/>
      <c r="MIM1241" s="106"/>
      <c r="MIN1241" s="106"/>
      <c r="MIO1241" s="106"/>
      <c r="MIP1241" s="106"/>
      <c r="MIQ1241" s="106"/>
      <c r="MIR1241" s="106"/>
      <c r="MIS1241" s="106"/>
      <c r="MIT1241" s="106"/>
      <c r="MIU1241" s="106"/>
      <c r="MIV1241" s="106"/>
      <c r="MIW1241" s="106"/>
      <c r="MIX1241" s="106"/>
      <c r="MIY1241" s="106"/>
      <c r="MIZ1241" s="106"/>
      <c r="MJA1241" s="106"/>
      <c r="MJB1241" s="106"/>
      <c r="MJC1241" s="106"/>
      <c r="MJD1241" s="106"/>
      <c r="MJE1241" s="106"/>
      <c r="MJF1241" s="106"/>
      <c r="MJG1241" s="106"/>
      <c r="MJH1241" s="106"/>
      <c r="MJI1241" s="106"/>
      <c r="MJJ1241" s="106"/>
      <c r="MJK1241" s="106"/>
      <c r="MJL1241" s="106"/>
      <c r="MJM1241" s="106"/>
      <c r="MJN1241" s="106"/>
      <c r="MJO1241" s="106"/>
      <c r="MJP1241" s="106"/>
      <c r="MJQ1241" s="106"/>
      <c r="MJR1241" s="106"/>
      <c r="MJS1241" s="106"/>
      <c r="MJT1241" s="106"/>
      <c r="MJU1241" s="106"/>
      <c r="MJV1241" s="106"/>
      <c r="MJW1241" s="106"/>
      <c r="MJX1241" s="106"/>
      <c r="MJY1241" s="106"/>
      <c r="MJZ1241" s="106"/>
      <c r="MKA1241" s="106"/>
      <c r="MKB1241" s="106"/>
      <c r="MKC1241" s="106"/>
      <c r="MKD1241" s="106"/>
      <c r="MKE1241" s="106"/>
      <c r="MKF1241" s="106"/>
      <c r="MKG1241" s="106"/>
      <c r="MKH1241" s="106"/>
      <c r="MKI1241" s="106"/>
      <c r="MKJ1241" s="106"/>
      <c r="MKK1241" s="106"/>
      <c r="MKL1241" s="106"/>
      <c r="MKM1241" s="106"/>
      <c r="MKN1241" s="106"/>
      <c r="MKO1241" s="106"/>
      <c r="MKP1241" s="106"/>
      <c r="MKQ1241" s="106"/>
      <c r="MKR1241" s="106"/>
      <c r="MKS1241" s="106"/>
      <c r="MKT1241" s="106"/>
      <c r="MKU1241" s="106"/>
      <c r="MKV1241" s="106"/>
      <c r="MKW1241" s="106"/>
      <c r="MKX1241" s="106"/>
      <c r="MKY1241" s="106"/>
      <c r="MKZ1241" s="106"/>
      <c r="MLA1241" s="106"/>
      <c r="MLB1241" s="106"/>
      <c r="MLC1241" s="106"/>
      <c r="MLD1241" s="106"/>
      <c r="MLE1241" s="106"/>
      <c r="MLF1241" s="106"/>
      <c r="MLG1241" s="106"/>
      <c r="MLH1241" s="106"/>
      <c r="MLI1241" s="106"/>
      <c r="MLJ1241" s="106"/>
      <c r="MLK1241" s="106"/>
      <c r="MLL1241" s="106"/>
      <c r="MLM1241" s="106"/>
      <c r="MLN1241" s="106"/>
      <c r="MLO1241" s="106"/>
      <c r="MLP1241" s="106"/>
      <c r="MLQ1241" s="106"/>
      <c r="MLR1241" s="106"/>
      <c r="MLS1241" s="106"/>
      <c r="MLT1241" s="106"/>
      <c r="MLU1241" s="106"/>
      <c r="MLV1241" s="106"/>
      <c r="MLW1241" s="106"/>
      <c r="MLX1241" s="106"/>
      <c r="MLY1241" s="106"/>
      <c r="MLZ1241" s="106"/>
      <c r="MMA1241" s="106"/>
      <c r="MMB1241" s="106"/>
      <c r="MMC1241" s="106"/>
      <c r="MMD1241" s="106"/>
      <c r="MME1241" s="106"/>
      <c r="MMF1241" s="106"/>
      <c r="MMG1241" s="106"/>
      <c r="MMH1241" s="106"/>
      <c r="MMI1241" s="106"/>
      <c r="MMJ1241" s="106"/>
      <c r="MMK1241" s="106"/>
      <c r="MML1241" s="106"/>
      <c r="MMM1241" s="106"/>
      <c r="MMN1241" s="106"/>
      <c r="MMO1241" s="106"/>
      <c r="MMP1241" s="106"/>
      <c r="MMQ1241" s="106"/>
      <c r="MMR1241" s="106"/>
      <c r="MMS1241" s="106"/>
      <c r="MMT1241" s="106"/>
      <c r="MMU1241" s="106"/>
      <c r="MMV1241" s="106"/>
      <c r="MMW1241" s="106"/>
      <c r="MMX1241" s="106"/>
      <c r="MMY1241" s="106"/>
      <c r="MMZ1241" s="106"/>
      <c r="MNA1241" s="106"/>
      <c r="MNB1241" s="106"/>
      <c r="MNC1241" s="106"/>
      <c r="MND1241" s="106"/>
      <c r="MNE1241" s="106"/>
      <c r="MNF1241" s="106"/>
      <c r="MNG1241" s="106"/>
      <c r="MNH1241" s="106"/>
      <c r="MNI1241" s="106"/>
      <c r="MNJ1241" s="106"/>
      <c r="MNK1241" s="106"/>
      <c r="MNL1241" s="106"/>
      <c r="MNM1241" s="106"/>
      <c r="MNN1241" s="106"/>
      <c r="MNO1241" s="106"/>
      <c r="MNP1241" s="106"/>
      <c r="MNQ1241" s="106"/>
      <c r="MNR1241" s="106"/>
      <c r="MNS1241" s="106"/>
      <c r="MNT1241" s="106"/>
      <c r="MNU1241" s="106"/>
      <c r="MNV1241" s="106"/>
      <c r="MNW1241" s="106"/>
      <c r="MNX1241" s="106"/>
      <c r="MNY1241" s="106"/>
      <c r="MNZ1241" s="106"/>
      <c r="MOA1241" s="106"/>
      <c r="MOB1241" s="106"/>
      <c r="MOC1241" s="106"/>
      <c r="MOD1241" s="106"/>
      <c r="MOE1241" s="106"/>
      <c r="MOF1241" s="106"/>
      <c r="MOG1241" s="106"/>
      <c r="MOH1241" s="106"/>
      <c r="MOI1241" s="106"/>
      <c r="MOJ1241" s="106"/>
      <c r="MOK1241" s="106"/>
      <c r="MOL1241" s="106"/>
      <c r="MOM1241" s="106"/>
      <c r="MON1241" s="106"/>
      <c r="MOO1241" s="106"/>
      <c r="MOP1241" s="106"/>
      <c r="MOQ1241" s="106"/>
      <c r="MOR1241" s="106"/>
      <c r="MOS1241" s="106"/>
      <c r="MOT1241" s="106"/>
      <c r="MOU1241" s="106"/>
      <c r="MOV1241" s="106"/>
      <c r="MOW1241" s="106"/>
      <c r="MOX1241" s="106"/>
      <c r="MOY1241" s="106"/>
      <c r="MOZ1241" s="106"/>
      <c r="MPA1241" s="106"/>
      <c r="MPB1241" s="106"/>
      <c r="MPC1241" s="106"/>
      <c r="MPD1241" s="106"/>
      <c r="MPE1241" s="106"/>
      <c r="MPF1241" s="106"/>
      <c r="MPG1241" s="106"/>
      <c r="MPH1241" s="106"/>
      <c r="MPI1241" s="106"/>
      <c r="MPJ1241" s="106"/>
      <c r="MPK1241" s="106"/>
      <c r="MPL1241" s="106"/>
      <c r="MPM1241" s="106"/>
      <c r="MPN1241" s="106"/>
      <c r="MPO1241" s="106"/>
      <c r="MPP1241" s="106"/>
      <c r="MPQ1241" s="106"/>
      <c r="MPR1241" s="106"/>
      <c r="MPS1241" s="106"/>
      <c r="MPT1241" s="106"/>
      <c r="MPU1241" s="106"/>
      <c r="MPV1241" s="106"/>
      <c r="MPW1241" s="106"/>
      <c r="MPX1241" s="106"/>
      <c r="MPY1241" s="106"/>
      <c r="MPZ1241" s="106"/>
      <c r="MQA1241" s="106"/>
      <c r="MQB1241" s="106"/>
      <c r="MQC1241" s="106"/>
      <c r="MQD1241" s="106"/>
      <c r="MQE1241" s="106"/>
      <c r="MQF1241" s="106"/>
      <c r="MQG1241" s="106"/>
      <c r="MQH1241" s="106"/>
      <c r="MQI1241" s="106"/>
      <c r="MQJ1241" s="106"/>
      <c r="MQK1241" s="106"/>
      <c r="MQL1241" s="106"/>
      <c r="MQM1241" s="106"/>
      <c r="MQN1241" s="106"/>
      <c r="MQO1241" s="106"/>
      <c r="MQP1241" s="106"/>
      <c r="MQQ1241" s="106"/>
      <c r="MQR1241" s="106"/>
      <c r="MQS1241" s="106"/>
      <c r="MQT1241" s="106"/>
      <c r="MQU1241" s="106"/>
      <c r="MQV1241" s="106"/>
      <c r="MQW1241" s="106"/>
      <c r="MQX1241" s="106"/>
      <c r="MQY1241" s="106"/>
      <c r="MQZ1241" s="106"/>
      <c r="MRA1241" s="106"/>
      <c r="MRB1241" s="106"/>
      <c r="MRC1241" s="106"/>
      <c r="MRD1241" s="106"/>
      <c r="MRE1241" s="106"/>
      <c r="MRF1241" s="106"/>
      <c r="MRG1241" s="106"/>
      <c r="MRH1241" s="106"/>
      <c r="MRI1241" s="106"/>
      <c r="MRJ1241" s="106"/>
      <c r="MRK1241" s="106"/>
      <c r="MRL1241" s="106"/>
      <c r="MRM1241" s="106"/>
      <c r="MRN1241" s="106"/>
      <c r="MRO1241" s="106"/>
      <c r="MRP1241" s="106"/>
      <c r="MRQ1241" s="106"/>
      <c r="MRR1241" s="106"/>
      <c r="MRS1241" s="106"/>
      <c r="MRT1241" s="106"/>
      <c r="MRU1241" s="106"/>
      <c r="MRV1241" s="106"/>
      <c r="MRW1241" s="106"/>
      <c r="MRX1241" s="106"/>
      <c r="MRY1241" s="106"/>
      <c r="MRZ1241" s="106"/>
      <c r="MSA1241" s="106"/>
      <c r="MSB1241" s="106"/>
      <c r="MSC1241" s="106"/>
      <c r="MSD1241" s="106"/>
      <c r="MSE1241" s="106"/>
      <c r="MSF1241" s="106"/>
      <c r="MSG1241" s="106"/>
      <c r="MSH1241" s="106"/>
      <c r="MSI1241" s="106"/>
      <c r="MSJ1241" s="106"/>
      <c r="MSK1241" s="106"/>
      <c r="MSL1241" s="106"/>
      <c r="MSM1241" s="106"/>
      <c r="MSN1241" s="106"/>
      <c r="MSO1241" s="106"/>
      <c r="MSP1241" s="106"/>
      <c r="MSQ1241" s="106"/>
      <c r="MSR1241" s="106"/>
      <c r="MSS1241" s="106"/>
      <c r="MST1241" s="106"/>
      <c r="MSU1241" s="106"/>
      <c r="MSV1241" s="106"/>
      <c r="MSW1241" s="106"/>
      <c r="MSX1241" s="106"/>
      <c r="MSY1241" s="106"/>
      <c r="MSZ1241" s="106"/>
      <c r="MTA1241" s="106"/>
      <c r="MTB1241" s="106"/>
      <c r="MTC1241" s="106"/>
      <c r="MTD1241" s="106"/>
      <c r="MTE1241" s="106"/>
      <c r="MTF1241" s="106"/>
      <c r="MTG1241" s="106"/>
      <c r="MTH1241" s="106"/>
      <c r="MTI1241" s="106"/>
      <c r="MTJ1241" s="106"/>
      <c r="MTK1241" s="106"/>
      <c r="MTL1241" s="106"/>
      <c r="MTM1241" s="106"/>
      <c r="MTN1241" s="106"/>
      <c r="MTO1241" s="106"/>
      <c r="MTP1241" s="106"/>
      <c r="MTQ1241" s="106"/>
      <c r="MTR1241" s="106"/>
      <c r="MTS1241" s="106"/>
      <c r="MTT1241" s="106"/>
      <c r="MTU1241" s="106"/>
      <c r="MTV1241" s="106"/>
      <c r="MTW1241" s="106"/>
      <c r="MTX1241" s="106"/>
      <c r="MTY1241" s="106"/>
      <c r="MTZ1241" s="106"/>
      <c r="MUA1241" s="106"/>
      <c r="MUB1241" s="106"/>
      <c r="MUC1241" s="106"/>
      <c r="MUD1241" s="106"/>
      <c r="MUE1241" s="106"/>
      <c r="MUF1241" s="106"/>
      <c r="MUG1241" s="106"/>
      <c r="MUH1241" s="106"/>
      <c r="MUI1241" s="106"/>
      <c r="MUJ1241" s="106"/>
      <c r="MUK1241" s="106"/>
      <c r="MUL1241" s="106"/>
      <c r="MUM1241" s="106"/>
      <c r="MUN1241" s="106"/>
      <c r="MUO1241" s="106"/>
      <c r="MUP1241" s="106"/>
      <c r="MUQ1241" s="106"/>
      <c r="MUR1241" s="106"/>
      <c r="MUS1241" s="106"/>
      <c r="MUT1241" s="106"/>
      <c r="MUU1241" s="106"/>
      <c r="MUV1241" s="106"/>
      <c r="MUW1241" s="106"/>
      <c r="MUX1241" s="106"/>
      <c r="MUY1241" s="106"/>
      <c r="MUZ1241" s="106"/>
      <c r="MVA1241" s="106"/>
      <c r="MVB1241" s="106"/>
      <c r="MVC1241" s="106"/>
      <c r="MVD1241" s="106"/>
      <c r="MVE1241" s="106"/>
      <c r="MVF1241" s="106"/>
      <c r="MVG1241" s="106"/>
      <c r="MVH1241" s="106"/>
      <c r="MVI1241" s="106"/>
      <c r="MVJ1241" s="106"/>
      <c r="MVK1241" s="106"/>
      <c r="MVL1241" s="106"/>
      <c r="MVM1241" s="106"/>
      <c r="MVN1241" s="106"/>
      <c r="MVO1241" s="106"/>
      <c r="MVP1241" s="106"/>
      <c r="MVQ1241" s="106"/>
      <c r="MVR1241" s="106"/>
      <c r="MVS1241" s="106"/>
      <c r="MVT1241" s="106"/>
      <c r="MVU1241" s="106"/>
      <c r="MVV1241" s="106"/>
      <c r="MVW1241" s="106"/>
      <c r="MVX1241" s="106"/>
      <c r="MVY1241" s="106"/>
      <c r="MVZ1241" s="106"/>
      <c r="MWA1241" s="106"/>
      <c r="MWB1241" s="106"/>
      <c r="MWC1241" s="106"/>
      <c r="MWD1241" s="106"/>
      <c r="MWE1241" s="106"/>
      <c r="MWF1241" s="106"/>
      <c r="MWG1241" s="106"/>
      <c r="MWH1241" s="106"/>
      <c r="MWI1241" s="106"/>
      <c r="MWJ1241" s="106"/>
      <c r="MWK1241" s="106"/>
      <c r="MWL1241" s="106"/>
      <c r="MWM1241" s="106"/>
      <c r="MWN1241" s="106"/>
      <c r="MWO1241" s="106"/>
      <c r="MWP1241" s="106"/>
      <c r="MWQ1241" s="106"/>
      <c r="MWR1241" s="106"/>
      <c r="MWS1241" s="106"/>
      <c r="MWT1241" s="106"/>
      <c r="MWU1241" s="106"/>
      <c r="MWV1241" s="106"/>
      <c r="MWW1241" s="106"/>
      <c r="MWX1241" s="106"/>
      <c r="MWY1241" s="106"/>
      <c r="MWZ1241" s="106"/>
      <c r="MXA1241" s="106"/>
      <c r="MXB1241" s="106"/>
      <c r="MXC1241" s="106"/>
      <c r="MXD1241" s="106"/>
      <c r="MXE1241" s="106"/>
      <c r="MXF1241" s="106"/>
      <c r="MXG1241" s="106"/>
      <c r="MXH1241" s="106"/>
      <c r="MXI1241" s="106"/>
      <c r="MXJ1241" s="106"/>
      <c r="MXK1241" s="106"/>
      <c r="MXL1241" s="106"/>
      <c r="MXM1241" s="106"/>
      <c r="MXN1241" s="106"/>
      <c r="MXO1241" s="106"/>
      <c r="MXP1241" s="106"/>
      <c r="MXQ1241" s="106"/>
      <c r="MXR1241" s="106"/>
      <c r="MXS1241" s="106"/>
      <c r="MXT1241" s="106"/>
      <c r="MXU1241" s="106"/>
      <c r="MXV1241" s="106"/>
      <c r="MXW1241" s="106"/>
      <c r="MXX1241" s="106"/>
      <c r="MXY1241" s="106"/>
      <c r="MXZ1241" s="106"/>
      <c r="MYA1241" s="106"/>
      <c r="MYB1241" s="106"/>
      <c r="MYC1241" s="106"/>
      <c r="MYD1241" s="106"/>
      <c r="MYE1241" s="106"/>
      <c r="MYF1241" s="106"/>
      <c r="MYG1241" s="106"/>
      <c r="MYH1241" s="106"/>
      <c r="MYI1241" s="106"/>
      <c r="MYJ1241" s="106"/>
      <c r="MYK1241" s="106"/>
      <c r="MYL1241" s="106"/>
      <c r="MYM1241" s="106"/>
      <c r="MYN1241" s="106"/>
      <c r="MYO1241" s="106"/>
      <c r="MYP1241" s="106"/>
      <c r="MYQ1241" s="106"/>
      <c r="MYR1241" s="106"/>
      <c r="MYS1241" s="106"/>
      <c r="MYT1241" s="106"/>
      <c r="MYU1241" s="106"/>
      <c r="MYV1241" s="106"/>
      <c r="MYW1241" s="106"/>
      <c r="MYX1241" s="106"/>
      <c r="MYY1241" s="106"/>
      <c r="MYZ1241" s="106"/>
      <c r="MZA1241" s="106"/>
      <c r="MZB1241" s="106"/>
      <c r="MZC1241" s="106"/>
      <c r="MZD1241" s="106"/>
      <c r="MZE1241" s="106"/>
      <c r="MZF1241" s="106"/>
      <c r="MZG1241" s="106"/>
      <c r="MZH1241" s="106"/>
      <c r="MZI1241" s="106"/>
      <c r="MZJ1241" s="106"/>
      <c r="MZK1241" s="106"/>
      <c r="MZL1241" s="106"/>
      <c r="MZM1241" s="106"/>
      <c r="MZN1241" s="106"/>
      <c r="MZO1241" s="106"/>
      <c r="MZP1241" s="106"/>
      <c r="MZQ1241" s="106"/>
      <c r="MZR1241" s="106"/>
      <c r="MZS1241" s="106"/>
      <c r="MZT1241" s="106"/>
      <c r="MZU1241" s="106"/>
      <c r="MZV1241" s="106"/>
      <c r="MZW1241" s="106"/>
      <c r="MZX1241" s="106"/>
      <c r="MZY1241" s="106"/>
      <c r="MZZ1241" s="106"/>
      <c r="NAA1241" s="106"/>
      <c r="NAB1241" s="106"/>
      <c r="NAC1241" s="106"/>
      <c r="NAD1241" s="106"/>
      <c r="NAE1241" s="106"/>
      <c r="NAF1241" s="106"/>
      <c r="NAG1241" s="106"/>
      <c r="NAH1241" s="106"/>
      <c r="NAI1241" s="106"/>
      <c r="NAJ1241" s="106"/>
      <c r="NAK1241" s="106"/>
      <c r="NAL1241" s="106"/>
      <c r="NAM1241" s="106"/>
      <c r="NAN1241" s="106"/>
      <c r="NAO1241" s="106"/>
      <c r="NAP1241" s="106"/>
      <c r="NAQ1241" s="106"/>
      <c r="NAR1241" s="106"/>
      <c r="NAS1241" s="106"/>
      <c r="NAT1241" s="106"/>
      <c r="NAU1241" s="106"/>
      <c r="NAV1241" s="106"/>
      <c r="NAW1241" s="106"/>
      <c r="NAX1241" s="106"/>
      <c r="NAY1241" s="106"/>
      <c r="NAZ1241" s="106"/>
      <c r="NBA1241" s="106"/>
      <c r="NBB1241" s="106"/>
      <c r="NBC1241" s="106"/>
      <c r="NBD1241" s="106"/>
      <c r="NBE1241" s="106"/>
      <c r="NBF1241" s="106"/>
      <c r="NBG1241" s="106"/>
      <c r="NBH1241" s="106"/>
      <c r="NBI1241" s="106"/>
      <c r="NBJ1241" s="106"/>
      <c r="NBK1241" s="106"/>
      <c r="NBL1241" s="106"/>
      <c r="NBM1241" s="106"/>
      <c r="NBN1241" s="106"/>
      <c r="NBO1241" s="106"/>
      <c r="NBP1241" s="106"/>
      <c r="NBQ1241" s="106"/>
      <c r="NBR1241" s="106"/>
      <c r="NBS1241" s="106"/>
      <c r="NBT1241" s="106"/>
      <c r="NBU1241" s="106"/>
      <c r="NBV1241" s="106"/>
      <c r="NBW1241" s="106"/>
      <c r="NBX1241" s="106"/>
      <c r="NBY1241" s="106"/>
      <c r="NBZ1241" s="106"/>
      <c r="NCA1241" s="106"/>
      <c r="NCB1241" s="106"/>
      <c r="NCC1241" s="106"/>
      <c r="NCD1241" s="106"/>
      <c r="NCE1241" s="106"/>
      <c r="NCF1241" s="106"/>
      <c r="NCG1241" s="106"/>
      <c r="NCH1241" s="106"/>
      <c r="NCI1241" s="106"/>
      <c r="NCJ1241" s="106"/>
      <c r="NCK1241" s="106"/>
      <c r="NCL1241" s="106"/>
      <c r="NCM1241" s="106"/>
      <c r="NCN1241" s="106"/>
      <c r="NCO1241" s="106"/>
      <c r="NCP1241" s="106"/>
      <c r="NCQ1241" s="106"/>
      <c r="NCR1241" s="106"/>
      <c r="NCS1241" s="106"/>
      <c r="NCT1241" s="106"/>
      <c r="NCU1241" s="106"/>
      <c r="NCV1241" s="106"/>
      <c r="NCW1241" s="106"/>
      <c r="NCX1241" s="106"/>
      <c r="NCY1241" s="106"/>
      <c r="NCZ1241" s="106"/>
      <c r="NDA1241" s="106"/>
      <c r="NDB1241" s="106"/>
      <c r="NDC1241" s="106"/>
      <c r="NDD1241" s="106"/>
      <c r="NDE1241" s="106"/>
      <c r="NDF1241" s="106"/>
      <c r="NDG1241" s="106"/>
      <c r="NDH1241" s="106"/>
      <c r="NDI1241" s="106"/>
      <c r="NDJ1241" s="106"/>
      <c r="NDK1241" s="106"/>
      <c r="NDL1241" s="106"/>
      <c r="NDM1241" s="106"/>
      <c r="NDN1241" s="106"/>
      <c r="NDO1241" s="106"/>
      <c r="NDP1241" s="106"/>
      <c r="NDQ1241" s="106"/>
      <c r="NDR1241" s="106"/>
      <c r="NDS1241" s="106"/>
      <c r="NDT1241" s="106"/>
      <c r="NDU1241" s="106"/>
      <c r="NDV1241" s="106"/>
      <c r="NDW1241" s="106"/>
      <c r="NDX1241" s="106"/>
      <c r="NDY1241" s="106"/>
      <c r="NDZ1241" s="106"/>
      <c r="NEA1241" s="106"/>
      <c r="NEB1241" s="106"/>
      <c r="NEC1241" s="106"/>
      <c r="NED1241" s="106"/>
      <c r="NEE1241" s="106"/>
      <c r="NEF1241" s="106"/>
      <c r="NEG1241" s="106"/>
      <c r="NEH1241" s="106"/>
      <c r="NEI1241" s="106"/>
      <c r="NEJ1241" s="106"/>
      <c r="NEK1241" s="106"/>
      <c r="NEL1241" s="106"/>
      <c r="NEM1241" s="106"/>
      <c r="NEN1241" s="106"/>
      <c r="NEO1241" s="106"/>
      <c r="NEP1241" s="106"/>
      <c r="NEQ1241" s="106"/>
      <c r="NER1241" s="106"/>
      <c r="NES1241" s="106"/>
      <c r="NET1241" s="106"/>
      <c r="NEU1241" s="106"/>
      <c r="NEV1241" s="106"/>
      <c r="NEW1241" s="106"/>
      <c r="NEX1241" s="106"/>
      <c r="NEY1241" s="106"/>
      <c r="NEZ1241" s="106"/>
      <c r="NFA1241" s="106"/>
      <c r="NFB1241" s="106"/>
      <c r="NFC1241" s="106"/>
      <c r="NFD1241" s="106"/>
      <c r="NFE1241" s="106"/>
      <c r="NFF1241" s="106"/>
      <c r="NFG1241" s="106"/>
      <c r="NFH1241" s="106"/>
      <c r="NFI1241" s="106"/>
      <c r="NFJ1241" s="106"/>
      <c r="NFK1241" s="106"/>
      <c r="NFL1241" s="106"/>
      <c r="NFM1241" s="106"/>
      <c r="NFN1241" s="106"/>
      <c r="NFO1241" s="106"/>
      <c r="NFP1241" s="106"/>
      <c r="NFQ1241" s="106"/>
      <c r="NFR1241" s="106"/>
      <c r="NFS1241" s="106"/>
      <c r="NFT1241" s="106"/>
      <c r="NFU1241" s="106"/>
      <c r="NFV1241" s="106"/>
      <c r="NFW1241" s="106"/>
      <c r="NFX1241" s="106"/>
      <c r="NFY1241" s="106"/>
      <c r="NFZ1241" s="106"/>
      <c r="NGA1241" s="106"/>
      <c r="NGB1241" s="106"/>
      <c r="NGC1241" s="106"/>
      <c r="NGD1241" s="106"/>
      <c r="NGE1241" s="106"/>
      <c r="NGF1241" s="106"/>
      <c r="NGG1241" s="106"/>
      <c r="NGH1241" s="106"/>
      <c r="NGI1241" s="106"/>
      <c r="NGJ1241" s="106"/>
      <c r="NGK1241" s="106"/>
      <c r="NGL1241" s="106"/>
      <c r="NGM1241" s="106"/>
      <c r="NGN1241" s="106"/>
      <c r="NGO1241" s="106"/>
      <c r="NGP1241" s="106"/>
      <c r="NGQ1241" s="106"/>
      <c r="NGR1241" s="106"/>
      <c r="NGS1241" s="106"/>
      <c r="NGT1241" s="106"/>
      <c r="NGU1241" s="106"/>
      <c r="NGV1241" s="106"/>
      <c r="NGW1241" s="106"/>
      <c r="NGX1241" s="106"/>
      <c r="NGY1241" s="106"/>
      <c r="NGZ1241" s="106"/>
      <c r="NHA1241" s="106"/>
      <c r="NHB1241" s="106"/>
      <c r="NHC1241" s="106"/>
      <c r="NHD1241" s="106"/>
      <c r="NHE1241" s="106"/>
      <c r="NHF1241" s="106"/>
      <c r="NHG1241" s="106"/>
      <c r="NHH1241" s="106"/>
      <c r="NHI1241" s="106"/>
      <c r="NHJ1241" s="106"/>
      <c r="NHK1241" s="106"/>
      <c r="NHL1241" s="106"/>
      <c r="NHM1241" s="106"/>
      <c r="NHN1241" s="106"/>
      <c r="NHO1241" s="106"/>
      <c r="NHP1241" s="106"/>
      <c r="NHQ1241" s="106"/>
      <c r="NHR1241" s="106"/>
      <c r="NHS1241" s="106"/>
      <c r="NHT1241" s="106"/>
      <c r="NHU1241" s="106"/>
      <c r="NHV1241" s="106"/>
      <c r="NHW1241" s="106"/>
      <c r="NHX1241" s="106"/>
      <c r="NHY1241" s="106"/>
      <c r="NHZ1241" s="106"/>
      <c r="NIA1241" s="106"/>
      <c r="NIB1241" s="106"/>
      <c r="NIC1241" s="106"/>
      <c r="NID1241" s="106"/>
      <c r="NIE1241" s="106"/>
      <c r="NIF1241" s="106"/>
      <c r="NIG1241" s="106"/>
      <c r="NIH1241" s="106"/>
      <c r="NII1241" s="106"/>
      <c r="NIJ1241" s="106"/>
      <c r="NIK1241" s="106"/>
      <c r="NIL1241" s="106"/>
      <c r="NIM1241" s="106"/>
      <c r="NIN1241" s="106"/>
      <c r="NIO1241" s="106"/>
      <c r="NIP1241" s="106"/>
      <c r="NIQ1241" s="106"/>
      <c r="NIR1241" s="106"/>
      <c r="NIS1241" s="106"/>
      <c r="NIT1241" s="106"/>
      <c r="NIU1241" s="106"/>
      <c r="NIV1241" s="106"/>
      <c r="NIW1241" s="106"/>
      <c r="NIX1241" s="106"/>
      <c r="NIY1241" s="106"/>
      <c r="NIZ1241" s="106"/>
      <c r="NJA1241" s="106"/>
      <c r="NJB1241" s="106"/>
      <c r="NJC1241" s="106"/>
      <c r="NJD1241" s="106"/>
      <c r="NJE1241" s="106"/>
      <c r="NJF1241" s="106"/>
      <c r="NJG1241" s="106"/>
      <c r="NJH1241" s="106"/>
      <c r="NJI1241" s="106"/>
      <c r="NJJ1241" s="106"/>
      <c r="NJK1241" s="106"/>
      <c r="NJL1241" s="106"/>
      <c r="NJM1241" s="106"/>
      <c r="NJN1241" s="106"/>
      <c r="NJO1241" s="106"/>
      <c r="NJP1241" s="106"/>
      <c r="NJQ1241" s="106"/>
      <c r="NJR1241" s="106"/>
      <c r="NJS1241" s="106"/>
      <c r="NJT1241" s="106"/>
      <c r="NJU1241" s="106"/>
      <c r="NJV1241" s="106"/>
      <c r="NJW1241" s="106"/>
      <c r="NJX1241" s="106"/>
      <c r="NJY1241" s="106"/>
      <c r="NJZ1241" s="106"/>
      <c r="NKA1241" s="106"/>
      <c r="NKB1241" s="106"/>
      <c r="NKC1241" s="106"/>
      <c r="NKD1241" s="106"/>
      <c r="NKE1241" s="106"/>
      <c r="NKF1241" s="106"/>
      <c r="NKG1241" s="106"/>
      <c r="NKH1241" s="106"/>
      <c r="NKI1241" s="106"/>
      <c r="NKJ1241" s="106"/>
      <c r="NKK1241" s="106"/>
      <c r="NKL1241" s="106"/>
      <c r="NKM1241" s="106"/>
      <c r="NKN1241" s="106"/>
      <c r="NKO1241" s="106"/>
      <c r="NKP1241" s="106"/>
      <c r="NKQ1241" s="106"/>
      <c r="NKR1241" s="106"/>
      <c r="NKS1241" s="106"/>
      <c r="NKT1241" s="106"/>
      <c r="NKU1241" s="106"/>
      <c r="NKV1241" s="106"/>
      <c r="NKW1241" s="106"/>
      <c r="NKX1241" s="106"/>
      <c r="NKY1241" s="106"/>
      <c r="NKZ1241" s="106"/>
      <c r="NLA1241" s="106"/>
      <c r="NLB1241" s="106"/>
      <c r="NLC1241" s="106"/>
      <c r="NLD1241" s="106"/>
      <c r="NLE1241" s="106"/>
      <c r="NLF1241" s="106"/>
      <c r="NLG1241" s="106"/>
      <c r="NLH1241" s="106"/>
      <c r="NLI1241" s="106"/>
      <c r="NLJ1241" s="106"/>
      <c r="NLK1241" s="106"/>
      <c r="NLL1241" s="106"/>
      <c r="NLM1241" s="106"/>
      <c r="NLN1241" s="106"/>
      <c r="NLO1241" s="106"/>
      <c r="NLP1241" s="106"/>
      <c r="NLQ1241" s="106"/>
      <c r="NLR1241" s="106"/>
      <c r="NLS1241" s="106"/>
      <c r="NLT1241" s="106"/>
      <c r="NLU1241" s="106"/>
      <c r="NLV1241" s="106"/>
      <c r="NLW1241" s="106"/>
      <c r="NLX1241" s="106"/>
      <c r="NLY1241" s="106"/>
      <c r="NLZ1241" s="106"/>
      <c r="NMA1241" s="106"/>
      <c r="NMB1241" s="106"/>
      <c r="NMC1241" s="106"/>
      <c r="NMD1241" s="106"/>
      <c r="NME1241" s="106"/>
      <c r="NMF1241" s="106"/>
      <c r="NMG1241" s="106"/>
      <c r="NMH1241" s="106"/>
      <c r="NMI1241" s="106"/>
      <c r="NMJ1241" s="106"/>
      <c r="NMK1241" s="106"/>
      <c r="NML1241" s="106"/>
      <c r="NMM1241" s="106"/>
      <c r="NMN1241" s="106"/>
      <c r="NMO1241" s="106"/>
      <c r="NMP1241" s="106"/>
      <c r="NMQ1241" s="106"/>
      <c r="NMR1241" s="106"/>
      <c r="NMS1241" s="106"/>
      <c r="NMT1241" s="106"/>
      <c r="NMU1241" s="106"/>
      <c r="NMV1241" s="106"/>
      <c r="NMW1241" s="106"/>
      <c r="NMX1241" s="106"/>
      <c r="NMY1241" s="106"/>
      <c r="NMZ1241" s="106"/>
      <c r="NNA1241" s="106"/>
      <c r="NNB1241" s="106"/>
      <c r="NNC1241" s="106"/>
      <c r="NND1241" s="106"/>
      <c r="NNE1241" s="106"/>
      <c r="NNF1241" s="106"/>
      <c r="NNG1241" s="106"/>
      <c r="NNH1241" s="106"/>
      <c r="NNI1241" s="106"/>
      <c r="NNJ1241" s="106"/>
      <c r="NNK1241" s="106"/>
      <c r="NNL1241" s="106"/>
      <c r="NNM1241" s="106"/>
      <c r="NNN1241" s="106"/>
      <c r="NNO1241" s="106"/>
      <c r="NNP1241" s="106"/>
      <c r="NNQ1241" s="106"/>
      <c r="NNR1241" s="106"/>
      <c r="NNS1241" s="106"/>
      <c r="NNT1241" s="106"/>
      <c r="NNU1241" s="106"/>
      <c r="NNV1241" s="106"/>
      <c r="NNW1241" s="106"/>
      <c r="NNX1241" s="106"/>
      <c r="NNY1241" s="106"/>
      <c r="NNZ1241" s="106"/>
      <c r="NOA1241" s="106"/>
      <c r="NOB1241" s="106"/>
      <c r="NOC1241" s="106"/>
      <c r="NOD1241" s="106"/>
      <c r="NOE1241" s="106"/>
      <c r="NOF1241" s="106"/>
      <c r="NOG1241" s="106"/>
      <c r="NOH1241" s="106"/>
      <c r="NOI1241" s="106"/>
      <c r="NOJ1241" s="106"/>
      <c r="NOK1241" s="106"/>
      <c r="NOL1241" s="106"/>
      <c r="NOM1241" s="106"/>
      <c r="NON1241" s="106"/>
      <c r="NOO1241" s="106"/>
      <c r="NOP1241" s="106"/>
      <c r="NOQ1241" s="106"/>
      <c r="NOR1241" s="106"/>
      <c r="NOS1241" s="106"/>
      <c r="NOT1241" s="106"/>
      <c r="NOU1241" s="106"/>
      <c r="NOV1241" s="106"/>
      <c r="NOW1241" s="106"/>
      <c r="NOX1241" s="106"/>
      <c r="NOY1241" s="106"/>
      <c r="NOZ1241" s="106"/>
      <c r="NPA1241" s="106"/>
      <c r="NPB1241" s="106"/>
      <c r="NPC1241" s="106"/>
      <c r="NPD1241" s="106"/>
      <c r="NPE1241" s="106"/>
      <c r="NPF1241" s="106"/>
      <c r="NPG1241" s="106"/>
      <c r="NPH1241" s="106"/>
      <c r="NPI1241" s="106"/>
      <c r="NPJ1241" s="106"/>
      <c r="NPK1241" s="106"/>
      <c r="NPL1241" s="106"/>
      <c r="NPM1241" s="106"/>
      <c r="NPN1241" s="106"/>
      <c r="NPO1241" s="106"/>
      <c r="NPP1241" s="106"/>
      <c r="NPQ1241" s="106"/>
      <c r="NPR1241" s="106"/>
      <c r="NPS1241" s="106"/>
      <c r="NPT1241" s="106"/>
      <c r="NPU1241" s="106"/>
      <c r="NPV1241" s="106"/>
      <c r="NPW1241" s="106"/>
      <c r="NPX1241" s="106"/>
      <c r="NPY1241" s="106"/>
      <c r="NPZ1241" s="106"/>
      <c r="NQA1241" s="106"/>
      <c r="NQB1241" s="106"/>
      <c r="NQC1241" s="106"/>
      <c r="NQD1241" s="106"/>
      <c r="NQE1241" s="106"/>
      <c r="NQF1241" s="106"/>
      <c r="NQG1241" s="106"/>
      <c r="NQH1241" s="106"/>
      <c r="NQI1241" s="106"/>
      <c r="NQJ1241" s="106"/>
      <c r="NQK1241" s="106"/>
      <c r="NQL1241" s="106"/>
      <c r="NQM1241" s="106"/>
      <c r="NQN1241" s="106"/>
      <c r="NQO1241" s="106"/>
      <c r="NQP1241" s="106"/>
      <c r="NQQ1241" s="106"/>
      <c r="NQR1241" s="106"/>
      <c r="NQS1241" s="106"/>
      <c r="NQT1241" s="106"/>
      <c r="NQU1241" s="106"/>
      <c r="NQV1241" s="106"/>
      <c r="NQW1241" s="106"/>
      <c r="NQX1241" s="106"/>
      <c r="NQY1241" s="106"/>
      <c r="NQZ1241" s="106"/>
      <c r="NRA1241" s="106"/>
      <c r="NRB1241" s="106"/>
      <c r="NRC1241" s="106"/>
      <c r="NRD1241" s="106"/>
      <c r="NRE1241" s="106"/>
      <c r="NRF1241" s="106"/>
      <c r="NRG1241" s="106"/>
      <c r="NRH1241" s="106"/>
      <c r="NRI1241" s="106"/>
      <c r="NRJ1241" s="106"/>
      <c r="NRK1241" s="106"/>
      <c r="NRL1241" s="106"/>
      <c r="NRM1241" s="106"/>
      <c r="NRN1241" s="106"/>
      <c r="NRO1241" s="106"/>
      <c r="NRP1241" s="106"/>
      <c r="NRQ1241" s="106"/>
      <c r="NRR1241" s="106"/>
      <c r="NRS1241" s="106"/>
      <c r="NRT1241" s="106"/>
      <c r="NRU1241" s="106"/>
      <c r="NRV1241" s="106"/>
      <c r="NRW1241" s="106"/>
      <c r="NRX1241" s="106"/>
      <c r="NRY1241" s="106"/>
      <c r="NRZ1241" s="106"/>
      <c r="NSA1241" s="106"/>
      <c r="NSB1241" s="106"/>
      <c r="NSC1241" s="106"/>
      <c r="NSD1241" s="106"/>
      <c r="NSE1241" s="106"/>
      <c r="NSF1241" s="106"/>
      <c r="NSG1241" s="106"/>
      <c r="NSH1241" s="106"/>
      <c r="NSI1241" s="106"/>
      <c r="NSJ1241" s="106"/>
      <c r="NSK1241" s="106"/>
      <c r="NSL1241" s="106"/>
      <c r="NSM1241" s="106"/>
      <c r="NSN1241" s="106"/>
      <c r="NSO1241" s="106"/>
      <c r="NSP1241" s="106"/>
      <c r="NSQ1241" s="106"/>
      <c r="NSR1241" s="106"/>
      <c r="NSS1241" s="106"/>
      <c r="NST1241" s="106"/>
      <c r="NSU1241" s="106"/>
      <c r="NSV1241" s="106"/>
      <c r="NSW1241" s="106"/>
      <c r="NSX1241" s="106"/>
      <c r="NSY1241" s="106"/>
      <c r="NSZ1241" s="106"/>
      <c r="NTA1241" s="106"/>
      <c r="NTB1241" s="106"/>
      <c r="NTC1241" s="106"/>
      <c r="NTD1241" s="106"/>
      <c r="NTE1241" s="106"/>
      <c r="NTF1241" s="106"/>
      <c r="NTG1241" s="106"/>
      <c r="NTH1241" s="106"/>
      <c r="NTI1241" s="106"/>
      <c r="NTJ1241" s="106"/>
      <c r="NTK1241" s="106"/>
      <c r="NTL1241" s="106"/>
      <c r="NTM1241" s="106"/>
      <c r="NTN1241" s="106"/>
      <c r="NTO1241" s="106"/>
      <c r="NTP1241" s="106"/>
      <c r="NTQ1241" s="106"/>
      <c r="NTR1241" s="106"/>
      <c r="NTS1241" s="106"/>
      <c r="NTT1241" s="106"/>
      <c r="NTU1241" s="106"/>
      <c r="NTV1241" s="106"/>
      <c r="NTW1241" s="106"/>
      <c r="NTX1241" s="106"/>
      <c r="NTY1241" s="106"/>
      <c r="NTZ1241" s="106"/>
      <c r="NUA1241" s="106"/>
      <c r="NUB1241" s="106"/>
      <c r="NUC1241" s="106"/>
      <c r="NUD1241" s="106"/>
      <c r="NUE1241" s="106"/>
      <c r="NUF1241" s="106"/>
      <c r="NUG1241" s="106"/>
      <c r="NUH1241" s="106"/>
      <c r="NUI1241" s="106"/>
      <c r="NUJ1241" s="106"/>
      <c r="NUK1241" s="106"/>
      <c r="NUL1241" s="106"/>
      <c r="NUM1241" s="106"/>
      <c r="NUN1241" s="106"/>
      <c r="NUO1241" s="106"/>
      <c r="NUP1241" s="106"/>
      <c r="NUQ1241" s="106"/>
      <c r="NUR1241" s="106"/>
      <c r="NUS1241" s="106"/>
      <c r="NUT1241" s="106"/>
      <c r="NUU1241" s="106"/>
      <c r="NUV1241" s="106"/>
      <c r="NUW1241" s="106"/>
      <c r="NUX1241" s="106"/>
      <c r="NUY1241" s="106"/>
      <c r="NUZ1241" s="106"/>
      <c r="NVA1241" s="106"/>
      <c r="NVB1241" s="106"/>
      <c r="NVC1241" s="106"/>
      <c r="NVD1241" s="106"/>
      <c r="NVE1241" s="106"/>
      <c r="NVF1241" s="106"/>
      <c r="NVG1241" s="106"/>
      <c r="NVH1241" s="106"/>
      <c r="NVI1241" s="106"/>
      <c r="NVJ1241" s="106"/>
      <c r="NVK1241" s="106"/>
      <c r="NVL1241" s="106"/>
      <c r="NVM1241" s="106"/>
      <c r="NVN1241" s="106"/>
      <c r="NVO1241" s="106"/>
      <c r="NVP1241" s="106"/>
      <c r="NVQ1241" s="106"/>
      <c r="NVR1241" s="106"/>
      <c r="NVS1241" s="106"/>
      <c r="NVT1241" s="106"/>
      <c r="NVU1241" s="106"/>
      <c r="NVV1241" s="106"/>
      <c r="NVW1241" s="106"/>
      <c r="NVX1241" s="106"/>
      <c r="NVY1241" s="106"/>
      <c r="NVZ1241" s="106"/>
      <c r="NWA1241" s="106"/>
      <c r="NWB1241" s="106"/>
      <c r="NWC1241" s="106"/>
      <c r="NWD1241" s="106"/>
      <c r="NWE1241" s="106"/>
      <c r="NWF1241" s="106"/>
      <c r="NWG1241" s="106"/>
      <c r="NWH1241" s="106"/>
      <c r="NWI1241" s="106"/>
      <c r="NWJ1241" s="106"/>
      <c r="NWK1241" s="106"/>
      <c r="NWL1241" s="106"/>
      <c r="NWM1241" s="106"/>
      <c r="NWN1241" s="106"/>
      <c r="NWO1241" s="106"/>
      <c r="NWP1241" s="106"/>
      <c r="NWQ1241" s="106"/>
      <c r="NWR1241" s="106"/>
      <c r="NWS1241" s="106"/>
      <c r="NWT1241" s="106"/>
      <c r="NWU1241" s="106"/>
      <c r="NWV1241" s="106"/>
      <c r="NWW1241" s="106"/>
      <c r="NWX1241" s="106"/>
      <c r="NWY1241" s="106"/>
      <c r="NWZ1241" s="106"/>
      <c r="NXA1241" s="106"/>
      <c r="NXB1241" s="106"/>
      <c r="NXC1241" s="106"/>
      <c r="NXD1241" s="106"/>
      <c r="NXE1241" s="106"/>
      <c r="NXF1241" s="106"/>
      <c r="NXG1241" s="106"/>
      <c r="NXH1241" s="106"/>
      <c r="NXI1241" s="106"/>
      <c r="NXJ1241" s="106"/>
      <c r="NXK1241" s="106"/>
      <c r="NXL1241" s="106"/>
      <c r="NXM1241" s="106"/>
      <c r="NXN1241" s="106"/>
      <c r="NXO1241" s="106"/>
      <c r="NXP1241" s="106"/>
      <c r="NXQ1241" s="106"/>
      <c r="NXR1241" s="106"/>
      <c r="NXS1241" s="106"/>
      <c r="NXT1241" s="106"/>
      <c r="NXU1241" s="106"/>
      <c r="NXV1241" s="106"/>
      <c r="NXW1241" s="106"/>
      <c r="NXX1241" s="106"/>
      <c r="NXY1241" s="106"/>
      <c r="NXZ1241" s="106"/>
      <c r="NYA1241" s="106"/>
      <c r="NYB1241" s="106"/>
      <c r="NYC1241" s="106"/>
      <c r="NYD1241" s="106"/>
      <c r="NYE1241" s="106"/>
      <c r="NYF1241" s="106"/>
      <c r="NYG1241" s="106"/>
      <c r="NYH1241" s="106"/>
      <c r="NYI1241" s="106"/>
      <c r="NYJ1241" s="106"/>
      <c r="NYK1241" s="106"/>
      <c r="NYL1241" s="106"/>
      <c r="NYM1241" s="106"/>
      <c r="NYN1241" s="106"/>
      <c r="NYO1241" s="106"/>
      <c r="NYP1241" s="106"/>
      <c r="NYQ1241" s="106"/>
      <c r="NYR1241" s="106"/>
      <c r="NYS1241" s="106"/>
      <c r="NYT1241" s="106"/>
      <c r="NYU1241" s="106"/>
      <c r="NYV1241" s="106"/>
      <c r="NYW1241" s="106"/>
      <c r="NYX1241" s="106"/>
      <c r="NYY1241" s="106"/>
      <c r="NYZ1241" s="106"/>
      <c r="NZA1241" s="106"/>
      <c r="NZB1241" s="106"/>
      <c r="NZC1241" s="106"/>
      <c r="NZD1241" s="106"/>
      <c r="NZE1241" s="106"/>
      <c r="NZF1241" s="106"/>
      <c r="NZG1241" s="106"/>
      <c r="NZH1241" s="106"/>
      <c r="NZI1241" s="106"/>
      <c r="NZJ1241" s="106"/>
      <c r="NZK1241" s="106"/>
      <c r="NZL1241" s="106"/>
      <c r="NZM1241" s="106"/>
      <c r="NZN1241" s="106"/>
      <c r="NZO1241" s="106"/>
      <c r="NZP1241" s="106"/>
      <c r="NZQ1241" s="106"/>
      <c r="NZR1241" s="106"/>
      <c r="NZS1241" s="106"/>
      <c r="NZT1241" s="106"/>
      <c r="NZU1241" s="106"/>
      <c r="NZV1241" s="106"/>
      <c r="NZW1241" s="106"/>
      <c r="NZX1241" s="106"/>
      <c r="NZY1241" s="106"/>
      <c r="NZZ1241" s="106"/>
      <c r="OAA1241" s="106"/>
      <c r="OAB1241" s="106"/>
      <c r="OAC1241" s="106"/>
      <c r="OAD1241" s="106"/>
      <c r="OAE1241" s="106"/>
      <c r="OAF1241" s="106"/>
      <c r="OAG1241" s="106"/>
      <c r="OAH1241" s="106"/>
      <c r="OAI1241" s="106"/>
      <c r="OAJ1241" s="106"/>
      <c r="OAK1241" s="106"/>
      <c r="OAL1241" s="106"/>
      <c r="OAM1241" s="106"/>
      <c r="OAN1241" s="106"/>
      <c r="OAO1241" s="106"/>
      <c r="OAP1241" s="106"/>
      <c r="OAQ1241" s="106"/>
      <c r="OAR1241" s="106"/>
      <c r="OAS1241" s="106"/>
      <c r="OAT1241" s="106"/>
      <c r="OAU1241" s="106"/>
      <c r="OAV1241" s="106"/>
      <c r="OAW1241" s="106"/>
      <c r="OAX1241" s="106"/>
      <c r="OAY1241" s="106"/>
      <c r="OAZ1241" s="106"/>
      <c r="OBA1241" s="106"/>
      <c r="OBB1241" s="106"/>
      <c r="OBC1241" s="106"/>
      <c r="OBD1241" s="106"/>
      <c r="OBE1241" s="106"/>
      <c r="OBF1241" s="106"/>
      <c r="OBG1241" s="106"/>
      <c r="OBH1241" s="106"/>
      <c r="OBI1241" s="106"/>
      <c r="OBJ1241" s="106"/>
      <c r="OBK1241" s="106"/>
      <c r="OBL1241" s="106"/>
      <c r="OBM1241" s="106"/>
      <c r="OBN1241" s="106"/>
      <c r="OBO1241" s="106"/>
      <c r="OBP1241" s="106"/>
      <c r="OBQ1241" s="106"/>
      <c r="OBR1241" s="106"/>
      <c r="OBS1241" s="106"/>
      <c r="OBT1241" s="106"/>
      <c r="OBU1241" s="106"/>
      <c r="OBV1241" s="106"/>
      <c r="OBW1241" s="106"/>
      <c r="OBX1241" s="106"/>
      <c r="OBY1241" s="106"/>
      <c r="OBZ1241" s="106"/>
      <c r="OCA1241" s="106"/>
      <c r="OCB1241" s="106"/>
      <c r="OCC1241" s="106"/>
      <c r="OCD1241" s="106"/>
      <c r="OCE1241" s="106"/>
      <c r="OCF1241" s="106"/>
      <c r="OCG1241" s="106"/>
      <c r="OCH1241" s="106"/>
      <c r="OCI1241" s="106"/>
      <c r="OCJ1241" s="106"/>
      <c r="OCK1241" s="106"/>
      <c r="OCL1241" s="106"/>
      <c r="OCM1241" s="106"/>
      <c r="OCN1241" s="106"/>
      <c r="OCO1241" s="106"/>
      <c r="OCP1241" s="106"/>
      <c r="OCQ1241" s="106"/>
      <c r="OCR1241" s="106"/>
      <c r="OCS1241" s="106"/>
      <c r="OCT1241" s="106"/>
      <c r="OCU1241" s="106"/>
      <c r="OCV1241" s="106"/>
      <c r="OCW1241" s="106"/>
      <c r="OCX1241" s="106"/>
      <c r="OCY1241" s="106"/>
      <c r="OCZ1241" s="106"/>
      <c r="ODA1241" s="106"/>
      <c r="ODB1241" s="106"/>
      <c r="ODC1241" s="106"/>
      <c r="ODD1241" s="106"/>
      <c r="ODE1241" s="106"/>
      <c r="ODF1241" s="106"/>
      <c r="ODG1241" s="106"/>
      <c r="ODH1241" s="106"/>
      <c r="ODI1241" s="106"/>
      <c r="ODJ1241" s="106"/>
      <c r="ODK1241" s="106"/>
      <c r="ODL1241" s="106"/>
      <c r="ODM1241" s="106"/>
      <c r="ODN1241" s="106"/>
      <c r="ODO1241" s="106"/>
      <c r="ODP1241" s="106"/>
      <c r="ODQ1241" s="106"/>
      <c r="ODR1241" s="106"/>
      <c r="ODS1241" s="106"/>
      <c r="ODT1241" s="106"/>
      <c r="ODU1241" s="106"/>
      <c r="ODV1241" s="106"/>
      <c r="ODW1241" s="106"/>
      <c r="ODX1241" s="106"/>
      <c r="ODY1241" s="106"/>
      <c r="ODZ1241" s="106"/>
      <c r="OEA1241" s="106"/>
      <c r="OEB1241" s="106"/>
      <c r="OEC1241" s="106"/>
      <c r="OED1241" s="106"/>
      <c r="OEE1241" s="106"/>
      <c r="OEF1241" s="106"/>
      <c r="OEG1241" s="106"/>
      <c r="OEH1241" s="106"/>
      <c r="OEI1241" s="106"/>
      <c r="OEJ1241" s="106"/>
      <c r="OEK1241" s="106"/>
      <c r="OEL1241" s="106"/>
      <c r="OEM1241" s="106"/>
      <c r="OEN1241" s="106"/>
      <c r="OEO1241" s="106"/>
      <c r="OEP1241" s="106"/>
      <c r="OEQ1241" s="106"/>
      <c r="OER1241" s="106"/>
      <c r="OES1241" s="106"/>
      <c r="OET1241" s="106"/>
      <c r="OEU1241" s="106"/>
      <c r="OEV1241" s="106"/>
      <c r="OEW1241" s="106"/>
      <c r="OEX1241" s="106"/>
      <c r="OEY1241" s="106"/>
      <c r="OEZ1241" s="106"/>
      <c r="OFA1241" s="106"/>
      <c r="OFB1241" s="106"/>
      <c r="OFC1241" s="106"/>
      <c r="OFD1241" s="106"/>
      <c r="OFE1241" s="106"/>
      <c r="OFF1241" s="106"/>
      <c r="OFG1241" s="106"/>
      <c r="OFH1241" s="106"/>
      <c r="OFI1241" s="106"/>
      <c r="OFJ1241" s="106"/>
      <c r="OFK1241" s="106"/>
      <c r="OFL1241" s="106"/>
      <c r="OFM1241" s="106"/>
      <c r="OFN1241" s="106"/>
      <c r="OFO1241" s="106"/>
      <c r="OFP1241" s="106"/>
      <c r="OFQ1241" s="106"/>
      <c r="OFR1241" s="106"/>
      <c r="OFS1241" s="106"/>
      <c r="OFT1241" s="106"/>
      <c r="OFU1241" s="106"/>
      <c r="OFV1241" s="106"/>
      <c r="OFW1241" s="106"/>
      <c r="OFX1241" s="106"/>
      <c r="OFY1241" s="106"/>
      <c r="OFZ1241" s="106"/>
      <c r="OGA1241" s="106"/>
      <c r="OGB1241" s="106"/>
      <c r="OGC1241" s="106"/>
      <c r="OGD1241" s="106"/>
      <c r="OGE1241" s="106"/>
      <c r="OGF1241" s="106"/>
      <c r="OGG1241" s="106"/>
      <c r="OGH1241" s="106"/>
      <c r="OGI1241" s="106"/>
      <c r="OGJ1241" s="106"/>
      <c r="OGK1241" s="106"/>
      <c r="OGL1241" s="106"/>
      <c r="OGM1241" s="106"/>
      <c r="OGN1241" s="106"/>
      <c r="OGO1241" s="106"/>
      <c r="OGP1241" s="106"/>
      <c r="OGQ1241" s="106"/>
      <c r="OGR1241" s="106"/>
      <c r="OGS1241" s="106"/>
      <c r="OGT1241" s="106"/>
      <c r="OGU1241" s="106"/>
      <c r="OGV1241" s="106"/>
      <c r="OGW1241" s="106"/>
      <c r="OGX1241" s="106"/>
      <c r="OGY1241" s="106"/>
      <c r="OGZ1241" s="106"/>
      <c r="OHA1241" s="106"/>
      <c r="OHB1241" s="106"/>
      <c r="OHC1241" s="106"/>
      <c r="OHD1241" s="106"/>
      <c r="OHE1241" s="106"/>
      <c r="OHF1241" s="106"/>
      <c r="OHG1241" s="106"/>
      <c r="OHH1241" s="106"/>
      <c r="OHI1241" s="106"/>
      <c r="OHJ1241" s="106"/>
      <c r="OHK1241" s="106"/>
      <c r="OHL1241" s="106"/>
      <c r="OHM1241" s="106"/>
      <c r="OHN1241" s="106"/>
      <c r="OHO1241" s="106"/>
      <c r="OHP1241" s="106"/>
      <c r="OHQ1241" s="106"/>
      <c r="OHR1241" s="106"/>
      <c r="OHS1241" s="106"/>
      <c r="OHT1241" s="106"/>
      <c r="OHU1241" s="106"/>
      <c r="OHV1241" s="106"/>
      <c r="OHW1241" s="106"/>
      <c r="OHX1241" s="106"/>
      <c r="OHY1241" s="106"/>
      <c r="OHZ1241" s="106"/>
      <c r="OIA1241" s="106"/>
      <c r="OIB1241" s="106"/>
      <c r="OIC1241" s="106"/>
      <c r="OID1241" s="106"/>
      <c r="OIE1241" s="106"/>
      <c r="OIF1241" s="106"/>
      <c r="OIG1241" s="106"/>
      <c r="OIH1241" s="106"/>
      <c r="OII1241" s="106"/>
      <c r="OIJ1241" s="106"/>
      <c r="OIK1241" s="106"/>
      <c r="OIL1241" s="106"/>
      <c r="OIM1241" s="106"/>
      <c r="OIN1241" s="106"/>
      <c r="OIO1241" s="106"/>
      <c r="OIP1241" s="106"/>
      <c r="OIQ1241" s="106"/>
      <c r="OIR1241" s="106"/>
      <c r="OIS1241" s="106"/>
      <c r="OIT1241" s="106"/>
      <c r="OIU1241" s="106"/>
      <c r="OIV1241" s="106"/>
      <c r="OIW1241" s="106"/>
      <c r="OIX1241" s="106"/>
      <c r="OIY1241" s="106"/>
      <c r="OIZ1241" s="106"/>
      <c r="OJA1241" s="106"/>
      <c r="OJB1241" s="106"/>
      <c r="OJC1241" s="106"/>
      <c r="OJD1241" s="106"/>
      <c r="OJE1241" s="106"/>
      <c r="OJF1241" s="106"/>
      <c r="OJG1241" s="106"/>
      <c r="OJH1241" s="106"/>
      <c r="OJI1241" s="106"/>
      <c r="OJJ1241" s="106"/>
      <c r="OJK1241" s="106"/>
      <c r="OJL1241" s="106"/>
      <c r="OJM1241" s="106"/>
      <c r="OJN1241" s="106"/>
      <c r="OJO1241" s="106"/>
      <c r="OJP1241" s="106"/>
      <c r="OJQ1241" s="106"/>
      <c r="OJR1241" s="106"/>
      <c r="OJS1241" s="106"/>
      <c r="OJT1241" s="106"/>
      <c r="OJU1241" s="106"/>
      <c r="OJV1241" s="106"/>
      <c r="OJW1241" s="106"/>
      <c r="OJX1241" s="106"/>
      <c r="OJY1241" s="106"/>
      <c r="OJZ1241" s="106"/>
      <c r="OKA1241" s="106"/>
      <c r="OKB1241" s="106"/>
      <c r="OKC1241" s="106"/>
      <c r="OKD1241" s="106"/>
      <c r="OKE1241" s="106"/>
      <c r="OKF1241" s="106"/>
      <c r="OKG1241" s="106"/>
      <c r="OKH1241" s="106"/>
      <c r="OKI1241" s="106"/>
      <c r="OKJ1241" s="106"/>
      <c r="OKK1241" s="106"/>
      <c r="OKL1241" s="106"/>
      <c r="OKM1241" s="106"/>
      <c r="OKN1241" s="106"/>
      <c r="OKO1241" s="106"/>
      <c r="OKP1241" s="106"/>
      <c r="OKQ1241" s="106"/>
      <c r="OKR1241" s="106"/>
      <c r="OKS1241" s="106"/>
      <c r="OKT1241" s="106"/>
      <c r="OKU1241" s="106"/>
      <c r="OKV1241" s="106"/>
      <c r="OKW1241" s="106"/>
      <c r="OKX1241" s="106"/>
      <c r="OKY1241" s="106"/>
      <c r="OKZ1241" s="106"/>
      <c r="OLA1241" s="106"/>
      <c r="OLB1241" s="106"/>
      <c r="OLC1241" s="106"/>
      <c r="OLD1241" s="106"/>
      <c r="OLE1241" s="106"/>
      <c r="OLF1241" s="106"/>
      <c r="OLG1241" s="106"/>
      <c r="OLH1241" s="106"/>
      <c r="OLI1241" s="106"/>
      <c r="OLJ1241" s="106"/>
      <c r="OLK1241" s="106"/>
      <c r="OLL1241" s="106"/>
      <c r="OLM1241" s="106"/>
      <c r="OLN1241" s="106"/>
      <c r="OLO1241" s="106"/>
      <c r="OLP1241" s="106"/>
      <c r="OLQ1241" s="106"/>
      <c r="OLR1241" s="106"/>
      <c r="OLS1241" s="106"/>
      <c r="OLT1241" s="106"/>
      <c r="OLU1241" s="106"/>
      <c r="OLV1241" s="106"/>
      <c r="OLW1241" s="106"/>
      <c r="OLX1241" s="106"/>
      <c r="OLY1241" s="106"/>
      <c r="OLZ1241" s="106"/>
      <c r="OMA1241" s="106"/>
      <c r="OMB1241" s="106"/>
      <c r="OMC1241" s="106"/>
      <c r="OMD1241" s="106"/>
      <c r="OME1241" s="106"/>
      <c r="OMF1241" s="106"/>
      <c r="OMG1241" s="106"/>
      <c r="OMH1241" s="106"/>
      <c r="OMI1241" s="106"/>
      <c r="OMJ1241" s="106"/>
      <c r="OMK1241" s="106"/>
      <c r="OML1241" s="106"/>
      <c r="OMM1241" s="106"/>
      <c r="OMN1241" s="106"/>
      <c r="OMO1241" s="106"/>
      <c r="OMP1241" s="106"/>
      <c r="OMQ1241" s="106"/>
      <c r="OMR1241" s="106"/>
      <c r="OMS1241" s="106"/>
      <c r="OMT1241" s="106"/>
      <c r="OMU1241" s="106"/>
      <c r="OMV1241" s="106"/>
      <c r="OMW1241" s="106"/>
      <c r="OMX1241" s="106"/>
      <c r="OMY1241" s="106"/>
      <c r="OMZ1241" s="106"/>
      <c r="ONA1241" s="106"/>
      <c r="ONB1241" s="106"/>
      <c r="ONC1241" s="106"/>
      <c r="OND1241" s="106"/>
      <c r="ONE1241" s="106"/>
      <c r="ONF1241" s="106"/>
      <c r="ONG1241" s="106"/>
      <c r="ONH1241" s="106"/>
      <c r="ONI1241" s="106"/>
      <c r="ONJ1241" s="106"/>
      <c r="ONK1241" s="106"/>
      <c r="ONL1241" s="106"/>
      <c r="ONM1241" s="106"/>
      <c r="ONN1241" s="106"/>
      <c r="ONO1241" s="106"/>
      <c r="ONP1241" s="106"/>
      <c r="ONQ1241" s="106"/>
      <c r="ONR1241" s="106"/>
      <c r="ONS1241" s="106"/>
      <c r="ONT1241" s="106"/>
      <c r="ONU1241" s="106"/>
      <c r="ONV1241" s="106"/>
      <c r="ONW1241" s="106"/>
      <c r="ONX1241" s="106"/>
      <c r="ONY1241" s="106"/>
      <c r="ONZ1241" s="106"/>
      <c r="OOA1241" s="106"/>
      <c r="OOB1241" s="106"/>
      <c r="OOC1241" s="106"/>
      <c r="OOD1241" s="106"/>
      <c r="OOE1241" s="106"/>
      <c r="OOF1241" s="106"/>
      <c r="OOG1241" s="106"/>
      <c r="OOH1241" s="106"/>
      <c r="OOI1241" s="106"/>
      <c r="OOJ1241" s="106"/>
      <c r="OOK1241" s="106"/>
      <c r="OOL1241" s="106"/>
      <c r="OOM1241" s="106"/>
      <c r="OON1241" s="106"/>
      <c r="OOO1241" s="106"/>
      <c r="OOP1241" s="106"/>
      <c r="OOQ1241" s="106"/>
      <c r="OOR1241" s="106"/>
      <c r="OOS1241" s="106"/>
      <c r="OOT1241" s="106"/>
      <c r="OOU1241" s="106"/>
      <c r="OOV1241" s="106"/>
      <c r="OOW1241" s="106"/>
      <c r="OOX1241" s="106"/>
      <c r="OOY1241" s="106"/>
      <c r="OOZ1241" s="106"/>
      <c r="OPA1241" s="106"/>
      <c r="OPB1241" s="106"/>
      <c r="OPC1241" s="106"/>
      <c r="OPD1241" s="106"/>
      <c r="OPE1241" s="106"/>
      <c r="OPF1241" s="106"/>
      <c r="OPG1241" s="106"/>
      <c r="OPH1241" s="106"/>
      <c r="OPI1241" s="106"/>
      <c r="OPJ1241" s="106"/>
      <c r="OPK1241" s="106"/>
      <c r="OPL1241" s="106"/>
      <c r="OPM1241" s="106"/>
      <c r="OPN1241" s="106"/>
      <c r="OPO1241" s="106"/>
      <c r="OPP1241" s="106"/>
      <c r="OPQ1241" s="106"/>
      <c r="OPR1241" s="106"/>
      <c r="OPS1241" s="106"/>
      <c r="OPT1241" s="106"/>
      <c r="OPU1241" s="106"/>
      <c r="OPV1241" s="106"/>
      <c r="OPW1241" s="106"/>
      <c r="OPX1241" s="106"/>
      <c r="OPY1241" s="106"/>
      <c r="OPZ1241" s="106"/>
      <c r="OQA1241" s="106"/>
      <c r="OQB1241" s="106"/>
      <c r="OQC1241" s="106"/>
      <c r="OQD1241" s="106"/>
      <c r="OQE1241" s="106"/>
      <c r="OQF1241" s="106"/>
      <c r="OQG1241" s="106"/>
      <c r="OQH1241" s="106"/>
      <c r="OQI1241" s="106"/>
      <c r="OQJ1241" s="106"/>
      <c r="OQK1241" s="106"/>
      <c r="OQL1241" s="106"/>
      <c r="OQM1241" s="106"/>
      <c r="OQN1241" s="106"/>
      <c r="OQO1241" s="106"/>
      <c r="OQP1241" s="106"/>
      <c r="OQQ1241" s="106"/>
      <c r="OQR1241" s="106"/>
      <c r="OQS1241" s="106"/>
      <c r="OQT1241" s="106"/>
      <c r="OQU1241" s="106"/>
      <c r="OQV1241" s="106"/>
      <c r="OQW1241" s="106"/>
      <c r="OQX1241" s="106"/>
      <c r="OQY1241" s="106"/>
      <c r="OQZ1241" s="106"/>
      <c r="ORA1241" s="106"/>
      <c r="ORB1241" s="106"/>
      <c r="ORC1241" s="106"/>
      <c r="ORD1241" s="106"/>
      <c r="ORE1241" s="106"/>
      <c r="ORF1241" s="106"/>
      <c r="ORG1241" s="106"/>
      <c r="ORH1241" s="106"/>
      <c r="ORI1241" s="106"/>
      <c r="ORJ1241" s="106"/>
      <c r="ORK1241" s="106"/>
      <c r="ORL1241" s="106"/>
      <c r="ORM1241" s="106"/>
      <c r="ORN1241" s="106"/>
      <c r="ORO1241" s="106"/>
      <c r="ORP1241" s="106"/>
      <c r="ORQ1241" s="106"/>
      <c r="ORR1241" s="106"/>
      <c r="ORS1241" s="106"/>
      <c r="ORT1241" s="106"/>
      <c r="ORU1241" s="106"/>
      <c r="ORV1241" s="106"/>
      <c r="ORW1241" s="106"/>
      <c r="ORX1241" s="106"/>
      <c r="ORY1241" s="106"/>
      <c r="ORZ1241" s="106"/>
      <c r="OSA1241" s="106"/>
      <c r="OSB1241" s="106"/>
      <c r="OSC1241" s="106"/>
      <c r="OSD1241" s="106"/>
      <c r="OSE1241" s="106"/>
      <c r="OSF1241" s="106"/>
      <c r="OSG1241" s="106"/>
      <c r="OSH1241" s="106"/>
      <c r="OSI1241" s="106"/>
      <c r="OSJ1241" s="106"/>
      <c r="OSK1241" s="106"/>
      <c r="OSL1241" s="106"/>
      <c r="OSM1241" s="106"/>
      <c r="OSN1241" s="106"/>
      <c r="OSO1241" s="106"/>
      <c r="OSP1241" s="106"/>
      <c r="OSQ1241" s="106"/>
      <c r="OSR1241" s="106"/>
      <c r="OSS1241" s="106"/>
      <c r="OST1241" s="106"/>
      <c r="OSU1241" s="106"/>
      <c r="OSV1241" s="106"/>
      <c r="OSW1241" s="106"/>
      <c r="OSX1241" s="106"/>
      <c r="OSY1241" s="106"/>
      <c r="OSZ1241" s="106"/>
      <c r="OTA1241" s="106"/>
      <c r="OTB1241" s="106"/>
      <c r="OTC1241" s="106"/>
      <c r="OTD1241" s="106"/>
      <c r="OTE1241" s="106"/>
      <c r="OTF1241" s="106"/>
      <c r="OTG1241" s="106"/>
      <c r="OTH1241" s="106"/>
      <c r="OTI1241" s="106"/>
      <c r="OTJ1241" s="106"/>
      <c r="OTK1241" s="106"/>
      <c r="OTL1241" s="106"/>
      <c r="OTM1241" s="106"/>
      <c r="OTN1241" s="106"/>
      <c r="OTO1241" s="106"/>
      <c r="OTP1241" s="106"/>
      <c r="OTQ1241" s="106"/>
      <c r="OTR1241" s="106"/>
      <c r="OTS1241" s="106"/>
      <c r="OTT1241" s="106"/>
      <c r="OTU1241" s="106"/>
      <c r="OTV1241" s="106"/>
      <c r="OTW1241" s="106"/>
      <c r="OTX1241" s="106"/>
      <c r="OTY1241" s="106"/>
      <c r="OTZ1241" s="106"/>
      <c r="OUA1241" s="106"/>
      <c r="OUB1241" s="106"/>
      <c r="OUC1241" s="106"/>
      <c r="OUD1241" s="106"/>
      <c r="OUE1241" s="106"/>
      <c r="OUF1241" s="106"/>
      <c r="OUG1241" s="106"/>
      <c r="OUH1241" s="106"/>
      <c r="OUI1241" s="106"/>
      <c r="OUJ1241" s="106"/>
      <c r="OUK1241" s="106"/>
      <c r="OUL1241" s="106"/>
      <c r="OUM1241" s="106"/>
      <c r="OUN1241" s="106"/>
      <c r="OUO1241" s="106"/>
      <c r="OUP1241" s="106"/>
      <c r="OUQ1241" s="106"/>
      <c r="OUR1241" s="106"/>
      <c r="OUS1241" s="106"/>
      <c r="OUT1241" s="106"/>
      <c r="OUU1241" s="106"/>
      <c r="OUV1241" s="106"/>
      <c r="OUW1241" s="106"/>
      <c r="OUX1241" s="106"/>
      <c r="OUY1241" s="106"/>
      <c r="OUZ1241" s="106"/>
      <c r="OVA1241" s="106"/>
      <c r="OVB1241" s="106"/>
      <c r="OVC1241" s="106"/>
      <c r="OVD1241" s="106"/>
      <c r="OVE1241" s="106"/>
      <c r="OVF1241" s="106"/>
      <c r="OVG1241" s="106"/>
      <c r="OVH1241" s="106"/>
      <c r="OVI1241" s="106"/>
      <c r="OVJ1241" s="106"/>
      <c r="OVK1241" s="106"/>
      <c r="OVL1241" s="106"/>
      <c r="OVM1241" s="106"/>
      <c r="OVN1241" s="106"/>
      <c r="OVO1241" s="106"/>
      <c r="OVP1241" s="106"/>
      <c r="OVQ1241" s="106"/>
      <c r="OVR1241" s="106"/>
      <c r="OVS1241" s="106"/>
      <c r="OVT1241" s="106"/>
      <c r="OVU1241" s="106"/>
      <c r="OVV1241" s="106"/>
      <c r="OVW1241" s="106"/>
      <c r="OVX1241" s="106"/>
      <c r="OVY1241" s="106"/>
      <c r="OVZ1241" s="106"/>
      <c r="OWA1241" s="106"/>
      <c r="OWB1241" s="106"/>
      <c r="OWC1241" s="106"/>
      <c r="OWD1241" s="106"/>
      <c r="OWE1241" s="106"/>
      <c r="OWF1241" s="106"/>
      <c r="OWG1241" s="106"/>
      <c r="OWH1241" s="106"/>
      <c r="OWI1241" s="106"/>
      <c r="OWJ1241" s="106"/>
      <c r="OWK1241" s="106"/>
      <c r="OWL1241" s="106"/>
      <c r="OWM1241" s="106"/>
      <c r="OWN1241" s="106"/>
      <c r="OWO1241" s="106"/>
      <c r="OWP1241" s="106"/>
      <c r="OWQ1241" s="106"/>
      <c r="OWR1241" s="106"/>
      <c r="OWS1241" s="106"/>
      <c r="OWT1241" s="106"/>
      <c r="OWU1241" s="106"/>
      <c r="OWV1241" s="106"/>
      <c r="OWW1241" s="106"/>
      <c r="OWX1241" s="106"/>
      <c r="OWY1241" s="106"/>
      <c r="OWZ1241" s="106"/>
      <c r="OXA1241" s="106"/>
      <c r="OXB1241" s="106"/>
      <c r="OXC1241" s="106"/>
      <c r="OXD1241" s="106"/>
      <c r="OXE1241" s="106"/>
      <c r="OXF1241" s="106"/>
      <c r="OXG1241" s="106"/>
      <c r="OXH1241" s="106"/>
      <c r="OXI1241" s="106"/>
      <c r="OXJ1241" s="106"/>
      <c r="OXK1241" s="106"/>
      <c r="OXL1241" s="106"/>
      <c r="OXM1241" s="106"/>
      <c r="OXN1241" s="106"/>
      <c r="OXO1241" s="106"/>
      <c r="OXP1241" s="106"/>
      <c r="OXQ1241" s="106"/>
      <c r="OXR1241" s="106"/>
      <c r="OXS1241" s="106"/>
      <c r="OXT1241" s="106"/>
      <c r="OXU1241" s="106"/>
      <c r="OXV1241" s="106"/>
      <c r="OXW1241" s="106"/>
      <c r="OXX1241" s="106"/>
      <c r="OXY1241" s="106"/>
      <c r="OXZ1241" s="106"/>
      <c r="OYA1241" s="106"/>
      <c r="OYB1241" s="106"/>
      <c r="OYC1241" s="106"/>
      <c r="OYD1241" s="106"/>
      <c r="OYE1241" s="106"/>
      <c r="OYF1241" s="106"/>
      <c r="OYG1241" s="106"/>
      <c r="OYH1241" s="106"/>
      <c r="OYI1241" s="106"/>
      <c r="OYJ1241" s="106"/>
      <c r="OYK1241" s="106"/>
      <c r="OYL1241" s="106"/>
      <c r="OYM1241" s="106"/>
      <c r="OYN1241" s="106"/>
      <c r="OYO1241" s="106"/>
      <c r="OYP1241" s="106"/>
      <c r="OYQ1241" s="106"/>
      <c r="OYR1241" s="106"/>
      <c r="OYS1241" s="106"/>
      <c r="OYT1241" s="106"/>
      <c r="OYU1241" s="106"/>
      <c r="OYV1241" s="106"/>
      <c r="OYW1241" s="106"/>
      <c r="OYX1241" s="106"/>
      <c r="OYY1241" s="106"/>
      <c r="OYZ1241" s="106"/>
      <c r="OZA1241" s="106"/>
      <c r="OZB1241" s="106"/>
      <c r="OZC1241" s="106"/>
      <c r="OZD1241" s="106"/>
      <c r="OZE1241" s="106"/>
      <c r="OZF1241" s="106"/>
      <c r="OZG1241" s="106"/>
      <c r="OZH1241" s="106"/>
      <c r="OZI1241" s="106"/>
      <c r="OZJ1241" s="106"/>
      <c r="OZK1241" s="106"/>
      <c r="OZL1241" s="106"/>
      <c r="OZM1241" s="106"/>
      <c r="OZN1241" s="106"/>
      <c r="OZO1241" s="106"/>
      <c r="OZP1241" s="106"/>
      <c r="OZQ1241" s="106"/>
      <c r="OZR1241" s="106"/>
      <c r="OZS1241" s="106"/>
      <c r="OZT1241" s="106"/>
      <c r="OZU1241" s="106"/>
      <c r="OZV1241" s="106"/>
      <c r="OZW1241" s="106"/>
      <c r="OZX1241" s="106"/>
      <c r="OZY1241" s="106"/>
      <c r="OZZ1241" s="106"/>
      <c r="PAA1241" s="106"/>
      <c r="PAB1241" s="106"/>
      <c r="PAC1241" s="106"/>
      <c r="PAD1241" s="106"/>
      <c r="PAE1241" s="106"/>
      <c r="PAF1241" s="106"/>
      <c r="PAG1241" s="106"/>
      <c r="PAH1241" s="106"/>
      <c r="PAI1241" s="106"/>
      <c r="PAJ1241" s="106"/>
      <c r="PAK1241" s="106"/>
      <c r="PAL1241" s="106"/>
      <c r="PAM1241" s="106"/>
      <c r="PAN1241" s="106"/>
      <c r="PAO1241" s="106"/>
      <c r="PAP1241" s="106"/>
      <c r="PAQ1241" s="106"/>
      <c r="PAR1241" s="106"/>
      <c r="PAS1241" s="106"/>
      <c r="PAT1241" s="106"/>
      <c r="PAU1241" s="106"/>
      <c r="PAV1241" s="106"/>
      <c r="PAW1241" s="106"/>
      <c r="PAX1241" s="106"/>
      <c r="PAY1241" s="106"/>
      <c r="PAZ1241" s="106"/>
      <c r="PBA1241" s="106"/>
      <c r="PBB1241" s="106"/>
      <c r="PBC1241" s="106"/>
      <c r="PBD1241" s="106"/>
      <c r="PBE1241" s="106"/>
      <c r="PBF1241" s="106"/>
      <c r="PBG1241" s="106"/>
      <c r="PBH1241" s="106"/>
      <c r="PBI1241" s="106"/>
      <c r="PBJ1241" s="106"/>
      <c r="PBK1241" s="106"/>
      <c r="PBL1241" s="106"/>
      <c r="PBM1241" s="106"/>
      <c r="PBN1241" s="106"/>
      <c r="PBO1241" s="106"/>
      <c r="PBP1241" s="106"/>
      <c r="PBQ1241" s="106"/>
      <c r="PBR1241" s="106"/>
      <c r="PBS1241" s="106"/>
      <c r="PBT1241" s="106"/>
      <c r="PBU1241" s="106"/>
      <c r="PBV1241" s="106"/>
      <c r="PBW1241" s="106"/>
      <c r="PBX1241" s="106"/>
      <c r="PBY1241" s="106"/>
      <c r="PBZ1241" s="106"/>
      <c r="PCA1241" s="106"/>
      <c r="PCB1241" s="106"/>
      <c r="PCC1241" s="106"/>
      <c r="PCD1241" s="106"/>
      <c r="PCE1241" s="106"/>
      <c r="PCF1241" s="106"/>
      <c r="PCG1241" s="106"/>
      <c r="PCH1241" s="106"/>
      <c r="PCI1241" s="106"/>
      <c r="PCJ1241" s="106"/>
      <c r="PCK1241" s="106"/>
      <c r="PCL1241" s="106"/>
      <c r="PCM1241" s="106"/>
      <c r="PCN1241" s="106"/>
      <c r="PCO1241" s="106"/>
      <c r="PCP1241" s="106"/>
      <c r="PCQ1241" s="106"/>
      <c r="PCR1241" s="106"/>
      <c r="PCS1241" s="106"/>
      <c r="PCT1241" s="106"/>
      <c r="PCU1241" s="106"/>
      <c r="PCV1241" s="106"/>
      <c r="PCW1241" s="106"/>
      <c r="PCX1241" s="106"/>
      <c r="PCY1241" s="106"/>
      <c r="PCZ1241" s="106"/>
      <c r="PDA1241" s="106"/>
      <c r="PDB1241" s="106"/>
      <c r="PDC1241" s="106"/>
      <c r="PDD1241" s="106"/>
      <c r="PDE1241" s="106"/>
      <c r="PDF1241" s="106"/>
      <c r="PDG1241" s="106"/>
      <c r="PDH1241" s="106"/>
      <c r="PDI1241" s="106"/>
      <c r="PDJ1241" s="106"/>
      <c r="PDK1241" s="106"/>
      <c r="PDL1241" s="106"/>
      <c r="PDM1241" s="106"/>
      <c r="PDN1241" s="106"/>
      <c r="PDO1241" s="106"/>
      <c r="PDP1241" s="106"/>
      <c r="PDQ1241" s="106"/>
      <c r="PDR1241" s="106"/>
      <c r="PDS1241" s="106"/>
      <c r="PDT1241" s="106"/>
      <c r="PDU1241" s="106"/>
      <c r="PDV1241" s="106"/>
      <c r="PDW1241" s="106"/>
      <c r="PDX1241" s="106"/>
      <c r="PDY1241" s="106"/>
      <c r="PDZ1241" s="106"/>
      <c r="PEA1241" s="106"/>
      <c r="PEB1241" s="106"/>
      <c r="PEC1241" s="106"/>
      <c r="PED1241" s="106"/>
      <c r="PEE1241" s="106"/>
      <c r="PEF1241" s="106"/>
      <c r="PEG1241" s="106"/>
      <c r="PEH1241" s="106"/>
      <c r="PEI1241" s="106"/>
      <c r="PEJ1241" s="106"/>
      <c r="PEK1241" s="106"/>
      <c r="PEL1241" s="106"/>
      <c r="PEM1241" s="106"/>
      <c r="PEN1241" s="106"/>
      <c r="PEO1241" s="106"/>
      <c r="PEP1241" s="106"/>
      <c r="PEQ1241" s="106"/>
      <c r="PER1241" s="106"/>
      <c r="PES1241" s="106"/>
      <c r="PET1241" s="106"/>
      <c r="PEU1241" s="106"/>
      <c r="PEV1241" s="106"/>
      <c r="PEW1241" s="106"/>
      <c r="PEX1241" s="106"/>
      <c r="PEY1241" s="106"/>
      <c r="PEZ1241" s="106"/>
      <c r="PFA1241" s="106"/>
      <c r="PFB1241" s="106"/>
      <c r="PFC1241" s="106"/>
      <c r="PFD1241" s="106"/>
      <c r="PFE1241" s="106"/>
      <c r="PFF1241" s="106"/>
      <c r="PFG1241" s="106"/>
      <c r="PFH1241" s="106"/>
      <c r="PFI1241" s="106"/>
      <c r="PFJ1241" s="106"/>
      <c r="PFK1241" s="106"/>
      <c r="PFL1241" s="106"/>
      <c r="PFM1241" s="106"/>
      <c r="PFN1241" s="106"/>
      <c r="PFO1241" s="106"/>
      <c r="PFP1241" s="106"/>
      <c r="PFQ1241" s="106"/>
      <c r="PFR1241" s="106"/>
      <c r="PFS1241" s="106"/>
      <c r="PFT1241" s="106"/>
      <c r="PFU1241" s="106"/>
      <c r="PFV1241" s="106"/>
      <c r="PFW1241" s="106"/>
      <c r="PFX1241" s="106"/>
      <c r="PFY1241" s="106"/>
      <c r="PFZ1241" s="106"/>
      <c r="PGA1241" s="106"/>
      <c r="PGB1241" s="106"/>
      <c r="PGC1241" s="106"/>
      <c r="PGD1241" s="106"/>
      <c r="PGE1241" s="106"/>
      <c r="PGF1241" s="106"/>
      <c r="PGG1241" s="106"/>
      <c r="PGH1241" s="106"/>
      <c r="PGI1241" s="106"/>
      <c r="PGJ1241" s="106"/>
      <c r="PGK1241" s="106"/>
      <c r="PGL1241" s="106"/>
      <c r="PGM1241" s="106"/>
      <c r="PGN1241" s="106"/>
      <c r="PGO1241" s="106"/>
      <c r="PGP1241" s="106"/>
      <c r="PGQ1241" s="106"/>
      <c r="PGR1241" s="106"/>
      <c r="PGS1241" s="106"/>
      <c r="PGT1241" s="106"/>
      <c r="PGU1241" s="106"/>
      <c r="PGV1241" s="106"/>
      <c r="PGW1241" s="106"/>
      <c r="PGX1241" s="106"/>
      <c r="PGY1241" s="106"/>
      <c r="PGZ1241" s="106"/>
      <c r="PHA1241" s="106"/>
      <c r="PHB1241" s="106"/>
      <c r="PHC1241" s="106"/>
      <c r="PHD1241" s="106"/>
      <c r="PHE1241" s="106"/>
      <c r="PHF1241" s="106"/>
      <c r="PHG1241" s="106"/>
      <c r="PHH1241" s="106"/>
      <c r="PHI1241" s="106"/>
      <c r="PHJ1241" s="106"/>
      <c r="PHK1241" s="106"/>
      <c r="PHL1241" s="106"/>
      <c r="PHM1241" s="106"/>
      <c r="PHN1241" s="106"/>
      <c r="PHO1241" s="106"/>
      <c r="PHP1241" s="106"/>
      <c r="PHQ1241" s="106"/>
      <c r="PHR1241" s="106"/>
      <c r="PHS1241" s="106"/>
      <c r="PHT1241" s="106"/>
      <c r="PHU1241" s="106"/>
      <c r="PHV1241" s="106"/>
      <c r="PHW1241" s="106"/>
      <c r="PHX1241" s="106"/>
      <c r="PHY1241" s="106"/>
      <c r="PHZ1241" s="106"/>
      <c r="PIA1241" s="106"/>
      <c r="PIB1241" s="106"/>
      <c r="PIC1241" s="106"/>
      <c r="PID1241" s="106"/>
      <c r="PIE1241" s="106"/>
      <c r="PIF1241" s="106"/>
      <c r="PIG1241" s="106"/>
      <c r="PIH1241" s="106"/>
      <c r="PII1241" s="106"/>
      <c r="PIJ1241" s="106"/>
      <c r="PIK1241" s="106"/>
      <c r="PIL1241" s="106"/>
      <c r="PIM1241" s="106"/>
      <c r="PIN1241" s="106"/>
      <c r="PIO1241" s="106"/>
      <c r="PIP1241" s="106"/>
      <c r="PIQ1241" s="106"/>
      <c r="PIR1241" s="106"/>
      <c r="PIS1241" s="106"/>
      <c r="PIT1241" s="106"/>
      <c r="PIU1241" s="106"/>
      <c r="PIV1241" s="106"/>
      <c r="PIW1241" s="106"/>
      <c r="PIX1241" s="106"/>
      <c r="PIY1241" s="106"/>
      <c r="PIZ1241" s="106"/>
      <c r="PJA1241" s="106"/>
      <c r="PJB1241" s="106"/>
      <c r="PJC1241" s="106"/>
      <c r="PJD1241" s="106"/>
      <c r="PJE1241" s="106"/>
      <c r="PJF1241" s="106"/>
      <c r="PJG1241" s="106"/>
      <c r="PJH1241" s="106"/>
      <c r="PJI1241" s="106"/>
      <c r="PJJ1241" s="106"/>
      <c r="PJK1241" s="106"/>
      <c r="PJL1241" s="106"/>
      <c r="PJM1241" s="106"/>
      <c r="PJN1241" s="106"/>
      <c r="PJO1241" s="106"/>
      <c r="PJP1241" s="106"/>
      <c r="PJQ1241" s="106"/>
      <c r="PJR1241" s="106"/>
      <c r="PJS1241" s="106"/>
      <c r="PJT1241" s="106"/>
      <c r="PJU1241" s="106"/>
      <c r="PJV1241" s="106"/>
      <c r="PJW1241" s="106"/>
      <c r="PJX1241" s="106"/>
      <c r="PJY1241" s="106"/>
      <c r="PJZ1241" s="106"/>
      <c r="PKA1241" s="106"/>
      <c r="PKB1241" s="106"/>
      <c r="PKC1241" s="106"/>
      <c r="PKD1241" s="106"/>
      <c r="PKE1241" s="106"/>
      <c r="PKF1241" s="106"/>
      <c r="PKG1241" s="106"/>
      <c r="PKH1241" s="106"/>
      <c r="PKI1241" s="106"/>
      <c r="PKJ1241" s="106"/>
      <c r="PKK1241" s="106"/>
      <c r="PKL1241" s="106"/>
      <c r="PKM1241" s="106"/>
      <c r="PKN1241" s="106"/>
      <c r="PKO1241" s="106"/>
      <c r="PKP1241" s="106"/>
      <c r="PKQ1241" s="106"/>
      <c r="PKR1241" s="106"/>
      <c r="PKS1241" s="106"/>
      <c r="PKT1241" s="106"/>
      <c r="PKU1241" s="106"/>
      <c r="PKV1241" s="106"/>
      <c r="PKW1241" s="106"/>
      <c r="PKX1241" s="106"/>
      <c r="PKY1241" s="106"/>
      <c r="PKZ1241" s="106"/>
      <c r="PLA1241" s="106"/>
      <c r="PLB1241" s="106"/>
      <c r="PLC1241" s="106"/>
      <c r="PLD1241" s="106"/>
      <c r="PLE1241" s="106"/>
      <c r="PLF1241" s="106"/>
      <c r="PLG1241" s="106"/>
      <c r="PLH1241" s="106"/>
      <c r="PLI1241" s="106"/>
      <c r="PLJ1241" s="106"/>
      <c r="PLK1241" s="106"/>
      <c r="PLL1241" s="106"/>
      <c r="PLM1241" s="106"/>
      <c r="PLN1241" s="106"/>
      <c r="PLO1241" s="106"/>
      <c r="PLP1241" s="106"/>
      <c r="PLQ1241" s="106"/>
      <c r="PLR1241" s="106"/>
      <c r="PLS1241" s="106"/>
      <c r="PLT1241" s="106"/>
      <c r="PLU1241" s="106"/>
      <c r="PLV1241" s="106"/>
      <c r="PLW1241" s="106"/>
      <c r="PLX1241" s="106"/>
      <c r="PLY1241" s="106"/>
      <c r="PLZ1241" s="106"/>
      <c r="PMA1241" s="106"/>
      <c r="PMB1241" s="106"/>
      <c r="PMC1241" s="106"/>
      <c r="PMD1241" s="106"/>
      <c r="PME1241" s="106"/>
      <c r="PMF1241" s="106"/>
      <c r="PMG1241" s="106"/>
      <c r="PMH1241" s="106"/>
      <c r="PMI1241" s="106"/>
      <c r="PMJ1241" s="106"/>
      <c r="PMK1241" s="106"/>
      <c r="PML1241" s="106"/>
      <c r="PMM1241" s="106"/>
      <c r="PMN1241" s="106"/>
      <c r="PMO1241" s="106"/>
      <c r="PMP1241" s="106"/>
      <c r="PMQ1241" s="106"/>
      <c r="PMR1241" s="106"/>
      <c r="PMS1241" s="106"/>
      <c r="PMT1241" s="106"/>
      <c r="PMU1241" s="106"/>
      <c r="PMV1241" s="106"/>
      <c r="PMW1241" s="106"/>
      <c r="PMX1241" s="106"/>
      <c r="PMY1241" s="106"/>
      <c r="PMZ1241" s="106"/>
      <c r="PNA1241" s="106"/>
      <c r="PNB1241" s="106"/>
      <c r="PNC1241" s="106"/>
      <c r="PND1241" s="106"/>
      <c r="PNE1241" s="106"/>
      <c r="PNF1241" s="106"/>
      <c r="PNG1241" s="106"/>
      <c r="PNH1241" s="106"/>
      <c r="PNI1241" s="106"/>
      <c r="PNJ1241" s="106"/>
      <c r="PNK1241" s="106"/>
      <c r="PNL1241" s="106"/>
      <c r="PNM1241" s="106"/>
      <c r="PNN1241" s="106"/>
      <c r="PNO1241" s="106"/>
      <c r="PNP1241" s="106"/>
      <c r="PNQ1241" s="106"/>
      <c r="PNR1241" s="106"/>
      <c r="PNS1241" s="106"/>
      <c r="PNT1241" s="106"/>
      <c r="PNU1241" s="106"/>
      <c r="PNV1241" s="106"/>
      <c r="PNW1241" s="106"/>
      <c r="PNX1241" s="106"/>
      <c r="PNY1241" s="106"/>
      <c r="PNZ1241" s="106"/>
      <c r="POA1241" s="106"/>
      <c r="POB1241" s="106"/>
      <c r="POC1241" s="106"/>
      <c r="POD1241" s="106"/>
      <c r="POE1241" s="106"/>
      <c r="POF1241" s="106"/>
      <c r="POG1241" s="106"/>
      <c r="POH1241" s="106"/>
      <c r="POI1241" s="106"/>
      <c r="POJ1241" s="106"/>
      <c r="POK1241" s="106"/>
      <c r="POL1241" s="106"/>
      <c r="POM1241" s="106"/>
      <c r="PON1241" s="106"/>
      <c r="POO1241" s="106"/>
      <c r="POP1241" s="106"/>
      <c r="POQ1241" s="106"/>
      <c r="POR1241" s="106"/>
      <c r="POS1241" s="106"/>
      <c r="POT1241" s="106"/>
      <c r="POU1241" s="106"/>
      <c r="POV1241" s="106"/>
      <c r="POW1241" s="106"/>
      <c r="POX1241" s="106"/>
      <c r="POY1241" s="106"/>
      <c r="POZ1241" s="106"/>
      <c r="PPA1241" s="106"/>
      <c r="PPB1241" s="106"/>
      <c r="PPC1241" s="106"/>
      <c r="PPD1241" s="106"/>
      <c r="PPE1241" s="106"/>
      <c r="PPF1241" s="106"/>
      <c r="PPG1241" s="106"/>
      <c r="PPH1241" s="106"/>
      <c r="PPI1241" s="106"/>
      <c r="PPJ1241" s="106"/>
      <c r="PPK1241" s="106"/>
      <c r="PPL1241" s="106"/>
      <c r="PPM1241" s="106"/>
      <c r="PPN1241" s="106"/>
      <c r="PPO1241" s="106"/>
      <c r="PPP1241" s="106"/>
      <c r="PPQ1241" s="106"/>
      <c r="PPR1241" s="106"/>
      <c r="PPS1241" s="106"/>
      <c r="PPT1241" s="106"/>
      <c r="PPU1241" s="106"/>
      <c r="PPV1241" s="106"/>
      <c r="PPW1241" s="106"/>
      <c r="PPX1241" s="106"/>
      <c r="PPY1241" s="106"/>
      <c r="PPZ1241" s="106"/>
      <c r="PQA1241" s="106"/>
      <c r="PQB1241" s="106"/>
      <c r="PQC1241" s="106"/>
      <c r="PQD1241" s="106"/>
      <c r="PQE1241" s="106"/>
      <c r="PQF1241" s="106"/>
      <c r="PQG1241" s="106"/>
      <c r="PQH1241" s="106"/>
      <c r="PQI1241" s="106"/>
      <c r="PQJ1241" s="106"/>
      <c r="PQK1241" s="106"/>
      <c r="PQL1241" s="106"/>
      <c r="PQM1241" s="106"/>
      <c r="PQN1241" s="106"/>
      <c r="PQO1241" s="106"/>
      <c r="PQP1241" s="106"/>
      <c r="PQQ1241" s="106"/>
      <c r="PQR1241" s="106"/>
      <c r="PQS1241" s="106"/>
      <c r="PQT1241" s="106"/>
      <c r="PQU1241" s="106"/>
      <c r="PQV1241" s="106"/>
      <c r="PQW1241" s="106"/>
      <c r="PQX1241" s="106"/>
      <c r="PQY1241" s="106"/>
      <c r="PQZ1241" s="106"/>
      <c r="PRA1241" s="106"/>
      <c r="PRB1241" s="106"/>
      <c r="PRC1241" s="106"/>
      <c r="PRD1241" s="106"/>
      <c r="PRE1241" s="106"/>
      <c r="PRF1241" s="106"/>
      <c r="PRG1241" s="106"/>
      <c r="PRH1241" s="106"/>
      <c r="PRI1241" s="106"/>
      <c r="PRJ1241" s="106"/>
      <c r="PRK1241" s="106"/>
      <c r="PRL1241" s="106"/>
      <c r="PRM1241" s="106"/>
      <c r="PRN1241" s="106"/>
      <c r="PRO1241" s="106"/>
      <c r="PRP1241" s="106"/>
      <c r="PRQ1241" s="106"/>
      <c r="PRR1241" s="106"/>
      <c r="PRS1241" s="106"/>
      <c r="PRT1241" s="106"/>
      <c r="PRU1241" s="106"/>
      <c r="PRV1241" s="106"/>
      <c r="PRW1241" s="106"/>
      <c r="PRX1241" s="106"/>
      <c r="PRY1241" s="106"/>
      <c r="PRZ1241" s="106"/>
      <c r="PSA1241" s="106"/>
      <c r="PSB1241" s="106"/>
      <c r="PSC1241" s="106"/>
      <c r="PSD1241" s="106"/>
      <c r="PSE1241" s="106"/>
      <c r="PSF1241" s="106"/>
      <c r="PSG1241" s="106"/>
      <c r="PSH1241" s="106"/>
      <c r="PSI1241" s="106"/>
      <c r="PSJ1241" s="106"/>
      <c r="PSK1241" s="106"/>
      <c r="PSL1241" s="106"/>
      <c r="PSM1241" s="106"/>
      <c r="PSN1241" s="106"/>
      <c r="PSO1241" s="106"/>
      <c r="PSP1241" s="106"/>
      <c r="PSQ1241" s="106"/>
      <c r="PSR1241" s="106"/>
      <c r="PSS1241" s="106"/>
      <c r="PST1241" s="106"/>
      <c r="PSU1241" s="106"/>
      <c r="PSV1241" s="106"/>
      <c r="PSW1241" s="106"/>
      <c r="PSX1241" s="106"/>
      <c r="PSY1241" s="106"/>
      <c r="PSZ1241" s="106"/>
      <c r="PTA1241" s="106"/>
      <c r="PTB1241" s="106"/>
      <c r="PTC1241" s="106"/>
      <c r="PTD1241" s="106"/>
      <c r="PTE1241" s="106"/>
      <c r="PTF1241" s="106"/>
      <c r="PTG1241" s="106"/>
      <c r="PTH1241" s="106"/>
      <c r="PTI1241" s="106"/>
      <c r="PTJ1241" s="106"/>
      <c r="PTK1241" s="106"/>
      <c r="PTL1241" s="106"/>
      <c r="PTM1241" s="106"/>
      <c r="PTN1241" s="106"/>
      <c r="PTO1241" s="106"/>
      <c r="PTP1241" s="106"/>
      <c r="PTQ1241" s="106"/>
      <c r="PTR1241" s="106"/>
      <c r="PTS1241" s="106"/>
      <c r="PTT1241" s="106"/>
      <c r="PTU1241" s="106"/>
      <c r="PTV1241" s="106"/>
      <c r="PTW1241" s="106"/>
      <c r="PTX1241" s="106"/>
      <c r="PTY1241" s="106"/>
      <c r="PTZ1241" s="106"/>
      <c r="PUA1241" s="106"/>
      <c r="PUB1241" s="106"/>
      <c r="PUC1241" s="106"/>
      <c r="PUD1241" s="106"/>
      <c r="PUE1241" s="106"/>
      <c r="PUF1241" s="106"/>
      <c r="PUG1241" s="106"/>
      <c r="PUH1241" s="106"/>
      <c r="PUI1241" s="106"/>
      <c r="PUJ1241" s="106"/>
      <c r="PUK1241" s="106"/>
      <c r="PUL1241" s="106"/>
      <c r="PUM1241" s="106"/>
      <c r="PUN1241" s="106"/>
      <c r="PUO1241" s="106"/>
      <c r="PUP1241" s="106"/>
      <c r="PUQ1241" s="106"/>
      <c r="PUR1241" s="106"/>
      <c r="PUS1241" s="106"/>
      <c r="PUT1241" s="106"/>
      <c r="PUU1241" s="106"/>
      <c r="PUV1241" s="106"/>
      <c r="PUW1241" s="106"/>
      <c r="PUX1241" s="106"/>
      <c r="PUY1241" s="106"/>
      <c r="PUZ1241" s="106"/>
      <c r="PVA1241" s="106"/>
      <c r="PVB1241" s="106"/>
      <c r="PVC1241" s="106"/>
      <c r="PVD1241" s="106"/>
      <c r="PVE1241" s="106"/>
      <c r="PVF1241" s="106"/>
      <c r="PVG1241" s="106"/>
      <c r="PVH1241" s="106"/>
      <c r="PVI1241" s="106"/>
      <c r="PVJ1241" s="106"/>
      <c r="PVK1241" s="106"/>
      <c r="PVL1241" s="106"/>
      <c r="PVM1241" s="106"/>
      <c r="PVN1241" s="106"/>
      <c r="PVO1241" s="106"/>
      <c r="PVP1241" s="106"/>
      <c r="PVQ1241" s="106"/>
      <c r="PVR1241" s="106"/>
      <c r="PVS1241" s="106"/>
      <c r="PVT1241" s="106"/>
      <c r="PVU1241" s="106"/>
      <c r="PVV1241" s="106"/>
      <c r="PVW1241" s="106"/>
      <c r="PVX1241" s="106"/>
      <c r="PVY1241" s="106"/>
      <c r="PVZ1241" s="106"/>
      <c r="PWA1241" s="106"/>
      <c r="PWB1241" s="106"/>
      <c r="PWC1241" s="106"/>
      <c r="PWD1241" s="106"/>
      <c r="PWE1241" s="106"/>
      <c r="PWF1241" s="106"/>
      <c r="PWG1241" s="106"/>
      <c r="PWH1241" s="106"/>
      <c r="PWI1241" s="106"/>
      <c r="PWJ1241" s="106"/>
      <c r="PWK1241" s="106"/>
      <c r="PWL1241" s="106"/>
      <c r="PWM1241" s="106"/>
      <c r="PWN1241" s="106"/>
      <c r="PWO1241" s="106"/>
      <c r="PWP1241" s="106"/>
      <c r="PWQ1241" s="106"/>
      <c r="PWR1241" s="106"/>
      <c r="PWS1241" s="106"/>
      <c r="PWT1241" s="106"/>
      <c r="PWU1241" s="106"/>
      <c r="PWV1241" s="106"/>
      <c r="PWW1241" s="106"/>
      <c r="PWX1241" s="106"/>
      <c r="PWY1241" s="106"/>
      <c r="PWZ1241" s="106"/>
      <c r="PXA1241" s="106"/>
      <c r="PXB1241" s="106"/>
      <c r="PXC1241" s="106"/>
      <c r="PXD1241" s="106"/>
      <c r="PXE1241" s="106"/>
      <c r="PXF1241" s="106"/>
      <c r="PXG1241" s="106"/>
      <c r="PXH1241" s="106"/>
      <c r="PXI1241" s="106"/>
      <c r="PXJ1241" s="106"/>
      <c r="PXK1241" s="106"/>
      <c r="PXL1241" s="106"/>
      <c r="PXM1241" s="106"/>
      <c r="PXN1241" s="106"/>
      <c r="PXO1241" s="106"/>
      <c r="PXP1241" s="106"/>
      <c r="PXQ1241" s="106"/>
      <c r="PXR1241" s="106"/>
      <c r="PXS1241" s="106"/>
      <c r="PXT1241" s="106"/>
      <c r="PXU1241" s="106"/>
      <c r="PXV1241" s="106"/>
      <c r="PXW1241" s="106"/>
      <c r="PXX1241" s="106"/>
      <c r="PXY1241" s="106"/>
      <c r="PXZ1241" s="106"/>
      <c r="PYA1241" s="106"/>
      <c r="PYB1241" s="106"/>
      <c r="PYC1241" s="106"/>
      <c r="PYD1241" s="106"/>
      <c r="PYE1241" s="106"/>
      <c r="PYF1241" s="106"/>
      <c r="PYG1241" s="106"/>
      <c r="PYH1241" s="106"/>
      <c r="PYI1241" s="106"/>
      <c r="PYJ1241" s="106"/>
      <c r="PYK1241" s="106"/>
      <c r="PYL1241" s="106"/>
      <c r="PYM1241" s="106"/>
      <c r="PYN1241" s="106"/>
      <c r="PYO1241" s="106"/>
      <c r="PYP1241" s="106"/>
      <c r="PYQ1241" s="106"/>
      <c r="PYR1241" s="106"/>
      <c r="PYS1241" s="106"/>
      <c r="PYT1241" s="106"/>
      <c r="PYU1241" s="106"/>
      <c r="PYV1241" s="106"/>
      <c r="PYW1241" s="106"/>
      <c r="PYX1241" s="106"/>
      <c r="PYY1241" s="106"/>
      <c r="PYZ1241" s="106"/>
      <c r="PZA1241" s="106"/>
      <c r="PZB1241" s="106"/>
      <c r="PZC1241" s="106"/>
      <c r="PZD1241" s="106"/>
      <c r="PZE1241" s="106"/>
      <c r="PZF1241" s="106"/>
      <c r="PZG1241" s="106"/>
      <c r="PZH1241" s="106"/>
      <c r="PZI1241" s="106"/>
      <c r="PZJ1241" s="106"/>
      <c r="PZK1241" s="106"/>
      <c r="PZL1241" s="106"/>
      <c r="PZM1241" s="106"/>
      <c r="PZN1241" s="106"/>
      <c r="PZO1241" s="106"/>
      <c r="PZP1241" s="106"/>
      <c r="PZQ1241" s="106"/>
      <c r="PZR1241" s="106"/>
      <c r="PZS1241" s="106"/>
      <c r="PZT1241" s="106"/>
      <c r="PZU1241" s="106"/>
      <c r="PZV1241" s="106"/>
      <c r="PZW1241" s="106"/>
      <c r="PZX1241" s="106"/>
      <c r="PZY1241" s="106"/>
      <c r="PZZ1241" s="106"/>
      <c r="QAA1241" s="106"/>
      <c r="QAB1241" s="106"/>
      <c r="QAC1241" s="106"/>
      <c r="QAD1241" s="106"/>
      <c r="QAE1241" s="106"/>
      <c r="QAF1241" s="106"/>
      <c r="QAG1241" s="106"/>
      <c r="QAH1241" s="106"/>
      <c r="QAI1241" s="106"/>
      <c r="QAJ1241" s="106"/>
      <c r="QAK1241" s="106"/>
      <c r="QAL1241" s="106"/>
      <c r="QAM1241" s="106"/>
      <c r="QAN1241" s="106"/>
      <c r="QAO1241" s="106"/>
      <c r="QAP1241" s="106"/>
      <c r="QAQ1241" s="106"/>
      <c r="QAR1241" s="106"/>
      <c r="QAS1241" s="106"/>
      <c r="QAT1241" s="106"/>
      <c r="QAU1241" s="106"/>
      <c r="QAV1241" s="106"/>
      <c r="QAW1241" s="106"/>
      <c r="QAX1241" s="106"/>
      <c r="QAY1241" s="106"/>
      <c r="QAZ1241" s="106"/>
      <c r="QBA1241" s="106"/>
      <c r="QBB1241" s="106"/>
      <c r="QBC1241" s="106"/>
      <c r="QBD1241" s="106"/>
      <c r="QBE1241" s="106"/>
      <c r="QBF1241" s="106"/>
      <c r="QBG1241" s="106"/>
      <c r="QBH1241" s="106"/>
      <c r="QBI1241" s="106"/>
      <c r="QBJ1241" s="106"/>
      <c r="QBK1241" s="106"/>
      <c r="QBL1241" s="106"/>
      <c r="QBM1241" s="106"/>
      <c r="QBN1241" s="106"/>
      <c r="QBO1241" s="106"/>
      <c r="QBP1241" s="106"/>
      <c r="QBQ1241" s="106"/>
      <c r="QBR1241" s="106"/>
      <c r="QBS1241" s="106"/>
      <c r="QBT1241" s="106"/>
      <c r="QBU1241" s="106"/>
      <c r="QBV1241" s="106"/>
      <c r="QBW1241" s="106"/>
      <c r="QBX1241" s="106"/>
      <c r="QBY1241" s="106"/>
      <c r="QBZ1241" s="106"/>
      <c r="QCA1241" s="106"/>
      <c r="QCB1241" s="106"/>
      <c r="QCC1241" s="106"/>
      <c r="QCD1241" s="106"/>
      <c r="QCE1241" s="106"/>
      <c r="QCF1241" s="106"/>
      <c r="QCG1241" s="106"/>
      <c r="QCH1241" s="106"/>
      <c r="QCI1241" s="106"/>
      <c r="QCJ1241" s="106"/>
      <c r="QCK1241" s="106"/>
      <c r="QCL1241" s="106"/>
      <c r="QCM1241" s="106"/>
      <c r="QCN1241" s="106"/>
      <c r="QCO1241" s="106"/>
      <c r="QCP1241" s="106"/>
      <c r="QCQ1241" s="106"/>
      <c r="QCR1241" s="106"/>
      <c r="QCS1241" s="106"/>
      <c r="QCT1241" s="106"/>
      <c r="QCU1241" s="106"/>
      <c r="QCV1241" s="106"/>
      <c r="QCW1241" s="106"/>
      <c r="QCX1241" s="106"/>
      <c r="QCY1241" s="106"/>
      <c r="QCZ1241" s="106"/>
      <c r="QDA1241" s="106"/>
      <c r="QDB1241" s="106"/>
      <c r="QDC1241" s="106"/>
      <c r="QDD1241" s="106"/>
      <c r="QDE1241" s="106"/>
      <c r="QDF1241" s="106"/>
      <c r="QDG1241" s="106"/>
      <c r="QDH1241" s="106"/>
      <c r="QDI1241" s="106"/>
      <c r="QDJ1241" s="106"/>
      <c r="QDK1241" s="106"/>
      <c r="QDL1241" s="106"/>
      <c r="QDM1241" s="106"/>
      <c r="QDN1241" s="106"/>
      <c r="QDO1241" s="106"/>
      <c r="QDP1241" s="106"/>
      <c r="QDQ1241" s="106"/>
      <c r="QDR1241" s="106"/>
      <c r="QDS1241" s="106"/>
      <c r="QDT1241" s="106"/>
      <c r="QDU1241" s="106"/>
      <c r="QDV1241" s="106"/>
      <c r="QDW1241" s="106"/>
      <c r="QDX1241" s="106"/>
      <c r="QDY1241" s="106"/>
      <c r="QDZ1241" s="106"/>
      <c r="QEA1241" s="106"/>
      <c r="QEB1241" s="106"/>
      <c r="QEC1241" s="106"/>
      <c r="QED1241" s="106"/>
      <c r="QEE1241" s="106"/>
      <c r="QEF1241" s="106"/>
      <c r="QEG1241" s="106"/>
      <c r="QEH1241" s="106"/>
      <c r="QEI1241" s="106"/>
      <c r="QEJ1241" s="106"/>
      <c r="QEK1241" s="106"/>
      <c r="QEL1241" s="106"/>
      <c r="QEM1241" s="106"/>
      <c r="QEN1241" s="106"/>
      <c r="QEO1241" s="106"/>
      <c r="QEP1241" s="106"/>
      <c r="QEQ1241" s="106"/>
      <c r="QER1241" s="106"/>
      <c r="QES1241" s="106"/>
      <c r="QET1241" s="106"/>
      <c r="QEU1241" s="106"/>
      <c r="QEV1241" s="106"/>
      <c r="QEW1241" s="106"/>
      <c r="QEX1241" s="106"/>
      <c r="QEY1241" s="106"/>
      <c r="QEZ1241" s="106"/>
      <c r="QFA1241" s="106"/>
      <c r="QFB1241" s="106"/>
      <c r="QFC1241" s="106"/>
      <c r="QFD1241" s="106"/>
      <c r="QFE1241" s="106"/>
      <c r="QFF1241" s="106"/>
      <c r="QFG1241" s="106"/>
      <c r="QFH1241" s="106"/>
      <c r="QFI1241" s="106"/>
      <c r="QFJ1241" s="106"/>
      <c r="QFK1241" s="106"/>
      <c r="QFL1241" s="106"/>
      <c r="QFM1241" s="106"/>
      <c r="QFN1241" s="106"/>
      <c r="QFO1241" s="106"/>
      <c r="QFP1241" s="106"/>
      <c r="QFQ1241" s="106"/>
      <c r="QFR1241" s="106"/>
      <c r="QFS1241" s="106"/>
      <c r="QFT1241" s="106"/>
      <c r="QFU1241" s="106"/>
      <c r="QFV1241" s="106"/>
      <c r="QFW1241" s="106"/>
      <c r="QFX1241" s="106"/>
      <c r="QFY1241" s="106"/>
      <c r="QFZ1241" s="106"/>
      <c r="QGA1241" s="106"/>
      <c r="QGB1241" s="106"/>
      <c r="QGC1241" s="106"/>
      <c r="QGD1241" s="106"/>
      <c r="QGE1241" s="106"/>
      <c r="QGF1241" s="106"/>
      <c r="QGG1241" s="106"/>
      <c r="QGH1241" s="106"/>
      <c r="QGI1241" s="106"/>
      <c r="QGJ1241" s="106"/>
      <c r="QGK1241" s="106"/>
      <c r="QGL1241" s="106"/>
      <c r="QGM1241" s="106"/>
      <c r="QGN1241" s="106"/>
      <c r="QGO1241" s="106"/>
      <c r="QGP1241" s="106"/>
      <c r="QGQ1241" s="106"/>
      <c r="QGR1241" s="106"/>
      <c r="QGS1241" s="106"/>
      <c r="QGT1241" s="106"/>
      <c r="QGU1241" s="106"/>
      <c r="QGV1241" s="106"/>
      <c r="QGW1241" s="106"/>
      <c r="QGX1241" s="106"/>
      <c r="QGY1241" s="106"/>
      <c r="QGZ1241" s="106"/>
      <c r="QHA1241" s="106"/>
      <c r="QHB1241" s="106"/>
      <c r="QHC1241" s="106"/>
      <c r="QHD1241" s="106"/>
      <c r="QHE1241" s="106"/>
      <c r="QHF1241" s="106"/>
      <c r="QHG1241" s="106"/>
      <c r="QHH1241" s="106"/>
      <c r="QHI1241" s="106"/>
      <c r="QHJ1241" s="106"/>
      <c r="QHK1241" s="106"/>
      <c r="QHL1241" s="106"/>
      <c r="QHM1241" s="106"/>
      <c r="QHN1241" s="106"/>
      <c r="QHO1241" s="106"/>
      <c r="QHP1241" s="106"/>
      <c r="QHQ1241" s="106"/>
      <c r="QHR1241" s="106"/>
      <c r="QHS1241" s="106"/>
      <c r="QHT1241" s="106"/>
      <c r="QHU1241" s="106"/>
      <c r="QHV1241" s="106"/>
      <c r="QHW1241" s="106"/>
      <c r="QHX1241" s="106"/>
      <c r="QHY1241" s="106"/>
      <c r="QHZ1241" s="106"/>
      <c r="QIA1241" s="106"/>
      <c r="QIB1241" s="106"/>
      <c r="QIC1241" s="106"/>
      <c r="QID1241" s="106"/>
      <c r="QIE1241" s="106"/>
      <c r="QIF1241" s="106"/>
      <c r="QIG1241" s="106"/>
      <c r="QIH1241" s="106"/>
      <c r="QII1241" s="106"/>
      <c r="QIJ1241" s="106"/>
      <c r="QIK1241" s="106"/>
      <c r="QIL1241" s="106"/>
      <c r="QIM1241" s="106"/>
      <c r="QIN1241" s="106"/>
      <c r="QIO1241" s="106"/>
      <c r="QIP1241" s="106"/>
      <c r="QIQ1241" s="106"/>
      <c r="QIR1241" s="106"/>
      <c r="QIS1241" s="106"/>
      <c r="QIT1241" s="106"/>
      <c r="QIU1241" s="106"/>
      <c r="QIV1241" s="106"/>
      <c r="QIW1241" s="106"/>
      <c r="QIX1241" s="106"/>
      <c r="QIY1241" s="106"/>
      <c r="QIZ1241" s="106"/>
      <c r="QJA1241" s="106"/>
      <c r="QJB1241" s="106"/>
      <c r="QJC1241" s="106"/>
      <c r="QJD1241" s="106"/>
      <c r="QJE1241" s="106"/>
      <c r="QJF1241" s="106"/>
      <c r="QJG1241" s="106"/>
      <c r="QJH1241" s="106"/>
      <c r="QJI1241" s="106"/>
      <c r="QJJ1241" s="106"/>
      <c r="QJK1241" s="106"/>
      <c r="QJL1241" s="106"/>
      <c r="QJM1241" s="106"/>
      <c r="QJN1241" s="106"/>
      <c r="QJO1241" s="106"/>
      <c r="QJP1241" s="106"/>
      <c r="QJQ1241" s="106"/>
      <c r="QJR1241" s="106"/>
      <c r="QJS1241" s="106"/>
      <c r="QJT1241" s="106"/>
      <c r="QJU1241" s="106"/>
      <c r="QJV1241" s="106"/>
      <c r="QJW1241" s="106"/>
      <c r="QJX1241" s="106"/>
      <c r="QJY1241" s="106"/>
      <c r="QJZ1241" s="106"/>
      <c r="QKA1241" s="106"/>
      <c r="QKB1241" s="106"/>
      <c r="QKC1241" s="106"/>
      <c r="QKD1241" s="106"/>
      <c r="QKE1241" s="106"/>
      <c r="QKF1241" s="106"/>
      <c r="QKG1241" s="106"/>
      <c r="QKH1241" s="106"/>
      <c r="QKI1241" s="106"/>
      <c r="QKJ1241" s="106"/>
      <c r="QKK1241" s="106"/>
      <c r="QKL1241" s="106"/>
      <c r="QKM1241" s="106"/>
      <c r="QKN1241" s="106"/>
      <c r="QKO1241" s="106"/>
      <c r="QKP1241" s="106"/>
      <c r="QKQ1241" s="106"/>
      <c r="QKR1241" s="106"/>
      <c r="QKS1241" s="106"/>
      <c r="QKT1241" s="106"/>
      <c r="QKU1241" s="106"/>
      <c r="QKV1241" s="106"/>
      <c r="QKW1241" s="106"/>
      <c r="QKX1241" s="106"/>
      <c r="QKY1241" s="106"/>
      <c r="QKZ1241" s="106"/>
      <c r="QLA1241" s="106"/>
      <c r="QLB1241" s="106"/>
      <c r="QLC1241" s="106"/>
      <c r="QLD1241" s="106"/>
      <c r="QLE1241" s="106"/>
      <c r="QLF1241" s="106"/>
      <c r="QLG1241" s="106"/>
      <c r="QLH1241" s="106"/>
      <c r="QLI1241" s="106"/>
      <c r="QLJ1241" s="106"/>
      <c r="QLK1241" s="106"/>
      <c r="QLL1241" s="106"/>
      <c r="QLM1241" s="106"/>
      <c r="QLN1241" s="106"/>
      <c r="QLO1241" s="106"/>
      <c r="QLP1241" s="106"/>
      <c r="QLQ1241" s="106"/>
      <c r="QLR1241" s="106"/>
      <c r="QLS1241" s="106"/>
      <c r="QLT1241" s="106"/>
      <c r="QLU1241" s="106"/>
      <c r="QLV1241" s="106"/>
      <c r="QLW1241" s="106"/>
      <c r="QLX1241" s="106"/>
      <c r="QLY1241" s="106"/>
      <c r="QLZ1241" s="106"/>
      <c r="QMA1241" s="106"/>
      <c r="QMB1241" s="106"/>
      <c r="QMC1241" s="106"/>
      <c r="QMD1241" s="106"/>
      <c r="QME1241" s="106"/>
      <c r="QMF1241" s="106"/>
      <c r="QMG1241" s="106"/>
      <c r="QMH1241" s="106"/>
      <c r="QMI1241" s="106"/>
      <c r="QMJ1241" s="106"/>
      <c r="QMK1241" s="106"/>
      <c r="QML1241" s="106"/>
      <c r="QMM1241" s="106"/>
      <c r="QMN1241" s="106"/>
      <c r="QMO1241" s="106"/>
      <c r="QMP1241" s="106"/>
      <c r="QMQ1241" s="106"/>
      <c r="QMR1241" s="106"/>
      <c r="QMS1241" s="106"/>
      <c r="QMT1241" s="106"/>
      <c r="QMU1241" s="106"/>
      <c r="QMV1241" s="106"/>
      <c r="QMW1241" s="106"/>
      <c r="QMX1241" s="106"/>
      <c r="QMY1241" s="106"/>
      <c r="QMZ1241" s="106"/>
      <c r="QNA1241" s="106"/>
      <c r="QNB1241" s="106"/>
      <c r="QNC1241" s="106"/>
      <c r="QND1241" s="106"/>
      <c r="QNE1241" s="106"/>
      <c r="QNF1241" s="106"/>
      <c r="QNG1241" s="106"/>
      <c r="QNH1241" s="106"/>
      <c r="QNI1241" s="106"/>
      <c r="QNJ1241" s="106"/>
      <c r="QNK1241" s="106"/>
      <c r="QNL1241" s="106"/>
      <c r="QNM1241" s="106"/>
      <c r="QNN1241" s="106"/>
      <c r="QNO1241" s="106"/>
      <c r="QNP1241" s="106"/>
      <c r="QNQ1241" s="106"/>
      <c r="QNR1241" s="106"/>
      <c r="QNS1241" s="106"/>
      <c r="QNT1241" s="106"/>
      <c r="QNU1241" s="106"/>
      <c r="QNV1241" s="106"/>
      <c r="QNW1241" s="106"/>
      <c r="QNX1241" s="106"/>
      <c r="QNY1241" s="106"/>
      <c r="QNZ1241" s="106"/>
      <c r="QOA1241" s="106"/>
      <c r="QOB1241" s="106"/>
      <c r="QOC1241" s="106"/>
      <c r="QOD1241" s="106"/>
      <c r="QOE1241" s="106"/>
      <c r="QOF1241" s="106"/>
      <c r="QOG1241" s="106"/>
      <c r="QOH1241" s="106"/>
      <c r="QOI1241" s="106"/>
      <c r="QOJ1241" s="106"/>
      <c r="QOK1241" s="106"/>
      <c r="QOL1241" s="106"/>
      <c r="QOM1241" s="106"/>
      <c r="QON1241" s="106"/>
      <c r="QOO1241" s="106"/>
      <c r="QOP1241" s="106"/>
      <c r="QOQ1241" s="106"/>
      <c r="QOR1241" s="106"/>
      <c r="QOS1241" s="106"/>
      <c r="QOT1241" s="106"/>
      <c r="QOU1241" s="106"/>
      <c r="QOV1241" s="106"/>
      <c r="QOW1241" s="106"/>
      <c r="QOX1241" s="106"/>
      <c r="QOY1241" s="106"/>
      <c r="QOZ1241" s="106"/>
      <c r="QPA1241" s="106"/>
      <c r="QPB1241" s="106"/>
      <c r="QPC1241" s="106"/>
      <c r="QPD1241" s="106"/>
      <c r="QPE1241" s="106"/>
      <c r="QPF1241" s="106"/>
      <c r="QPG1241" s="106"/>
      <c r="QPH1241" s="106"/>
      <c r="QPI1241" s="106"/>
      <c r="QPJ1241" s="106"/>
      <c r="QPK1241" s="106"/>
      <c r="QPL1241" s="106"/>
      <c r="QPM1241" s="106"/>
      <c r="QPN1241" s="106"/>
      <c r="QPO1241" s="106"/>
      <c r="QPP1241" s="106"/>
      <c r="QPQ1241" s="106"/>
      <c r="QPR1241" s="106"/>
      <c r="QPS1241" s="106"/>
      <c r="QPT1241" s="106"/>
      <c r="QPU1241" s="106"/>
      <c r="QPV1241" s="106"/>
      <c r="QPW1241" s="106"/>
      <c r="QPX1241" s="106"/>
      <c r="QPY1241" s="106"/>
      <c r="QPZ1241" s="106"/>
      <c r="QQA1241" s="106"/>
      <c r="QQB1241" s="106"/>
      <c r="QQC1241" s="106"/>
      <c r="QQD1241" s="106"/>
      <c r="QQE1241" s="106"/>
      <c r="QQF1241" s="106"/>
      <c r="QQG1241" s="106"/>
      <c r="QQH1241" s="106"/>
      <c r="QQI1241" s="106"/>
      <c r="QQJ1241" s="106"/>
      <c r="QQK1241" s="106"/>
      <c r="QQL1241" s="106"/>
      <c r="QQM1241" s="106"/>
      <c r="QQN1241" s="106"/>
      <c r="QQO1241" s="106"/>
      <c r="QQP1241" s="106"/>
      <c r="QQQ1241" s="106"/>
      <c r="QQR1241" s="106"/>
      <c r="QQS1241" s="106"/>
      <c r="QQT1241" s="106"/>
      <c r="QQU1241" s="106"/>
      <c r="QQV1241" s="106"/>
      <c r="QQW1241" s="106"/>
      <c r="QQX1241" s="106"/>
      <c r="QQY1241" s="106"/>
      <c r="QQZ1241" s="106"/>
      <c r="QRA1241" s="106"/>
      <c r="QRB1241" s="106"/>
      <c r="QRC1241" s="106"/>
      <c r="QRD1241" s="106"/>
      <c r="QRE1241" s="106"/>
      <c r="QRF1241" s="106"/>
      <c r="QRG1241" s="106"/>
      <c r="QRH1241" s="106"/>
      <c r="QRI1241" s="106"/>
      <c r="QRJ1241" s="106"/>
      <c r="QRK1241" s="106"/>
      <c r="QRL1241" s="106"/>
      <c r="QRM1241" s="106"/>
      <c r="QRN1241" s="106"/>
      <c r="QRO1241" s="106"/>
      <c r="QRP1241" s="106"/>
      <c r="QRQ1241" s="106"/>
      <c r="QRR1241" s="106"/>
      <c r="QRS1241" s="106"/>
      <c r="QRT1241" s="106"/>
      <c r="QRU1241" s="106"/>
      <c r="QRV1241" s="106"/>
      <c r="QRW1241" s="106"/>
      <c r="QRX1241" s="106"/>
      <c r="QRY1241" s="106"/>
      <c r="QRZ1241" s="106"/>
      <c r="QSA1241" s="106"/>
      <c r="QSB1241" s="106"/>
      <c r="QSC1241" s="106"/>
      <c r="QSD1241" s="106"/>
      <c r="QSE1241" s="106"/>
      <c r="QSF1241" s="106"/>
      <c r="QSG1241" s="106"/>
      <c r="QSH1241" s="106"/>
      <c r="QSI1241" s="106"/>
      <c r="QSJ1241" s="106"/>
      <c r="QSK1241" s="106"/>
      <c r="QSL1241" s="106"/>
      <c r="QSM1241" s="106"/>
      <c r="QSN1241" s="106"/>
      <c r="QSO1241" s="106"/>
      <c r="QSP1241" s="106"/>
      <c r="QSQ1241" s="106"/>
      <c r="QSR1241" s="106"/>
      <c r="QSS1241" s="106"/>
      <c r="QST1241" s="106"/>
      <c r="QSU1241" s="106"/>
      <c r="QSV1241" s="106"/>
      <c r="QSW1241" s="106"/>
      <c r="QSX1241" s="106"/>
      <c r="QSY1241" s="106"/>
      <c r="QSZ1241" s="106"/>
      <c r="QTA1241" s="106"/>
      <c r="QTB1241" s="106"/>
      <c r="QTC1241" s="106"/>
      <c r="QTD1241" s="106"/>
      <c r="QTE1241" s="106"/>
      <c r="QTF1241" s="106"/>
      <c r="QTG1241" s="106"/>
      <c r="QTH1241" s="106"/>
      <c r="QTI1241" s="106"/>
      <c r="QTJ1241" s="106"/>
      <c r="QTK1241" s="106"/>
      <c r="QTL1241" s="106"/>
      <c r="QTM1241" s="106"/>
      <c r="QTN1241" s="106"/>
      <c r="QTO1241" s="106"/>
      <c r="QTP1241" s="106"/>
      <c r="QTQ1241" s="106"/>
      <c r="QTR1241" s="106"/>
      <c r="QTS1241" s="106"/>
      <c r="QTT1241" s="106"/>
      <c r="QTU1241" s="106"/>
      <c r="QTV1241" s="106"/>
      <c r="QTW1241" s="106"/>
      <c r="QTX1241" s="106"/>
      <c r="QTY1241" s="106"/>
      <c r="QTZ1241" s="106"/>
      <c r="QUA1241" s="106"/>
      <c r="QUB1241" s="106"/>
      <c r="QUC1241" s="106"/>
      <c r="QUD1241" s="106"/>
      <c r="QUE1241" s="106"/>
      <c r="QUF1241" s="106"/>
      <c r="QUG1241" s="106"/>
      <c r="QUH1241" s="106"/>
      <c r="QUI1241" s="106"/>
      <c r="QUJ1241" s="106"/>
      <c r="QUK1241" s="106"/>
      <c r="QUL1241" s="106"/>
      <c r="QUM1241" s="106"/>
      <c r="QUN1241" s="106"/>
      <c r="QUO1241" s="106"/>
      <c r="QUP1241" s="106"/>
      <c r="QUQ1241" s="106"/>
      <c r="QUR1241" s="106"/>
      <c r="QUS1241" s="106"/>
      <c r="QUT1241" s="106"/>
      <c r="QUU1241" s="106"/>
      <c r="QUV1241" s="106"/>
      <c r="QUW1241" s="106"/>
      <c r="QUX1241" s="106"/>
      <c r="QUY1241" s="106"/>
      <c r="QUZ1241" s="106"/>
      <c r="QVA1241" s="106"/>
      <c r="QVB1241" s="106"/>
      <c r="QVC1241" s="106"/>
      <c r="QVD1241" s="106"/>
      <c r="QVE1241" s="106"/>
      <c r="QVF1241" s="106"/>
      <c r="QVG1241" s="106"/>
      <c r="QVH1241" s="106"/>
      <c r="QVI1241" s="106"/>
      <c r="QVJ1241" s="106"/>
      <c r="QVK1241" s="106"/>
      <c r="QVL1241" s="106"/>
      <c r="QVM1241" s="106"/>
      <c r="QVN1241" s="106"/>
      <c r="QVO1241" s="106"/>
      <c r="QVP1241" s="106"/>
      <c r="QVQ1241" s="106"/>
      <c r="QVR1241" s="106"/>
      <c r="QVS1241" s="106"/>
      <c r="QVT1241" s="106"/>
      <c r="QVU1241" s="106"/>
      <c r="QVV1241" s="106"/>
      <c r="QVW1241" s="106"/>
      <c r="QVX1241" s="106"/>
      <c r="QVY1241" s="106"/>
      <c r="QVZ1241" s="106"/>
      <c r="QWA1241" s="106"/>
      <c r="QWB1241" s="106"/>
      <c r="QWC1241" s="106"/>
      <c r="QWD1241" s="106"/>
      <c r="QWE1241" s="106"/>
      <c r="QWF1241" s="106"/>
      <c r="QWG1241" s="106"/>
      <c r="QWH1241" s="106"/>
      <c r="QWI1241" s="106"/>
      <c r="QWJ1241" s="106"/>
      <c r="QWK1241" s="106"/>
      <c r="QWL1241" s="106"/>
      <c r="QWM1241" s="106"/>
      <c r="QWN1241" s="106"/>
      <c r="QWO1241" s="106"/>
      <c r="QWP1241" s="106"/>
      <c r="QWQ1241" s="106"/>
      <c r="QWR1241" s="106"/>
      <c r="QWS1241" s="106"/>
      <c r="QWT1241" s="106"/>
      <c r="QWU1241" s="106"/>
      <c r="QWV1241" s="106"/>
      <c r="QWW1241" s="106"/>
      <c r="QWX1241" s="106"/>
      <c r="QWY1241" s="106"/>
      <c r="QWZ1241" s="106"/>
      <c r="QXA1241" s="106"/>
      <c r="QXB1241" s="106"/>
      <c r="QXC1241" s="106"/>
      <c r="QXD1241" s="106"/>
      <c r="QXE1241" s="106"/>
      <c r="QXF1241" s="106"/>
      <c r="QXG1241" s="106"/>
      <c r="QXH1241" s="106"/>
      <c r="QXI1241" s="106"/>
      <c r="QXJ1241" s="106"/>
      <c r="QXK1241" s="106"/>
      <c r="QXL1241" s="106"/>
      <c r="QXM1241" s="106"/>
      <c r="QXN1241" s="106"/>
      <c r="QXO1241" s="106"/>
      <c r="QXP1241" s="106"/>
      <c r="QXQ1241" s="106"/>
      <c r="QXR1241" s="106"/>
      <c r="QXS1241" s="106"/>
      <c r="QXT1241" s="106"/>
      <c r="QXU1241" s="106"/>
      <c r="QXV1241" s="106"/>
      <c r="QXW1241" s="106"/>
      <c r="QXX1241" s="106"/>
      <c r="QXY1241" s="106"/>
      <c r="QXZ1241" s="106"/>
      <c r="QYA1241" s="106"/>
      <c r="QYB1241" s="106"/>
      <c r="QYC1241" s="106"/>
      <c r="QYD1241" s="106"/>
      <c r="QYE1241" s="106"/>
      <c r="QYF1241" s="106"/>
      <c r="QYG1241" s="106"/>
      <c r="QYH1241" s="106"/>
      <c r="QYI1241" s="106"/>
      <c r="QYJ1241" s="106"/>
      <c r="QYK1241" s="106"/>
      <c r="QYL1241" s="106"/>
      <c r="QYM1241" s="106"/>
      <c r="QYN1241" s="106"/>
      <c r="QYO1241" s="106"/>
      <c r="QYP1241" s="106"/>
      <c r="QYQ1241" s="106"/>
      <c r="QYR1241" s="106"/>
      <c r="QYS1241" s="106"/>
      <c r="QYT1241" s="106"/>
      <c r="QYU1241" s="106"/>
      <c r="QYV1241" s="106"/>
      <c r="QYW1241" s="106"/>
      <c r="QYX1241" s="106"/>
      <c r="QYY1241" s="106"/>
      <c r="QYZ1241" s="106"/>
      <c r="QZA1241" s="106"/>
      <c r="QZB1241" s="106"/>
      <c r="QZC1241" s="106"/>
      <c r="QZD1241" s="106"/>
      <c r="QZE1241" s="106"/>
      <c r="QZF1241" s="106"/>
      <c r="QZG1241" s="106"/>
      <c r="QZH1241" s="106"/>
      <c r="QZI1241" s="106"/>
      <c r="QZJ1241" s="106"/>
      <c r="QZK1241" s="106"/>
      <c r="QZL1241" s="106"/>
      <c r="QZM1241" s="106"/>
      <c r="QZN1241" s="106"/>
      <c r="QZO1241" s="106"/>
      <c r="QZP1241" s="106"/>
      <c r="QZQ1241" s="106"/>
      <c r="QZR1241" s="106"/>
      <c r="QZS1241" s="106"/>
      <c r="QZT1241" s="106"/>
      <c r="QZU1241" s="106"/>
      <c r="QZV1241" s="106"/>
      <c r="QZW1241" s="106"/>
      <c r="QZX1241" s="106"/>
      <c r="QZY1241" s="106"/>
      <c r="QZZ1241" s="106"/>
      <c r="RAA1241" s="106"/>
      <c r="RAB1241" s="106"/>
      <c r="RAC1241" s="106"/>
      <c r="RAD1241" s="106"/>
      <c r="RAE1241" s="106"/>
      <c r="RAF1241" s="106"/>
      <c r="RAG1241" s="106"/>
      <c r="RAH1241" s="106"/>
      <c r="RAI1241" s="106"/>
      <c r="RAJ1241" s="106"/>
      <c r="RAK1241" s="106"/>
      <c r="RAL1241" s="106"/>
      <c r="RAM1241" s="106"/>
      <c r="RAN1241" s="106"/>
      <c r="RAO1241" s="106"/>
      <c r="RAP1241" s="106"/>
      <c r="RAQ1241" s="106"/>
      <c r="RAR1241" s="106"/>
      <c r="RAS1241" s="106"/>
      <c r="RAT1241" s="106"/>
      <c r="RAU1241" s="106"/>
      <c r="RAV1241" s="106"/>
      <c r="RAW1241" s="106"/>
      <c r="RAX1241" s="106"/>
      <c r="RAY1241" s="106"/>
      <c r="RAZ1241" s="106"/>
      <c r="RBA1241" s="106"/>
      <c r="RBB1241" s="106"/>
      <c r="RBC1241" s="106"/>
      <c r="RBD1241" s="106"/>
      <c r="RBE1241" s="106"/>
      <c r="RBF1241" s="106"/>
      <c r="RBG1241" s="106"/>
      <c r="RBH1241" s="106"/>
      <c r="RBI1241" s="106"/>
      <c r="RBJ1241" s="106"/>
      <c r="RBK1241" s="106"/>
      <c r="RBL1241" s="106"/>
      <c r="RBM1241" s="106"/>
      <c r="RBN1241" s="106"/>
      <c r="RBO1241" s="106"/>
      <c r="RBP1241" s="106"/>
      <c r="RBQ1241" s="106"/>
      <c r="RBR1241" s="106"/>
      <c r="RBS1241" s="106"/>
      <c r="RBT1241" s="106"/>
      <c r="RBU1241" s="106"/>
      <c r="RBV1241" s="106"/>
      <c r="RBW1241" s="106"/>
      <c r="RBX1241" s="106"/>
      <c r="RBY1241" s="106"/>
      <c r="RBZ1241" s="106"/>
      <c r="RCA1241" s="106"/>
      <c r="RCB1241" s="106"/>
      <c r="RCC1241" s="106"/>
      <c r="RCD1241" s="106"/>
      <c r="RCE1241" s="106"/>
      <c r="RCF1241" s="106"/>
      <c r="RCG1241" s="106"/>
      <c r="RCH1241" s="106"/>
      <c r="RCI1241" s="106"/>
      <c r="RCJ1241" s="106"/>
      <c r="RCK1241" s="106"/>
      <c r="RCL1241" s="106"/>
      <c r="RCM1241" s="106"/>
      <c r="RCN1241" s="106"/>
      <c r="RCO1241" s="106"/>
      <c r="RCP1241" s="106"/>
      <c r="RCQ1241" s="106"/>
      <c r="RCR1241" s="106"/>
      <c r="RCS1241" s="106"/>
      <c r="RCT1241" s="106"/>
      <c r="RCU1241" s="106"/>
      <c r="RCV1241" s="106"/>
      <c r="RCW1241" s="106"/>
      <c r="RCX1241" s="106"/>
      <c r="RCY1241" s="106"/>
      <c r="RCZ1241" s="106"/>
      <c r="RDA1241" s="106"/>
      <c r="RDB1241" s="106"/>
      <c r="RDC1241" s="106"/>
      <c r="RDD1241" s="106"/>
      <c r="RDE1241" s="106"/>
      <c r="RDF1241" s="106"/>
      <c r="RDG1241" s="106"/>
      <c r="RDH1241" s="106"/>
      <c r="RDI1241" s="106"/>
      <c r="RDJ1241" s="106"/>
      <c r="RDK1241" s="106"/>
      <c r="RDL1241" s="106"/>
      <c r="RDM1241" s="106"/>
      <c r="RDN1241" s="106"/>
      <c r="RDO1241" s="106"/>
      <c r="RDP1241" s="106"/>
      <c r="RDQ1241" s="106"/>
      <c r="RDR1241" s="106"/>
      <c r="RDS1241" s="106"/>
      <c r="RDT1241" s="106"/>
      <c r="RDU1241" s="106"/>
      <c r="RDV1241" s="106"/>
      <c r="RDW1241" s="106"/>
      <c r="RDX1241" s="106"/>
      <c r="RDY1241" s="106"/>
      <c r="RDZ1241" s="106"/>
      <c r="REA1241" s="106"/>
      <c r="REB1241" s="106"/>
      <c r="REC1241" s="106"/>
      <c r="RED1241" s="106"/>
      <c r="REE1241" s="106"/>
      <c r="REF1241" s="106"/>
      <c r="REG1241" s="106"/>
      <c r="REH1241" s="106"/>
      <c r="REI1241" s="106"/>
      <c r="REJ1241" s="106"/>
      <c r="REK1241" s="106"/>
      <c r="REL1241" s="106"/>
      <c r="REM1241" s="106"/>
      <c r="REN1241" s="106"/>
      <c r="REO1241" s="106"/>
      <c r="REP1241" s="106"/>
      <c r="REQ1241" s="106"/>
      <c r="RER1241" s="106"/>
      <c r="RES1241" s="106"/>
      <c r="RET1241" s="106"/>
      <c r="REU1241" s="106"/>
      <c r="REV1241" s="106"/>
      <c r="REW1241" s="106"/>
      <c r="REX1241" s="106"/>
      <c r="REY1241" s="106"/>
      <c r="REZ1241" s="106"/>
      <c r="RFA1241" s="106"/>
      <c r="RFB1241" s="106"/>
      <c r="RFC1241" s="106"/>
      <c r="RFD1241" s="106"/>
      <c r="RFE1241" s="106"/>
      <c r="RFF1241" s="106"/>
      <c r="RFG1241" s="106"/>
      <c r="RFH1241" s="106"/>
      <c r="RFI1241" s="106"/>
      <c r="RFJ1241" s="106"/>
      <c r="RFK1241" s="106"/>
      <c r="RFL1241" s="106"/>
      <c r="RFM1241" s="106"/>
      <c r="RFN1241" s="106"/>
      <c r="RFO1241" s="106"/>
      <c r="RFP1241" s="106"/>
      <c r="RFQ1241" s="106"/>
      <c r="RFR1241" s="106"/>
      <c r="RFS1241" s="106"/>
      <c r="RFT1241" s="106"/>
      <c r="RFU1241" s="106"/>
      <c r="RFV1241" s="106"/>
      <c r="RFW1241" s="106"/>
      <c r="RFX1241" s="106"/>
      <c r="RFY1241" s="106"/>
      <c r="RFZ1241" s="106"/>
      <c r="RGA1241" s="106"/>
      <c r="RGB1241" s="106"/>
      <c r="RGC1241" s="106"/>
      <c r="RGD1241" s="106"/>
      <c r="RGE1241" s="106"/>
      <c r="RGF1241" s="106"/>
      <c r="RGG1241" s="106"/>
      <c r="RGH1241" s="106"/>
      <c r="RGI1241" s="106"/>
      <c r="RGJ1241" s="106"/>
      <c r="RGK1241" s="106"/>
      <c r="RGL1241" s="106"/>
      <c r="RGM1241" s="106"/>
      <c r="RGN1241" s="106"/>
      <c r="RGO1241" s="106"/>
      <c r="RGP1241" s="106"/>
      <c r="RGQ1241" s="106"/>
      <c r="RGR1241" s="106"/>
      <c r="RGS1241" s="106"/>
      <c r="RGT1241" s="106"/>
      <c r="RGU1241" s="106"/>
      <c r="RGV1241" s="106"/>
      <c r="RGW1241" s="106"/>
      <c r="RGX1241" s="106"/>
      <c r="RGY1241" s="106"/>
      <c r="RGZ1241" s="106"/>
      <c r="RHA1241" s="106"/>
      <c r="RHB1241" s="106"/>
      <c r="RHC1241" s="106"/>
      <c r="RHD1241" s="106"/>
      <c r="RHE1241" s="106"/>
      <c r="RHF1241" s="106"/>
      <c r="RHG1241" s="106"/>
      <c r="RHH1241" s="106"/>
      <c r="RHI1241" s="106"/>
      <c r="RHJ1241" s="106"/>
      <c r="RHK1241" s="106"/>
      <c r="RHL1241" s="106"/>
      <c r="RHM1241" s="106"/>
      <c r="RHN1241" s="106"/>
      <c r="RHO1241" s="106"/>
      <c r="RHP1241" s="106"/>
      <c r="RHQ1241" s="106"/>
      <c r="RHR1241" s="106"/>
      <c r="RHS1241" s="106"/>
      <c r="RHT1241" s="106"/>
      <c r="RHU1241" s="106"/>
      <c r="RHV1241" s="106"/>
      <c r="RHW1241" s="106"/>
      <c r="RHX1241" s="106"/>
      <c r="RHY1241" s="106"/>
      <c r="RHZ1241" s="106"/>
      <c r="RIA1241" s="106"/>
      <c r="RIB1241" s="106"/>
      <c r="RIC1241" s="106"/>
      <c r="RID1241" s="106"/>
      <c r="RIE1241" s="106"/>
      <c r="RIF1241" s="106"/>
      <c r="RIG1241" s="106"/>
      <c r="RIH1241" s="106"/>
      <c r="RII1241" s="106"/>
      <c r="RIJ1241" s="106"/>
      <c r="RIK1241" s="106"/>
      <c r="RIL1241" s="106"/>
      <c r="RIM1241" s="106"/>
      <c r="RIN1241" s="106"/>
      <c r="RIO1241" s="106"/>
      <c r="RIP1241" s="106"/>
      <c r="RIQ1241" s="106"/>
      <c r="RIR1241" s="106"/>
      <c r="RIS1241" s="106"/>
      <c r="RIT1241" s="106"/>
      <c r="RIU1241" s="106"/>
      <c r="RIV1241" s="106"/>
      <c r="RIW1241" s="106"/>
      <c r="RIX1241" s="106"/>
      <c r="RIY1241" s="106"/>
      <c r="RIZ1241" s="106"/>
      <c r="RJA1241" s="106"/>
      <c r="RJB1241" s="106"/>
      <c r="RJC1241" s="106"/>
      <c r="RJD1241" s="106"/>
      <c r="RJE1241" s="106"/>
      <c r="RJF1241" s="106"/>
      <c r="RJG1241" s="106"/>
      <c r="RJH1241" s="106"/>
      <c r="RJI1241" s="106"/>
      <c r="RJJ1241" s="106"/>
      <c r="RJK1241" s="106"/>
      <c r="RJL1241" s="106"/>
      <c r="RJM1241" s="106"/>
      <c r="RJN1241" s="106"/>
      <c r="RJO1241" s="106"/>
      <c r="RJP1241" s="106"/>
      <c r="RJQ1241" s="106"/>
      <c r="RJR1241" s="106"/>
      <c r="RJS1241" s="106"/>
      <c r="RJT1241" s="106"/>
      <c r="RJU1241" s="106"/>
      <c r="RJV1241" s="106"/>
      <c r="RJW1241" s="106"/>
      <c r="RJX1241" s="106"/>
      <c r="RJY1241" s="106"/>
      <c r="RJZ1241" s="106"/>
      <c r="RKA1241" s="106"/>
      <c r="RKB1241" s="106"/>
      <c r="RKC1241" s="106"/>
      <c r="RKD1241" s="106"/>
      <c r="RKE1241" s="106"/>
      <c r="RKF1241" s="106"/>
      <c r="RKG1241" s="106"/>
      <c r="RKH1241" s="106"/>
      <c r="RKI1241" s="106"/>
      <c r="RKJ1241" s="106"/>
      <c r="RKK1241" s="106"/>
      <c r="RKL1241" s="106"/>
      <c r="RKM1241" s="106"/>
      <c r="RKN1241" s="106"/>
      <c r="RKO1241" s="106"/>
      <c r="RKP1241" s="106"/>
      <c r="RKQ1241" s="106"/>
      <c r="RKR1241" s="106"/>
      <c r="RKS1241" s="106"/>
      <c r="RKT1241" s="106"/>
      <c r="RKU1241" s="106"/>
      <c r="RKV1241" s="106"/>
      <c r="RKW1241" s="106"/>
      <c r="RKX1241" s="106"/>
      <c r="RKY1241" s="106"/>
      <c r="RKZ1241" s="106"/>
      <c r="RLA1241" s="106"/>
      <c r="RLB1241" s="106"/>
      <c r="RLC1241" s="106"/>
      <c r="RLD1241" s="106"/>
      <c r="RLE1241" s="106"/>
      <c r="RLF1241" s="106"/>
      <c r="RLG1241" s="106"/>
      <c r="RLH1241" s="106"/>
      <c r="RLI1241" s="106"/>
      <c r="RLJ1241" s="106"/>
      <c r="RLK1241" s="106"/>
      <c r="RLL1241" s="106"/>
      <c r="RLM1241" s="106"/>
      <c r="RLN1241" s="106"/>
      <c r="RLO1241" s="106"/>
      <c r="RLP1241" s="106"/>
      <c r="RLQ1241" s="106"/>
      <c r="RLR1241" s="106"/>
      <c r="RLS1241" s="106"/>
      <c r="RLT1241" s="106"/>
      <c r="RLU1241" s="106"/>
      <c r="RLV1241" s="106"/>
      <c r="RLW1241" s="106"/>
      <c r="RLX1241" s="106"/>
      <c r="RLY1241" s="106"/>
      <c r="RLZ1241" s="106"/>
      <c r="RMA1241" s="106"/>
      <c r="RMB1241" s="106"/>
      <c r="RMC1241" s="106"/>
      <c r="RMD1241" s="106"/>
      <c r="RME1241" s="106"/>
      <c r="RMF1241" s="106"/>
      <c r="RMG1241" s="106"/>
      <c r="RMH1241" s="106"/>
      <c r="RMI1241" s="106"/>
      <c r="RMJ1241" s="106"/>
      <c r="RMK1241" s="106"/>
      <c r="RML1241" s="106"/>
      <c r="RMM1241" s="106"/>
      <c r="RMN1241" s="106"/>
      <c r="RMO1241" s="106"/>
      <c r="RMP1241" s="106"/>
      <c r="RMQ1241" s="106"/>
      <c r="RMR1241" s="106"/>
      <c r="RMS1241" s="106"/>
      <c r="RMT1241" s="106"/>
      <c r="RMU1241" s="106"/>
      <c r="RMV1241" s="106"/>
      <c r="RMW1241" s="106"/>
      <c r="RMX1241" s="106"/>
      <c r="RMY1241" s="106"/>
      <c r="RMZ1241" s="106"/>
      <c r="RNA1241" s="106"/>
      <c r="RNB1241" s="106"/>
      <c r="RNC1241" s="106"/>
      <c r="RND1241" s="106"/>
      <c r="RNE1241" s="106"/>
      <c r="RNF1241" s="106"/>
      <c r="RNG1241" s="106"/>
      <c r="RNH1241" s="106"/>
      <c r="RNI1241" s="106"/>
      <c r="RNJ1241" s="106"/>
      <c r="RNK1241" s="106"/>
      <c r="RNL1241" s="106"/>
      <c r="RNM1241" s="106"/>
      <c r="RNN1241" s="106"/>
      <c r="RNO1241" s="106"/>
      <c r="RNP1241" s="106"/>
      <c r="RNQ1241" s="106"/>
      <c r="RNR1241" s="106"/>
      <c r="RNS1241" s="106"/>
      <c r="RNT1241" s="106"/>
      <c r="RNU1241" s="106"/>
      <c r="RNV1241" s="106"/>
      <c r="RNW1241" s="106"/>
      <c r="RNX1241" s="106"/>
      <c r="RNY1241" s="106"/>
      <c r="RNZ1241" s="106"/>
      <c r="ROA1241" s="106"/>
      <c r="ROB1241" s="106"/>
      <c r="ROC1241" s="106"/>
      <c r="ROD1241" s="106"/>
      <c r="ROE1241" s="106"/>
      <c r="ROF1241" s="106"/>
      <c r="ROG1241" s="106"/>
      <c r="ROH1241" s="106"/>
      <c r="ROI1241" s="106"/>
      <c r="ROJ1241" s="106"/>
      <c r="ROK1241" s="106"/>
      <c r="ROL1241" s="106"/>
      <c r="ROM1241" s="106"/>
      <c r="RON1241" s="106"/>
      <c r="ROO1241" s="106"/>
      <c r="ROP1241" s="106"/>
      <c r="ROQ1241" s="106"/>
      <c r="ROR1241" s="106"/>
      <c r="ROS1241" s="106"/>
      <c r="ROT1241" s="106"/>
      <c r="ROU1241" s="106"/>
      <c r="ROV1241" s="106"/>
      <c r="ROW1241" s="106"/>
      <c r="ROX1241" s="106"/>
      <c r="ROY1241" s="106"/>
      <c r="ROZ1241" s="106"/>
      <c r="RPA1241" s="106"/>
      <c r="RPB1241" s="106"/>
      <c r="RPC1241" s="106"/>
      <c r="RPD1241" s="106"/>
      <c r="RPE1241" s="106"/>
      <c r="RPF1241" s="106"/>
      <c r="RPG1241" s="106"/>
      <c r="RPH1241" s="106"/>
      <c r="RPI1241" s="106"/>
      <c r="RPJ1241" s="106"/>
      <c r="RPK1241" s="106"/>
      <c r="RPL1241" s="106"/>
      <c r="RPM1241" s="106"/>
      <c r="RPN1241" s="106"/>
      <c r="RPO1241" s="106"/>
      <c r="RPP1241" s="106"/>
      <c r="RPQ1241" s="106"/>
      <c r="RPR1241" s="106"/>
      <c r="RPS1241" s="106"/>
      <c r="RPT1241" s="106"/>
      <c r="RPU1241" s="106"/>
      <c r="RPV1241" s="106"/>
      <c r="RPW1241" s="106"/>
      <c r="RPX1241" s="106"/>
      <c r="RPY1241" s="106"/>
      <c r="RPZ1241" s="106"/>
      <c r="RQA1241" s="106"/>
      <c r="RQB1241" s="106"/>
      <c r="RQC1241" s="106"/>
      <c r="RQD1241" s="106"/>
      <c r="RQE1241" s="106"/>
      <c r="RQF1241" s="106"/>
      <c r="RQG1241" s="106"/>
      <c r="RQH1241" s="106"/>
      <c r="RQI1241" s="106"/>
      <c r="RQJ1241" s="106"/>
      <c r="RQK1241" s="106"/>
      <c r="RQL1241" s="106"/>
      <c r="RQM1241" s="106"/>
      <c r="RQN1241" s="106"/>
      <c r="RQO1241" s="106"/>
      <c r="RQP1241" s="106"/>
      <c r="RQQ1241" s="106"/>
      <c r="RQR1241" s="106"/>
      <c r="RQS1241" s="106"/>
      <c r="RQT1241" s="106"/>
      <c r="RQU1241" s="106"/>
      <c r="RQV1241" s="106"/>
      <c r="RQW1241" s="106"/>
      <c r="RQX1241" s="106"/>
      <c r="RQY1241" s="106"/>
      <c r="RQZ1241" s="106"/>
      <c r="RRA1241" s="106"/>
      <c r="RRB1241" s="106"/>
      <c r="RRC1241" s="106"/>
      <c r="RRD1241" s="106"/>
      <c r="RRE1241" s="106"/>
      <c r="RRF1241" s="106"/>
      <c r="RRG1241" s="106"/>
      <c r="RRH1241" s="106"/>
      <c r="RRI1241" s="106"/>
      <c r="RRJ1241" s="106"/>
      <c r="RRK1241" s="106"/>
      <c r="RRL1241" s="106"/>
      <c r="RRM1241" s="106"/>
      <c r="RRN1241" s="106"/>
      <c r="RRO1241" s="106"/>
      <c r="RRP1241" s="106"/>
      <c r="RRQ1241" s="106"/>
      <c r="RRR1241" s="106"/>
      <c r="RRS1241" s="106"/>
      <c r="RRT1241" s="106"/>
      <c r="RRU1241" s="106"/>
      <c r="RRV1241" s="106"/>
      <c r="RRW1241" s="106"/>
      <c r="RRX1241" s="106"/>
      <c r="RRY1241" s="106"/>
      <c r="RRZ1241" s="106"/>
      <c r="RSA1241" s="106"/>
      <c r="RSB1241" s="106"/>
      <c r="RSC1241" s="106"/>
      <c r="RSD1241" s="106"/>
      <c r="RSE1241" s="106"/>
      <c r="RSF1241" s="106"/>
      <c r="RSG1241" s="106"/>
      <c r="RSH1241" s="106"/>
      <c r="RSI1241" s="106"/>
      <c r="RSJ1241" s="106"/>
      <c r="RSK1241" s="106"/>
      <c r="RSL1241" s="106"/>
      <c r="RSM1241" s="106"/>
      <c r="RSN1241" s="106"/>
      <c r="RSO1241" s="106"/>
      <c r="RSP1241" s="106"/>
      <c r="RSQ1241" s="106"/>
      <c r="RSR1241" s="106"/>
      <c r="RSS1241" s="106"/>
      <c r="RST1241" s="106"/>
      <c r="RSU1241" s="106"/>
      <c r="RSV1241" s="106"/>
      <c r="RSW1241" s="106"/>
      <c r="RSX1241" s="106"/>
      <c r="RSY1241" s="106"/>
      <c r="RSZ1241" s="106"/>
      <c r="RTA1241" s="106"/>
      <c r="RTB1241" s="106"/>
      <c r="RTC1241" s="106"/>
      <c r="RTD1241" s="106"/>
      <c r="RTE1241" s="106"/>
      <c r="RTF1241" s="106"/>
      <c r="RTG1241" s="106"/>
      <c r="RTH1241" s="106"/>
      <c r="RTI1241" s="106"/>
      <c r="RTJ1241" s="106"/>
      <c r="RTK1241" s="106"/>
      <c r="RTL1241" s="106"/>
      <c r="RTM1241" s="106"/>
      <c r="RTN1241" s="106"/>
      <c r="RTO1241" s="106"/>
      <c r="RTP1241" s="106"/>
      <c r="RTQ1241" s="106"/>
      <c r="RTR1241" s="106"/>
      <c r="RTS1241" s="106"/>
      <c r="RTT1241" s="106"/>
      <c r="RTU1241" s="106"/>
      <c r="RTV1241" s="106"/>
      <c r="RTW1241" s="106"/>
      <c r="RTX1241" s="106"/>
      <c r="RTY1241" s="106"/>
      <c r="RTZ1241" s="106"/>
      <c r="RUA1241" s="106"/>
      <c r="RUB1241" s="106"/>
      <c r="RUC1241" s="106"/>
      <c r="RUD1241" s="106"/>
      <c r="RUE1241" s="106"/>
      <c r="RUF1241" s="106"/>
      <c r="RUG1241" s="106"/>
      <c r="RUH1241" s="106"/>
      <c r="RUI1241" s="106"/>
      <c r="RUJ1241" s="106"/>
      <c r="RUK1241" s="106"/>
      <c r="RUL1241" s="106"/>
      <c r="RUM1241" s="106"/>
      <c r="RUN1241" s="106"/>
      <c r="RUO1241" s="106"/>
      <c r="RUP1241" s="106"/>
      <c r="RUQ1241" s="106"/>
      <c r="RUR1241" s="106"/>
      <c r="RUS1241" s="106"/>
      <c r="RUT1241" s="106"/>
      <c r="RUU1241" s="106"/>
      <c r="RUV1241" s="106"/>
      <c r="RUW1241" s="106"/>
      <c r="RUX1241" s="106"/>
      <c r="RUY1241" s="106"/>
      <c r="RUZ1241" s="106"/>
      <c r="RVA1241" s="106"/>
      <c r="RVB1241" s="106"/>
      <c r="RVC1241" s="106"/>
      <c r="RVD1241" s="106"/>
      <c r="RVE1241" s="106"/>
      <c r="RVF1241" s="106"/>
      <c r="RVG1241" s="106"/>
      <c r="RVH1241" s="106"/>
      <c r="RVI1241" s="106"/>
      <c r="RVJ1241" s="106"/>
      <c r="RVK1241" s="106"/>
      <c r="RVL1241" s="106"/>
      <c r="RVM1241" s="106"/>
      <c r="RVN1241" s="106"/>
      <c r="RVO1241" s="106"/>
      <c r="RVP1241" s="106"/>
      <c r="RVQ1241" s="106"/>
      <c r="RVR1241" s="106"/>
      <c r="RVS1241" s="106"/>
      <c r="RVT1241" s="106"/>
      <c r="RVU1241" s="106"/>
      <c r="RVV1241" s="106"/>
      <c r="RVW1241" s="106"/>
      <c r="RVX1241" s="106"/>
      <c r="RVY1241" s="106"/>
      <c r="RVZ1241" s="106"/>
      <c r="RWA1241" s="106"/>
      <c r="RWB1241" s="106"/>
      <c r="RWC1241" s="106"/>
      <c r="RWD1241" s="106"/>
      <c r="RWE1241" s="106"/>
      <c r="RWF1241" s="106"/>
      <c r="RWG1241" s="106"/>
      <c r="RWH1241" s="106"/>
      <c r="RWI1241" s="106"/>
      <c r="RWJ1241" s="106"/>
      <c r="RWK1241" s="106"/>
      <c r="RWL1241" s="106"/>
      <c r="RWM1241" s="106"/>
      <c r="RWN1241" s="106"/>
      <c r="RWO1241" s="106"/>
      <c r="RWP1241" s="106"/>
      <c r="RWQ1241" s="106"/>
      <c r="RWR1241" s="106"/>
      <c r="RWS1241" s="106"/>
      <c r="RWT1241" s="106"/>
      <c r="RWU1241" s="106"/>
      <c r="RWV1241" s="106"/>
      <c r="RWW1241" s="106"/>
      <c r="RWX1241" s="106"/>
      <c r="RWY1241" s="106"/>
      <c r="RWZ1241" s="106"/>
      <c r="RXA1241" s="106"/>
      <c r="RXB1241" s="106"/>
      <c r="RXC1241" s="106"/>
      <c r="RXD1241" s="106"/>
      <c r="RXE1241" s="106"/>
      <c r="RXF1241" s="106"/>
      <c r="RXG1241" s="106"/>
      <c r="RXH1241" s="106"/>
      <c r="RXI1241" s="106"/>
      <c r="RXJ1241" s="106"/>
      <c r="RXK1241" s="106"/>
      <c r="RXL1241" s="106"/>
      <c r="RXM1241" s="106"/>
      <c r="RXN1241" s="106"/>
      <c r="RXO1241" s="106"/>
      <c r="RXP1241" s="106"/>
      <c r="RXQ1241" s="106"/>
      <c r="RXR1241" s="106"/>
      <c r="RXS1241" s="106"/>
      <c r="RXT1241" s="106"/>
      <c r="RXU1241" s="106"/>
      <c r="RXV1241" s="106"/>
      <c r="RXW1241" s="106"/>
      <c r="RXX1241" s="106"/>
      <c r="RXY1241" s="106"/>
      <c r="RXZ1241" s="106"/>
      <c r="RYA1241" s="106"/>
      <c r="RYB1241" s="106"/>
      <c r="RYC1241" s="106"/>
      <c r="RYD1241" s="106"/>
      <c r="RYE1241" s="106"/>
      <c r="RYF1241" s="106"/>
      <c r="RYG1241" s="106"/>
      <c r="RYH1241" s="106"/>
      <c r="RYI1241" s="106"/>
      <c r="RYJ1241" s="106"/>
      <c r="RYK1241" s="106"/>
      <c r="RYL1241" s="106"/>
      <c r="RYM1241" s="106"/>
      <c r="RYN1241" s="106"/>
      <c r="RYO1241" s="106"/>
      <c r="RYP1241" s="106"/>
      <c r="RYQ1241" s="106"/>
      <c r="RYR1241" s="106"/>
      <c r="RYS1241" s="106"/>
      <c r="RYT1241" s="106"/>
      <c r="RYU1241" s="106"/>
      <c r="RYV1241" s="106"/>
      <c r="RYW1241" s="106"/>
      <c r="RYX1241" s="106"/>
      <c r="RYY1241" s="106"/>
      <c r="RYZ1241" s="106"/>
      <c r="RZA1241" s="106"/>
      <c r="RZB1241" s="106"/>
      <c r="RZC1241" s="106"/>
      <c r="RZD1241" s="106"/>
      <c r="RZE1241" s="106"/>
      <c r="RZF1241" s="106"/>
      <c r="RZG1241" s="106"/>
      <c r="RZH1241" s="106"/>
      <c r="RZI1241" s="106"/>
      <c r="RZJ1241" s="106"/>
      <c r="RZK1241" s="106"/>
      <c r="RZL1241" s="106"/>
      <c r="RZM1241" s="106"/>
      <c r="RZN1241" s="106"/>
      <c r="RZO1241" s="106"/>
      <c r="RZP1241" s="106"/>
      <c r="RZQ1241" s="106"/>
      <c r="RZR1241" s="106"/>
      <c r="RZS1241" s="106"/>
      <c r="RZT1241" s="106"/>
      <c r="RZU1241" s="106"/>
      <c r="RZV1241" s="106"/>
      <c r="RZW1241" s="106"/>
      <c r="RZX1241" s="106"/>
      <c r="RZY1241" s="106"/>
      <c r="RZZ1241" s="106"/>
      <c r="SAA1241" s="106"/>
      <c r="SAB1241" s="106"/>
      <c r="SAC1241" s="106"/>
      <c r="SAD1241" s="106"/>
      <c r="SAE1241" s="106"/>
      <c r="SAF1241" s="106"/>
      <c r="SAG1241" s="106"/>
      <c r="SAH1241" s="106"/>
      <c r="SAI1241" s="106"/>
      <c r="SAJ1241" s="106"/>
      <c r="SAK1241" s="106"/>
      <c r="SAL1241" s="106"/>
      <c r="SAM1241" s="106"/>
      <c r="SAN1241" s="106"/>
      <c r="SAO1241" s="106"/>
      <c r="SAP1241" s="106"/>
      <c r="SAQ1241" s="106"/>
      <c r="SAR1241" s="106"/>
      <c r="SAS1241" s="106"/>
      <c r="SAT1241" s="106"/>
      <c r="SAU1241" s="106"/>
      <c r="SAV1241" s="106"/>
      <c r="SAW1241" s="106"/>
      <c r="SAX1241" s="106"/>
      <c r="SAY1241" s="106"/>
      <c r="SAZ1241" s="106"/>
      <c r="SBA1241" s="106"/>
      <c r="SBB1241" s="106"/>
      <c r="SBC1241" s="106"/>
      <c r="SBD1241" s="106"/>
      <c r="SBE1241" s="106"/>
      <c r="SBF1241" s="106"/>
      <c r="SBG1241" s="106"/>
      <c r="SBH1241" s="106"/>
      <c r="SBI1241" s="106"/>
      <c r="SBJ1241" s="106"/>
      <c r="SBK1241" s="106"/>
      <c r="SBL1241" s="106"/>
      <c r="SBM1241" s="106"/>
      <c r="SBN1241" s="106"/>
      <c r="SBO1241" s="106"/>
      <c r="SBP1241" s="106"/>
      <c r="SBQ1241" s="106"/>
      <c r="SBR1241" s="106"/>
      <c r="SBS1241" s="106"/>
      <c r="SBT1241" s="106"/>
      <c r="SBU1241" s="106"/>
      <c r="SBV1241" s="106"/>
      <c r="SBW1241" s="106"/>
      <c r="SBX1241" s="106"/>
      <c r="SBY1241" s="106"/>
      <c r="SBZ1241" s="106"/>
      <c r="SCA1241" s="106"/>
      <c r="SCB1241" s="106"/>
      <c r="SCC1241" s="106"/>
      <c r="SCD1241" s="106"/>
      <c r="SCE1241" s="106"/>
      <c r="SCF1241" s="106"/>
      <c r="SCG1241" s="106"/>
      <c r="SCH1241" s="106"/>
      <c r="SCI1241" s="106"/>
      <c r="SCJ1241" s="106"/>
      <c r="SCK1241" s="106"/>
      <c r="SCL1241" s="106"/>
      <c r="SCM1241" s="106"/>
      <c r="SCN1241" s="106"/>
      <c r="SCO1241" s="106"/>
      <c r="SCP1241" s="106"/>
      <c r="SCQ1241" s="106"/>
      <c r="SCR1241" s="106"/>
      <c r="SCS1241" s="106"/>
      <c r="SCT1241" s="106"/>
      <c r="SCU1241" s="106"/>
      <c r="SCV1241" s="106"/>
      <c r="SCW1241" s="106"/>
      <c r="SCX1241" s="106"/>
      <c r="SCY1241" s="106"/>
      <c r="SCZ1241" s="106"/>
      <c r="SDA1241" s="106"/>
      <c r="SDB1241" s="106"/>
      <c r="SDC1241" s="106"/>
      <c r="SDD1241" s="106"/>
      <c r="SDE1241" s="106"/>
      <c r="SDF1241" s="106"/>
      <c r="SDG1241" s="106"/>
      <c r="SDH1241" s="106"/>
      <c r="SDI1241" s="106"/>
      <c r="SDJ1241" s="106"/>
      <c r="SDK1241" s="106"/>
      <c r="SDL1241" s="106"/>
      <c r="SDM1241" s="106"/>
      <c r="SDN1241" s="106"/>
      <c r="SDO1241" s="106"/>
      <c r="SDP1241" s="106"/>
      <c r="SDQ1241" s="106"/>
      <c r="SDR1241" s="106"/>
      <c r="SDS1241" s="106"/>
      <c r="SDT1241" s="106"/>
      <c r="SDU1241" s="106"/>
      <c r="SDV1241" s="106"/>
      <c r="SDW1241" s="106"/>
      <c r="SDX1241" s="106"/>
      <c r="SDY1241" s="106"/>
      <c r="SDZ1241" s="106"/>
      <c r="SEA1241" s="106"/>
      <c r="SEB1241" s="106"/>
      <c r="SEC1241" s="106"/>
      <c r="SED1241" s="106"/>
      <c r="SEE1241" s="106"/>
      <c r="SEF1241" s="106"/>
      <c r="SEG1241" s="106"/>
      <c r="SEH1241" s="106"/>
      <c r="SEI1241" s="106"/>
      <c r="SEJ1241" s="106"/>
      <c r="SEK1241" s="106"/>
      <c r="SEL1241" s="106"/>
      <c r="SEM1241" s="106"/>
      <c r="SEN1241" s="106"/>
      <c r="SEO1241" s="106"/>
      <c r="SEP1241" s="106"/>
      <c r="SEQ1241" s="106"/>
      <c r="SER1241" s="106"/>
      <c r="SES1241" s="106"/>
      <c r="SET1241" s="106"/>
      <c r="SEU1241" s="106"/>
      <c r="SEV1241" s="106"/>
      <c r="SEW1241" s="106"/>
      <c r="SEX1241" s="106"/>
      <c r="SEY1241" s="106"/>
      <c r="SEZ1241" s="106"/>
      <c r="SFA1241" s="106"/>
      <c r="SFB1241" s="106"/>
      <c r="SFC1241" s="106"/>
      <c r="SFD1241" s="106"/>
      <c r="SFE1241" s="106"/>
      <c r="SFF1241" s="106"/>
      <c r="SFG1241" s="106"/>
      <c r="SFH1241" s="106"/>
      <c r="SFI1241" s="106"/>
      <c r="SFJ1241" s="106"/>
      <c r="SFK1241" s="106"/>
      <c r="SFL1241" s="106"/>
      <c r="SFM1241" s="106"/>
      <c r="SFN1241" s="106"/>
      <c r="SFO1241" s="106"/>
      <c r="SFP1241" s="106"/>
      <c r="SFQ1241" s="106"/>
      <c r="SFR1241" s="106"/>
      <c r="SFS1241" s="106"/>
      <c r="SFT1241" s="106"/>
      <c r="SFU1241" s="106"/>
      <c r="SFV1241" s="106"/>
      <c r="SFW1241" s="106"/>
      <c r="SFX1241" s="106"/>
      <c r="SFY1241" s="106"/>
      <c r="SFZ1241" s="106"/>
      <c r="SGA1241" s="106"/>
      <c r="SGB1241" s="106"/>
      <c r="SGC1241" s="106"/>
      <c r="SGD1241" s="106"/>
      <c r="SGE1241" s="106"/>
      <c r="SGF1241" s="106"/>
      <c r="SGG1241" s="106"/>
      <c r="SGH1241" s="106"/>
      <c r="SGI1241" s="106"/>
      <c r="SGJ1241" s="106"/>
      <c r="SGK1241" s="106"/>
      <c r="SGL1241" s="106"/>
      <c r="SGM1241" s="106"/>
      <c r="SGN1241" s="106"/>
      <c r="SGO1241" s="106"/>
      <c r="SGP1241" s="106"/>
      <c r="SGQ1241" s="106"/>
      <c r="SGR1241" s="106"/>
      <c r="SGS1241" s="106"/>
      <c r="SGT1241" s="106"/>
      <c r="SGU1241" s="106"/>
      <c r="SGV1241" s="106"/>
      <c r="SGW1241" s="106"/>
      <c r="SGX1241" s="106"/>
      <c r="SGY1241" s="106"/>
      <c r="SGZ1241" s="106"/>
      <c r="SHA1241" s="106"/>
      <c r="SHB1241" s="106"/>
      <c r="SHC1241" s="106"/>
      <c r="SHD1241" s="106"/>
      <c r="SHE1241" s="106"/>
      <c r="SHF1241" s="106"/>
      <c r="SHG1241" s="106"/>
      <c r="SHH1241" s="106"/>
      <c r="SHI1241" s="106"/>
      <c r="SHJ1241" s="106"/>
      <c r="SHK1241" s="106"/>
      <c r="SHL1241" s="106"/>
      <c r="SHM1241" s="106"/>
      <c r="SHN1241" s="106"/>
      <c r="SHO1241" s="106"/>
      <c r="SHP1241" s="106"/>
      <c r="SHQ1241" s="106"/>
      <c r="SHR1241" s="106"/>
      <c r="SHS1241" s="106"/>
      <c r="SHT1241" s="106"/>
      <c r="SHU1241" s="106"/>
      <c r="SHV1241" s="106"/>
      <c r="SHW1241" s="106"/>
      <c r="SHX1241" s="106"/>
      <c r="SHY1241" s="106"/>
      <c r="SHZ1241" s="106"/>
      <c r="SIA1241" s="106"/>
      <c r="SIB1241" s="106"/>
      <c r="SIC1241" s="106"/>
      <c r="SID1241" s="106"/>
      <c r="SIE1241" s="106"/>
      <c r="SIF1241" s="106"/>
      <c r="SIG1241" s="106"/>
      <c r="SIH1241" s="106"/>
      <c r="SII1241" s="106"/>
      <c r="SIJ1241" s="106"/>
      <c r="SIK1241" s="106"/>
      <c r="SIL1241" s="106"/>
      <c r="SIM1241" s="106"/>
      <c r="SIN1241" s="106"/>
      <c r="SIO1241" s="106"/>
      <c r="SIP1241" s="106"/>
      <c r="SIQ1241" s="106"/>
      <c r="SIR1241" s="106"/>
      <c r="SIS1241" s="106"/>
      <c r="SIT1241" s="106"/>
      <c r="SIU1241" s="106"/>
      <c r="SIV1241" s="106"/>
      <c r="SIW1241" s="106"/>
      <c r="SIX1241" s="106"/>
      <c r="SIY1241" s="106"/>
      <c r="SIZ1241" s="106"/>
      <c r="SJA1241" s="106"/>
      <c r="SJB1241" s="106"/>
      <c r="SJC1241" s="106"/>
      <c r="SJD1241" s="106"/>
      <c r="SJE1241" s="106"/>
      <c r="SJF1241" s="106"/>
      <c r="SJG1241" s="106"/>
      <c r="SJH1241" s="106"/>
      <c r="SJI1241" s="106"/>
      <c r="SJJ1241" s="106"/>
      <c r="SJK1241" s="106"/>
      <c r="SJL1241" s="106"/>
      <c r="SJM1241" s="106"/>
      <c r="SJN1241" s="106"/>
      <c r="SJO1241" s="106"/>
      <c r="SJP1241" s="106"/>
      <c r="SJQ1241" s="106"/>
      <c r="SJR1241" s="106"/>
      <c r="SJS1241" s="106"/>
      <c r="SJT1241" s="106"/>
      <c r="SJU1241" s="106"/>
      <c r="SJV1241" s="106"/>
      <c r="SJW1241" s="106"/>
      <c r="SJX1241" s="106"/>
      <c r="SJY1241" s="106"/>
      <c r="SJZ1241" s="106"/>
      <c r="SKA1241" s="106"/>
      <c r="SKB1241" s="106"/>
      <c r="SKC1241" s="106"/>
      <c r="SKD1241" s="106"/>
      <c r="SKE1241" s="106"/>
      <c r="SKF1241" s="106"/>
      <c r="SKG1241" s="106"/>
      <c r="SKH1241" s="106"/>
      <c r="SKI1241" s="106"/>
      <c r="SKJ1241" s="106"/>
      <c r="SKK1241" s="106"/>
      <c r="SKL1241" s="106"/>
      <c r="SKM1241" s="106"/>
      <c r="SKN1241" s="106"/>
      <c r="SKO1241" s="106"/>
      <c r="SKP1241" s="106"/>
      <c r="SKQ1241" s="106"/>
      <c r="SKR1241" s="106"/>
      <c r="SKS1241" s="106"/>
      <c r="SKT1241" s="106"/>
      <c r="SKU1241" s="106"/>
      <c r="SKV1241" s="106"/>
      <c r="SKW1241" s="106"/>
      <c r="SKX1241" s="106"/>
      <c r="SKY1241" s="106"/>
      <c r="SKZ1241" s="106"/>
      <c r="SLA1241" s="106"/>
      <c r="SLB1241" s="106"/>
      <c r="SLC1241" s="106"/>
      <c r="SLD1241" s="106"/>
      <c r="SLE1241" s="106"/>
      <c r="SLF1241" s="106"/>
      <c r="SLG1241" s="106"/>
      <c r="SLH1241" s="106"/>
      <c r="SLI1241" s="106"/>
      <c r="SLJ1241" s="106"/>
      <c r="SLK1241" s="106"/>
      <c r="SLL1241" s="106"/>
      <c r="SLM1241" s="106"/>
      <c r="SLN1241" s="106"/>
      <c r="SLO1241" s="106"/>
      <c r="SLP1241" s="106"/>
      <c r="SLQ1241" s="106"/>
      <c r="SLR1241" s="106"/>
      <c r="SLS1241" s="106"/>
      <c r="SLT1241" s="106"/>
      <c r="SLU1241" s="106"/>
      <c r="SLV1241" s="106"/>
      <c r="SLW1241" s="106"/>
      <c r="SLX1241" s="106"/>
      <c r="SLY1241" s="106"/>
      <c r="SLZ1241" s="106"/>
      <c r="SMA1241" s="106"/>
      <c r="SMB1241" s="106"/>
      <c r="SMC1241" s="106"/>
      <c r="SMD1241" s="106"/>
      <c r="SME1241" s="106"/>
      <c r="SMF1241" s="106"/>
      <c r="SMG1241" s="106"/>
      <c r="SMH1241" s="106"/>
      <c r="SMI1241" s="106"/>
      <c r="SMJ1241" s="106"/>
      <c r="SMK1241" s="106"/>
      <c r="SML1241" s="106"/>
      <c r="SMM1241" s="106"/>
      <c r="SMN1241" s="106"/>
      <c r="SMO1241" s="106"/>
      <c r="SMP1241" s="106"/>
      <c r="SMQ1241" s="106"/>
      <c r="SMR1241" s="106"/>
      <c r="SMS1241" s="106"/>
      <c r="SMT1241" s="106"/>
      <c r="SMU1241" s="106"/>
      <c r="SMV1241" s="106"/>
      <c r="SMW1241" s="106"/>
      <c r="SMX1241" s="106"/>
      <c r="SMY1241" s="106"/>
      <c r="SMZ1241" s="106"/>
      <c r="SNA1241" s="106"/>
      <c r="SNB1241" s="106"/>
      <c r="SNC1241" s="106"/>
      <c r="SND1241" s="106"/>
      <c r="SNE1241" s="106"/>
      <c r="SNF1241" s="106"/>
      <c r="SNG1241" s="106"/>
      <c r="SNH1241" s="106"/>
      <c r="SNI1241" s="106"/>
      <c r="SNJ1241" s="106"/>
      <c r="SNK1241" s="106"/>
      <c r="SNL1241" s="106"/>
      <c r="SNM1241" s="106"/>
      <c r="SNN1241" s="106"/>
      <c r="SNO1241" s="106"/>
      <c r="SNP1241" s="106"/>
      <c r="SNQ1241" s="106"/>
      <c r="SNR1241" s="106"/>
      <c r="SNS1241" s="106"/>
      <c r="SNT1241" s="106"/>
      <c r="SNU1241" s="106"/>
      <c r="SNV1241" s="106"/>
      <c r="SNW1241" s="106"/>
      <c r="SNX1241" s="106"/>
      <c r="SNY1241" s="106"/>
      <c r="SNZ1241" s="106"/>
      <c r="SOA1241" s="106"/>
      <c r="SOB1241" s="106"/>
      <c r="SOC1241" s="106"/>
      <c r="SOD1241" s="106"/>
      <c r="SOE1241" s="106"/>
      <c r="SOF1241" s="106"/>
      <c r="SOG1241" s="106"/>
      <c r="SOH1241" s="106"/>
      <c r="SOI1241" s="106"/>
      <c r="SOJ1241" s="106"/>
      <c r="SOK1241" s="106"/>
      <c r="SOL1241" s="106"/>
      <c r="SOM1241" s="106"/>
      <c r="SON1241" s="106"/>
      <c r="SOO1241" s="106"/>
      <c r="SOP1241" s="106"/>
      <c r="SOQ1241" s="106"/>
      <c r="SOR1241" s="106"/>
      <c r="SOS1241" s="106"/>
      <c r="SOT1241" s="106"/>
      <c r="SOU1241" s="106"/>
      <c r="SOV1241" s="106"/>
      <c r="SOW1241" s="106"/>
      <c r="SOX1241" s="106"/>
      <c r="SOY1241" s="106"/>
      <c r="SOZ1241" s="106"/>
      <c r="SPA1241" s="106"/>
      <c r="SPB1241" s="106"/>
      <c r="SPC1241" s="106"/>
      <c r="SPD1241" s="106"/>
      <c r="SPE1241" s="106"/>
      <c r="SPF1241" s="106"/>
      <c r="SPG1241" s="106"/>
      <c r="SPH1241" s="106"/>
      <c r="SPI1241" s="106"/>
      <c r="SPJ1241" s="106"/>
      <c r="SPK1241" s="106"/>
      <c r="SPL1241" s="106"/>
      <c r="SPM1241" s="106"/>
      <c r="SPN1241" s="106"/>
      <c r="SPO1241" s="106"/>
      <c r="SPP1241" s="106"/>
      <c r="SPQ1241" s="106"/>
      <c r="SPR1241" s="106"/>
      <c r="SPS1241" s="106"/>
      <c r="SPT1241" s="106"/>
      <c r="SPU1241" s="106"/>
      <c r="SPV1241" s="106"/>
      <c r="SPW1241" s="106"/>
      <c r="SPX1241" s="106"/>
      <c r="SPY1241" s="106"/>
      <c r="SPZ1241" s="106"/>
      <c r="SQA1241" s="106"/>
      <c r="SQB1241" s="106"/>
      <c r="SQC1241" s="106"/>
      <c r="SQD1241" s="106"/>
      <c r="SQE1241" s="106"/>
      <c r="SQF1241" s="106"/>
      <c r="SQG1241" s="106"/>
      <c r="SQH1241" s="106"/>
      <c r="SQI1241" s="106"/>
      <c r="SQJ1241" s="106"/>
      <c r="SQK1241" s="106"/>
      <c r="SQL1241" s="106"/>
      <c r="SQM1241" s="106"/>
      <c r="SQN1241" s="106"/>
      <c r="SQO1241" s="106"/>
      <c r="SQP1241" s="106"/>
      <c r="SQQ1241" s="106"/>
      <c r="SQR1241" s="106"/>
      <c r="SQS1241" s="106"/>
      <c r="SQT1241" s="106"/>
      <c r="SQU1241" s="106"/>
      <c r="SQV1241" s="106"/>
      <c r="SQW1241" s="106"/>
      <c r="SQX1241" s="106"/>
      <c r="SQY1241" s="106"/>
      <c r="SQZ1241" s="106"/>
      <c r="SRA1241" s="106"/>
      <c r="SRB1241" s="106"/>
      <c r="SRC1241" s="106"/>
      <c r="SRD1241" s="106"/>
      <c r="SRE1241" s="106"/>
      <c r="SRF1241" s="106"/>
      <c r="SRG1241" s="106"/>
      <c r="SRH1241" s="106"/>
      <c r="SRI1241" s="106"/>
      <c r="SRJ1241" s="106"/>
      <c r="SRK1241" s="106"/>
      <c r="SRL1241" s="106"/>
      <c r="SRM1241" s="106"/>
      <c r="SRN1241" s="106"/>
      <c r="SRO1241" s="106"/>
      <c r="SRP1241" s="106"/>
      <c r="SRQ1241" s="106"/>
      <c r="SRR1241" s="106"/>
      <c r="SRS1241" s="106"/>
      <c r="SRT1241" s="106"/>
      <c r="SRU1241" s="106"/>
      <c r="SRV1241" s="106"/>
      <c r="SRW1241" s="106"/>
      <c r="SRX1241" s="106"/>
      <c r="SRY1241" s="106"/>
      <c r="SRZ1241" s="106"/>
      <c r="SSA1241" s="106"/>
      <c r="SSB1241" s="106"/>
      <c r="SSC1241" s="106"/>
      <c r="SSD1241" s="106"/>
      <c r="SSE1241" s="106"/>
      <c r="SSF1241" s="106"/>
      <c r="SSG1241" s="106"/>
      <c r="SSH1241" s="106"/>
      <c r="SSI1241" s="106"/>
      <c r="SSJ1241" s="106"/>
      <c r="SSK1241" s="106"/>
      <c r="SSL1241" s="106"/>
      <c r="SSM1241" s="106"/>
      <c r="SSN1241" s="106"/>
      <c r="SSO1241" s="106"/>
      <c r="SSP1241" s="106"/>
      <c r="SSQ1241" s="106"/>
      <c r="SSR1241" s="106"/>
      <c r="SSS1241" s="106"/>
      <c r="SST1241" s="106"/>
      <c r="SSU1241" s="106"/>
      <c r="SSV1241" s="106"/>
      <c r="SSW1241" s="106"/>
      <c r="SSX1241" s="106"/>
      <c r="SSY1241" s="106"/>
      <c r="SSZ1241" s="106"/>
      <c r="STA1241" s="106"/>
      <c r="STB1241" s="106"/>
      <c r="STC1241" s="106"/>
      <c r="STD1241" s="106"/>
      <c r="STE1241" s="106"/>
      <c r="STF1241" s="106"/>
      <c r="STG1241" s="106"/>
      <c r="STH1241" s="106"/>
      <c r="STI1241" s="106"/>
      <c r="STJ1241" s="106"/>
      <c r="STK1241" s="106"/>
      <c r="STL1241" s="106"/>
      <c r="STM1241" s="106"/>
      <c r="STN1241" s="106"/>
      <c r="STO1241" s="106"/>
      <c r="STP1241" s="106"/>
      <c r="STQ1241" s="106"/>
      <c r="STR1241" s="106"/>
      <c r="STS1241" s="106"/>
      <c r="STT1241" s="106"/>
      <c r="STU1241" s="106"/>
      <c r="STV1241" s="106"/>
      <c r="STW1241" s="106"/>
      <c r="STX1241" s="106"/>
      <c r="STY1241" s="106"/>
      <c r="STZ1241" s="106"/>
      <c r="SUA1241" s="106"/>
      <c r="SUB1241" s="106"/>
      <c r="SUC1241" s="106"/>
      <c r="SUD1241" s="106"/>
      <c r="SUE1241" s="106"/>
      <c r="SUF1241" s="106"/>
      <c r="SUG1241" s="106"/>
      <c r="SUH1241" s="106"/>
      <c r="SUI1241" s="106"/>
      <c r="SUJ1241" s="106"/>
      <c r="SUK1241" s="106"/>
      <c r="SUL1241" s="106"/>
      <c r="SUM1241" s="106"/>
      <c r="SUN1241" s="106"/>
      <c r="SUO1241" s="106"/>
      <c r="SUP1241" s="106"/>
      <c r="SUQ1241" s="106"/>
      <c r="SUR1241" s="106"/>
      <c r="SUS1241" s="106"/>
      <c r="SUT1241" s="106"/>
      <c r="SUU1241" s="106"/>
      <c r="SUV1241" s="106"/>
      <c r="SUW1241" s="106"/>
      <c r="SUX1241" s="106"/>
      <c r="SUY1241" s="106"/>
      <c r="SUZ1241" s="106"/>
      <c r="SVA1241" s="106"/>
      <c r="SVB1241" s="106"/>
      <c r="SVC1241" s="106"/>
      <c r="SVD1241" s="106"/>
      <c r="SVE1241" s="106"/>
      <c r="SVF1241" s="106"/>
      <c r="SVG1241" s="106"/>
      <c r="SVH1241" s="106"/>
      <c r="SVI1241" s="106"/>
      <c r="SVJ1241" s="106"/>
      <c r="SVK1241" s="106"/>
      <c r="SVL1241" s="106"/>
      <c r="SVM1241" s="106"/>
      <c r="SVN1241" s="106"/>
      <c r="SVO1241" s="106"/>
      <c r="SVP1241" s="106"/>
      <c r="SVQ1241" s="106"/>
      <c r="SVR1241" s="106"/>
      <c r="SVS1241" s="106"/>
      <c r="SVT1241" s="106"/>
      <c r="SVU1241" s="106"/>
      <c r="SVV1241" s="106"/>
      <c r="SVW1241" s="106"/>
      <c r="SVX1241" s="106"/>
      <c r="SVY1241" s="106"/>
      <c r="SVZ1241" s="106"/>
      <c r="SWA1241" s="106"/>
      <c r="SWB1241" s="106"/>
      <c r="SWC1241" s="106"/>
      <c r="SWD1241" s="106"/>
      <c r="SWE1241" s="106"/>
      <c r="SWF1241" s="106"/>
      <c r="SWG1241" s="106"/>
      <c r="SWH1241" s="106"/>
      <c r="SWI1241" s="106"/>
      <c r="SWJ1241" s="106"/>
      <c r="SWK1241" s="106"/>
      <c r="SWL1241" s="106"/>
      <c r="SWM1241" s="106"/>
      <c r="SWN1241" s="106"/>
      <c r="SWO1241" s="106"/>
      <c r="SWP1241" s="106"/>
      <c r="SWQ1241" s="106"/>
      <c r="SWR1241" s="106"/>
      <c r="SWS1241" s="106"/>
      <c r="SWT1241" s="106"/>
      <c r="SWU1241" s="106"/>
      <c r="SWV1241" s="106"/>
      <c r="SWW1241" s="106"/>
      <c r="SWX1241" s="106"/>
      <c r="SWY1241" s="106"/>
      <c r="SWZ1241" s="106"/>
      <c r="SXA1241" s="106"/>
      <c r="SXB1241" s="106"/>
      <c r="SXC1241" s="106"/>
      <c r="SXD1241" s="106"/>
      <c r="SXE1241" s="106"/>
      <c r="SXF1241" s="106"/>
      <c r="SXG1241" s="106"/>
      <c r="SXH1241" s="106"/>
      <c r="SXI1241" s="106"/>
      <c r="SXJ1241" s="106"/>
      <c r="SXK1241" s="106"/>
      <c r="SXL1241" s="106"/>
      <c r="SXM1241" s="106"/>
      <c r="SXN1241" s="106"/>
      <c r="SXO1241" s="106"/>
      <c r="SXP1241" s="106"/>
      <c r="SXQ1241" s="106"/>
      <c r="SXR1241" s="106"/>
      <c r="SXS1241" s="106"/>
      <c r="SXT1241" s="106"/>
      <c r="SXU1241" s="106"/>
      <c r="SXV1241" s="106"/>
      <c r="SXW1241" s="106"/>
      <c r="SXX1241" s="106"/>
      <c r="SXY1241" s="106"/>
      <c r="SXZ1241" s="106"/>
      <c r="SYA1241" s="106"/>
      <c r="SYB1241" s="106"/>
      <c r="SYC1241" s="106"/>
      <c r="SYD1241" s="106"/>
      <c r="SYE1241" s="106"/>
      <c r="SYF1241" s="106"/>
      <c r="SYG1241" s="106"/>
      <c r="SYH1241" s="106"/>
      <c r="SYI1241" s="106"/>
      <c r="SYJ1241" s="106"/>
      <c r="SYK1241" s="106"/>
      <c r="SYL1241" s="106"/>
      <c r="SYM1241" s="106"/>
      <c r="SYN1241" s="106"/>
      <c r="SYO1241" s="106"/>
      <c r="SYP1241" s="106"/>
      <c r="SYQ1241" s="106"/>
      <c r="SYR1241" s="106"/>
      <c r="SYS1241" s="106"/>
      <c r="SYT1241" s="106"/>
      <c r="SYU1241" s="106"/>
      <c r="SYV1241" s="106"/>
      <c r="SYW1241" s="106"/>
      <c r="SYX1241" s="106"/>
      <c r="SYY1241" s="106"/>
      <c r="SYZ1241" s="106"/>
      <c r="SZA1241" s="106"/>
      <c r="SZB1241" s="106"/>
      <c r="SZC1241" s="106"/>
      <c r="SZD1241" s="106"/>
      <c r="SZE1241" s="106"/>
      <c r="SZF1241" s="106"/>
      <c r="SZG1241" s="106"/>
      <c r="SZH1241" s="106"/>
      <c r="SZI1241" s="106"/>
      <c r="SZJ1241" s="106"/>
      <c r="SZK1241" s="106"/>
      <c r="SZL1241" s="106"/>
      <c r="SZM1241" s="106"/>
      <c r="SZN1241" s="106"/>
      <c r="SZO1241" s="106"/>
      <c r="SZP1241" s="106"/>
      <c r="SZQ1241" s="106"/>
      <c r="SZR1241" s="106"/>
      <c r="SZS1241" s="106"/>
      <c r="SZT1241" s="106"/>
      <c r="SZU1241" s="106"/>
      <c r="SZV1241" s="106"/>
      <c r="SZW1241" s="106"/>
      <c r="SZX1241" s="106"/>
      <c r="SZY1241" s="106"/>
      <c r="SZZ1241" s="106"/>
      <c r="TAA1241" s="106"/>
      <c r="TAB1241" s="106"/>
      <c r="TAC1241" s="106"/>
      <c r="TAD1241" s="106"/>
      <c r="TAE1241" s="106"/>
      <c r="TAF1241" s="106"/>
      <c r="TAG1241" s="106"/>
      <c r="TAH1241" s="106"/>
      <c r="TAI1241" s="106"/>
      <c r="TAJ1241" s="106"/>
      <c r="TAK1241" s="106"/>
      <c r="TAL1241" s="106"/>
      <c r="TAM1241" s="106"/>
      <c r="TAN1241" s="106"/>
      <c r="TAO1241" s="106"/>
      <c r="TAP1241" s="106"/>
      <c r="TAQ1241" s="106"/>
      <c r="TAR1241" s="106"/>
      <c r="TAS1241" s="106"/>
      <c r="TAT1241" s="106"/>
      <c r="TAU1241" s="106"/>
      <c r="TAV1241" s="106"/>
      <c r="TAW1241" s="106"/>
      <c r="TAX1241" s="106"/>
      <c r="TAY1241" s="106"/>
      <c r="TAZ1241" s="106"/>
      <c r="TBA1241" s="106"/>
      <c r="TBB1241" s="106"/>
      <c r="TBC1241" s="106"/>
      <c r="TBD1241" s="106"/>
      <c r="TBE1241" s="106"/>
      <c r="TBF1241" s="106"/>
      <c r="TBG1241" s="106"/>
      <c r="TBH1241" s="106"/>
      <c r="TBI1241" s="106"/>
      <c r="TBJ1241" s="106"/>
      <c r="TBK1241" s="106"/>
      <c r="TBL1241" s="106"/>
      <c r="TBM1241" s="106"/>
      <c r="TBN1241" s="106"/>
      <c r="TBO1241" s="106"/>
      <c r="TBP1241" s="106"/>
      <c r="TBQ1241" s="106"/>
      <c r="TBR1241" s="106"/>
      <c r="TBS1241" s="106"/>
      <c r="TBT1241" s="106"/>
      <c r="TBU1241" s="106"/>
      <c r="TBV1241" s="106"/>
      <c r="TBW1241" s="106"/>
      <c r="TBX1241" s="106"/>
      <c r="TBY1241" s="106"/>
      <c r="TBZ1241" s="106"/>
      <c r="TCA1241" s="106"/>
      <c r="TCB1241" s="106"/>
      <c r="TCC1241" s="106"/>
      <c r="TCD1241" s="106"/>
      <c r="TCE1241" s="106"/>
      <c r="TCF1241" s="106"/>
      <c r="TCG1241" s="106"/>
      <c r="TCH1241" s="106"/>
      <c r="TCI1241" s="106"/>
      <c r="TCJ1241" s="106"/>
      <c r="TCK1241" s="106"/>
      <c r="TCL1241" s="106"/>
      <c r="TCM1241" s="106"/>
      <c r="TCN1241" s="106"/>
      <c r="TCO1241" s="106"/>
      <c r="TCP1241" s="106"/>
      <c r="TCQ1241" s="106"/>
      <c r="TCR1241" s="106"/>
      <c r="TCS1241" s="106"/>
      <c r="TCT1241" s="106"/>
      <c r="TCU1241" s="106"/>
      <c r="TCV1241" s="106"/>
      <c r="TCW1241" s="106"/>
      <c r="TCX1241" s="106"/>
      <c r="TCY1241" s="106"/>
      <c r="TCZ1241" s="106"/>
      <c r="TDA1241" s="106"/>
      <c r="TDB1241" s="106"/>
      <c r="TDC1241" s="106"/>
      <c r="TDD1241" s="106"/>
      <c r="TDE1241" s="106"/>
      <c r="TDF1241" s="106"/>
      <c r="TDG1241" s="106"/>
      <c r="TDH1241" s="106"/>
      <c r="TDI1241" s="106"/>
      <c r="TDJ1241" s="106"/>
      <c r="TDK1241" s="106"/>
      <c r="TDL1241" s="106"/>
      <c r="TDM1241" s="106"/>
      <c r="TDN1241" s="106"/>
      <c r="TDO1241" s="106"/>
      <c r="TDP1241" s="106"/>
      <c r="TDQ1241" s="106"/>
      <c r="TDR1241" s="106"/>
      <c r="TDS1241" s="106"/>
      <c r="TDT1241" s="106"/>
      <c r="TDU1241" s="106"/>
      <c r="TDV1241" s="106"/>
      <c r="TDW1241" s="106"/>
      <c r="TDX1241" s="106"/>
      <c r="TDY1241" s="106"/>
      <c r="TDZ1241" s="106"/>
      <c r="TEA1241" s="106"/>
      <c r="TEB1241" s="106"/>
      <c r="TEC1241" s="106"/>
      <c r="TED1241" s="106"/>
      <c r="TEE1241" s="106"/>
      <c r="TEF1241" s="106"/>
      <c r="TEG1241" s="106"/>
      <c r="TEH1241" s="106"/>
      <c r="TEI1241" s="106"/>
      <c r="TEJ1241" s="106"/>
      <c r="TEK1241" s="106"/>
      <c r="TEL1241" s="106"/>
      <c r="TEM1241" s="106"/>
      <c r="TEN1241" s="106"/>
      <c r="TEO1241" s="106"/>
      <c r="TEP1241" s="106"/>
      <c r="TEQ1241" s="106"/>
      <c r="TER1241" s="106"/>
      <c r="TES1241" s="106"/>
      <c r="TET1241" s="106"/>
      <c r="TEU1241" s="106"/>
      <c r="TEV1241" s="106"/>
      <c r="TEW1241" s="106"/>
      <c r="TEX1241" s="106"/>
      <c r="TEY1241" s="106"/>
      <c r="TEZ1241" s="106"/>
      <c r="TFA1241" s="106"/>
      <c r="TFB1241" s="106"/>
      <c r="TFC1241" s="106"/>
      <c r="TFD1241" s="106"/>
      <c r="TFE1241" s="106"/>
      <c r="TFF1241" s="106"/>
      <c r="TFG1241" s="106"/>
      <c r="TFH1241" s="106"/>
      <c r="TFI1241" s="106"/>
      <c r="TFJ1241" s="106"/>
      <c r="TFK1241" s="106"/>
      <c r="TFL1241" s="106"/>
      <c r="TFM1241" s="106"/>
      <c r="TFN1241" s="106"/>
      <c r="TFO1241" s="106"/>
      <c r="TFP1241" s="106"/>
      <c r="TFQ1241" s="106"/>
      <c r="TFR1241" s="106"/>
      <c r="TFS1241" s="106"/>
      <c r="TFT1241" s="106"/>
      <c r="TFU1241" s="106"/>
      <c r="TFV1241" s="106"/>
      <c r="TFW1241" s="106"/>
      <c r="TFX1241" s="106"/>
      <c r="TFY1241" s="106"/>
      <c r="TFZ1241" s="106"/>
      <c r="TGA1241" s="106"/>
      <c r="TGB1241" s="106"/>
      <c r="TGC1241" s="106"/>
      <c r="TGD1241" s="106"/>
      <c r="TGE1241" s="106"/>
      <c r="TGF1241" s="106"/>
      <c r="TGG1241" s="106"/>
      <c r="TGH1241" s="106"/>
      <c r="TGI1241" s="106"/>
      <c r="TGJ1241" s="106"/>
      <c r="TGK1241" s="106"/>
      <c r="TGL1241" s="106"/>
      <c r="TGM1241" s="106"/>
      <c r="TGN1241" s="106"/>
      <c r="TGO1241" s="106"/>
      <c r="TGP1241" s="106"/>
      <c r="TGQ1241" s="106"/>
      <c r="TGR1241" s="106"/>
      <c r="TGS1241" s="106"/>
      <c r="TGT1241" s="106"/>
      <c r="TGU1241" s="106"/>
      <c r="TGV1241" s="106"/>
      <c r="TGW1241" s="106"/>
      <c r="TGX1241" s="106"/>
      <c r="TGY1241" s="106"/>
      <c r="TGZ1241" s="106"/>
      <c r="THA1241" s="106"/>
      <c r="THB1241" s="106"/>
      <c r="THC1241" s="106"/>
      <c r="THD1241" s="106"/>
      <c r="THE1241" s="106"/>
      <c r="THF1241" s="106"/>
      <c r="THG1241" s="106"/>
      <c r="THH1241" s="106"/>
      <c r="THI1241" s="106"/>
      <c r="THJ1241" s="106"/>
      <c r="THK1241" s="106"/>
      <c r="THL1241" s="106"/>
      <c r="THM1241" s="106"/>
      <c r="THN1241" s="106"/>
      <c r="THO1241" s="106"/>
      <c r="THP1241" s="106"/>
      <c r="THQ1241" s="106"/>
      <c r="THR1241" s="106"/>
      <c r="THS1241" s="106"/>
      <c r="THT1241" s="106"/>
      <c r="THU1241" s="106"/>
      <c r="THV1241" s="106"/>
      <c r="THW1241" s="106"/>
      <c r="THX1241" s="106"/>
      <c r="THY1241" s="106"/>
      <c r="THZ1241" s="106"/>
      <c r="TIA1241" s="106"/>
      <c r="TIB1241" s="106"/>
      <c r="TIC1241" s="106"/>
      <c r="TID1241" s="106"/>
      <c r="TIE1241" s="106"/>
      <c r="TIF1241" s="106"/>
      <c r="TIG1241" s="106"/>
      <c r="TIH1241" s="106"/>
      <c r="TII1241" s="106"/>
      <c r="TIJ1241" s="106"/>
      <c r="TIK1241" s="106"/>
      <c r="TIL1241" s="106"/>
      <c r="TIM1241" s="106"/>
      <c r="TIN1241" s="106"/>
      <c r="TIO1241" s="106"/>
      <c r="TIP1241" s="106"/>
      <c r="TIQ1241" s="106"/>
      <c r="TIR1241" s="106"/>
      <c r="TIS1241" s="106"/>
      <c r="TIT1241" s="106"/>
      <c r="TIU1241" s="106"/>
      <c r="TIV1241" s="106"/>
      <c r="TIW1241" s="106"/>
      <c r="TIX1241" s="106"/>
      <c r="TIY1241" s="106"/>
      <c r="TIZ1241" s="106"/>
      <c r="TJA1241" s="106"/>
      <c r="TJB1241" s="106"/>
      <c r="TJC1241" s="106"/>
      <c r="TJD1241" s="106"/>
      <c r="TJE1241" s="106"/>
      <c r="TJF1241" s="106"/>
      <c r="TJG1241" s="106"/>
      <c r="TJH1241" s="106"/>
      <c r="TJI1241" s="106"/>
      <c r="TJJ1241" s="106"/>
      <c r="TJK1241" s="106"/>
      <c r="TJL1241" s="106"/>
      <c r="TJM1241" s="106"/>
      <c r="TJN1241" s="106"/>
      <c r="TJO1241" s="106"/>
      <c r="TJP1241" s="106"/>
      <c r="TJQ1241" s="106"/>
      <c r="TJR1241" s="106"/>
      <c r="TJS1241" s="106"/>
      <c r="TJT1241" s="106"/>
      <c r="TJU1241" s="106"/>
      <c r="TJV1241" s="106"/>
      <c r="TJW1241" s="106"/>
      <c r="TJX1241" s="106"/>
      <c r="TJY1241" s="106"/>
      <c r="TJZ1241" s="106"/>
      <c r="TKA1241" s="106"/>
      <c r="TKB1241" s="106"/>
      <c r="TKC1241" s="106"/>
      <c r="TKD1241" s="106"/>
      <c r="TKE1241" s="106"/>
      <c r="TKF1241" s="106"/>
      <c r="TKG1241" s="106"/>
      <c r="TKH1241" s="106"/>
      <c r="TKI1241" s="106"/>
      <c r="TKJ1241" s="106"/>
      <c r="TKK1241" s="106"/>
      <c r="TKL1241" s="106"/>
      <c r="TKM1241" s="106"/>
      <c r="TKN1241" s="106"/>
      <c r="TKO1241" s="106"/>
      <c r="TKP1241" s="106"/>
      <c r="TKQ1241" s="106"/>
      <c r="TKR1241" s="106"/>
      <c r="TKS1241" s="106"/>
      <c r="TKT1241" s="106"/>
      <c r="TKU1241" s="106"/>
      <c r="TKV1241" s="106"/>
      <c r="TKW1241" s="106"/>
      <c r="TKX1241" s="106"/>
      <c r="TKY1241" s="106"/>
      <c r="TKZ1241" s="106"/>
      <c r="TLA1241" s="106"/>
      <c r="TLB1241" s="106"/>
      <c r="TLC1241" s="106"/>
      <c r="TLD1241" s="106"/>
      <c r="TLE1241" s="106"/>
      <c r="TLF1241" s="106"/>
      <c r="TLG1241" s="106"/>
      <c r="TLH1241" s="106"/>
      <c r="TLI1241" s="106"/>
      <c r="TLJ1241" s="106"/>
      <c r="TLK1241" s="106"/>
      <c r="TLL1241" s="106"/>
      <c r="TLM1241" s="106"/>
      <c r="TLN1241" s="106"/>
      <c r="TLO1241" s="106"/>
      <c r="TLP1241" s="106"/>
      <c r="TLQ1241" s="106"/>
      <c r="TLR1241" s="106"/>
      <c r="TLS1241" s="106"/>
      <c r="TLT1241" s="106"/>
      <c r="TLU1241" s="106"/>
      <c r="TLV1241" s="106"/>
      <c r="TLW1241" s="106"/>
      <c r="TLX1241" s="106"/>
      <c r="TLY1241" s="106"/>
      <c r="TLZ1241" s="106"/>
      <c r="TMA1241" s="106"/>
      <c r="TMB1241" s="106"/>
      <c r="TMC1241" s="106"/>
      <c r="TMD1241" s="106"/>
      <c r="TME1241" s="106"/>
      <c r="TMF1241" s="106"/>
      <c r="TMG1241" s="106"/>
      <c r="TMH1241" s="106"/>
      <c r="TMI1241" s="106"/>
      <c r="TMJ1241" s="106"/>
      <c r="TMK1241" s="106"/>
      <c r="TML1241" s="106"/>
      <c r="TMM1241" s="106"/>
      <c r="TMN1241" s="106"/>
      <c r="TMO1241" s="106"/>
      <c r="TMP1241" s="106"/>
      <c r="TMQ1241" s="106"/>
      <c r="TMR1241" s="106"/>
      <c r="TMS1241" s="106"/>
      <c r="TMT1241" s="106"/>
      <c r="TMU1241" s="106"/>
      <c r="TMV1241" s="106"/>
      <c r="TMW1241" s="106"/>
      <c r="TMX1241" s="106"/>
      <c r="TMY1241" s="106"/>
      <c r="TMZ1241" s="106"/>
      <c r="TNA1241" s="106"/>
      <c r="TNB1241" s="106"/>
      <c r="TNC1241" s="106"/>
      <c r="TND1241" s="106"/>
      <c r="TNE1241" s="106"/>
      <c r="TNF1241" s="106"/>
      <c r="TNG1241" s="106"/>
      <c r="TNH1241" s="106"/>
      <c r="TNI1241" s="106"/>
      <c r="TNJ1241" s="106"/>
      <c r="TNK1241" s="106"/>
      <c r="TNL1241" s="106"/>
      <c r="TNM1241" s="106"/>
      <c r="TNN1241" s="106"/>
      <c r="TNO1241" s="106"/>
      <c r="TNP1241" s="106"/>
      <c r="TNQ1241" s="106"/>
      <c r="TNR1241" s="106"/>
      <c r="TNS1241" s="106"/>
      <c r="TNT1241" s="106"/>
      <c r="TNU1241" s="106"/>
      <c r="TNV1241" s="106"/>
      <c r="TNW1241" s="106"/>
      <c r="TNX1241" s="106"/>
      <c r="TNY1241" s="106"/>
      <c r="TNZ1241" s="106"/>
      <c r="TOA1241" s="106"/>
      <c r="TOB1241" s="106"/>
      <c r="TOC1241" s="106"/>
      <c r="TOD1241" s="106"/>
      <c r="TOE1241" s="106"/>
      <c r="TOF1241" s="106"/>
      <c r="TOG1241" s="106"/>
      <c r="TOH1241" s="106"/>
      <c r="TOI1241" s="106"/>
      <c r="TOJ1241" s="106"/>
      <c r="TOK1241" s="106"/>
      <c r="TOL1241" s="106"/>
      <c r="TOM1241" s="106"/>
      <c r="TON1241" s="106"/>
      <c r="TOO1241" s="106"/>
      <c r="TOP1241" s="106"/>
      <c r="TOQ1241" s="106"/>
      <c r="TOR1241" s="106"/>
      <c r="TOS1241" s="106"/>
      <c r="TOT1241" s="106"/>
      <c r="TOU1241" s="106"/>
      <c r="TOV1241" s="106"/>
      <c r="TOW1241" s="106"/>
      <c r="TOX1241" s="106"/>
      <c r="TOY1241" s="106"/>
      <c r="TOZ1241" s="106"/>
      <c r="TPA1241" s="106"/>
      <c r="TPB1241" s="106"/>
      <c r="TPC1241" s="106"/>
      <c r="TPD1241" s="106"/>
      <c r="TPE1241" s="106"/>
      <c r="TPF1241" s="106"/>
      <c r="TPG1241" s="106"/>
      <c r="TPH1241" s="106"/>
      <c r="TPI1241" s="106"/>
      <c r="TPJ1241" s="106"/>
      <c r="TPK1241" s="106"/>
      <c r="TPL1241" s="106"/>
      <c r="TPM1241" s="106"/>
      <c r="TPN1241" s="106"/>
      <c r="TPO1241" s="106"/>
      <c r="TPP1241" s="106"/>
      <c r="TPQ1241" s="106"/>
      <c r="TPR1241" s="106"/>
      <c r="TPS1241" s="106"/>
      <c r="TPT1241" s="106"/>
      <c r="TPU1241" s="106"/>
      <c r="TPV1241" s="106"/>
      <c r="TPW1241" s="106"/>
      <c r="TPX1241" s="106"/>
      <c r="TPY1241" s="106"/>
      <c r="TPZ1241" s="106"/>
      <c r="TQA1241" s="106"/>
      <c r="TQB1241" s="106"/>
      <c r="TQC1241" s="106"/>
      <c r="TQD1241" s="106"/>
      <c r="TQE1241" s="106"/>
      <c r="TQF1241" s="106"/>
      <c r="TQG1241" s="106"/>
      <c r="TQH1241" s="106"/>
      <c r="TQI1241" s="106"/>
      <c r="TQJ1241" s="106"/>
      <c r="TQK1241" s="106"/>
      <c r="TQL1241" s="106"/>
      <c r="TQM1241" s="106"/>
      <c r="TQN1241" s="106"/>
      <c r="TQO1241" s="106"/>
      <c r="TQP1241" s="106"/>
      <c r="TQQ1241" s="106"/>
      <c r="TQR1241" s="106"/>
      <c r="TQS1241" s="106"/>
      <c r="TQT1241" s="106"/>
      <c r="TQU1241" s="106"/>
      <c r="TQV1241" s="106"/>
      <c r="TQW1241" s="106"/>
      <c r="TQX1241" s="106"/>
      <c r="TQY1241" s="106"/>
      <c r="TQZ1241" s="106"/>
      <c r="TRA1241" s="106"/>
      <c r="TRB1241" s="106"/>
      <c r="TRC1241" s="106"/>
      <c r="TRD1241" s="106"/>
      <c r="TRE1241" s="106"/>
      <c r="TRF1241" s="106"/>
      <c r="TRG1241" s="106"/>
      <c r="TRH1241" s="106"/>
      <c r="TRI1241" s="106"/>
      <c r="TRJ1241" s="106"/>
      <c r="TRK1241" s="106"/>
      <c r="TRL1241" s="106"/>
      <c r="TRM1241" s="106"/>
      <c r="TRN1241" s="106"/>
      <c r="TRO1241" s="106"/>
      <c r="TRP1241" s="106"/>
      <c r="TRQ1241" s="106"/>
      <c r="TRR1241" s="106"/>
      <c r="TRS1241" s="106"/>
      <c r="TRT1241" s="106"/>
      <c r="TRU1241" s="106"/>
      <c r="TRV1241" s="106"/>
      <c r="TRW1241" s="106"/>
      <c r="TRX1241" s="106"/>
      <c r="TRY1241" s="106"/>
      <c r="TRZ1241" s="106"/>
      <c r="TSA1241" s="106"/>
      <c r="TSB1241" s="106"/>
      <c r="TSC1241" s="106"/>
      <c r="TSD1241" s="106"/>
      <c r="TSE1241" s="106"/>
      <c r="TSF1241" s="106"/>
      <c r="TSG1241" s="106"/>
      <c r="TSH1241" s="106"/>
      <c r="TSI1241" s="106"/>
      <c r="TSJ1241" s="106"/>
      <c r="TSK1241" s="106"/>
      <c r="TSL1241" s="106"/>
      <c r="TSM1241" s="106"/>
      <c r="TSN1241" s="106"/>
      <c r="TSO1241" s="106"/>
      <c r="TSP1241" s="106"/>
      <c r="TSQ1241" s="106"/>
      <c r="TSR1241" s="106"/>
      <c r="TSS1241" s="106"/>
      <c r="TST1241" s="106"/>
      <c r="TSU1241" s="106"/>
      <c r="TSV1241" s="106"/>
      <c r="TSW1241" s="106"/>
      <c r="TSX1241" s="106"/>
      <c r="TSY1241" s="106"/>
      <c r="TSZ1241" s="106"/>
      <c r="TTA1241" s="106"/>
      <c r="TTB1241" s="106"/>
      <c r="TTC1241" s="106"/>
      <c r="TTD1241" s="106"/>
      <c r="TTE1241" s="106"/>
      <c r="TTF1241" s="106"/>
      <c r="TTG1241" s="106"/>
      <c r="TTH1241" s="106"/>
      <c r="TTI1241" s="106"/>
      <c r="TTJ1241" s="106"/>
      <c r="TTK1241" s="106"/>
      <c r="TTL1241" s="106"/>
      <c r="TTM1241" s="106"/>
      <c r="TTN1241" s="106"/>
      <c r="TTO1241" s="106"/>
      <c r="TTP1241" s="106"/>
      <c r="TTQ1241" s="106"/>
      <c r="TTR1241" s="106"/>
      <c r="TTS1241" s="106"/>
      <c r="TTT1241" s="106"/>
      <c r="TTU1241" s="106"/>
      <c r="TTV1241" s="106"/>
      <c r="TTW1241" s="106"/>
      <c r="TTX1241" s="106"/>
      <c r="TTY1241" s="106"/>
      <c r="TTZ1241" s="106"/>
      <c r="TUA1241" s="106"/>
      <c r="TUB1241" s="106"/>
      <c r="TUC1241" s="106"/>
      <c r="TUD1241" s="106"/>
      <c r="TUE1241" s="106"/>
      <c r="TUF1241" s="106"/>
      <c r="TUG1241" s="106"/>
      <c r="TUH1241" s="106"/>
      <c r="TUI1241" s="106"/>
      <c r="TUJ1241" s="106"/>
      <c r="TUK1241" s="106"/>
      <c r="TUL1241" s="106"/>
      <c r="TUM1241" s="106"/>
      <c r="TUN1241" s="106"/>
      <c r="TUO1241" s="106"/>
      <c r="TUP1241" s="106"/>
      <c r="TUQ1241" s="106"/>
      <c r="TUR1241" s="106"/>
      <c r="TUS1241" s="106"/>
      <c r="TUT1241" s="106"/>
      <c r="TUU1241" s="106"/>
      <c r="TUV1241" s="106"/>
      <c r="TUW1241" s="106"/>
      <c r="TUX1241" s="106"/>
      <c r="TUY1241" s="106"/>
      <c r="TUZ1241" s="106"/>
      <c r="TVA1241" s="106"/>
      <c r="TVB1241" s="106"/>
      <c r="TVC1241" s="106"/>
      <c r="TVD1241" s="106"/>
      <c r="TVE1241" s="106"/>
      <c r="TVF1241" s="106"/>
      <c r="TVG1241" s="106"/>
      <c r="TVH1241" s="106"/>
      <c r="TVI1241" s="106"/>
      <c r="TVJ1241" s="106"/>
      <c r="TVK1241" s="106"/>
      <c r="TVL1241" s="106"/>
      <c r="TVM1241" s="106"/>
      <c r="TVN1241" s="106"/>
      <c r="TVO1241" s="106"/>
      <c r="TVP1241" s="106"/>
      <c r="TVQ1241" s="106"/>
      <c r="TVR1241" s="106"/>
      <c r="TVS1241" s="106"/>
      <c r="TVT1241" s="106"/>
      <c r="TVU1241" s="106"/>
      <c r="TVV1241" s="106"/>
      <c r="TVW1241" s="106"/>
      <c r="TVX1241" s="106"/>
      <c r="TVY1241" s="106"/>
      <c r="TVZ1241" s="106"/>
      <c r="TWA1241" s="106"/>
      <c r="TWB1241" s="106"/>
      <c r="TWC1241" s="106"/>
      <c r="TWD1241" s="106"/>
      <c r="TWE1241" s="106"/>
      <c r="TWF1241" s="106"/>
      <c r="TWG1241" s="106"/>
      <c r="TWH1241" s="106"/>
      <c r="TWI1241" s="106"/>
      <c r="TWJ1241" s="106"/>
      <c r="TWK1241" s="106"/>
      <c r="TWL1241" s="106"/>
      <c r="TWM1241" s="106"/>
      <c r="TWN1241" s="106"/>
      <c r="TWO1241" s="106"/>
      <c r="TWP1241" s="106"/>
      <c r="TWQ1241" s="106"/>
      <c r="TWR1241" s="106"/>
      <c r="TWS1241" s="106"/>
      <c r="TWT1241" s="106"/>
      <c r="TWU1241" s="106"/>
      <c r="TWV1241" s="106"/>
      <c r="TWW1241" s="106"/>
      <c r="TWX1241" s="106"/>
      <c r="TWY1241" s="106"/>
      <c r="TWZ1241" s="106"/>
      <c r="TXA1241" s="106"/>
      <c r="TXB1241" s="106"/>
      <c r="TXC1241" s="106"/>
      <c r="TXD1241" s="106"/>
      <c r="TXE1241" s="106"/>
      <c r="TXF1241" s="106"/>
      <c r="TXG1241" s="106"/>
      <c r="TXH1241" s="106"/>
      <c r="TXI1241" s="106"/>
      <c r="TXJ1241" s="106"/>
      <c r="TXK1241" s="106"/>
      <c r="TXL1241" s="106"/>
      <c r="TXM1241" s="106"/>
      <c r="TXN1241" s="106"/>
      <c r="TXO1241" s="106"/>
      <c r="TXP1241" s="106"/>
      <c r="TXQ1241" s="106"/>
      <c r="TXR1241" s="106"/>
      <c r="TXS1241" s="106"/>
      <c r="TXT1241" s="106"/>
      <c r="TXU1241" s="106"/>
      <c r="TXV1241" s="106"/>
      <c r="TXW1241" s="106"/>
      <c r="TXX1241" s="106"/>
      <c r="TXY1241" s="106"/>
      <c r="TXZ1241" s="106"/>
      <c r="TYA1241" s="106"/>
      <c r="TYB1241" s="106"/>
      <c r="TYC1241" s="106"/>
      <c r="TYD1241" s="106"/>
      <c r="TYE1241" s="106"/>
      <c r="TYF1241" s="106"/>
      <c r="TYG1241" s="106"/>
      <c r="TYH1241" s="106"/>
      <c r="TYI1241" s="106"/>
      <c r="TYJ1241" s="106"/>
      <c r="TYK1241" s="106"/>
      <c r="TYL1241" s="106"/>
      <c r="TYM1241" s="106"/>
      <c r="TYN1241" s="106"/>
      <c r="TYO1241" s="106"/>
      <c r="TYP1241" s="106"/>
      <c r="TYQ1241" s="106"/>
      <c r="TYR1241" s="106"/>
      <c r="TYS1241" s="106"/>
      <c r="TYT1241" s="106"/>
      <c r="TYU1241" s="106"/>
      <c r="TYV1241" s="106"/>
      <c r="TYW1241" s="106"/>
      <c r="TYX1241" s="106"/>
      <c r="TYY1241" s="106"/>
      <c r="TYZ1241" s="106"/>
      <c r="TZA1241" s="106"/>
      <c r="TZB1241" s="106"/>
      <c r="TZC1241" s="106"/>
      <c r="TZD1241" s="106"/>
      <c r="TZE1241" s="106"/>
      <c r="TZF1241" s="106"/>
      <c r="TZG1241" s="106"/>
      <c r="TZH1241" s="106"/>
      <c r="TZI1241" s="106"/>
      <c r="TZJ1241" s="106"/>
      <c r="TZK1241" s="106"/>
      <c r="TZL1241" s="106"/>
      <c r="TZM1241" s="106"/>
      <c r="TZN1241" s="106"/>
      <c r="TZO1241" s="106"/>
      <c r="TZP1241" s="106"/>
      <c r="TZQ1241" s="106"/>
      <c r="TZR1241" s="106"/>
      <c r="TZS1241" s="106"/>
      <c r="TZT1241" s="106"/>
      <c r="TZU1241" s="106"/>
      <c r="TZV1241" s="106"/>
      <c r="TZW1241" s="106"/>
      <c r="TZX1241" s="106"/>
      <c r="TZY1241" s="106"/>
      <c r="TZZ1241" s="106"/>
      <c r="UAA1241" s="106"/>
      <c r="UAB1241" s="106"/>
      <c r="UAC1241" s="106"/>
      <c r="UAD1241" s="106"/>
      <c r="UAE1241" s="106"/>
      <c r="UAF1241" s="106"/>
      <c r="UAG1241" s="106"/>
      <c r="UAH1241" s="106"/>
      <c r="UAI1241" s="106"/>
      <c r="UAJ1241" s="106"/>
      <c r="UAK1241" s="106"/>
      <c r="UAL1241" s="106"/>
      <c r="UAM1241" s="106"/>
      <c r="UAN1241" s="106"/>
      <c r="UAO1241" s="106"/>
      <c r="UAP1241" s="106"/>
      <c r="UAQ1241" s="106"/>
      <c r="UAR1241" s="106"/>
      <c r="UAS1241" s="106"/>
      <c r="UAT1241" s="106"/>
      <c r="UAU1241" s="106"/>
      <c r="UAV1241" s="106"/>
      <c r="UAW1241" s="106"/>
      <c r="UAX1241" s="106"/>
      <c r="UAY1241" s="106"/>
      <c r="UAZ1241" s="106"/>
      <c r="UBA1241" s="106"/>
      <c r="UBB1241" s="106"/>
      <c r="UBC1241" s="106"/>
      <c r="UBD1241" s="106"/>
      <c r="UBE1241" s="106"/>
      <c r="UBF1241" s="106"/>
      <c r="UBG1241" s="106"/>
      <c r="UBH1241" s="106"/>
      <c r="UBI1241" s="106"/>
      <c r="UBJ1241" s="106"/>
      <c r="UBK1241" s="106"/>
      <c r="UBL1241" s="106"/>
      <c r="UBM1241" s="106"/>
      <c r="UBN1241" s="106"/>
      <c r="UBO1241" s="106"/>
      <c r="UBP1241" s="106"/>
      <c r="UBQ1241" s="106"/>
      <c r="UBR1241" s="106"/>
      <c r="UBS1241" s="106"/>
      <c r="UBT1241" s="106"/>
      <c r="UBU1241" s="106"/>
      <c r="UBV1241" s="106"/>
      <c r="UBW1241" s="106"/>
      <c r="UBX1241" s="106"/>
      <c r="UBY1241" s="106"/>
      <c r="UBZ1241" s="106"/>
      <c r="UCA1241" s="106"/>
      <c r="UCB1241" s="106"/>
      <c r="UCC1241" s="106"/>
      <c r="UCD1241" s="106"/>
      <c r="UCE1241" s="106"/>
      <c r="UCF1241" s="106"/>
      <c r="UCG1241" s="106"/>
      <c r="UCH1241" s="106"/>
      <c r="UCI1241" s="106"/>
      <c r="UCJ1241" s="106"/>
      <c r="UCK1241" s="106"/>
      <c r="UCL1241" s="106"/>
      <c r="UCM1241" s="106"/>
      <c r="UCN1241" s="106"/>
      <c r="UCO1241" s="106"/>
      <c r="UCP1241" s="106"/>
      <c r="UCQ1241" s="106"/>
      <c r="UCR1241" s="106"/>
      <c r="UCS1241" s="106"/>
      <c r="UCT1241" s="106"/>
      <c r="UCU1241" s="106"/>
      <c r="UCV1241" s="106"/>
      <c r="UCW1241" s="106"/>
      <c r="UCX1241" s="106"/>
      <c r="UCY1241" s="106"/>
      <c r="UCZ1241" s="106"/>
      <c r="UDA1241" s="106"/>
      <c r="UDB1241" s="106"/>
      <c r="UDC1241" s="106"/>
      <c r="UDD1241" s="106"/>
      <c r="UDE1241" s="106"/>
      <c r="UDF1241" s="106"/>
      <c r="UDG1241" s="106"/>
      <c r="UDH1241" s="106"/>
      <c r="UDI1241" s="106"/>
      <c r="UDJ1241" s="106"/>
      <c r="UDK1241" s="106"/>
      <c r="UDL1241" s="106"/>
      <c r="UDM1241" s="106"/>
      <c r="UDN1241" s="106"/>
      <c r="UDO1241" s="106"/>
      <c r="UDP1241" s="106"/>
      <c r="UDQ1241" s="106"/>
      <c r="UDR1241" s="106"/>
      <c r="UDS1241" s="106"/>
      <c r="UDT1241" s="106"/>
      <c r="UDU1241" s="106"/>
      <c r="UDV1241" s="106"/>
      <c r="UDW1241" s="106"/>
      <c r="UDX1241" s="106"/>
      <c r="UDY1241" s="106"/>
      <c r="UDZ1241" s="106"/>
      <c r="UEA1241" s="106"/>
      <c r="UEB1241" s="106"/>
      <c r="UEC1241" s="106"/>
      <c r="UED1241" s="106"/>
      <c r="UEE1241" s="106"/>
      <c r="UEF1241" s="106"/>
      <c r="UEG1241" s="106"/>
      <c r="UEH1241" s="106"/>
      <c r="UEI1241" s="106"/>
      <c r="UEJ1241" s="106"/>
      <c r="UEK1241" s="106"/>
      <c r="UEL1241" s="106"/>
      <c r="UEM1241" s="106"/>
      <c r="UEN1241" s="106"/>
      <c r="UEO1241" s="106"/>
      <c r="UEP1241" s="106"/>
      <c r="UEQ1241" s="106"/>
      <c r="UER1241" s="106"/>
      <c r="UES1241" s="106"/>
      <c r="UET1241" s="106"/>
      <c r="UEU1241" s="106"/>
      <c r="UEV1241" s="106"/>
      <c r="UEW1241" s="106"/>
      <c r="UEX1241" s="106"/>
      <c r="UEY1241" s="106"/>
      <c r="UEZ1241" s="106"/>
      <c r="UFA1241" s="106"/>
      <c r="UFB1241" s="106"/>
      <c r="UFC1241" s="106"/>
      <c r="UFD1241" s="106"/>
      <c r="UFE1241" s="106"/>
      <c r="UFF1241" s="106"/>
      <c r="UFG1241" s="106"/>
      <c r="UFH1241" s="106"/>
      <c r="UFI1241" s="106"/>
      <c r="UFJ1241" s="106"/>
      <c r="UFK1241" s="106"/>
      <c r="UFL1241" s="106"/>
      <c r="UFM1241" s="106"/>
      <c r="UFN1241" s="106"/>
      <c r="UFO1241" s="106"/>
      <c r="UFP1241" s="106"/>
      <c r="UFQ1241" s="106"/>
      <c r="UFR1241" s="106"/>
      <c r="UFS1241" s="106"/>
      <c r="UFT1241" s="106"/>
      <c r="UFU1241" s="106"/>
      <c r="UFV1241" s="106"/>
      <c r="UFW1241" s="106"/>
      <c r="UFX1241" s="106"/>
      <c r="UFY1241" s="106"/>
      <c r="UFZ1241" s="106"/>
      <c r="UGA1241" s="106"/>
      <c r="UGB1241" s="106"/>
      <c r="UGC1241" s="106"/>
      <c r="UGD1241" s="106"/>
      <c r="UGE1241" s="106"/>
      <c r="UGF1241" s="106"/>
      <c r="UGG1241" s="106"/>
      <c r="UGH1241" s="106"/>
      <c r="UGI1241" s="106"/>
      <c r="UGJ1241" s="106"/>
      <c r="UGK1241" s="106"/>
      <c r="UGL1241" s="106"/>
      <c r="UGM1241" s="106"/>
      <c r="UGN1241" s="106"/>
      <c r="UGO1241" s="106"/>
      <c r="UGP1241" s="106"/>
      <c r="UGQ1241" s="106"/>
      <c r="UGR1241" s="106"/>
      <c r="UGS1241" s="106"/>
      <c r="UGT1241" s="106"/>
      <c r="UGU1241" s="106"/>
      <c r="UGV1241" s="106"/>
      <c r="UGW1241" s="106"/>
      <c r="UGX1241" s="106"/>
      <c r="UGY1241" s="106"/>
      <c r="UGZ1241" s="106"/>
      <c r="UHA1241" s="106"/>
      <c r="UHB1241" s="106"/>
      <c r="UHC1241" s="106"/>
      <c r="UHD1241" s="106"/>
      <c r="UHE1241" s="106"/>
      <c r="UHF1241" s="106"/>
      <c r="UHG1241" s="106"/>
      <c r="UHH1241" s="106"/>
      <c r="UHI1241" s="106"/>
      <c r="UHJ1241" s="106"/>
      <c r="UHK1241" s="106"/>
      <c r="UHL1241" s="106"/>
      <c r="UHM1241" s="106"/>
      <c r="UHN1241" s="106"/>
      <c r="UHO1241" s="106"/>
      <c r="UHP1241" s="106"/>
      <c r="UHQ1241" s="106"/>
      <c r="UHR1241" s="106"/>
      <c r="UHS1241" s="106"/>
      <c r="UHT1241" s="106"/>
      <c r="UHU1241" s="106"/>
      <c r="UHV1241" s="106"/>
      <c r="UHW1241" s="106"/>
      <c r="UHX1241" s="106"/>
      <c r="UHY1241" s="106"/>
      <c r="UHZ1241" s="106"/>
      <c r="UIA1241" s="106"/>
      <c r="UIB1241" s="106"/>
      <c r="UIC1241" s="106"/>
      <c r="UID1241" s="106"/>
      <c r="UIE1241" s="106"/>
      <c r="UIF1241" s="106"/>
      <c r="UIG1241" s="106"/>
      <c r="UIH1241" s="106"/>
      <c r="UII1241" s="106"/>
      <c r="UIJ1241" s="106"/>
      <c r="UIK1241" s="106"/>
      <c r="UIL1241" s="106"/>
      <c r="UIM1241" s="106"/>
      <c r="UIN1241" s="106"/>
      <c r="UIO1241" s="106"/>
      <c r="UIP1241" s="106"/>
      <c r="UIQ1241" s="106"/>
      <c r="UIR1241" s="106"/>
      <c r="UIS1241" s="106"/>
      <c r="UIT1241" s="106"/>
      <c r="UIU1241" s="106"/>
      <c r="UIV1241" s="106"/>
      <c r="UIW1241" s="106"/>
      <c r="UIX1241" s="106"/>
      <c r="UIY1241" s="106"/>
      <c r="UIZ1241" s="106"/>
      <c r="UJA1241" s="106"/>
      <c r="UJB1241" s="106"/>
      <c r="UJC1241" s="106"/>
      <c r="UJD1241" s="106"/>
      <c r="UJE1241" s="106"/>
      <c r="UJF1241" s="106"/>
      <c r="UJG1241" s="106"/>
      <c r="UJH1241" s="106"/>
      <c r="UJI1241" s="106"/>
      <c r="UJJ1241" s="106"/>
      <c r="UJK1241" s="106"/>
      <c r="UJL1241" s="106"/>
      <c r="UJM1241" s="106"/>
      <c r="UJN1241" s="106"/>
      <c r="UJO1241" s="106"/>
      <c r="UJP1241" s="106"/>
      <c r="UJQ1241" s="106"/>
      <c r="UJR1241" s="106"/>
      <c r="UJS1241" s="106"/>
      <c r="UJT1241" s="106"/>
      <c r="UJU1241" s="106"/>
      <c r="UJV1241" s="106"/>
      <c r="UJW1241" s="106"/>
      <c r="UJX1241" s="106"/>
      <c r="UJY1241" s="106"/>
      <c r="UJZ1241" s="106"/>
      <c r="UKA1241" s="106"/>
      <c r="UKB1241" s="106"/>
      <c r="UKC1241" s="106"/>
      <c r="UKD1241" s="106"/>
      <c r="UKE1241" s="106"/>
      <c r="UKF1241" s="106"/>
      <c r="UKG1241" s="106"/>
      <c r="UKH1241" s="106"/>
      <c r="UKI1241" s="106"/>
      <c r="UKJ1241" s="106"/>
      <c r="UKK1241" s="106"/>
      <c r="UKL1241" s="106"/>
      <c r="UKM1241" s="106"/>
      <c r="UKN1241" s="106"/>
      <c r="UKO1241" s="106"/>
      <c r="UKP1241" s="106"/>
      <c r="UKQ1241" s="106"/>
      <c r="UKR1241" s="106"/>
      <c r="UKS1241" s="106"/>
      <c r="UKT1241" s="106"/>
      <c r="UKU1241" s="106"/>
      <c r="UKV1241" s="106"/>
      <c r="UKW1241" s="106"/>
      <c r="UKX1241" s="106"/>
      <c r="UKY1241" s="106"/>
      <c r="UKZ1241" s="106"/>
      <c r="ULA1241" s="106"/>
      <c r="ULB1241" s="106"/>
      <c r="ULC1241" s="106"/>
      <c r="ULD1241" s="106"/>
      <c r="ULE1241" s="106"/>
      <c r="ULF1241" s="106"/>
      <c r="ULG1241" s="106"/>
      <c r="ULH1241" s="106"/>
      <c r="ULI1241" s="106"/>
      <c r="ULJ1241" s="106"/>
      <c r="ULK1241" s="106"/>
      <c r="ULL1241" s="106"/>
      <c r="ULM1241" s="106"/>
      <c r="ULN1241" s="106"/>
      <c r="ULO1241" s="106"/>
      <c r="ULP1241" s="106"/>
      <c r="ULQ1241" s="106"/>
      <c r="ULR1241" s="106"/>
      <c r="ULS1241" s="106"/>
      <c r="ULT1241" s="106"/>
      <c r="ULU1241" s="106"/>
      <c r="ULV1241" s="106"/>
      <c r="ULW1241" s="106"/>
      <c r="ULX1241" s="106"/>
      <c r="ULY1241" s="106"/>
      <c r="ULZ1241" s="106"/>
      <c r="UMA1241" s="106"/>
      <c r="UMB1241" s="106"/>
      <c r="UMC1241" s="106"/>
      <c r="UMD1241" s="106"/>
      <c r="UME1241" s="106"/>
      <c r="UMF1241" s="106"/>
      <c r="UMG1241" s="106"/>
      <c r="UMH1241" s="106"/>
      <c r="UMI1241" s="106"/>
      <c r="UMJ1241" s="106"/>
      <c r="UMK1241" s="106"/>
      <c r="UML1241" s="106"/>
      <c r="UMM1241" s="106"/>
      <c r="UMN1241" s="106"/>
      <c r="UMO1241" s="106"/>
      <c r="UMP1241" s="106"/>
      <c r="UMQ1241" s="106"/>
      <c r="UMR1241" s="106"/>
      <c r="UMS1241" s="106"/>
      <c r="UMT1241" s="106"/>
      <c r="UMU1241" s="106"/>
      <c r="UMV1241" s="106"/>
      <c r="UMW1241" s="106"/>
      <c r="UMX1241" s="106"/>
      <c r="UMY1241" s="106"/>
      <c r="UMZ1241" s="106"/>
      <c r="UNA1241" s="106"/>
      <c r="UNB1241" s="106"/>
      <c r="UNC1241" s="106"/>
      <c r="UND1241" s="106"/>
      <c r="UNE1241" s="106"/>
      <c r="UNF1241" s="106"/>
      <c r="UNG1241" s="106"/>
      <c r="UNH1241" s="106"/>
      <c r="UNI1241" s="106"/>
      <c r="UNJ1241" s="106"/>
      <c r="UNK1241" s="106"/>
      <c r="UNL1241" s="106"/>
      <c r="UNM1241" s="106"/>
      <c r="UNN1241" s="106"/>
      <c r="UNO1241" s="106"/>
      <c r="UNP1241" s="106"/>
      <c r="UNQ1241" s="106"/>
      <c r="UNR1241" s="106"/>
      <c r="UNS1241" s="106"/>
      <c r="UNT1241" s="106"/>
      <c r="UNU1241" s="106"/>
      <c r="UNV1241" s="106"/>
      <c r="UNW1241" s="106"/>
      <c r="UNX1241" s="106"/>
      <c r="UNY1241" s="106"/>
      <c r="UNZ1241" s="106"/>
      <c r="UOA1241" s="106"/>
      <c r="UOB1241" s="106"/>
      <c r="UOC1241" s="106"/>
      <c r="UOD1241" s="106"/>
      <c r="UOE1241" s="106"/>
      <c r="UOF1241" s="106"/>
      <c r="UOG1241" s="106"/>
      <c r="UOH1241" s="106"/>
      <c r="UOI1241" s="106"/>
      <c r="UOJ1241" s="106"/>
      <c r="UOK1241" s="106"/>
      <c r="UOL1241" s="106"/>
      <c r="UOM1241" s="106"/>
      <c r="UON1241" s="106"/>
      <c r="UOO1241" s="106"/>
      <c r="UOP1241" s="106"/>
      <c r="UOQ1241" s="106"/>
      <c r="UOR1241" s="106"/>
      <c r="UOS1241" s="106"/>
      <c r="UOT1241" s="106"/>
      <c r="UOU1241" s="106"/>
      <c r="UOV1241" s="106"/>
      <c r="UOW1241" s="106"/>
      <c r="UOX1241" s="106"/>
      <c r="UOY1241" s="106"/>
      <c r="UOZ1241" s="106"/>
      <c r="UPA1241" s="106"/>
      <c r="UPB1241" s="106"/>
      <c r="UPC1241" s="106"/>
      <c r="UPD1241" s="106"/>
      <c r="UPE1241" s="106"/>
      <c r="UPF1241" s="106"/>
      <c r="UPG1241" s="106"/>
      <c r="UPH1241" s="106"/>
      <c r="UPI1241" s="106"/>
      <c r="UPJ1241" s="106"/>
      <c r="UPK1241" s="106"/>
      <c r="UPL1241" s="106"/>
      <c r="UPM1241" s="106"/>
      <c r="UPN1241" s="106"/>
      <c r="UPO1241" s="106"/>
      <c r="UPP1241" s="106"/>
      <c r="UPQ1241" s="106"/>
      <c r="UPR1241" s="106"/>
      <c r="UPS1241" s="106"/>
      <c r="UPT1241" s="106"/>
      <c r="UPU1241" s="106"/>
      <c r="UPV1241" s="106"/>
      <c r="UPW1241" s="106"/>
      <c r="UPX1241" s="106"/>
      <c r="UPY1241" s="106"/>
      <c r="UPZ1241" s="106"/>
      <c r="UQA1241" s="106"/>
      <c r="UQB1241" s="106"/>
      <c r="UQC1241" s="106"/>
      <c r="UQD1241" s="106"/>
      <c r="UQE1241" s="106"/>
      <c r="UQF1241" s="106"/>
      <c r="UQG1241" s="106"/>
      <c r="UQH1241" s="106"/>
      <c r="UQI1241" s="106"/>
      <c r="UQJ1241" s="106"/>
      <c r="UQK1241" s="106"/>
      <c r="UQL1241" s="106"/>
      <c r="UQM1241" s="106"/>
      <c r="UQN1241" s="106"/>
      <c r="UQO1241" s="106"/>
      <c r="UQP1241" s="106"/>
      <c r="UQQ1241" s="106"/>
      <c r="UQR1241" s="106"/>
      <c r="UQS1241" s="106"/>
      <c r="UQT1241" s="106"/>
      <c r="UQU1241" s="106"/>
      <c r="UQV1241" s="106"/>
      <c r="UQW1241" s="106"/>
      <c r="UQX1241" s="106"/>
      <c r="UQY1241" s="106"/>
      <c r="UQZ1241" s="106"/>
      <c r="URA1241" s="106"/>
      <c r="URB1241" s="106"/>
      <c r="URC1241" s="106"/>
      <c r="URD1241" s="106"/>
      <c r="URE1241" s="106"/>
      <c r="URF1241" s="106"/>
      <c r="URG1241" s="106"/>
      <c r="URH1241" s="106"/>
      <c r="URI1241" s="106"/>
      <c r="URJ1241" s="106"/>
      <c r="URK1241" s="106"/>
      <c r="URL1241" s="106"/>
      <c r="URM1241" s="106"/>
      <c r="URN1241" s="106"/>
      <c r="URO1241" s="106"/>
      <c r="URP1241" s="106"/>
      <c r="URQ1241" s="106"/>
      <c r="URR1241" s="106"/>
      <c r="URS1241" s="106"/>
      <c r="URT1241" s="106"/>
      <c r="URU1241" s="106"/>
      <c r="URV1241" s="106"/>
      <c r="URW1241" s="106"/>
      <c r="URX1241" s="106"/>
      <c r="URY1241" s="106"/>
      <c r="URZ1241" s="106"/>
      <c r="USA1241" s="106"/>
      <c r="USB1241" s="106"/>
      <c r="USC1241" s="106"/>
      <c r="USD1241" s="106"/>
      <c r="USE1241" s="106"/>
      <c r="USF1241" s="106"/>
      <c r="USG1241" s="106"/>
      <c r="USH1241" s="106"/>
      <c r="USI1241" s="106"/>
      <c r="USJ1241" s="106"/>
      <c r="USK1241" s="106"/>
      <c r="USL1241" s="106"/>
      <c r="USM1241" s="106"/>
      <c r="USN1241" s="106"/>
      <c r="USO1241" s="106"/>
      <c r="USP1241" s="106"/>
      <c r="USQ1241" s="106"/>
      <c r="USR1241" s="106"/>
      <c r="USS1241" s="106"/>
      <c r="UST1241" s="106"/>
      <c r="USU1241" s="106"/>
      <c r="USV1241" s="106"/>
      <c r="USW1241" s="106"/>
      <c r="USX1241" s="106"/>
      <c r="USY1241" s="106"/>
      <c r="USZ1241" s="106"/>
      <c r="UTA1241" s="106"/>
      <c r="UTB1241" s="106"/>
      <c r="UTC1241" s="106"/>
      <c r="UTD1241" s="106"/>
      <c r="UTE1241" s="106"/>
      <c r="UTF1241" s="106"/>
      <c r="UTG1241" s="106"/>
      <c r="UTH1241" s="106"/>
      <c r="UTI1241" s="106"/>
      <c r="UTJ1241" s="106"/>
      <c r="UTK1241" s="106"/>
      <c r="UTL1241" s="106"/>
      <c r="UTM1241" s="106"/>
      <c r="UTN1241" s="106"/>
      <c r="UTO1241" s="106"/>
      <c r="UTP1241" s="106"/>
      <c r="UTQ1241" s="106"/>
      <c r="UTR1241" s="106"/>
      <c r="UTS1241" s="106"/>
      <c r="UTT1241" s="106"/>
      <c r="UTU1241" s="106"/>
      <c r="UTV1241" s="106"/>
      <c r="UTW1241" s="106"/>
      <c r="UTX1241" s="106"/>
      <c r="UTY1241" s="106"/>
      <c r="UTZ1241" s="106"/>
      <c r="UUA1241" s="106"/>
      <c r="UUB1241" s="106"/>
      <c r="UUC1241" s="106"/>
      <c r="UUD1241" s="106"/>
      <c r="UUE1241" s="106"/>
      <c r="UUF1241" s="106"/>
      <c r="UUG1241" s="106"/>
      <c r="UUH1241" s="106"/>
      <c r="UUI1241" s="106"/>
      <c r="UUJ1241" s="106"/>
      <c r="UUK1241" s="106"/>
      <c r="UUL1241" s="106"/>
      <c r="UUM1241" s="106"/>
      <c r="UUN1241" s="106"/>
      <c r="UUO1241" s="106"/>
      <c r="UUP1241" s="106"/>
      <c r="UUQ1241" s="106"/>
      <c r="UUR1241" s="106"/>
      <c r="UUS1241" s="106"/>
      <c r="UUT1241" s="106"/>
      <c r="UUU1241" s="106"/>
      <c r="UUV1241" s="106"/>
      <c r="UUW1241" s="106"/>
      <c r="UUX1241" s="106"/>
      <c r="UUY1241" s="106"/>
      <c r="UUZ1241" s="106"/>
      <c r="UVA1241" s="106"/>
      <c r="UVB1241" s="106"/>
      <c r="UVC1241" s="106"/>
      <c r="UVD1241" s="106"/>
      <c r="UVE1241" s="106"/>
      <c r="UVF1241" s="106"/>
      <c r="UVG1241" s="106"/>
      <c r="UVH1241" s="106"/>
      <c r="UVI1241" s="106"/>
      <c r="UVJ1241" s="106"/>
      <c r="UVK1241" s="106"/>
      <c r="UVL1241" s="106"/>
      <c r="UVM1241" s="106"/>
      <c r="UVN1241" s="106"/>
      <c r="UVO1241" s="106"/>
      <c r="UVP1241" s="106"/>
      <c r="UVQ1241" s="106"/>
      <c r="UVR1241" s="106"/>
      <c r="UVS1241" s="106"/>
      <c r="UVT1241" s="106"/>
      <c r="UVU1241" s="106"/>
      <c r="UVV1241" s="106"/>
      <c r="UVW1241" s="106"/>
      <c r="UVX1241" s="106"/>
      <c r="UVY1241" s="106"/>
      <c r="UVZ1241" s="106"/>
      <c r="UWA1241" s="106"/>
      <c r="UWB1241" s="106"/>
      <c r="UWC1241" s="106"/>
      <c r="UWD1241" s="106"/>
      <c r="UWE1241" s="106"/>
      <c r="UWF1241" s="106"/>
      <c r="UWG1241" s="106"/>
      <c r="UWH1241" s="106"/>
      <c r="UWI1241" s="106"/>
      <c r="UWJ1241" s="106"/>
      <c r="UWK1241" s="106"/>
      <c r="UWL1241" s="106"/>
      <c r="UWM1241" s="106"/>
      <c r="UWN1241" s="106"/>
      <c r="UWO1241" s="106"/>
      <c r="UWP1241" s="106"/>
      <c r="UWQ1241" s="106"/>
      <c r="UWR1241" s="106"/>
      <c r="UWS1241" s="106"/>
      <c r="UWT1241" s="106"/>
      <c r="UWU1241" s="106"/>
      <c r="UWV1241" s="106"/>
      <c r="UWW1241" s="106"/>
      <c r="UWX1241" s="106"/>
      <c r="UWY1241" s="106"/>
      <c r="UWZ1241" s="106"/>
      <c r="UXA1241" s="106"/>
      <c r="UXB1241" s="106"/>
      <c r="UXC1241" s="106"/>
      <c r="UXD1241" s="106"/>
      <c r="UXE1241" s="106"/>
      <c r="UXF1241" s="106"/>
      <c r="UXG1241" s="106"/>
      <c r="UXH1241" s="106"/>
      <c r="UXI1241" s="106"/>
      <c r="UXJ1241" s="106"/>
      <c r="UXK1241" s="106"/>
      <c r="UXL1241" s="106"/>
      <c r="UXM1241" s="106"/>
      <c r="UXN1241" s="106"/>
      <c r="UXO1241" s="106"/>
      <c r="UXP1241" s="106"/>
      <c r="UXQ1241" s="106"/>
      <c r="UXR1241" s="106"/>
      <c r="UXS1241" s="106"/>
      <c r="UXT1241" s="106"/>
      <c r="UXU1241" s="106"/>
      <c r="UXV1241" s="106"/>
      <c r="UXW1241" s="106"/>
      <c r="UXX1241" s="106"/>
      <c r="UXY1241" s="106"/>
      <c r="UXZ1241" s="106"/>
      <c r="UYA1241" s="106"/>
      <c r="UYB1241" s="106"/>
      <c r="UYC1241" s="106"/>
      <c r="UYD1241" s="106"/>
      <c r="UYE1241" s="106"/>
      <c r="UYF1241" s="106"/>
      <c r="UYG1241" s="106"/>
      <c r="UYH1241" s="106"/>
      <c r="UYI1241" s="106"/>
      <c r="UYJ1241" s="106"/>
      <c r="UYK1241" s="106"/>
      <c r="UYL1241" s="106"/>
      <c r="UYM1241" s="106"/>
      <c r="UYN1241" s="106"/>
      <c r="UYO1241" s="106"/>
      <c r="UYP1241" s="106"/>
      <c r="UYQ1241" s="106"/>
      <c r="UYR1241" s="106"/>
      <c r="UYS1241" s="106"/>
      <c r="UYT1241" s="106"/>
      <c r="UYU1241" s="106"/>
      <c r="UYV1241" s="106"/>
      <c r="UYW1241" s="106"/>
      <c r="UYX1241" s="106"/>
      <c r="UYY1241" s="106"/>
      <c r="UYZ1241" s="106"/>
      <c r="UZA1241" s="106"/>
      <c r="UZB1241" s="106"/>
      <c r="UZC1241" s="106"/>
      <c r="UZD1241" s="106"/>
      <c r="UZE1241" s="106"/>
      <c r="UZF1241" s="106"/>
      <c r="UZG1241" s="106"/>
      <c r="UZH1241" s="106"/>
      <c r="UZI1241" s="106"/>
      <c r="UZJ1241" s="106"/>
      <c r="UZK1241" s="106"/>
      <c r="UZL1241" s="106"/>
      <c r="UZM1241" s="106"/>
      <c r="UZN1241" s="106"/>
      <c r="UZO1241" s="106"/>
      <c r="UZP1241" s="106"/>
      <c r="UZQ1241" s="106"/>
      <c r="UZR1241" s="106"/>
      <c r="UZS1241" s="106"/>
      <c r="UZT1241" s="106"/>
      <c r="UZU1241" s="106"/>
      <c r="UZV1241" s="106"/>
      <c r="UZW1241" s="106"/>
      <c r="UZX1241" s="106"/>
      <c r="UZY1241" s="106"/>
      <c r="UZZ1241" s="106"/>
      <c r="VAA1241" s="106"/>
      <c r="VAB1241" s="106"/>
      <c r="VAC1241" s="106"/>
      <c r="VAD1241" s="106"/>
      <c r="VAE1241" s="106"/>
      <c r="VAF1241" s="106"/>
      <c r="VAG1241" s="106"/>
      <c r="VAH1241" s="106"/>
      <c r="VAI1241" s="106"/>
      <c r="VAJ1241" s="106"/>
      <c r="VAK1241" s="106"/>
      <c r="VAL1241" s="106"/>
      <c r="VAM1241" s="106"/>
      <c r="VAN1241" s="106"/>
      <c r="VAO1241" s="106"/>
      <c r="VAP1241" s="106"/>
      <c r="VAQ1241" s="106"/>
      <c r="VAR1241" s="106"/>
      <c r="VAS1241" s="106"/>
      <c r="VAT1241" s="106"/>
      <c r="VAU1241" s="106"/>
      <c r="VAV1241" s="106"/>
      <c r="VAW1241" s="106"/>
      <c r="VAX1241" s="106"/>
      <c r="VAY1241" s="106"/>
      <c r="VAZ1241" s="106"/>
      <c r="VBA1241" s="106"/>
      <c r="VBB1241" s="106"/>
      <c r="VBC1241" s="106"/>
      <c r="VBD1241" s="106"/>
      <c r="VBE1241" s="106"/>
      <c r="VBF1241" s="106"/>
      <c r="VBG1241" s="106"/>
      <c r="VBH1241" s="106"/>
      <c r="VBI1241" s="106"/>
      <c r="VBJ1241" s="106"/>
      <c r="VBK1241" s="106"/>
      <c r="VBL1241" s="106"/>
      <c r="VBM1241" s="106"/>
      <c r="VBN1241" s="106"/>
      <c r="VBO1241" s="106"/>
      <c r="VBP1241" s="106"/>
      <c r="VBQ1241" s="106"/>
      <c r="VBR1241" s="106"/>
      <c r="VBS1241" s="106"/>
      <c r="VBT1241" s="106"/>
      <c r="VBU1241" s="106"/>
      <c r="VBV1241" s="106"/>
      <c r="VBW1241" s="106"/>
      <c r="VBX1241" s="106"/>
      <c r="VBY1241" s="106"/>
      <c r="VBZ1241" s="106"/>
      <c r="VCA1241" s="106"/>
      <c r="VCB1241" s="106"/>
      <c r="VCC1241" s="106"/>
      <c r="VCD1241" s="106"/>
      <c r="VCE1241" s="106"/>
      <c r="VCF1241" s="106"/>
      <c r="VCG1241" s="106"/>
      <c r="VCH1241" s="106"/>
      <c r="VCI1241" s="106"/>
      <c r="VCJ1241" s="106"/>
      <c r="VCK1241" s="106"/>
      <c r="VCL1241" s="106"/>
      <c r="VCM1241" s="106"/>
      <c r="VCN1241" s="106"/>
      <c r="VCO1241" s="106"/>
      <c r="VCP1241" s="106"/>
      <c r="VCQ1241" s="106"/>
      <c r="VCR1241" s="106"/>
      <c r="VCS1241" s="106"/>
      <c r="VCT1241" s="106"/>
      <c r="VCU1241" s="106"/>
      <c r="VCV1241" s="106"/>
      <c r="VCW1241" s="106"/>
      <c r="VCX1241" s="106"/>
      <c r="VCY1241" s="106"/>
      <c r="VCZ1241" s="106"/>
      <c r="VDA1241" s="106"/>
      <c r="VDB1241" s="106"/>
      <c r="VDC1241" s="106"/>
      <c r="VDD1241" s="106"/>
      <c r="VDE1241" s="106"/>
      <c r="VDF1241" s="106"/>
      <c r="VDG1241" s="106"/>
      <c r="VDH1241" s="106"/>
      <c r="VDI1241" s="106"/>
      <c r="VDJ1241" s="106"/>
      <c r="VDK1241" s="106"/>
      <c r="VDL1241" s="106"/>
      <c r="VDM1241" s="106"/>
      <c r="VDN1241" s="106"/>
      <c r="VDO1241" s="106"/>
      <c r="VDP1241" s="106"/>
      <c r="VDQ1241" s="106"/>
      <c r="VDR1241" s="106"/>
      <c r="VDS1241" s="106"/>
      <c r="VDT1241" s="106"/>
      <c r="VDU1241" s="106"/>
      <c r="VDV1241" s="106"/>
      <c r="VDW1241" s="106"/>
      <c r="VDX1241" s="106"/>
      <c r="VDY1241" s="106"/>
      <c r="VDZ1241" s="106"/>
      <c r="VEA1241" s="106"/>
      <c r="VEB1241" s="106"/>
      <c r="VEC1241" s="106"/>
      <c r="VED1241" s="106"/>
      <c r="VEE1241" s="106"/>
      <c r="VEF1241" s="106"/>
      <c r="VEG1241" s="106"/>
      <c r="VEH1241" s="106"/>
      <c r="VEI1241" s="106"/>
      <c r="VEJ1241" s="106"/>
      <c r="VEK1241" s="106"/>
      <c r="VEL1241" s="106"/>
      <c r="VEM1241" s="106"/>
      <c r="VEN1241" s="106"/>
      <c r="VEO1241" s="106"/>
      <c r="VEP1241" s="106"/>
      <c r="VEQ1241" s="106"/>
      <c r="VER1241" s="106"/>
      <c r="VES1241" s="106"/>
      <c r="VET1241" s="106"/>
      <c r="VEU1241" s="106"/>
      <c r="VEV1241" s="106"/>
      <c r="VEW1241" s="106"/>
      <c r="VEX1241" s="106"/>
      <c r="VEY1241" s="106"/>
      <c r="VEZ1241" s="106"/>
      <c r="VFA1241" s="106"/>
      <c r="VFB1241" s="106"/>
      <c r="VFC1241" s="106"/>
      <c r="VFD1241" s="106"/>
      <c r="VFE1241" s="106"/>
      <c r="VFF1241" s="106"/>
      <c r="VFG1241" s="106"/>
      <c r="VFH1241" s="106"/>
      <c r="VFI1241" s="106"/>
      <c r="VFJ1241" s="106"/>
      <c r="VFK1241" s="106"/>
      <c r="VFL1241" s="106"/>
      <c r="VFM1241" s="106"/>
      <c r="VFN1241" s="106"/>
      <c r="VFO1241" s="106"/>
      <c r="VFP1241" s="106"/>
      <c r="VFQ1241" s="106"/>
      <c r="VFR1241" s="106"/>
      <c r="VFS1241" s="106"/>
      <c r="VFT1241" s="106"/>
      <c r="VFU1241" s="106"/>
      <c r="VFV1241" s="106"/>
      <c r="VFW1241" s="106"/>
      <c r="VFX1241" s="106"/>
      <c r="VFY1241" s="106"/>
      <c r="VFZ1241" s="106"/>
      <c r="VGA1241" s="106"/>
      <c r="VGB1241" s="106"/>
      <c r="VGC1241" s="106"/>
      <c r="VGD1241" s="106"/>
      <c r="VGE1241" s="106"/>
      <c r="VGF1241" s="106"/>
      <c r="VGG1241" s="106"/>
      <c r="VGH1241" s="106"/>
      <c r="VGI1241" s="106"/>
      <c r="VGJ1241" s="106"/>
      <c r="VGK1241" s="106"/>
      <c r="VGL1241" s="106"/>
      <c r="VGM1241" s="106"/>
      <c r="VGN1241" s="106"/>
      <c r="VGO1241" s="106"/>
      <c r="VGP1241" s="106"/>
      <c r="VGQ1241" s="106"/>
      <c r="VGR1241" s="106"/>
      <c r="VGS1241" s="106"/>
      <c r="VGT1241" s="106"/>
      <c r="VGU1241" s="106"/>
      <c r="VGV1241" s="106"/>
      <c r="VGW1241" s="106"/>
      <c r="VGX1241" s="106"/>
      <c r="VGY1241" s="106"/>
      <c r="VGZ1241" s="106"/>
      <c r="VHA1241" s="106"/>
      <c r="VHB1241" s="106"/>
      <c r="VHC1241" s="106"/>
      <c r="VHD1241" s="106"/>
      <c r="VHE1241" s="106"/>
      <c r="VHF1241" s="106"/>
      <c r="VHG1241" s="106"/>
      <c r="VHH1241" s="106"/>
      <c r="VHI1241" s="106"/>
      <c r="VHJ1241" s="106"/>
      <c r="VHK1241" s="106"/>
      <c r="VHL1241" s="106"/>
      <c r="VHM1241" s="106"/>
      <c r="VHN1241" s="106"/>
      <c r="VHO1241" s="106"/>
      <c r="VHP1241" s="106"/>
      <c r="VHQ1241" s="106"/>
      <c r="VHR1241" s="106"/>
      <c r="VHS1241" s="106"/>
      <c r="VHT1241" s="106"/>
      <c r="VHU1241" s="106"/>
      <c r="VHV1241" s="106"/>
      <c r="VHW1241" s="106"/>
      <c r="VHX1241" s="106"/>
      <c r="VHY1241" s="106"/>
      <c r="VHZ1241" s="106"/>
      <c r="VIA1241" s="106"/>
      <c r="VIB1241" s="106"/>
      <c r="VIC1241" s="106"/>
      <c r="VID1241" s="106"/>
      <c r="VIE1241" s="106"/>
      <c r="VIF1241" s="106"/>
      <c r="VIG1241" s="106"/>
      <c r="VIH1241" s="106"/>
      <c r="VII1241" s="106"/>
      <c r="VIJ1241" s="106"/>
      <c r="VIK1241" s="106"/>
      <c r="VIL1241" s="106"/>
      <c r="VIM1241" s="106"/>
      <c r="VIN1241" s="106"/>
      <c r="VIO1241" s="106"/>
      <c r="VIP1241" s="106"/>
      <c r="VIQ1241" s="106"/>
      <c r="VIR1241" s="106"/>
      <c r="VIS1241" s="106"/>
      <c r="VIT1241" s="106"/>
      <c r="VIU1241" s="106"/>
      <c r="VIV1241" s="106"/>
      <c r="VIW1241" s="106"/>
      <c r="VIX1241" s="106"/>
      <c r="VIY1241" s="106"/>
      <c r="VIZ1241" s="106"/>
      <c r="VJA1241" s="106"/>
      <c r="VJB1241" s="106"/>
      <c r="VJC1241" s="106"/>
      <c r="VJD1241" s="106"/>
      <c r="VJE1241" s="106"/>
      <c r="VJF1241" s="106"/>
      <c r="VJG1241" s="106"/>
      <c r="VJH1241" s="106"/>
      <c r="VJI1241" s="106"/>
      <c r="VJJ1241" s="106"/>
      <c r="VJK1241" s="106"/>
      <c r="VJL1241" s="106"/>
      <c r="VJM1241" s="106"/>
      <c r="VJN1241" s="106"/>
      <c r="VJO1241" s="106"/>
      <c r="VJP1241" s="106"/>
      <c r="VJQ1241" s="106"/>
      <c r="VJR1241" s="106"/>
      <c r="VJS1241" s="106"/>
      <c r="VJT1241" s="106"/>
      <c r="VJU1241" s="106"/>
      <c r="VJV1241" s="106"/>
      <c r="VJW1241" s="106"/>
      <c r="VJX1241" s="106"/>
      <c r="VJY1241" s="106"/>
      <c r="VJZ1241" s="106"/>
      <c r="VKA1241" s="106"/>
      <c r="VKB1241" s="106"/>
      <c r="VKC1241" s="106"/>
      <c r="VKD1241" s="106"/>
      <c r="VKE1241" s="106"/>
      <c r="VKF1241" s="106"/>
      <c r="VKG1241" s="106"/>
      <c r="VKH1241" s="106"/>
      <c r="VKI1241" s="106"/>
      <c r="VKJ1241" s="106"/>
      <c r="VKK1241" s="106"/>
      <c r="VKL1241" s="106"/>
      <c r="VKM1241" s="106"/>
      <c r="VKN1241" s="106"/>
      <c r="VKO1241" s="106"/>
      <c r="VKP1241" s="106"/>
      <c r="VKQ1241" s="106"/>
      <c r="VKR1241" s="106"/>
      <c r="VKS1241" s="106"/>
      <c r="VKT1241" s="106"/>
      <c r="VKU1241" s="106"/>
      <c r="VKV1241" s="106"/>
      <c r="VKW1241" s="106"/>
      <c r="VKX1241" s="106"/>
      <c r="VKY1241" s="106"/>
      <c r="VKZ1241" s="106"/>
      <c r="VLA1241" s="106"/>
      <c r="VLB1241" s="106"/>
      <c r="VLC1241" s="106"/>
      <c r="VLD1241" s="106"/>
      <c r="VLE1241" s="106"/>
      <c r="VLF1241" s="106"/>
      <c r="VLG1241" s="106"/>
      <c r="VLH1241" s="106"/>
      <c r="VLI1241" s="106"/>
      <c r="VLJ1241" s="106"/>
      <c r="VLK1241" s="106"/>
      <c r="VLL1241" s="106"/>
      <c r="VLM1241" s="106"/>
      <c r="VLN1241" s="106"/>
      <c r="VLO1241" s="106"/>
      <c r="VLP1241" s="106"/>
      <c r="VLQ1241" s="106"/>
      <c r="VLR1241" s="106"/>
      <c r="VLS1241" s="106"/>
      <c r="VLT1241" s="106"/>
      <c r="VLU1241" s="106"/>
      <c r="VLV1241" s="106"/>
      <c r="VLW1241" s="106"/>
      <c r="VLX1241" s="106"/>
      <c r="VLY1241" s="106"/>
      <c r="VLZ1241" s="106"/>
      <c r="VMA1241" s="106"/>
      <c r="VMB1241" s="106"/>
      <c r="VMC1241" s="106"/>
      <c r="VMD1241" s="106"/>
      <c r="VME1241" s="106"/>
      <c r="VMF1241" s="106"/>
      <c r="VMG1241" s="106"/>
      <c r="VMH1241" s="106"/>
      <c r="VMI1241" s="106"/>
      <c r="VMJ1241" s="106"/>
      <c r="VMK1241" s="106"/>
      <c r="VML1241" s="106"/>
      <c r="VMM1241" s="106"/>
      <c r="VMN1241" s="106"/>
      <c r="VMO1241" s="106"/>
      <c r="VMP1241" s="106"/>
      <c r="VMQ1241" s="106"/>
      <c r="VMR1241" s="106"/>
      <c r="VMS1241" s="106"/>
      <c r="VMT1241" s="106"/>
      <c r="VMU1241" s="106"/>
      <c r="VMV1241" s="106"/>
      <c r="VMW1241" s="106"/>
      <c r="VMX1241" s="106"/>
      <c r="VMY1241" s="106"/>
      <c r="VMZ1241" s="106"/>
      <c r="VNA1241" s="106"/>
      <c r="VNB1241" s="106"/>
      <c r="VNC1241" s="106"/>
      <c r="VND1241" s="106"/>
      <c r="VNE1241" s="106"/>
      <c r="VNF1241" s="106"/>
      <c r="VNG1241" s="106"/>
      <c r="VNH1241" s="106"/>
      <c r="VNI1241" s="106"/>
      <c r="VNJ1241" s="106"/>
      <c r="VNK1241" s="106"/>
      <c r="VNL1241" s="106"/>
      <c r="VNM1241" s="106"/>
      <c r="VNN1241" s="106"/>
      <c r="VNO1241" s="106"/>
      <c r="VNP1241" s="106"/>
      <c r="VNQ1241" s="106"/>
      <c r="VNR1241" s="106"/>
      <c r="VNS1241" s="106"/>
      <c r="VNT1241" s="106"/>
      <c r="VNU1241" s="106"/>
      <c r="VNV1241" s="106"/>
      <c r="VNW1241" s="106"/>
      <c r="VNX1241" s="106"/>
      <c r="VNY1241" s="106"/>
      <c r="VNZ1241" s="106"/>
      <c r="VOA1241" s="106"/>
      <c r="VOB1241" s="106"/>
      <c r="VOC1241" s="106"/>
      <c r="VOD1241" s="106"/>
      <c r="VOE1241" s="106"/>
      <c r="VOF1241" s="106"/>
      <c r="VOG1241" s="106"/>
      <c r="VOH1241" s="106"/>
      <c r="VOI1241" s="106"/>
      <c r="VOJ1241" s="106"/>
      <c r="VOK1241" s="106"/>
      <c r="VOL1241" s="106"/>
      <c r="VOM1241" s="106"/>
      <c r="VON1241" s="106"/>
      <c r="VOO1241" s="106"/>
      <c r="VOP1241" s="106"/>
      <c r="VOQ1241" s="106"/>
      <c r="VOR1241" s="106"/>
      <c r="VOS1241" s="106"/>
      <c r="VOT1241" s="106"/>
      <c r="VOU1241" s="106"/>
      <c r="VOV1241" s="106"/>
      <c r="VOW1241" s="106"/>
      <c r="VOX1241" s="106"/>
      <c r="VOY1241" s="106"/>
      <c r="VOZ1241" s="106"/>
      <c r="VPA1241" s="106"/>
      <c r="VPB1241" s="106"/>
      <c r="VPC1241" s="106"/>
      <c r="VPD1241" s="106"/>
      <c r="VPE1241" s="106"/>
      <c r="VPF1241" s="106"/>
      <c r="VPG1241" s="106"/>
      <c r="VPH1241" s="106"/>
      <c r="VPI1241" s="106"/>
      <c r="VPJ1241" s="106"/>
      <c r="VPK1241" s="106"/>
      <c r="VPL1241" s="106"/>
      <c r="VPM1241" s="106"/>
      <c r="VPN1241" s="106"/>
      <c r="VPO1241" s="106"/>
      <c r="VPP1241" s="106"/>
      <c r="VPQ1241" s="106"/>
      <c r="VPR1241" s="106"/>
      <c r="VPS1241" s="106"/>
      <c r="VPT1241" s="106"/>
      <c r="VPU1241" s="106"/>
      <c r="VPV1241" s="106"/>
      <c r="VPW1241" s="106"/>
      <c r="VPX1241" s="106"/>
      <c r="VPY1241" s="106"/>
      <c r="VPZ1241" s="106"/>
      <c r="VQA1241" s="106"/>
      <c r="VQB1241" s="106"/>
      <c r="VQC1241" s="106"/>
      <c r="VQD1241" s="106"/>
      <c r="VQE1241" s="106"/>
      <c r="VQF1241" s="106"/>
      <c r="VQG1241" s="106"/>
      <c r="VQH1241" s="106"/>
      <c r="VQI1241" s="106"/>
      <c r="VQJ1241" s="106"/>
      <c r="VQK1241" s="106"/>
      <c r="VQL1241" s="106"/>
      <c r="VQM1241" s="106"/>
      <c r="VQN1241" s="106"/>
      <c r="VQO1241" s="106"/>
      <c r="VQP1241" s="106"/>
      <c r="VQQ1241" s="106"/>
      <c r="VQR1241" s="106"/>
      <c r="VQS1241" s="106"/>
      <c r="VQT1241" s="106"/>
      <c r="VQU1241" s="106"/>
      <c r="VQV1241" s="106"/>
      <c r="VQW1241" s="106"/>
      <c r="VQX1241" s="106"/>
      <c r="VQY1241" s="106"/>
      <c r="VQZ1241" s="106"/>
      <c r="VRA1241" s="106"/>
      <c r="VRB1241" s="106"/>
      <c r="VRC1241" s="106"/>
      <c r="VRD1241" s="106"/>
      <c r="VRE1241" s="106"/>
      <c r="VRF1241" s="106"/>
      <c r="VRG1241" s="106"/>
      <c r="VRH1241" s="106"/>
      <c r="VRI1241" s="106"/>
      <c r="VRJ1241" s="106"/>
      <c r="VRK1241" s="106"/>
      <c r="VRL1241" s="106"/>
      <c r="VRM1241" s="106"/>
      <c r="VRN1241" s="106"/>
      <c r="VRO1241" s="106"/>
      <c r="VRP1241" s="106"/>
      <c r="VRQ1241" s="106"/>
      <c r="VRR1241" s="106"/>
      <c r="VRS1241" s="106"/>
      <c r="VRT1241" s="106"/>
      <c r="VRU1241" s="106"/>
      <c r="VRV1241" s="106"/>
      <c r="VRW1241" s="106"/>
      <c r="VRX1241" s="106"/>
      <c r="VRY1241" s="106"/>
      <c r="VRZ1241" s="106"/>
      <c r="VSA1241" s="106"/>
      <c r="VSB1241" s="106"/>
      <c r="VSC1241" s="106"/>
      <c r="VSD1241" s="106"/>
      <c r="VSE1241" s="106"/>
      <c r="VSF1241" s="106"/>
      <c r="VSG1241" s="106"/>
      <c r="VSH1241" s="106"/>
      <c r="VSI1241" s="106"/>
      <c r="VSJ1241" s="106"/>
      <c r="VSK1241" s="106"/>
      <c r="VSL1241" s="106"/>
      <c r="VSM1241" s="106"/>
      <c r="VSN1241" s="106"/>
      <c r="VSO1241" s="106"/>
      <c r="VSP1241" s="106"/>
      <c r="VSQ1241" s="106"/>
      <c r="VSR1241" s="106"/>
      <c r="VSS1241" s="106"/>
      <c r="VST1241" s="106"/>
      <c r="VSU1241" s="106"/>
      <c r="VSV1241" s="106"/>
      <c r="VSW1241" s="106"/>
      <c r="VSX1241" s="106"/>
      <c r="VSY1241" s="106"/>
      <c r="VSZ1241" s="106"/>
      <c r="VTA1241" s="106"/>
      <c r="VTB1241" s="106"/>
      <c r="VTC1241" s="106"/>
      <c r="VTD1241" s="106"/>
      <c r="VTE1241" s="106"/>
      <c r="VTF1241" s="106"/>
      <c r="VTG1241" s="106"/>
      <c r="VTH1241" s="106"/>
      <c r="VTI1241" s="106"/>
      <c r="VTJ1241" s="106"/>
      <c r="VTK1241" s="106"/>
      <c r="VTL1241" s="106"/>
      <c r="VTM1241" s="106"/>
      <c r="VTN1241" s="106"/>
      <c r="VTO1241" s="106"/>
      <c r="VTP1241" s="106"/>
      <c r="VTQ1241" s="106"/>
      <c r="VTR1241" s="106"/>
      <c r="VTS1241" s="106"/>
      <c r="VTT1241" s="106"/>
      <c r="VTU1241" s="106"/>
      <c r="VTV1241" s="106"/>
      <c r="VTW1241" s="106"/>
      <c r="VTX1241" s="106"/>
      <c r="VTY1241" s="106"/>
      <c r="VTZ1241" s="106"/>
      <c r="VUA1241" s="106"/>
      <c r="VUB1241" s="106"/>
      <c r="VUC1241" s="106"/>
      <c r="VUD1241" s="106"/>
      <c r="VUE1241" s="106"/>
      <c r="VUF1241" s="106"/>
      <c r="VUG1241" s="106"/>
      <c r="VUH1241" s="106"/>
      <c r="VUI1241" s="106"/>
      <c r="VUJ1241" s="106"/>
      <c r="VUK1241" s="106"/>
      <c r="VUL1241" s="106"/>
      <c r="VUM1241" s="106"/>
      <c r="VUN1241" s="106"/>
      <c r="VUO1241" s="106"/>
      <c r="VUP1241" s="106"/>
      <c r="VUQ1241" s="106"/>
      <c r="VUR1241" s="106"/>
      <c r="VUS1241" s="106"/>
      <c r="VUT1241" s="106"/>
      <c r="VUU1241" s="106"/>
      <c r="VUV1241" s="106"/>
      <c r="VUW1241" s="106"/>
      <c r="VUX1241" s="106"/>
      <c r="VUY1241" s="106"/>
      <c r="VUZ1241" s="106"/>
      <c r="VVA1241" s="106"/>
      <c r="VVB1241" s="106"/>
      <c r="VVC1241" s="106"/>
      <c r="VVD1241" s="106"/>
      <c r="VVE1241" s="106"/>
      <c r="VVF1241" s="106"/>
      <c r="VVG1241" s="106"/>
      <c r="VVH1241" s="106"/>
      <c r="VVI1241" s="106"/>
      <c r="VVJ1241" s="106"/>
      <c r="VVK1241" s="106"/>
      <c r="VVL1241" s="106"/>
      <c r="VVM1241" s="106"/>
      <c r="VVN1241" s="106"/>
      <c r="VVO1241" s="106"/>
      <c r="VVP1241" s="106"/>
      <c r="VVQ1241" s="106"/>
      <c r="VVR1241" s="106"/>
      <c r="VVS1241" s="106"/>
      <c r="VVT1241" s="106"/>
      <c r="VVU1241" s="106"/>
      <c r="VVV1241" s="106"/>
      <c r="VVW1241" s="106"/>
      <c r="VVX1241" s="106"/>
      <c r="VVY1241" s="106"/>
      <c r="VVZ1241" s="106"/>
      <c r="VWA1241" s="106"/>
      <c r="VWB1241" s="106"/>
      <c r="VWC1241" s="106"/>
      <c r="VWD1241" s="106"/>
      <c r="VWE1241" s="106"/>
      <c r="VWF1241" s="106"/>
      <c r="VWG1241" s="106"/>
      <c r="VWH1241" s="106"/>
      <c r="VWI1241" s="106"/>
      <c r="VWJ1241" s="106"/>
      <c r="VWK1241" s="106"/>
      <c r="VWL1241" s="106"/>
      <c r="VWM1241" s="106"/>
      <c r="VWN1241" s="106"/>
      <c r="VWO1241" s="106"/>
      <c r="VWP1241" s="106"/>
      <c r="VWQ1241" s="106"/>
      <c r="VWR1241" s="106"/>
      <c r="VWS1241" s="106"/>
      <c r="VWT1241" s="106"/>
      <c r="VWU1241" s="106"/>
      <c r="VWV1241" s="106"/>
      <c r="VWW1241" s="106"/>
      <c r="VWX1241" s="106"/>
      <c r="VWY1241" s="106"/>
      <c r="VWZ1241" s="106"/>
      <c r="VXA1241" s="106"/>
      <c r="VXB1241" s="106"/>
      <c r="VXC1241" s="106"/>
      <c r="VXD1241" s="106"/>
      <c r="VXE1241" s="106"/>
      <c r="VXF1241" s="106"/>
      <c r="VXG1241" s="106"/>
      <c r="VXH1241" s="106"/>
      <c r="VXI1241" s="106"/>
      <c r="VXJ1241" s="106"/>
      <c r="VXK1241" s="106"/>
      <c r="VXL1241" s="106"/>
      <c r="VXM1241" s="106"/>
      <c r="VXN1241" s="106"/>
      <c r="VXO1241" s="106"/>
      <c r="VXP1241" s="106"/>
      <c r="VXQ1241" s="106"/>
      <c r="VXR1241" s="106"/>
      <c r="VXS1241" s="106"/>
      <c r="VXT1241" s="106"/>
      <c r="VXU1241" s="106"/>
      <c r="VXV1241" s="106"/>
      <c r="VXW1241" s="106"/>
      <c r="VXX1241" s="106"/>
      <c r="VXY1241" s="106"/>
      <c r="VXZ1241" s="106"/>
      <c r="VYA1241" s="106"/>
      <c r="VYB1241" s="106"/>
      <c r="VYC1241" s="106"/>
      <c r="VYD1241" s="106"/>
      <c r="VYE1241" s="106"/>
      <c r="VYF1241" s="106"/>
      <c r="VYG1241" s="106"/>
      <c r="VYH1241" s="106"/>
      <c r="VYI1241" s="106"/>
      <c r="VYJ1241" s="106"/>
      <c r="VYK1241" s="106"/>
      <c r="VYL1241" s="106"/>
      <c r="VYM1241" s="106"/>
      <c r="VYN1241" s="106"/>
      <c r="VYO1241" s="106"/>
      <c r="VYP1241" s="106"/>
      <c r="VYQ1241" s="106"/>
      <c r="VYR1241" s="106"/>
      <c r="VYS1241" s="106"/>
      <c r="VYT1241" s="106"/>
      <c r="VYU1241" s="106"/>
      <c r="VYV1241" s="106"/>
      <c r="VYW1241" s="106"/>
      <c r="VYX1241" s="106"/>
      <c r="VYY1241" s="106"/>
      <c r="VYZ1241" s="106"/>
      <c r="VZA1241" s="106"/>
      <c r="VZB1241" s="106"/>
      <c r="VZC1241" s="106"/>
      <c r="VZD1241" s="106"/>
      <c r="VZE1241" s="106"/>
      <c r="VZF1241" s="106"/>
      <c r="VZG1241" s="106"/>
      <c r="VZH1241" s="106"/>
      <c r="VZI1241" s="106"/>
      <c r="VZJ1241" s="106"/>
      <c r="VZK1241" s="106"/>
      <c r="VZL1241" s="106"/>
      <c r="VZM1241" s="106"/>
      <c r="VZN1241" s="106"/>
      <c r="VZO1241" s="106"/>
      <c r="VZP1241" s="106"/>
      <c r="VZQ1241" s="106"/>
      <c r="VZR1241" s="106"/>
      <c r="VZS1241" s="106"/>
      <c r="VZT1241" s="106"/>
      <c r="VZU1241" s="106"/>
      <c r="VZV1241" s="106"/>
      <c r="VZW1241" s="106"/>
      <c r="VZX1241" s="106"/>
      <c r="VZY1241" s="106"/>
      <c r="VZZ1241" s="106"/>
      <c r="WAA1241" s="106"/>
      <c r="WAB1241" s="106"/>
      <c r="WAC1241" s="106"/>
      <c r="WAD1241" s="106"/>
      <c r="WAE1241" s="106"/>
      <c r="WAF1241" s="106"/>
      <c r="WAG1241" s="106"/>
      <c r="WAH1241" s="106"/>
      <c r="WAI1241" s="106"/>
      <c r="WAJ1241" s="106"/>
      <c r="WAK1241" s="106"/>
      <c r="WAL1241" s="106"/>
      <c r="WAM1241" s="106"/>
      <c r="WAN1241" s="106"/>
      <c r="WAO1241" s="106"/>
      <c r="WAP1241" s="106"/>
      <c r="WAQ1241" s="106"/>
      <c r="WAR1241" s="106"/>
      <c r="WAS1241" s="106"/>
      <c r="WAT1241" s="106"/>
      <c r="WAU1241" s="106"/>
      <c r="WAV1241" s="106"/>
      <c r="WAW1241" s="106"/>
      <c r="WAX1241" s="106"/>
      <c r="WAY1241" s="106"/>
      <c r="WAZ1241" s="106"/>
      <c r="WBA1241" s="106"/>
      <c r="WBB1241" s="106"/>
      <c r="WBC1241" s="106"/>
      <c r="WBD1241" s="106"/>
      <c r="WBE1241" s="106"/>
      <c r="WBF1241" s="106"/>
      <c r="WBG1241" s="106"/>
      <c r="WBH1241" s="106"/>
      <c r="WBI1241" s="106"/>
      <c r="WBJ1241" s="106"/>
      <c r="WBK1241" s="106"/>
      <c r="WBL1241" s="106"/>
      <c r="WBM1241" s="106"/>
      <c r="WBN1241" s="106"/>
      <c r="WBO1241" s="106"/>
      <c r="WBP1241" s="106"/>
      <c r="WBQ1241" s="106"/>
      <c r="WBR1241" s="106"/>
      <c r="WBS1241" s="106"/>
      <c r="WBT1241" s="106"/>
      <c r="WBU1241" s="106"/>
      <c r="WBV1241" s="106"/>
      <c r="WBW1241" s="106"/>
      <c r="WBX1241" s="106"/>
      <c r="WBY1241" s="106"/>
      <c r="WBZ1241" s="106"/>
      <c r="WCA1241" s="106"/>
      <c r="WCB1241" s="106"/>
      <c r="WCC1241" s="106"/>
      <c r="WCD1241" s="106"/>
      <c r="WCE1241" s="106"/>
      <c r="WCF1241" s="106"/>
      <c r="WCG1241" s="106"/>
      <c r="WCH1241" s="106"/>
      <c r="WCI1241" s="106"/>
      <c r="WCJ1241" s="106"/>
      <c r="WCK1241" s="106"/>
      <c r="WCL1241" s="106"/>
      <c r="WCM1241" s="106"/>
      <c r="WCN1241" s="106"/>
      <c r="WCO1241" s="106"/>
      <c r="WCP1241" s="106"/>
      <c r="WCQ1241" s="106"/>
      <c r="WCR1241" s="106"/>
      <c r="WCS1241" s="106"/>
      <c r="WCT1241" s="106"/>
      <c r="WCU1241" s="106"/>
      <c r="WCV1241" s="106"/>
      <c r="WCW1241" s="106"/>
      <c r="WCX1241" s="106"/>
      <c r="WCY1241" s="106"/>
      <c r="WCZ1241" s="106"/>
      <c r="WDA1241" s="106"/>
      <c r="WDB1241" s="106"/>
      <c r="WDC1241" s="106"/>
      <c r="WDD1241" s="106"/>
      <c r="WDE1241" s="106"/>
      <c r="WDF1241" s="106"/>
      <c r="WDG1241" s="106"/>
      <c r="WDH1241" s="106"/>
      <c r="WDI1241" s="106"/>
      <c r="WDJ1241" s="106"/>
      <c r="WDK1241" s="106"/>
      <c r="WDL1241" s="106"/>
      <c r="WDM1241" s="106"/>
      <c r="WDN1241" s="106"/>
      <c r="WDO1241" s="106"/>
      <c r="WDP1241" s="106"/>
      <c r="WDQ1241" s="106"/>
      <c r="WDR1241" s="106"/>
      <c r="WDS1241" s="106"/>
      <c r="WDT1241" s="106"/>
      <c r="WDU1241" s="106"/>
      <c r="WDV1241" s="106"/>
      <c r="WDW1241" s="106"/>
      <c r="WDX1241" s="106"/>
      <c r="WDY1241" s="106"/>
      <c r="WDZ1241" s="106"/>
      <c r="WEA1241" s="106"/>
      <c r="WEB1241" s="106"/>
      <c r="WEC1241" s="106"/>
      <c r="WED1241" s="106"/>
      <c r="WEE1241" s="106"/>
      <c r="WEF1241" s="106"/>
      <c r="WEG1241" s="106"/>
      <c r="WEH1241" s="106"/>
      <c r="WEI1241" s="106"/>
      <c r="WEJ1241" s="106"/>
      <c r="WEK1241" s="106"/>
      <c r="WEL1241" s="106"/>
      <c r="WEM1241" s="106"/>
      <c r="WEN1241" s="106"/>
      <c r="WEO1241" s="106"/>
      <c r="WEP1241" s="106"/>
      <c r="WEQ1241" s="106"/>
      <c r="WER1241" s="106"/>
      <c r="WES1241" s="106"/>
      <c r="WET1241" s="106"/>
      <c r="WEU1241" s="106"/>
      <c r="WEV1241" s="106"/>
      <c r="WEW1241" s="106"/>
      <c r="WEX1241" s="106"/>
      <c r="WEY1241" s="106"/>
      <c r="WEZ1241" s="106"/>
      <c r="WFA1241" s="106"/>
      <c r="WFB1241" s="106"/>
      <c r="WFC1241" s="106"/>
      <c r="WFD1241" s="106"/>
      <c r="WFE1241" s="106"/>
      <c r="WFF1241" s="106"/>
      <c r="WFG1241" s="106"/>
      <c r="WFH1241" s="106"/>
      <c r="WFI1241" s="106"/>
      <c r="WFJ1241" s="106"/>
      <c r="WFK1241" s="106"/>
      <c r="WFL1241" s="106"/>
      <c r="WFM1241" s="106"/>
      <c r="WFN1241" s="106"/>
      <c r="WFO1241" s="106"/>
      <c r="WFP1241" s="106"/>
      <c r="WFQ1241" s="106"/>
      <c r="WFR1241" s="106"/>
      <c r="WFS1241" s="106"/>
      <c r="WFT1241" s="106"/>
      <c r="WFU1241" s="106"/>
      <c r="WFV1241" s="106"/>
      <c r="WFW1241" s="106"/>
      <c r="WFX1241" s="106"/>
      <c r="WFY1241" s="106"/>
      <c r="WFZ1241" s="106"/>
      <c r="WGA1241" s="106"/>
      <c r="WGB1241" s="106"/>
      <c r="WGC1241" s="106"/>
      <c r="WGD1241" s="106"/>
      <c r="WGE1241" s="106"/>
      <c r="WGF1241" s="106"/>
      <c r="WGG1241" s="106"/>
      <c r="WGH1241" s="106"/>
      <c r="WGI1241" s="106"/>
      <c r="WGJ1241" s="106"/>
      <c r="WGK1241" s="106"/>
      <c r="WGL1241" s="106"/>
      <c r="WGM1241" s="106"/>
      <c r="WGN1241" s="106"/>
      <c r="WGO1241" s="106"/>
      <c r="WGP1241" s="106"/>
      <c r="WGQ1241" s="106"/>
      <c r="WGR1241" s="106"/>
      <c r="WGS1241" s="106"/>
      <c r="WGT1241" s="106"/>
      <c r="WGU1241" s="106"/>
      <c r="WGV1241" s="106"/>
      <c r="WGW1241" s="106"/>
      <c r="WGX1241" s="106"/>
      <c r="WGY1241" s="106"/>
      <c r="WGZ1241" s="106"/>
      <c r="WHA1241" s="106"/>
      <c r="WHB1241" s="106"/>
      <c r="WHC1241" s="106"/>
      <c r="WHD1241" s="106"/>
      <c r="WHE1241" s="106"/>
      <c r="WHF1241" s="106"/>
      <c r="WHG1241" s="106"/>
      <c r="WHH1241" s="106"/>
      <c r="WHI1241" s="106"/>
      <c r="WHJ1241" s="106"/>
      <c r="WHK1241" s="106"/>
      <c r="WHL1241" s="106"/>
      <c r="WHM1241" s="106"/>
      <c r="WHN1241" s="106"/>
      <c r="WHO1241" s="106"/>
      <c r="WHP1241" s="106"/>
      <c r="WHQ1241" s="106"/>
      <c r="WHR1241" s="106"/>
      <c r="WHS1241" s="106"/>
      <c r="WHT1241" s="106"/>
      <c r="WHU1241" s="106"/>
      <c r="WHV1241" s="106"/>
      <c r="WHW1241" s="106"/>
      <c r="WHX1241" s="106"/>
      <c r="WHY1241" s="106"/>
      <c r="WHZ1241" s="106"/>
      <c r="WIA1241" s="106"/>
      <c r="WIB1241" s="106"/>
      <c r="WIC1241" s="106"/>
      <c r="WID1241" s="106"/>
      <c r="WIE1241" s="106"/>
      <c r="WIF1241" s="106"/>
      <c r="WIG1241" s="106"/>
      <c r="WIH1241" s="106"/>
      <c r="WII1241" s="106"/>
      <c r="WIJ1241" s="106"/>
      <c r="WIK1241" s="106"/>
      <c r="WIL1241" s="106"/>
      <c r="WIM1241" s="106"/>
      <c r="WIN1241" s="106"/>
      <c r="WIO1241" s="106"/>
      <c r="WIP1241" s="106"/>
      <c r="WIQ1241" s="106"/>
      <c r="WIR1241" s="106"/>
      <c r="WIS1241" s="106"/>
      <c r="WIT1241" s="106"/>
      <c r="WIU1241" s="106"/>
      <c r="WIV1241" s="106"/>
      <c r="WIW1241" s="106"/>
      <c r="WIX1241" s="106"/>
      <c r="WIY1241" s="106"/>
      <c r="WIZ1241" s="106"/>
      <c r="WJA1241" s="106"/>
      <c r="WJB1241" s="106"/>
      <c r="WJC1241" s="106"/>
      <c r="WJD1241" s="106"/>
      <c r="WJE1241" s="106"/>
      <c r="WJF1241" s="106"/>
      <c r="WJG1241" s="106"/>
      <c r="WJH1241" s="106"/>
      <c r="WJI1241" s="106"/>
      <c r="WJJ1241" s="106"/>
      <c r="WJK1241" s="106"/>
      <c r="WJL1241" s="106"/>
      <c r="WJM1241" s="106"/>
      <c r="WJN1241" s="106"/>
      <c r="WJO1241" s="106"/>
      <c r="WJP1241" s="106"/>
      <c r="WJQ1241" s="106"/>
      <c r="WJR1241" s="106"/>
      <c r="WJS1241" s="106"/>
      <c r="WJT1241" s="106"/>
      <c r="WJU1241" s="106"/>
      <c r="WJV1241" s="106"/>
      <c r="WJW1241" s="106"/>
      <c r="WJX1241" s="106"/>
      <c r="WJY1241" s="106"/>
      <c r="WJZ1241" s="106"/>
      <c r="WKA1241" s="106"/>
      <c r="WKB1241" s="106"/>
      <c r="WKC1241" s="106"/>
      <c r="WKD1241" s="106"/>
      <c r="WKE1241" s="106"/>
      <c r="WKF1241" s="106"/>
      <c r="WKG1241" s="106"/>
      <c r="WKH1241" s="106"/>
      <c r="WKI1241" s="106"/>
      <c r="WKJ1241" s="106"/>
      <c r="WKK1241" s="106"/>
      <c r="WKL1241" s="106"/>
      <c r="WKM1241" s="106"/>
      <c r="WKN1241" s="106"/>
      <c r="WKO1241" s="106"/>
      <c r="WKP1241" s="106"/>
      <c r="WKQ1241" s="106"/>
      <c r="WKR1241" s="106"/>
      <c r="WKS1241" s="106"/>
      <c r="WKT1241" s="106"/>
      <c r="WKU1241" s="106"/>
      <c r="WKV1241" s="106"/>
      <c r="WKW1241" s="106"/>
      <c r="WKX1241" s="106"/>
      <c r="WKY1241" s="106"/>
      <c r="WKZ1241" s="106"/>
      <c r="WLA1241" s="106"/>
      <c r="WLB1241" s="106"/>
      <c r="WLC1241" s="106"/>
      <c r="WLD1241" s="106"/>
      <c r="WLE1241" s="106"/>
      <c r="WLF1241" s="106"/>
      <c r="WLG1241" s="106"/>
      <c r="WLH1241" s="106"/>
      <c r="WLI1241" s="106"/>
      <c r="WLJ1241" s="106"/>
      <c r="WLK1241" s="106"/>
      <c r="WLL1241" s="106"/>
      <c r="WLM1241" s="106"/>
      <c r="WLN1241" s="106"/>
      <c r="WLO1241" s="106"/>
      <c r="WLP1241" s="106"/>
      <c r="WLQ1241" s="106"/>
      <c r="WLR1241" s="106"/>
      <c r="WLS1241" s="106"/>
      <c r="WLT1241" s="106"/>
      <c r="WLU1241" s="106"/>
      <c r="WLV1241" s="106"/>
      <c r="WLW1241" s="106"/>
      <c r="WLX1241" s="106"/>
      <c r="WLY1241" s="106"/>
      <c r="WLZ1241" s="106"/>
      <c r="WMA1241" s="106"/>
      <c r="WMB1241" s="106"/>
      <c r="WMC1241" s="106"/>
      <c r="WMD1241" s="106"/>
      <c r="WME1241" s="106"/>
      <c r="WMF1241" s="106"/>
      <c r="WMG1241" s="106"/>
      <c r="WMH1241" s="106"/>
      <c r="WMI1241" s="106"/>
      <c r="WMJ1241" s="106"/>
      <c r="WMK1241" s="106"/>
      <c r="WML1241" s="106"/>
      <c r="WMM1241" s="106"/>
      <c r="WMN1241" s="106"/>
      <c r="WMO1241" s="106"/>
      <c r="WMP1241" s="106"/>
      <c r="WMQ1241" s="106"/>
      <c r="WMR1241" s="106"/>
      <c r="WMS1241" s="106"/>
      <c r="WMT1241" s="106"/>
      <c r="WMU1241" s="106"/>
      <c r="WMV1241" s="106"/>
      <c r="WMW1241" s="106"/>
      <c r="WMX1241" s="106"/>
      <c r="WMY1241" s="106"/>
      <c r="WMZ1241" s="106"/>
      <c r="WNA1241" s="106"/>
      <c r="WNB1241" s="106"/>
      <c r="WNC1241" s="106"/>
      <c r="WND1241" s="106"/>
      <c r="WNE1241" s="106"/>
      <c r="WNF1241" s="106"/>
      <c r="WNG1241" s="106"/>
      <c r="WNH1241" s="106"/>
      <c r="WNI1241" s="106"/>
      <c r="WNJ1241" s="106"/>
      <c r="WNK1241" s="106"/>
      <c r="WNL1241" s="106"/>
      <c r="WNM1241" s="106"/>
      <c r="WNN1241" s="106"/>
      <c r="WNO1241" s="106"/>
      <c r="WNP1241" s="106"/>
      <c r="WNQ1241" s="106"/>
      <c r="WNR1241" s="106"/>
      <c r="WNS1241" s="106"/>
      <c r="WNT1241" s="106"/>
      <c r="WNU1241" s="106"/>
      <c r="WNV1241" s="106"/>
      <c r="WNW1241" s="106"/>
      <c r="WNX1241" s="106"/>
      <c r="WNY1241" s="106"/>
      <c r="WNZ1241" s="106"/>
      <c r="WOA1241" s="106"/>
      <c r="WOB1241" s="106"/>
      <c r="WOC1241" s="106"/>
      <c r="WOD1241" s="106"/>
      <c r="WOE1241" s="106"/>
      <c r="WOF1241" s="106"/>
      <c r="WOG1241" s="106"/>
      <c r="WOH1241" s="106"/>
      <c r="WOI1241" s="106"/>
      <c r="WOJ1241" s="106"/>
      <c r="WOK1241" s="106"/>
      <c r="WOL1241" s="106"/>
      <c r="WOM1241" s="106"/>
      <c r="WON1241" s="106"/>
      <c r="WOO1241" s="106"/>
      <c r="WOP1241" s="106"/>
      <c r="WOQ1241" s="106"/>
      <c r="WOR1241" s="106"/>
      <c r="WOS1241" s="106"/>
      <c r="WOT1241" s="106"/>
      <c r="WOU1241" s="106"/>
      <c r="WOV1241" s="106"/>
      <c r="WOW1241" s="106"/>
      <c r="WOX1241" s="106"/>
      <c r="WOY1241" s="106"/>
      <c r="WOZ1241" s="106"/>
      <c r="WPA1241" s="106"/>
      <c r="WPB1241" s="106"/>
      <c r="WPC1241" s="106"/>
      <c r="WPD1241" s="106"/>
      <c r="WPE1241" s="106"/>
      <c r="WPF1241" s="106"/>
      <c r="WPG1241" s="106"/>
      <c r="WPH1241" s="106"/>
      <c r="WPI1241" s="106"/>
      <c r="WPJ1241" s="106"/>
      <c r="WPK1241" s="106"/>
      <c r="WPL1241" s="106"/>
      <c r="WPM1241" s="106"/>
      <c r="WPN1241" s="106"/>
      <c r="WPO1241" s="106"/>
      <c r="WPP1241" s="106"/>
      <c r="WPQ1241" s="106"/>
      <c r="WPR1241" s="106"/>
      <c r="WPS1241" s="106"/>
      <c r="WPT1241" s="106"/>
      <c r="WPU1241" s="106"/>
      <c r="WPV1241" s="106"/>
      <c r="WPW1241" s="106"/>
      <c r="WPX1241" s="106"/>
      <c r="WPY1241" s="106"/>
      <c r="WPZ1241" s="106"/>
      <c r="WQA1241" s="106"/>
      <c r="WQB1241" s="106"/>
      <c r="WQC1241" s="106"/>
      <c r="WQD1241" s="106"/>
      <c r="WQE1241" s="106"/>
      <c r="WQF1241" s="106"/>
      <c r="WQG1241" s="106"/>
      <c r="WQH1241" s="106"/>
      <c r="WQI1241" s="106"/>
      <c r="WQJ1241" s="106"/>
      <c r="WQK1241" s="106"/>
      <c r="WQL1241" s="106"/>
      <c r="WQM1241" s="106"/>
      <c r="WQN1241" s="106"/>
      <c r="WQO1241" s="106"/>
      <c r="WQP1241" s="106"/>
      <c r="WQQ1241" s="106"/>
      <c r="WQR1241" s="106"/>
      <c r="WQS1241" s="106"/>
      <c r="WQT1241" s="106"/>
      <c r="WQU1241" s="106"/>
      <c r="WQV1241" s="106"/>
      <c r="WQW1241" s="106"/>
      <c r="WQX1241" s="106"/>
      <c r="WQY1241" s="106"/>
      <c r="WQZ1241" s="106"/>
      <c r="WRA1241" s="106"/>
      <c r="WRB1241" s="106"/>
      <c r="WRC1241" s="106"/>
      <c r="WRD1241" s="106"/>
      <c r="WRE1241" s="106"/>
      <c r="WRF1241" s="106"/>
      <c r="WRG1241" s="106"/>
      <c r="WRH1241" s="106"/>
      <c r="WRI1241" s="106"/>
      <c r="WRJ1241" s="106"/>
      <c r="WRK1241" s="106"/>
      <c r="WRL1241" s="106"/>
      <c r="WRM1241" s="106"/>
      <c r="WRN1241" s="106"/>
      <c r="WRO1241" s="106"/>
      <c r="WRP1241" s="106"/>
      <c r="WRQ1241" s="106"/>
      <c r="WRR1241" s="106"/>
      <c r="WRS1241" s="106"/>
      <c r="WRT1241" s="106"/>
      <c r="WRU1241" s="106"/>
      <c r="WRV1241" s="106"/>
      <c r="WRW1241" s="106"/>
      <c r="WRX1241" s="106"/>
      <c r="WRY1241" s="106"/>
      <c r="WRZ1241" s="106"/>
      <c r="WSA1241" s="106"/>
      <c r="WSB1241" s="106"/>
      <c r="WSC1241" s="106"/>
      <c r="WSD1241" s="106"/>
      <c r="WSE1241" s="106"/>
      <c r="WSF1241" s="106"/>
      <c r="WSG1241" s="106"/>
      <c r="WSH1241" s="106"/>
      <c r="WSI1241" s="106"/>
      <c r="WSJ1241" s="106"/>
      <c r="WSK1241" s="106"/>
      <c r="WSL1241" s="106"/>
      <c r="WSM1241" s="106"/>
      <c r="WSN1241" s="106"/>
      <c r="WSO1241" s="106"/>
      <c r="WSP1241" s="106"/>
      <c r="WSQ1241" s="106"/>
      <c r="WSR1241" s="106"/>
      <c r="WSS1241" s="106"/>
      <c r="WST1241" s="106"/>
      <c r="WSU1241" s="106"/>
      <c r="WSV1241" s="106"/>
      <c r="WSW1241" s="106"/>
      <c r="WSX1241" s="106"/>
      <c r="WSY1241" s="106"/>
      <c r="WSZ1241" s="106"/>
      <c r="WTA1241" s="106"/>
      <c r="WTB1241" s="106"/>
      <c r="WTC1241" s="106"/>
      <c r="WTD1241" s="106"/>
      <c r="WTE1241" s="106"/>
      <c r="WTF1241" s="106"/>
      <c r="WTG1241" s="106"/>
      <c r="WTH1241" s="106"/>
      <c r="WTI1241" s="106"/>
      <c r="WTJ1241" s="106"/>
      <c r="WTK1241" s="106"/>
      <c r="WTL1241" s="106"/>
      <c r="WTM1241" s="106"/>
      <c r="WTN1241" s="106"/>
      <c r="WTO1241" s="106"/>
      <c r="WTP1241" s="106"/>
      <c r="WTQ1241" s="106"/>
      <c r="WTR1241" s="106"/>
      <c r="WTS1241" s="106"/>
      <c r="WTT1241" s="106"/>
      <c r="WTU1241" s="106"/>
      <c r="WTV1241" s="106"/>
      <c r="WTW1241" s="106"/>
      <c r="WTX1241" s="106"/>
      <c r="WTY1241" s="106"/>
      <c r="WTZ1241" s="106"/>
      <c r="WUA1241" s="106"/>
      <c r="WUB1241" s="106"/>
      <c r="WUC1241" s="106"/>
      <c r="WUD1241" s="106"/>
      <c r="WUE1241" s="106"/>
      <c r="WUF1241" s="106"/>
      <c r="WUG1241" s="106"/>
      <c r="WUH1241" s="106"/>
      <c r="WUI1241" s="106"/>
      <c r="WUJ1241" s="106"/>
      <c r="WUK1241" s="106"/>
      <c r="WUL1241" s="106"/>
      <c r="WUM1241" s="106"/>
      <c r="WUN1241" s="106"/>
      <c r="WUO1241" s="106"/>
      <c r="WUP1241" s="106"/>
      <c r="WUQ1241" s="106"/>
      <c r="WUR1241" s="106"/>
      <c r="WUS1241" s="106"/>
      <c r="WUT1241" s="106"/>
      <c r="WUU1241" s="106"/>
      <c r="WUV1241" s="106"/>
      <c r="WUW1241" s="106"/>
      <c r="WUX1241" s="106"/>
      <c r="WUY1241" s="106"/>
      <c r="WUZ1241" s="106"/>
      <c r="WVA1241" s="106"/>
      <c r="WVB1241" s="106"/>
      <c r="WVC1241" s="106"/>
      <c r="WVD1241" s="106"/>
      <c r="WVE1241" s="106"/>
      <c r="WVF1241" s="106"/>
      <c r="WVG1241" s="106"/>
      <c r="WVH1241" s="106"/>
      <c r="WVI1241" s="106"/>
      <c r="WVJ1241" s="106"/>
      <c r="WVK1241" s="106"/>
      <c r="WVL1241" s="106"/>
      <c r="WVM1241" s="106"/>
      <c r="WVN1241" s="106"/>
      <c r="WVO1241" s="106"/>
      <c r="WVP1241" s="106"/>
      <c r="WVQ1241" s="106"/>
      <c r="WVR1241" s="106"/>
      <c r="WVS1241" s="106"/>
      <c r="WVT1241" s="106"/>
      <c r="WVU1241" s="106"/>
      <c r="WVV1241" s="106"/>
      <c r="WVW1241" s="106"/>
      <c r="WVX1241" s="106"/>
      <c r="WVY1241" s="106"/>
      <c r="WVZ1241" s="106"/>
      <c r="WWA1241" s="106"/>
      <c r="WWB1241" s="106"/>
      <c r="WWC1241" s="106"/>
      <c r="WWD1241" s="106"/>
      <c r="WWE1241" s="106"/>
      <c r="WWF1241" s="106"/>
      <c r="WWG1241" s="106"/>
      <c r="WWH1241" s="106"/>
      <c r="WWI1241" s="106"/>
      <c r="WWJ1241" s="106"/>
      <c r="WWK1241" s="106"/>
      <c r="WWL1241" s="106"/>
      <c r="WWM1241" s="106"/>
      <c r="WWN1241" s="106"/>
      <c r="WWO1241" s="106"/>
      <c r="WWP1241" s="106"/>
      <c r="WWQ1241" s="106"/>
      <c r="WWR1241" s="106"/>
      <c r="WWS1241" s="106"/>
      <c r="WWT1241" s="106"/>
      <c r="WWU1241" s="106"/>
      <c r="WWV1241" s="106"/>
      <c r="WWW1241" s="106"/>
      <c r="WWX1241" s="106"/>
      <c r="WWY1241" s="106"/>
      <c r="WWZ1241" s="106"/>
      <c r="WXA1241" s="106"/>
      <c r="WXB1241" s="106"/>
      <c r="WXC1241" s="106"/>
      <c r="WXD1241" s="106"/>
      <c r="WXE1241" s="106"/>
      <c r="WXF1241" s="106"/>
      <c r="WXG1241" s="106"/>
      <c r="WXH1241" s="106"/>
      <c r="WXI1241" s="106"/>
      <c r="WXJ1241" s="106"/>
      <c r="WXK1241" s="106"/>
      <c r="WXL1241" s="106"/>
      <c r="WXM1241" s="106"/>
      <c r="WXN1241" s="106"/>
      <c r="WXO1241" s="106"/>
      <c r="WXP1241" s="106"/>
      <c r="WXQ1241" s="106"/>
      <c r="WXR1241" s="106"/>
      <c r="WXS1241" s="106"/>
      <c r="WXT1241" s="106"/>
      <c r="WXU1241" s="106"/>
      <c r="WXV1241" s="106"/>
      <c r="WXW1241" s="106"/>
      <c r="WXX1241" s="106"/>
      <c r="WXY1241" s="106"/>
      <c r="WXZ1241" s="106"/>
      <c r="WYA1241" s="106"/>
      <c r="WYB1241" s="106"/>
      <c r="WYC1241" s="106"/>
      <c r="WYD1241" s="106"/>
      <c r="WYE1241" s="106"/>
      <c r="WYF1241" s="106"/>
      <c r="WYG1241" s="106"/>
      <c r="WYH1241" s="106"/>
      <c r="WYI1241" s="106"/>
      <c r="WYJ1241" s="106"/>
      <c r="WYK1241" s="106"/>
      <c r="WYL1241" s="106"/>
      <c r="WYM1241" s="106"/>
      <c r="WYN1241" s="106"/>
      <c r="WYO1241" s="106"/>
      <c r="WYP1241" s="106"/>
      <c r="WYQ1241" s="106"/>
      <c r="WYR1241" s="106"/>
      <c r="WYS1241" s="106"/>
      <c r="WYT1241" s="106"/>
      <c r="WYU1241" s="106"/>
      <c r="WYV1241" s="106"/>
      <c r="WYW1241" s="106"/>
      <c r="WYX1241" s="106"/>
      <c r="WYY1241" s="106"/>
      <c r="WYZ1241" s="106"/>
      <c r="WZA1241" s="106"/>
      <c r="WZB1241" s="106"/>
      <c r="WZC1241" s="106"/>
      <c r="WZD1241" s="106"/>
      <c r="WZE1241" s="106"/>
      <c r="WZF1241" s="106"/>
      <c r="WZG1241" s="106"/>
      <c r="WZH1241" s="106"/>
      <c r="WZI1241" s="106"/>
      <c r="WZJ1241" s="106"/>
      <c r="WZK1241" s="106"/>
      <c r="WZL1241" s="106"/>
      <c r="WZM1241" s="106"/>
      <c r="WZN1241" s="106"/>
      <c r="WZO1241" s="106"/>
      <c r="WZP1241" s="106"/>
      <c r="WZQ1241" s="106"/>
      <c r="WZR1241" s="106"/>
      <c r="WZS1241" s="106"/>
      <c r="WZT1241" s="106"/>
      <c r="WZU1241" s="106"/>
      <c r="WZV1241" s="106"/>
      <c r="WZW1241" s="106"/>
      <c r="WZX1241" s="106"/>
      <c r="WZY1241" s="106"/>
      <c r="WZZ1241" s="106"/>
      <c r="XAA1241" s="106"/>
      <c r="XAB1241" s="106"/>
      <c r="XAC1241" s="106"/>
      <c r="XAD1241" s="106"/>
      <c r="XAE1241" s="106"/>
      <c r="XAF1241" s="106"/>
      <c r="XAG1241" s="106"/>
      <c r="XAH1241" s="106"/>
      <c r="XAI1241" s="106"/>
      <c r="XAJ1241" s="106"/>
      <c r="XAK1241" s="106"/>
      <c r="XAL1241" s="106"/>
      <c r="XAM1241" s="106"/>
      <c r="XAN1241" s="106"/>
      <c r="XAO1241" s="106"/>
      <c r="XAP1241" s="106"/>
      <c r="XAQ1241" s="106"/>
      <c r="XAR1241" s="106"/>
      <c r="XAS1241" s="106"/>
      <c r="XAT1241" s="106"/>
      <c r="XAU1241" s="106"/>
      <c r="XAV1241" s="106"/>
      <c r="XAW1241" s="106"/>
      <c r="XAX1241" s="106"/>
      <c r="XAY1241" s="106"/>
      <c r="XAZ1241" s="106"/>
      <c r="XBA1241" s="106"/>
      <c r="XBB1241" s="106"/>
      <c r="XBC1241" s="106"/>
      <c r="XBD1241" s="106"/>
      <c r="XBE1241" s="106"/>
      <c r="XBF1241" s="106"/>
      <c r="XBG1241" s="106"/>
      <c r="XBH1241" s="106"/>
      <c r="XBI1241" s="106"/>
      <c r="XBJ1241" s="106"/>
      <c r="XBK1241" s="106"/>
      <c r="XBL1241" s="106"/>
      <c r="XBM1241" s="106"/>
      <c r="XBN1241" s="106"/>
      <c r="XBO1241" s="106"/>
      <c r="XBP1241" s="106"/>
      <c r="XBQ1241" s="106"/>
      <c r="XBR1241" s="106"/>
      <c r="XBS1241" s="106"/>
      <c r="XBT1241" s="106"/>
      <c r="XBU1241" s="106"/>
      <c r="XBV1241" s="106"/>
      <c r="XBW1241" s="106"/>
      <c r="XBX1241" s="106"/>
      <c r="XBY1241" s="106"/>
      <c r="XBZ1241" s="106"/>
      <c r="XCA1241" s="106"/>
      <c r="XCB1241" s="106"/>
      <c r="XCC1241" s="106"/>
      <c r="XCD1241" s="106"/>
      <c r="XCE1241" s="106"/>
      <c r="XCF1241" s="106"/>
      <c r="XCG1241" s="106"/>
      <c r="XCH1241" s="106"/>
      <c r="XCI1241" s="106"/>
      <c r="XCJ1241" s="106"/>
      <c r="XCK1241" s="106"/>
      <c r="XCL1241" s="106"/>
      <c r="XCM1241" s="106"/>
      <c r="XCN1241" s="106"/>
      <c r="XCO1241" s="106"/>
      <c r="XCP1241" s="106"/>
      <c r="XCQ1241" s="106"/>
      <c r="XCR1241" s="106"/>
      <c r="XCS1241" s="106"/>
      <c r="XCT1241" s="106"/>
      <c r="XCU1241" s="106"/>
      <c r="XCV1241" s="106"/>
      <c r="XCW1241" s="106"/>
      <c r="XCX1241" s="106"/>
      <c r="XCY1241" s="106"/>
      <c r="XCZ1241" s="106"/>
      <c r="XDA1241" s="106"/>
      <c r="XDB1241" s="106"/>
      <c r="XDC1241" s="106"/>
      <c r="XDD1241" s="106"/>
      <c r="XDE1241" s="106"/>
      <c r="XDF1241" s="106"/>
      <c r="XDG1241" s="106"/>
      <c r="XDH1241" s="106"/>
      <c r="XDI1241" s="106"/>
      <c r="XDJ1241" s="106"/>
      <c r="XDK1241" s="106"/>
      <c r="XDL1241" s="106"/>
      <c r="XDM1241" s="106"/>
      <c r="XDN1241" s="106"/>
      <c r="XDO1241" s="106"/>
      <c r="XDP1241" s="106"/>
      <c r="XDQ1241" s="106"/>
      <c r="XDR1241" s="106"/>
      <c r="XDS1241" s="106"/>
      <c r="XDT1241" s="106"/>
      <c r="XDU1241" s="106"/>
      <c r="XDV1241" s="106"/>
      <c r="XDW1241" s="106"/>
      <c r="XDX1241" s="106"/>
      <c r="XDY1241" s="106"/>
      <c r="XDZ1241" s="106"/>
      <c r="XEA1241" s="106"/>
      <c r="XEB1241" s="106"/>
      <c r="XEC1241" s="106"/>
      <c r="XED1241" s="106"/>
      <c r="XEE1241" s="106"/>
      <c r="XEF1241" s="106"/>
      <c r="XEG1241" s="106"/>
      <c r="XEH1241" s="106"/>
      <c r="XEI1241" s="106"/>
      <c r="XEJ1241" s="106"/>
      <c r="XEK1241" s="106"/>
      <c r="XEL1241" s="106"/>
      <c r="XEM1241" s="106"/>
      <c r="XEN1241" s="106"/>
      <c r="XEO1241" s="106"/>
      <c r="XEP1241" s="106"/>
      <c r="XEQ1241" s="106"/>
      <c r="XER1241" s="106"/>
      <c r="XES1241" s="106"/>
      <c r="XET1241" s="106"/>
      <c r="XEU1241" s="106"/>
      <c r="XEV1241" s="106"/>
      <c r="XEW1241" s="106"/>
      <c r="XEX1241" s="106"/>
      <c r="XEY1241" s="106"/>
      <c r="XEZ1241" s="106"/>
    </row>
    <row r="1242" spans="1:16380" s="105" customFormat="1">
      <c r="D1242" s="106"/>
      <c r="E1242" s="107"/>
      <c r="L1242" s="28"/>
      <c r="M1242" s="28"/>
      <c r="N1242" s="28"/>
      <c r="O1242" s="28"/>
    </row>
  </sheetData>
  <autoFilter ref="A1:P1241">
    <filterColumn colId="1"/>
  </autoFilter>
  <sortState ref="A2:R961">
    <sortCondition ref="C2:C961"/>
    <sortCondition ref="B2:B961"/>
  </sortState>
  <phoneticPr fontId="4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66"/>
  <sheetViews>
    <sheetView workbookViewId="0">
      <selection activeCell="B576" sqref="B576"/>
    </sheetView>
  </sheetViews>
  <sheetFormatPr defaultRowHeight="13.5"/>
  <cols>
    <col min="2" max="2" width="23.25" bestFit="1" customWidth="1"/>
    <col min="3" max="3" width="45.25" bestFit="1" customWidth="1"/>
    <col min="4" max="4" width="247.25" bestFit="1" customWidth="1"/>
  </cols>
  <sheetData>
    <row r="1" spans="1:4">
      <c r="A1" s="1" t="s">
        <v>1399</v>
      </c>
      <c r="B1" s="1" t="s">
        <v>0</v>
      </c>
      <c r="C1" s="2" t="s">
        <v>14</v>
      </c>
      <c r="D1" s="2" t="s">
        <v>875</v>
      </c>
    </row>
    <row r="2" spans="1:4" s="8" customFormat="1">
      <c r="A2" s="3" t="s">
        <v>1</v>
      </c>
      <c r="B2" s="3">
        <v>2850010000</v>
      </c>
      <c r="C2" s="3" t="s">
        <v>15</v>
      </c>
      <c r="D2" s="4" t="s">
        <v>876</v>
      </c>
    </row>
    <row r="3" spans="1:4" s="8" customFormat="1">
      <c r="A3" s="3" t="s">
        <v>2</v>
      </c>
      <c r="B3" s="3">
        <v>1430001010</v>
      </c>
      <c r="C3" s="3" t="s">
        <v>16</v>
      </c>
      <c r="D3" s="3" t="e">
        <v>#N/A</v>
      </c>
    </row>
    <row r="4" spans="1:4" s="8" customFormat="1">
      <c r="A4" s="3" t="s">
        <v>2</v>
      </c>
      <c r="B4" s="3">
        <v>1030001010</v>
      </c>
      <c r="C4" s="3" t="s">
        <v>17</v>
      </c>
      <c r="D4" s="3" t="e">
        <v>#N/A</v>
      </c>
    </row>
    <row r="5" spans="1:4" s="8" customFormat="1">
      <c r="A5" s="3" t="s">
        <v>2</v>
      </c>
      <c r="B5" s="3">
        <v>1433001010</v>
      </c>
      <c r="C5" s="3" t="s">
        <v>18</v>
      </c>
      <c r="D5" s="3" t="e">
        <v>#N/A</v>
      </c>
    </row>
    <row r="6" spans="1:4" s="8" customFormat="1">
      <c r="A6" s="3" t="s">
        <v>2</v>
      </c>
      <c r="B6" s="3">
        <v>1444101500</v>
      </c>
      <c r="C6" s="3" t="s">
        <v>19</v>
      </c>
      <c r="D6" s="4" t="s">
        <v>877</v>
      </c>
    </row>
    <row r="7" spans="1:4" s="8" customFormat="1">
      <c r="A7" s="3" t="s">
        <v>2</v>
      </c>
      <c r="B7" s="3">
        <v>1430001020</v>
      </c>
      <c r="C7" s="3" t="s">
        <v>20</v>
      </c>
      <c r="D7" s="3" t="e">
        <v>#N/A</v>
      </c>
    </row>
    <row r="8" spans="1:4" s="8" customFormat="1">
      <c r="A8" s="3" t="s">
        <v>2</v>
      </c>
      <c r="B8" s="3">
        <v>1030001020</v>
      </c>
      <c r="C8" s="3" t="s">
        <v>21</v>
      </c>
      <c r="D8" s="3" t="e">
        <v>#N/A</v>
      </c>
    </row>
    <row r="9" spans="1:4" s="8" customFormat="1">
      <c r="A9" s="3" t="s">
        <v>2</v>
      </c>
      <c r="B9" s="3">
        <v>1433001020</v>
      </c>
      <c r="C9" s="3" t="s">
        <v>22</v>
      </c>
      <c r="D9" s="3" t="e">
        <v>#N/A</v>
      </c>
    </row>
    <row r="10" spans="1:4" s="8" customFormat="1">
      <c r="A10" s="3" t="s">
        <v>2</v>
      </c>
      <c r="B10" s="3">
        <v>1300000000</v>
      </c>
      <c r="C10" s="3" t="s">
        <v>23</v>
      </c>
      <c r="D10" s="4" t="s">
        <v>878</v>
      </c>
    </row>
    <row r="11" spans="1:4" s="8" customFormat="1">
      <c r="A11" s="3" t="s">
        <v>2</v>
      </c>
      <c r="B11" s="3">
        <v>2860011000</v>
      </c>
      <c r="C11" s="3" t="s">
        <v>24</v>
      </c>
      <c r="D11" s="4" t="s">
        <v>879</v>
      </c>
    </row>
    <row r="12" spans="1:4" s="8" customFormat="1">
      <c r="A12" s="3" t="s">
        <v>2</v>
      </c>
      <c r="B12" s="3">
        <v>1143111000</v>
      </c>
      <c r="C12" s="3" t="s">
        <v>24</v>
      </c>
      <c r="D12" s="4" t="s">
        <v>880</v>
      </c>
    </row>
    <row r="13" spans="1:4" s="8" customFormat="1">
      <c r="A13" s="3" t="s">
        <v>2</v>
      </c>
      <c r="B13" s="3">
        <v>1143011000</v>
      </c>
      <c r="C13" s="3" t="s">
        <v>24</v>
      </c>
      <c r="D13" s="4" t="s">
        <v>881</v>
      </c>
    </row>
    <row r="14" spans="1:4" s="8" customFormat="1">
      <c r="A14" s="3" t="s">
        <v>2</v>
      </c>
      <c r="B14" s="3">
        <v>2860010000</v>
      </c>
      <c r="C14" s="3" t="s">
        <v>24</v>
      </c>
      <c r="D14" s="4" t="s">
        <v>882</v>
      </c>
    </row>
    <row r="15" spans="1:4" s="8" customFormat="1">
      <c r="A15" s="3" t="s">
        <v>2</v>
      </c>
      <c r="B15" s="3">
        <v>1143110000</v>
      </c>
      <c r="C15" s="3" t="s">
        <v>24</v>
      </c>
      <c r="D15" s="4" t="s">
        <v>883</v>
      </c>
    </row>
    <row r="16" spans="1:4" s="8" customFormat="1">
      <c r="A16" s="3" t="s">
        <v>2</v>
      </c>
      <c r="B16" s="3">
        <v>1143010000</v>
      </c>
      <c r="C16" s="3" t="s">
        <v>24</v>
      </c>
      <c r="D16" s="4" t="s">
        <v>884</v>
      </c>
    </row>
    <row r="17" spans="1:4" s="8" customFormat="1">
      <c r="A17" s="3" t="s">
        <v>1</v>
      </c>
      <c r="B17" s="3">
        <v>1140110000</v>
      </c>
      <c r="C17" s="3" t="s">
        <v>25</v>
      </c>
      <c r="D17" s="4" t="s">
        <v>885</v>
      </c>
    </row>
    <row r="18" spans="1:4" s="8" customFormat="1">
      <c r="A18" s="3" t="s">
        <v>1</v>
      </c>
      <c r="B18" s="3">
        <v>1140000000</v>
      </c>
      <c r="C18" s="3" t="s">
        <v>26</v>
      </c>
      <c r="D18" s="4" t="s">
        <v>886</v>
      </c>
    </row>
    <row r="19" spans="1:4" s="8" customFormat="1">
      <c r="A19" s="3" t="s">
        <v>1</v>
      </c>
      <c r="B19" s="5" t="s">
        <v>1400</v>
      </c>
      <c r="C19" s="3" t="s">
        <v>27</v>
      </c>
      <c r="D19" s="3" t="e">
        <v>#N/A</v>
      </c>
    </row>
    <row r="20" spans="1:4" s="8" customFormat="1">
      <c r="A20" s="3" t="s">
        <v>2</v>
      </c>
      <c r="B20" s="3" t="s">
        <v>1401</v>
      </c>
      <c r="C20" s="3" t="s">
        <v>28</v>
      </c>
      <c r="D20" s="3" t="e">
        <v>#N/A</v>
      </c>
    </row>
    <row r="21" spans="1:4" s="8" customFormat="1">
      <c r="A21" s="3" t="s">
        <v>2</v>
      </c>
      <c r="B21" s="3" t="s">
        <v>1402</v>
      </c>
      <c r="C21" s="3" t="s">
        <v>28</v>
      </c>
      <c r="D21" s="3" t="e">
        <v>#N/A</v>
      </c>
    </row>
    <row r="22" spans="1:4" s="8" customFormat="1">
      <c r="A22" s="3" t="s">
        <v>2</v>
      </c>
      <c r="B22" s="3" t="s">
        <v>1403</v>
      </c>
      <c r="C22" s="3" t="s">
        <v>29</v>
      </c>
      <c r="D22" s="3" t="e">
        <v>#N/A</v>
      </c>
    </row>
    <row r="23" spans="1:4" s="8" customFormat="1">
      <c r="A23" s="3" t="s">
        <v>2</v>
      </c>
      <c r="B23" s="3" t="s">
        <v>1404</v>
      </c>
      <c r="C23" s="3" t="s">
        <v>29</v>
      </c>
      <c r="D23" s="3" t="e">
        <v>#N/A</v>
      </c>
    </row>
    <row r="24" spans="1:4" s="8" customFormat="1">
      <c r="A24" s="3" t="s">
        <v>2</v>
      </c>
      <c r="B24" s="3">
        <v>1010002000</v>
      </c>
      <c r="C24" s="3" t="s">
        <v>30</v>
      </c>
      <c r="D24" s="4" t="s">
        <v>887</v>
      </c>
    </row>
    <row r="25" spans="1:4" s="8" customFormat="1">
      <c r="A25" s="3" t="s">
        <v>2</v>
      </c>
      <c r="B25" s="3">
        <v>1444100000</v>
      </c>
      <c r="C25" s="3" t="s">
        <v>31</v>
      </c>
      <c r="D25" s="4" t="s">
        <v>888</v>
      </c>
    </row>
    <row r="26" spans="1:4" s="8" customFormat="1">
      <c r="A26" s="3" t="s">
        <v>2</v>
      </c>
      <c r="B26" s="3">
        <v>1444000000</v>
      </c>
      <c r="C26" s="3" t="s">
        <v>31</v>
      </c>
      <c r="D26" s="4" t="s">
        <v>889</v>
      </c>
    </row>
    <row r="27" spans="1:4" s="8" customFormat="1">
      <c r="A27" s="3" t="s">
        <v>2</v>
      </c>
      <c r="B27" s="3">
        <v>1010002010</v>
      </c>
      <c r="C27" s="3" t="s">
        <v>32</v>
      </c>
      <c r="D27" s="4" t="s">
        <v>890</v>
      </c>
    </row>
    <row r="28" spans="1:4" s="8" customFormat="1">
      <c r="A28" s="3" t="s">
        <v>2</v>
      </c>
      <c r="B28" s="3">
        <v>1010002020</v>
      </c>
      <c r="C28" s="3" t="s">
        <v>33</v>
      </c>
      <c r="D28" s="4" t="s">
        <v>891</v>
      </c>
    </row>
    <row r="29" spans="1:4" s="8" customFormat="1">
      <c r="A29" s="3" t="s">
        <v>2</v>
      </c>
      <c r="B29" s="3">
        <v>1010002030</v>
      </c>
      <c r="C29" s="3" t="s">
        <v>34</v>
      </c>
      <c r="D29" s="4" t="s">
        <v>892</v>
      </c>
    </row>
    <row r="30" spans="1:4" s="8" customFormat="1">
      <c r="A30" s="3" t="s">
        <v>2</v>
      </c>
      <c r="B30" s="3">
        <v>1010000000</v>
      </c>
      <c r="C30" s="3" t="s">
        <v>35</v>
      </c>
      <c r="D30" s="4" t="s">
        <v>893</v>
      </c>
    </row>
    <row r="31" spans="1:4" s="8" customFormat="1">
      <c r="A31" s="3" t="s">
        <v>2</v>
      </c>
      <c r="B31" s="3">
        <v>1000002000</v>
      </c>
      <c r="C31" s="3" t="s">
        <v>36</v>
      </c>
      <c r="D31" s="4" t="s">
        <v>894</v>
      </c>
    </row>
    <row r="32" spans="1:4" s="8" customFormat="1">
      <c r="A32" s="3" t="s">
        <v>2</v>
      </c>
      <c r="B32" s="3">
        <v>1000002010</v>
      </c>
      <c r="C32" s="3" t="s">
        <v>37</v>
      </c>
      <c r="D32" s="4" t="s">
        <v>895</v>
      </c>
    </row>
    <row r="33" spans="1:4" s="8" customFormat="1">
      <c r="A33" s="3" t="s">
        <v>2</v>
      </c>
      <c r="B33" s="3">
        <v>1000002020</v>
      </c>
      <c r="C33" s="3" t="s">
        <v>38</v>
      </c>
      <c r="D33" s="3" t="s">
        <v>896</v>
      </c>
    </row>
    <row r="34" spans="1:4" s="8" customFormat="1">
      <c r="A34" s="3" t="s">
        <v>3</v>
      </c>
      <c r="B34" s="3">
        <v>1243000000</v>
      </c>
      <c r="C34" s="3" t="s">
        <v>39</v>
      </c>
      <c r="D34" s="4" t="s">
        <v>897</v>
      </c>
    </row>
    <row r="35" spans="1:4" s="8" customFormat="1">
      <c r="A35" s="3" t="s">
        <v>2</v>
      </c>
      <c r="B35" s="3">
        <v>1240000000</v>
      </c>
      <c r="C35" s="3" t="s">
        <v>40</v>
      </c>
      <c r="D35" s="4" t="s">
        <v>898</v>
      </c>
    </row>
    <row r="36" spans="1:4" s="8" customFormat="1">
      <c r="A36" s="3" t="s">
        <v>2</v>
      </c>
      <c r="B36" s="3">
        <v>1245002000</v>
      </c>
      <c r="C36" s="3" t="s">
        <v>40</v>
      </c>
      <c r="D36" s="4" t="s">
        <v>899</v>
      </c>
    </row>
    <row r="37" spans="1:4" s="8" customFormat="1">
      <c r="A37" s="3" t="s">
        <v>2</v>
      </c>
      <c r="B37" s="3">
        <v>1430000000</v>
      </c>
      <c r="C37" s="3" t="s">
        <v>41</v>
      </c>
      <c r="D37" s="4" t="s">
        <v>900</v>
      </c>
    </row>
    <row r="38" spans="1:4" s="8" customFormat="1">
      <c r="A38" s="3" t="s">
        <v>2</v>
      </c>
      <c r="B38" s="3">
        <v>1433000000</v>
      </c>
      <c r="C38" s="3" t="s">
        <v>41</v>
      </c>
      <c r="D38" s="4" t="s">
        <v>901</v>
      </c>
    </row>
    <row r="39" spans="1:4" s="8" customFormat="1">
      <c r="A39" s="3" t="s">
        <v>2</v>
      </c>
      <c r="B39" s="3">
        <v>1030000000</v>
      </c>
      <c r="C39" s="3" t="s">
        <v>41</v>
      </c>
      <c r="D39" s="4" t="s">
        <v>902</v>
      </c>
    </row>
    <row r="40" spans="1:4" s="8" customFormat="1">
      <c r="A40" s="3" t="s">
        <v>2</v>
      </c>
      <c r="B40" s="3">
        <v>2610000000</v>
      </c>
      <c r="C40" s="3" t="s">
        <v>42</v>
      </c>
      <c r="D40" s="4" t="s">
        <v>903</v>
      </c>
    </row>
    <row r="41" spans="1:4" s="8" customFormat="1">
      <c r="A41" s="3" t="s">
        <v>2</v>
      </c>
      <c r="B41" s="3">
        <v>2610000010</v>
      </c>
      <c r="C41" s="3" t="s">
        <v>42</v>
      </c>
      <c r="D41" s="4" t="s">
        <v>904</v>
      </c>
    </row>
    <row r="42" spans="1:4" s="8" customFormat="1">
      <c r="A42" s="3" t="s">
        <v>2</v>
      </c>
      <c r="B42" s="3" t="s">
        <v>1405</v>
      </c>
      <c r="C42" s="3" t="s">
        <v>43</v>
      </c>
      <c r="D42" s="3" t="e">
        <v>#N/A</v>
      </c>
    </row>
    <row r="43" spans="1:4" s="8" customFormat="1">
      <c r="A43" s="3" t="s">
        <v>2</v>
      </c>
      <c r="B43" s="3">
        <v>2600000020</v>
      </c>
      <c r="C43" s="3" t="s">
        <v>43</v>
      </c>
      <c r="D43" s="4" t="s">
        <v>905</v>
      </c>
    </row>
    <row r="44" spans="1:4" s="8" customFormat="1">
      <c r="A44" s="3" t="s">
        <v>2</v>
      </c>
      <c r="B44" s="3">
        <v>2600001500</v>
      </c>
      <c r="C44" s="3" t="s">
        <v>44</v>
      </c>
      <c r="D44" s="4" t="s">
        <v>906</v>
      </c>
    </row>
    <row r="45" spans="1:4" s="8" customFormat="1">
      <c r="A45" s="3" t="s">
        <v>2</v>
      </c>
      <c r="B45" s="3">
        <v>2600002040</v>
      </c>
      <c r="C45" s="3" t="s">
        <v>45</v>
      </c>
      <c r="D45" s="4" t="s">
        <v>907</v>
      </c>
    </row>
    <row r="46" spans="1:4" s="8" customFormat="1">
      <c r="A46" s="3" t="s">
        <v>2</v>
      </c>
      <c r="B46" s="3">
        <v>2600002041</v>
      </c>
      <c r="C46" s="3" t="s">
        <v>45</v>
      </c>
      <c r="D46" s="3" t="e">
        <v>#N/A</v>
      </c>
    </row>
    <row r="47" spans="1:4" s="8" customFormat="1">
      <c r="A47" s="3" t="s">
        <v>2</v>
      </c>
      <c r="B47" s="3">
        <v>2600002050</v>
      </c>
      <c r="C47" s="3" t="s">
        <v>46</v>
      </c>
      <c r="D47" s="4" t="s">
        <v>908</v>
      </c>
    </row>
    <row r="48" spans="1:4" s="8" customFormat="1">
      <c r="A48" s="3" t="s">
        <v>2</v>
      </c>
      <c r="B48" s="3">
        <v>2600002051</v>
      </c>
      <c r="C48" s="3" t="s">
        <v>46</v>
      </c>
      <c r="D48" s="3" t="e">
        <v>#N/A</v>
      </c>
    </row>
    <row r="49" spans="1:4" s="8" customFormat="1">
      <c r="A49" s="3" t="s">
        <v>2</v>
      </c>
      <c r="B49" s="3">
        <v>2600002060</v>
      </c>
      <c r="C49" s="3" t="s">
        <v>47</v>
      </c>
      <c r="D49" s="4" t="s">
        <v>909</v>
      </c>
    </row>
    <row r="50" spans="1:4" s="8" customFormat="1">
      <c r="A50" s="3" t="s">
        <v>2</v>
      </c>
      <c r="B50" s="3">
        <v>2600002070</v>
      </c>
      <c r="C50" s="3" t="s">
        <v>48</v>
      </c>
      <c r="D50" s="4" t="s">
        <v>910</v>
      </c>
    </row>
    <row r="51" spans="1:4" s="8" customFormat="1">
      <c r="A51" s="3" t="s">
        <v>2</v>
      </c>
      <c r="B51" s="3">
        <v>2600000030</v>
      </c>
      <c r="C51" s="3" t="s">
        <v>49</v>
      </c>
      <c r="D51" s="4" t="s">
        <v>911</v>
      </c>
    </row>
    <row r="52" spans="1:4" s="8" customFormat="1">
      <c r="A52" s="3" t="s">
        <v>2</v>
      </c>
      <c r="B52" s="3">
        <v>2600002100</v>
      </c>
      <c r="C52" s="3" t="s">
        <v>50</v>
      </c>
      <c r="D52" s="4" t="s">
        <v>912</v>
      </c>
    </row>
    <row r="53" spans="1:4" s="8" customFormat="1">
      <c r="A53" s="3" t="s">
        <v>2</v>
      </c>
      <c r="B53" s="3">
        <v>2600000100</v>
      </c>
      <c r="C53" s="3" t="s">
        <v>51</v>
      </c>
      <c r="D53" s="3" t="e">
        <v>#N/A</v>
      </c>
    </row>
    <row r="54" spans="1:4" s="8" customFormat="1">
      <c r="A54" s="3" t="s">
        <v>2</v>
      </c>
      <c r="B54" s="3">
        <v>2600000000</v>
      </c>
      <c r="C54" s="3" t="s">
        <v>52</v>
      </c>
      <c r="D54" s="4" t="s">
        <v>913</v>
      </c>
    </row>
    <row r="55" spans="1:4" s="8" customFormat="1">
      <c r="A55" s="3" t="s">
        <v>3</v>
      </c>
      <c r="B55" s="3">
        <v>2500000000</v>
      </c>
      <c r="C55" s="3" t="s">
        <v>53</v>
      </c>
      <c r="D55" s="4" t="s">
        <v>914</v>
      </c>
    </row>
    <row r="56" spans="1:4" s="8" customFormat="1">
      <c r="A56" s="3" t="s">
        <v>3</v>
      </c>
      <c r="B56" s="3">
        <v>2500000010</v>
      </c>
      <c r="C56" s="3" t="s">
        <v>54</v>
      </c>
      <c r="D56" s="3" t="e">
        <v>#N/A</v>
      </c>
    </row>
    <row r="57" spans="1:4" s="8" customFormat="1">
      <c r="A57" s="3" t="s">
        <v>3</v>
      </c>
      <c r="B57" s="3">
        <v>2500000020</v>
      </c>
      <c r="C57" s="3" t="s">
        <v>55</v>
      </c>
      <c r="D57" s="3" t="e">
        <v>#N/A</v>
      </c>
    </row>
    <row r="58" spans="1:4" s="8" customFormat="1">
      <c r="A58" s="3" t="s">
        <v>3</v>
      </c>
      <c r="B58" s="3">
        <v>2500000040</v>
      </c>
      <c r="C58" s="3" t="s">
        <v>56</v>
      </c>
      <c r="D58" s="3" t="e">
        <v>#N/A</v>
      </c>
    </row>
    <row r="59" spans="1:4" s="8" customFormat="1">
      <c r="A59" s="3" t="s">
        <v>3</v>
      </c>
      <c r="B59" s="3">
        <v>2500000030</v>
      </c>
      <c r="C59" s="3" t="s">
        <v>57</v>
      </c>
      <c r="D59" s="3" t="e">
        <v>#N/A</v>
      </c>
    </row>
    <row r="60" spans="1:4" s="8" customFormat="1">
      <c r="A60" s="3" t="s">
        <v>3</v>
      </c>
      <c r="B60" s="3">
        <v>2500000006</v>
      </c>
      <c r="C60" s="3" t="s">
        <v>58</v>
      </c>
      <c r="D60" s="4" t="s">
        <v>915</v>
      </c>
    </row>
    <row r="61" spans="1:4" s="8" customFormat="1">
      <c r="A61" s="3" t="s">
        <v>3</v>
      </c>
      <c r="B61" s="3">
        <v>2500000060</v>
      </c>
      <c r="C61" s="3" t="s">
        <v>59</v>
      </c>
      <c r="D61" s="3" t="e">
        <v>#N/A</v>
      </c>
    </row>
    <row r="62" spans="1:4" s="8" customFormat="1">
      <c r="A62" s="3" t="s">
        <v>3</v>
      </c>
      <c r="B62" s="3">
        <v>2511001500</v>
      </c>
      <c r="C62" s="3" t="s">
        <v>60</v>
      </c>
      <c r="D62" s="4" t="s">
        <v>916</v>
      </c>
    </row>
    <row r="63" spans="1:4" s="8" customFormat="1">
      <c r="A63" s="3" t="s">
        <v>3</v>
      </c>
      <c r="B63" s="3">
        <v>2511001501</v>
      </c>
      <c r="C63" s="3" t="s">
        <v>61</v>
      </c>
      <c r="D63" s="3" t="e">
        <v>#N/A</v>
      </c>
    </row>
    <row r="64" spans="1:4" s="8" customFormat="1">
      <c r="A64" s="3" t="s">
        <v>3</v>
      </c>
      <c r="B64" s="3">
        <v>2511001502</v>
      </c>
      <c r="C64" s="3" t="s">
        <v>62</v>
      </c>
      <c r="D64" s="3" t="e">
        <v>#N/A</v>
      </c>
    </row>
    <row r="65" spans="1:4" s="8" customFormat="1">
      <c r="A65" s="3" t="s">
        <v>4</v>
      </c>
      <c r="B65" s="3">
        <v>2501000000</v>
      </c>
      <c r="C65" s="3" t="s">
        <v>63</v>
      </c>
      <c r="D65" s="4" t="s">
        <v>917</v>
      </c>
    </row>
    <row r="66" spans="1:4" s="8" customFormat="1">
      <c r="A66" s="3" t="s">
        <v>4</v>
      </c>
      <c r="B66" s="3">
        <v>2501000001</v>
      </c>
      <c r="C66" s="3" t="s">
        <v>64</v>
      </c>
      <c r="D66" s="3" t="e">
        <v>#N/A</v>
      </c>
    </row>
    <row r="67" spans="1:4" s="8" customFormat="1">
      <c r="A67" s="3" t="s">
        <v>4</v>
      </c>
      <c r="B67" s="3">
        <v>2501000002</v>
      </c>
      <c r="C67" s="3" t="s">
        <v>65</v>
      </c>
      <c r="D67" s="3" t="e">
        <v>#N/A</v>
      </c>
    </row>
    <row r="68" spans="1:4" s="8" customFormat="1">
      <c r="A68" s="3" t="s">
        <v>3</v>
      </c>
      <c r="B68" s="3">
        <v>2530400050</v>
      </c>
      <c r="C68" s="3" t="s">
        <v>66</v>
      </c>
      <c r="D68" s="4" t="s">
        <v>918</v>
      </c>
    </row>
    <row r="69" spans="1:4" s="8" customFormat="1">
      <c r="A69" s="3" t="s">
        <v>4</v>
      </c>
      <c r="B69" s="3">
        <v>2530401501</v>
      </c>
      <c r="C69" s="3" t="s">
        <v>67</v>
      </c>
      <c r="D69" s="3" t="e">
        <v>#N/A</v>
      </c>
    </row>
    <row r="70" spans="1:4" s="8" customFormat="1">
      <c r="A70" s="3" t="s">
        <v>4</v>
      </c>
      <c r="B70" s="3">
        <v>2530401502</v>
      </c>
      <c r="C70" s="3" t="s">
        <v>68</v>
      </c>
      <c r="D70" s="3" t="e">
        <v>#N/A</v>
      </c>
    </row>
    <row r="71" spans="1:4" s="8" customFormat="1">
      <c r="A71" s="3" t="s">
        <v>3</v>
      </c>
      <c r="B71" s="3">
        <v>2530401500</v>
      </c>
      <c r="C71" s="3" t="s">
        <v>69</v>
      </c>
      <c r="D71" s="4" t="s">
        <v>919</v>
      </c>
    </row>
    <row r="72" spans="1:4" s="8" customFormat="1">
      <c r="A72" s="3" t="s">
        <v>3</v>
      </c>
      <c r="B72" s="3">
        <v>2530600010</v>
      </c>
      <c r="C72" s="3" t="s">
        <v>70</v>
      </c>
      <c r="D72" s="4" t="s">
        <v>920</v>
      </c>
    </row>
    <row r="73" spans="1:4" s="8" customFormat="1">
      <c r="A73" s="3" t="s">
        <v>4</v>
      </c>
      <c r="B73" s="3">
        <v>2711001500</v>
      </c>
      <c r="C73" s="3" t="s">
        <v>71</v>
      </c>
      <c r="D73" s="4" t="s">
        <v>921</v>
      </c>
    </row>
    <row r="74" spans="1:4" s="8" customFormat="1">
      <c r="A74" s="3" t="s">
        <v>4</v>
      </c>
      <c r="B74" s="3">
        <v>2530401503</v>
      </c>
      <c r="C74" s="3" t="s">
        <v>72</v>
      </c>
      <c r="D74" s="3" t="e">
        <v>#N/A</v>
      </c>
    </row>
    <row r="75" spans="1:4" s="8" customFormat="1">
      <c r="A75" s="3" t="s">
        <v>4</v>
      </c>
      <c r="B75" s="3">
        <v>2530400040</v>
      </c>
      <c r="C75" s="3" t="s">
        <v>73</v>
      </c>
      <c r="D75" s="4" t="s">
        <v>922</v>
      </c>
    </row>
    <row r="76" spans="1:4" s="8" customFormat="1">
      <c r="A76" s="3" t="s">
        <v>4</v>
      </c>
      <c r="B76" s="3">
        <v>2712001500</v>
      </c>
      <c r="C76" s="3" t="s">
        <v>74</v>
      </c>
      <c r="D76" s="4" t="s">
        <v>923</v>
      </c>
    </row>
    <row r="77" spans="1:4" s="8" customFormat="1">
      <c r="A77" s="3" t="s">
        <v>4</v>
      </c>
      <c r="B77" s="3">
        <v>2530401504</v>
      </c>
      <c r="C77" s="3" t="s">
        <v>75</v>
      </c>
      <c r="D77" s="3" t="e">
        <v>#N/A</v>
      </c>
    </row>
    <row r="78" spans="1:4" s="8" customFormat="1">
      <c r="A78" s="3" t="s">
        <v>4</v>
      </c>
      <c r="B78" s="3">
        <v>2530301500</v>
      </c>
      <c r="C78" s="3" t="s">
        <v>76</v>
      </c>
      <c r="D78" s="4" t="s">
        <v>924</v>
      </c>
    </row>
    <row r="79" spans="1:4" s="8" customFormat="1">
      <c r="A79" s="3" t="s">
        <v>4</v>
      </c>
      <c r="B79" s="3">
        <v>2530401505</v>
      </c>
      <c r="C79" s="3" t="s">
        <v>77</v>
      </c>
      <c r="D79" s="3" t="e">
        <v>#N/A</v>
      </c>
    </row>
    <row r="80" spans="1:4" s="8" customFormat="1">
      <c r="A80" s="3" t="s">
        <v>2</v>
      </c>
      <c r="B80" s="3">
        <v>4221000030</v>
      </c>
      <c r="C80" s="3" t="s">
        <v>78</v>
      </c>
      <c r="D80" s="4" t="s">
        <v>925</v>
      </c>
    </row>
    <row r="81" spans="1:4" s="8" customFormat="1">
      <c r="A81" s="3" t="s">
        <v>2</v>
      </c>
      <c r="B81" s="3">
        <v>4221001000</v>
      </c>
      <c r="C81" s="3" t="s">
        <v>79</v>
      </c>
      <c r="D81" s="4" t="s">
        <v>926</v>
      </c>
    </row>
    <row r="82" spans="1:4" s="8" customFormat="1">
      <c r="A82" s="3" t="s">
        <v>2</v>
      </c>
      <c r="B82" s="3">
        <v>4221000100</v>
      </c>
      <c r="C82" s="3" t="s">
        <v>79</v>
      </c>
      <c r="D82" s="4" t="s">
        <v>927</v>
      </c>
    </row>
    <row r="83" spans="1:4" s="8" customFormat="1">
      <c r="A83" s="3" t="s">
        <v>4</v>
      </c>
      <c r="B83" s="3">
        <v>2530401508</v>
      </c>
      <c r="C83" s="3" t="s">
        <v>80</v>
      </c>
      <c r="D83" s="3" t="e">
        <v>#N/A</v>
      </c>
    </row>
    <row r="84" spans="1:4" s="8" customFormat="1">
      <c r="A84" s="3" t="s">
        <v>4</v>
      </c>
      <c r="B84" s="3">
        <v>2750010000</v>
      </c>
      <c r="C84" s="3" t="s">
        <v>81</v>
      </c>
      <c r="D84" s="4" t="s">
        <v>928</v>
      </c>
    </row>
    <row r="85" spans="1:4" s="8" customFormat="1">
      <c r="A85" s="3" t="s">
        <v>4</v>
      </c>
      <c r="B85" s="3">
        <v>2700010010</v>
      </c>
      <c r="C85" s="3" t="s">
        <v>82</v>
      </c>
      <c r="D85" s="4" t="s">
        <v>929</v>
      </c>
    </row>
    <row r="86" spans="1:4" s="8" customFormat="1">
      <c r="A86" s="3" t="s">
        <v>4</v>
      </c>
      <c r="B86" s="3">
        <v>2700001500</v>
      </c>
      <c r="C86" s="3" t="s">
        <v>83</v>
      </c>
      <c r="D86" s="4" t="s">
        <v>930</v>
      </c>
    </row>
    <row r="87" spans="1:4" s="8" customFormat="1">
      <c r="A87" s="3" t="s">
        <v>4</v>
      </c>
      <c r="B87" s="3">
        <v>2700000001</v>
      </c>
      <c r="C87" s="3" t="s">
        <v>84</v>
      </c>
      <c r="D87" s="3" t="e">
        <v>#N/A</v>
      </c>
    </row>
    <row r="88" spans="1:4" s="8" customFormat="1">
      <c r="A88" s="3" t="s">
        <v>4</v>
      </c>
      <c r="B88" s="3">
        <v>2700000002</v>
      </c>
      <c r="C88" s="3" t="s">
        <v>85</v>
      </c>
      <c r="D88" s="3" t="e">
        <v>#N/A</v>
      </c>
    </row>
    <row r="89" spans="1:4" s="8" customFormat="1">
      <c r="A89" s="3" t="s">
        <v>5</v>
      </c>
      <c r="B89" s="3">
        <v>3102100000</v>
      </c>
      <c r="C89" s="3" t="s">
        <v>86</v>
      </c>
      <c r="D89" s="4" t="s">
        <v>931</v>
      </c>
    </row>
    <row r="90" spans="1:4" s="8" customFormat="1">
      <c r="A90" s="3" t="s">
        <v>5</v>
      </c>
      <c r="B90" s="3">
        <v>3012000000</v>
      </c>
      <c r="C90" s="3" t="s">
        <v>87</v>
      </c>
      <c r="D90" s="4" t="s">
        <v>932</v>
      </c>
    </row>
    <row r="91" spans="1:4" s="8" customFormat="1">
      <c r="A91" s="3" t="s">
        <v>5</v>
      </c>
      <c r="B91" s="3">
        <v>3032000000</v>
      </c>
      <c r="C91" s="3" t="s">
        <v>88</v>
      </c>
      <c r="D91" s="4" t="s">
        <v>933</v>
      </c>
    </row>
    <row r="92" spans="1:4" s="8" customFormat="1">
      <c r="A92" s="3" t="s">
        <v>5</v>
      </c>
      <c r="B92" s="3">
        <v>3102000000</v>
      </c>
      <c r="C92" s="3" t="s">
        <v>89</v>
      </c>
      <c r="D92" s="4" t="s">
        <v>934</v>
      </c>
    </row>
    <row r="93" spans="1:4" s="8" customFormat="1">
      <c r="A93" s="3" t="s">
        <v>5</v>
      </c>
      <c r="B93" s="3">
        <v>3102000010</v>
      </c>
      <c r="C93" s="3" t="s">
        <v>1406</v>
      </c>
      <c r="D93" s="3" t="e">
        <v>#N/A</v>
      </c>
    </row>
    <row r="94" spans="1:4" s="8" customFormat="1">
      <c r="A94" s="3" t="s">
        <v>4</v>
      </c>
      <c r="B94" s="3">
        <v>2520001500</v>
      </c>
      <c r="C94" s="3" t="s">
        <v>90</v>
      </c>
      <c r="D94" s="4" t="s">
        <v>935</v>
      </c>
    </row>
    <row r="95" spans="1:4" s="8" customFormat="1">
      <c r="A95" s="3" t="s">
        <v>4</v>
      </c>
      <c r="B95" s="3">
        <v>2520001501</v>
      </c>
      <c r="C95" s="3" t="s">
        <v>91</v>
      </c>
      <c r="D95" s="3" t="e">
        <v>#N/A</v>
      </c>
    </row>
    <row r="96" spans="1:4" s="8" customFormat="1">
      <c r="A96" s="3" t="s">
        <v>4</v>
      </c>
      <c r="B96" s="3">
        <v>2520001502</v>
      </c>
      <c r="C96" s="3" t="s">
        <v>92</v>
      </c>
      <c r="D96" s="3" t="e">
        <v>#N/A</v>
      </c>
    </row>
    <row r="97" spans="1:4" s="8" customFormat="1">
      <c r="A97" s="3" t="s">
        <v>6</v>
      </c>
      <c r="B97" s="3">
        <v>2014100000</v>
      </c>
      <c r="C97" s="3" t="s">
        <v>93</v>
      </c>
      <c r="D97" s="4" t="s">
        <v>936</v>
      </c>
    </row>
    <row r="98" spans="1:4" s="8" customFormat="1">
      <c r="A98" s="3" t="s">
        <v>6</v>
      </c>
      <c r="B98" s="3">
        <v>2014200000</v>
      </c>
      <c r="C98" s="3" t="s">
        <v>94</v>
      </c>
      <c r="D98" s="4" t="s">
        <v>937</v>
      </c>
    </row>
    <row r="99" spans="1:4" s="8" customFormat="1">
      <c r="A99" s="3" t="s">
        <v>6</v>
      </c>
      <c r="B99" s="3">
        <v>2013100000</v>
      </c>
      <c r="C99" s="3" t="s">
        <v>95</v>
      </c>
      <c r="D99" s="4" t="s">
        <v>938</v>
      </c>
    </row>
    <row r="100" spans="1:4" s="8" customFormat="1">
      <c r="A100" s="3" t="s">
        <v>6</v>
      </c>
      <c r="B100" s="3">
        <v>2013200000</v>
      </c>
      <c r="C100" s="3" t="s">
        <v>96</v>
      </c>
      <c r="D100" s="4" t="s">
        <v>939</v>
      </c>
    </row>
    <row r="101" spans="1:4" s="8" customFormat="1">
      <c r="A101" s="3" t="s">
        <v>6</v>
      </c>
      <c r="B101" s="3">
        <v>2011100000</v>
      </c>
      <c r="C101" s="3" t="s">
        <v>97</v>
      </c>
      <c r="D101" s="4" t="s">
        <v>940</v>
      </c>
    </row>
    <row r="102" spans="1:4" s="8" customFormat="1">
      <c r="A102" s="3" t="s">
        <v>6</v>
      </c>
      <c r="B102" s="3">
        <v>2011200000</v>
      </c>
      <c r="C102" s="3" t="s">
        <v>98</v>
      </c>
      <c r="D102" s="4" t="s">
        <v>941</v>
      </c>
    </row>
    <row r="103" spans="1:4" s="8" customFormat="1">
      <c r="A103" s="3" t="s">
        <v>6</v>
      </c>
      <c r="B103" s="3">
        <v>2014100030</v>
      </c>
      <c r="C103" s="3" t="s">
        <v>99</v>
      </c>
      <c r="D103" s="3" t="e">
        <v>#N/A</v>
      </c>
    </row>
    <row r="104" spans="1:4" s="8" customFormat="1">
      <c r="A104" s="3" t="s">
        <v>6</v>
      </c>
      <c r="B104" s="3">
        <v>2014200030</v>
      </c>
      <c r="C104" s="3" t="s">
        <v>100</v>
      </c>
      <c r="D104" s="3" t="e">
        <v>#N/A</v>
      </c>
    </row>
    <row r="105" spans="1:4" s="8" customFormat="1">
      <c r="A105" s="3" t="s">
        <v>6</v>
      </c>
      <c r="B105" s="3">
        <v>2790001510</v>
      </c>
      <c r="C105" s="3" t="s">
        <v>101</v>
      </c>
      <c r="D105" s="3" t="e">
        <v>#N/A</v>
      </c>
    </row>
    <row r="106" spans="1:4" s="8" customFormat="1">
      <c r="A106" s="3" t="s">
        <v>6</v>
      </c>
      <c r="B106" s="3">
        <v>2011100030</v>
      </c>
      <c r="C106" s="3" t="s">
        <v>102</v>
      </c>
      <c r="D106" s="3" t="e">
        <v>#N/A</v>
      </c>
    </row>
    <row r="107" spans="1:4" s="8" customFormat="1">
      <c r="A107" s="3" t="s">
        <v>6</v>
      </c>
      <c r="B107" s="3">
        <v>2011200030</v>
      </c>
      <c r="C107" s="3" t="s">
        <v>103</v>
      </c>
      <c r="D107" s="3" t="e">
        <v>#N/A</v>
      </c>
    </row>
    <row r="108" spans="1:4" s="8" customFormat="1">
      <c r="A108" s="3" t="s">
        <v>6</v>
      </c>
      <c r="B108" s="3">
        <v>2019100000</v>
      </c>
      <c r="C108" s="3" t="s">
        <v>104</v>
      </c>
      <c r="D108" s="4" t="s">
        <v>942</v>
      </c>
    </row>
    <row r="109" spans="1:4" s="8" customFormat="1">
      <c r="A109" s="3" t="s">
        <v>6</v>
      </c>
      <c r="B109" s="3">
        <v>2212100000</v>
      </c>
      <c r="C109" s="3" t="s">
        <v>105</v>
      </c>
      <c r="D109" s="4" t="s">
        <v>943</v>
      </c>
    </row>
    <row r="110" spans="1:4" s="8" customFormat="1">
      <c r="A110" s="3" t="s">
        <v>6</v>
      </c>
      <c r="B110" s="3">
        <v>2212200000</v>
      </c>
      <c r="C110" s="3" t="s">
        <v>106</v>
      </c>
      <c r="D110" s="4" t="s">
        <v>944</v>
      </c>
    </row>
    <row r="111" spans="1:4" s="8" customFormat="1">
      <c r="A111" s="3" t="s">
        <v>6</v>
      </c>
      <c r="B111" s="3">
        <v>2212310000</v>
      </c>
      <c r="C111" s="3" t="s">
        <v>107</v>
      </c>
      <c r="D111" s="4" t="s">
        <v>945</v>
      </c>
    </row>
    <row r="112" spans="1:4" s="8" customFormat="1">
      <c r="A112" s="3" t="s">
        <v>6</v>
      </c>
      <c r="B112" s="3">
        <v>2230010000</v>
      </c>
      <c r="C112" s="3" t="s">
        <v>108</v>
      </c>
      <c r="D112" s="4" t="s">
        <v>946</v>
      </c>
    </row>
    <row r="113" spans="1:4" s="8" customFormat="1">
      <c r="A113" s="3" t="s">
        <v>6</v>
      </c>
      <c r="B113" s="3">
        <v>2231010000</v>
      </c>
      <c r="C113" s="3" t="s">
        <v>109</v>
      </c>
      <c r="D113" s="4" t="s">
        <v>947</v>
      </c>
    </row>
    <row r="114" spans="1:4" s="8" customFormat="1">
      <c r="A114" s="3" t="s">
        <v>6</v>
      </c>
      <c r="B114" s="3">
        <v>2016100000</v>
      </c>
      <c r="C114" s="3" t="s">
        <v>110</v>
      </c>
      <c r="D114" s="4" t="s">
        <v>948</v>
      </c>
    </row>
    <row r="115" spans="1:4" s="8" customFormat="1">
      <c r="A115" s="3" t="s">
        <v>6</v>
      </c>
      <c r="B115" s="3">
        <v>2016200000</v>
      </c>
      <c r="C115" s="3" t="s">
        <v>111</v>
      </c>
      <c r="D115" s="4" t="s">
        <v>949</v>
      </c>
    </row>
    <row r="116" spans="1:4" s="8" customFormat="1">
      <c r="A116" s="3" t="s">
        <v>6</v>
      </c>
      <c r="B116" s="3">
        <v>2230010010</v>
      </c>
      <c r="C116" s="3" t="s">
        <v>112</v>
      </c>
      <c r="D116" s="3" t="e">
        <v>#N/A</v>
      </c>
    </row>
    <row r="117" spans="1:4" s="8" customFormat="1">
      <c r="A117" s="3" t="s">
        <v>6</v>
      </c>
      <c r="B117" s="3">
        <v>2231010010</v>
      </c>
      <c r="C117" s="3" t="s">
        <v>113</v>
      </c>
      <c r="D117" s="3" t="e">
        <v>#N/A</v>
      </c>
    </row>
    <row r="118" spans="1:4" s="8" customFormat="1">
      <c r="A118" s="3" t="s">
        <v>6</v>
      </c>
      <c r="B118" s="3">
        <v>2700004000</v>
      </c>
      <c r="C118" s="3" t="s">
        <v>114</v>
      </c>
      <c r="D118" s="3" t="e">
        <v>#N/A</v>
      </c>
    </row>
    <row r="119" spans="1:4" s="8" customFormat="1">
      <c r="A119" s="3" t="s">
        <v>6</v>
      </c>
      <c r="B119" s="3">
        <v>2700005000</v>
      </c>
      <c r="C119" s="3" t="s">
        <v>115</v>
      </c>
      <c r="D119" s="3" t="e">
        <v>#N/A</v>
      </c>
    </row>
    <row r="120" spans="1:4" s="8" customFormat="1">
      <c r="A120" s="3" t="s">
        <v>6</v>
      </c>
      <c r="B120" s="3">
        <v>2230110010</v>
      </c>
      <c r="C120" s="3" t="s">
        <v>116</v>
      </c>
      <c r="D120" s="4" t="s">
        <v>950</v>
      </c>
    </row>
    <row r="121" spans="1:4" s="8" customFormat="1">
      <c r="A121" s="3" t="s">
        <v>6</v>
      </c>
      <c r="B121" s="3">
        <v>2231110010</v>
      </c>
      <c r="C121" s="3" t="s">
        <v>117</v>
      </c>
      <c r="D121" s="4" t="s">
        <v>951</v>
      </c>
    </row>
    <row r="122" spans="1:4" s="8" customFormat="1">
      <c r="A122" s="3" t="s">
        <v>4</v>
      </c>
      <c r="B122" s="3">
        <v>2700000005</v>
      </c>
      <c r="C122" s="3" t="s">
        <v>118</v>
      </c>
      <c r="D122" s="3" t="e">
        <v>#N/A</v>
      </c>
    </row>
    <row r="123" spans="1:4" s="8" customFormat="1">
      <c r="A123" s="3" t="s">
        <v>7</v>
      </c>
      <c r="B123" s="3">
        <v>2760000001</v>
      </c>
      <c r="C123" s="3" t="s">
        <v>119</v>
      </c>
      <c r="D123" s="3" t="e">
        <v>#N/A</v>
      </c>
    </row>
    <row r="124" spans="1:4" s="8" customFormat="1">
      <c r="A124" s="3" t="s">
        <v>7</v>
      </c>
      <c r="B124" s="3">
        <v>2760000000</v>
      </c>
      <c r="C124" s="3" t="s">
        <v>120</v>
      </c>
      <c r="D124" s="4" t="s">
        <v>952</v>
      </c>
    </row>
    <row r="125" spans="1:4" s="8" customFormat="1">
      <c r="A125" s="3" t="s">
        <v>7</v>
      </c>
      <c r="B125" s="3">
        <v>2761001500</v>
      </c>
      <c r="C125" s="3" t="s">
        <v>121</v>
      </c>
      <c r="D125" s="4" t="s">
        <v>953</v>
      </c>
    </row>
    <row r="126" spans="1:4" s="8" customFormat="1">
      <c r="A126" s="3" t="s">
        <v>7</v>
      </c>
      <c r="B126" s="3">
        <v>4111001500</v>
      </c>
      <c r="C126" s="3" t="s">
        <v>122</v>
      </c>
      <c r="D126" s="4" t="s">
        <v>954</v>
      </c>
    </row>
    <row r="127" spans="1:4" s="8" customFormat="1">
      <c r="A127" s="3" t="s">
        <v>4</v>
      </c>
      <c r="B127" s="3">
        <v>2201000000</v>
      </c>
      <c r="C127" s="3" t="s">
        <v>123</v>
      </c>
      <c r="D127" s="4" t="s">
        <v>955</v>
      </c>
    </row>
    <row r="128" spans="1:4" s="8" customFormat="1">
      <c r="A128" s="3" t="s">
        <v>4</v>
      </c>
      <c r="B128" s="3">
        <v>2203000000</v>
      </c>
      <c r="C128" s="3" t="s">
        <v>124</v>
      </c>
      <c r="D128" s="4" t="s">
        <v>956</v>
      </c>
    </row>
    <row r="129" spans="1:4" s="8" customFormat="1">
      <c r="A129" s="3" t="s">
        <v>4</v>
      </c>
      <c r="B129" s="3">
        <v>2201000030</v>
      </c>
      <c r="C129" s="3" t="s">
        <v>125</v>
      </c>
      <c r="D129" s="4" t="s">
        <v>957</v>
      </c>
    </row>
    <row r="130" spans="1:4" s="8" customFormat="1">
      <c r="A130" s="3" t="s">
        <v>4</v>
      </c>
      <c r="B130" s="3">
        <v>2201200030</v>
      </c>
      <c r="C130" s="3" t="s">
        <v>126</v>
      </c>
      <c r="D130" s="4" t="s">
        <v>958</v>
      </c>
    </row>
    <row r="131" spans="1:4" s="8" customFormat="1">
      <c r="A131" s="3" t="s">
        <v>4</v>
      </c>
      <c r="B131" s="3">
        <v>2201000010</v>
      </c>
      <c r="C131" s="3" t="s">
        <v>127</v>
      </c>
      <c r="D131" s="4" t="s">
        <v>959</v>
      </c>
    </row>
    <row r="132" spans="1:4" s="8" customFormat="1">
      <c r="A132" s="3" t="s">
        <v>4</v>
      </c>
      <c r="B132" s="3">
        <v>2203000010</v>
      </c>
      <c r="C132" s="3" t="s">
        <v>128</v>
      </c>
      <c r="D132" s="4" t="s">
        <v>960</v>
      </c>
    </row>
    <row r="133" spans="1:4" s="8" customFormat="1">
      <c r="A133" s="3" t="s">
        <v>4</v>
      </c>
      <c r="B133" s="3">
        <v>2201300000</v>
      </c>
      <c r="C133" s="3" t="s">
        <v>129</v>
      </c>
      <c r="D133" s="4" t="s">
        <v>961</v>
      </c>
    </row>
    <row r="134" spans="1:4" s="8" customFormat="1">
      <c r="A134" s="3" t="s">
        <v>4</v>
      </c>
      <c r="B134" s="3">
        <v>2201400000</v>
      </c>
      <c r="C134" s="3" t="s">
        <v>130</v>
      </c>
      <c r="D134" s="4" t="s">
        <v>962</v>
      </c>
    </row>
    <row r="135" spans="1:4" s="8" customFormat="1">
      <c r="A135" s="3" t="s">
        <v>3</v>
      </c>
      <c r="B135" s="3">
        <v>2700000310</v>
      </c>
      <c r="C135" s="3" t="s">
        <v>131</v>
      </c>
      <c r="D135" s="4" t="s">
        <v>963</v>
      </c>
    </row>
    <row r="136" spans="1:4" s="8" customFormat="1">
      <c r="A136" s="3" t="s">
        <v>2</v>
      </c>
      <c r="B136" s="3">
        <v>4020000000</v>
      </c>
      <c r="C136" s="3" t="s">
        <v>132</v>
      </c>
      <c r="D136" s="4" t="s">
        <v>964</v>
      </c>
    </row>
    <row r="137" spans="1:4" s="8" customFormat="1">
      <c r="A137" s="3" t="s">
        <v>2</v>
      </c>
      <c r="B137" s="3">
        <v>4032002000</v>
      </c>
      <c r="C137" s="3" t="s">
        <v>133</v>
      </c>
      <c r="D137" s="4" t="s">
        <v>965</v>
      </c>
    </row>
    <row r="138" spans="1:4" s="8" customFormat="1">
      <c r="A138" s="3" t="s">
        <v>2</v>
      </c>
      <c r="B138" s="3">
        <v>4032001500</v>
      </c>
      <c r="C138" s="3" t="s">
        <v>133</v>
      </c>
      <c r="D138" s="4" t="s">
        <v>966</v>
      </c>
    </row>
    <row r="139" spans="1:4" s="8" customFormat="1">
      <c r="A139" s="3" t="s">
        <v>5</v>
      </c>
      <c r="B139" s="3">
        <v>3100100000</v>
      </c>
      <c r="C139" s="3" t="s">
        <v>134</v>
      </c>
      <c r="D139" s="4" t="s">
        <v>967</v>
      </c>
    </row>
    <row r="140" spans="1:4" s="8" customFormat="1">
      <c r="A140" s="3" t="s">
        <v>5</v>
      </c>
      <c r="B140" s="3">
        <v>3010000000</v>
      </c>
      <c r="C140" s="3" t="s">
        <v>135</v>
      </c>
      <c r="D140" s="4" t="s">
        <v>968</v>
      </c>
    </row>
    <row r="141" spans="1:4" s="8" customFormat="1">
      <c r="A141" s="3" t="s">
        <v>5</v>
      </c>
      <c r="B141" s="3">
        <v>3010000006</v>
      </c>
      <c r="C141" s="3" t="s">
        <v>136</v>
      </c>
      <c r="D141" s="4" t="s">
        <v>969</v>
      </c>
    </row>
    <row r="142" spans="1:4" s="8" customFormat="1">
      <c r="A142" s="3" t="s">
        <v>5</v>
      </c>
      <c r="B142" s="3">
        <v>3030000000</v>
      </c>
      <c r="C142" s="3" t="s">
        <v>137</v>
      </c>
      <c r="D142" s="4" t="s">
        <v>970</v>
      </c>
    </row>
    <row r="143" spans="1:4" s="8" customFormat="1">
      <c r="A143" s="3" t="s">
        <v>5</v>
      </c>
      <c r="B143" s="3">
        <v>3030000010</v>
      </c>
      <c r="C143" s="3" t="s">
        <v>138</v>
      </c>
      <c r="D143" s="3" t="e">
        <v>#N/A</v>
      </c>
    </row>
    <row r="144" spans="1:4" s="8" customFormat="1">
      <c r="A144" s="3" t="s">
        <v>5</v>
      </c>
      <c r="B144" s="3">
        <v>3020000000</v>
      </c>
      <c r="C144" s="3" t="s">
        <v>139</v>
      </c>
      <c r="D144" s="4" t="s">
        <v>971</v>
      </c>
    </row>
    <row r="145" spans="1:4" s="8" customFormat="1">
      <c r="A145" s="3" t="s">
        <v>3</v>
      </c>
      <c r="B145" s="3">
        <v>3540009011</v>
      </c>
      <c r="C145" s="3" t="s">
        <v>140</v>
      </c>
      <c r="D145" s="3" t="e">
        <v>#N/A</v>
      </c>
    </row>
    <row r="146" spans="1:4" s="8" customFormat="1">
      <c r="A146" s="3" t="s">
        <v>3</v>
      </c>
      <c r="B146" s="3">
        <v>3540009012</v>
      </c>
      <c r="C146" s="3" t="s">
        <v>141</v>
      </c>
      <c r="D146" s="3" t="e">
        <v>#N/A</v>
      </c>
    </row>
    <row r="147" spans="1:4" s="8" customFormat="1">
      <c r="A147" s="3" t="s">
        <v>3</v>
      </c>
      <c r="B147" s="3">
        <v>3540009013</v>
      </c>
      <c r="C147" s="3" t="s">
        <v>142</v>
      </c>
      <c r="D147" s="3" t="e">
        <v>#N/A</v>
      </c>
    </row>
    <row r="148" spans="1:4" s="8" customFormat="1">
      <c r="A148" s="3" t="s">
        <v>3</v>
      </c>
      <c r="B148" s="3">
        <v>3540009014</v>
      </c>
      <c r="C148" s="3" t="s">
        <v>143</v>
      </c>
      <c r="D148" s="3" t="e">
        <v>#N/A</v>
      </c>
    </row>
    <row r="149" spans="1:4" s="8" customFormat="1">
      <c r="A149" s="3" t="s">
        <v>3</v>
      </c>
      <c r="B149" s="3">
        <v>3540009015</v>
      </c>
      <c r="C149" s="3" t="s">
        <v>144</v>
      </c>
      <c r="D149" s="3" t="e">
        <v>#N/A</v>
      </c>
    </row>
    <row r="150" spans="1:4" s="8" customFormat="1">
      <c r="A150" s="3" t="s">
        <v>3</v>
      </c>
      <c r="B150" s="3">
        <v>3540009016</v>
      </c>
      <c r="C150" s="3" t="s">
        <v>145</v>
      </c>
      <c r="D150" s="3" t="e">
        <v>#N/A</v>
      </c>
    </row>
    <row r="151" spans="1:4" s="8" customFormat="1">
      <c r="A151" s="3" t="s">
        <v>3</v>
      </c>
      <c r="B151" s="3">
        <v>3540009017</v>
      </c>
      <c r="C151" s="3" t="s">
        <v>146</v>
      </c>
      <c r="D151" s="3" t="e">
        <v>#N/A</v>
      </c>
    </row>
    <row r="152" spans="1:4" s="8" customFormat="1">
      <c r="A152" s="3" t="s">
        <v>3</v>
      </c>
      <c r="B152" s="3">
        <v>3540009018</v>
      </c>
      <c r="C152" s="3" t="s">
        <v>147</v>
      </c>
      <c r="D152" s="3" t="e">
        <v>#N/A</v>
      </c>
    </row>
    <row r="153" spans="1:4" s="8" customFormat="1">
      <c r="A153" s="3" t="s">
        <v>5</v>
      </c>
      <c r="B153" s="3">
        <v>3100000000</v>
      </c>
      <c r="C153" s="3" t="s">
        <v>148</v>
      </c>
      <c r="D153" s="4" t="s">
        <v>972</v>
      </c>
    </row>
    <row r="154" spans="1:4" s="8" customFormat="1">
      <c r="A154" s="3" t="s">
        <v>5</v>
      </c>
      <c r="B154" s="3">
        <v>3800000000</v>
      </c>
      <c r="C154" s="3" t="s">
        <v>149</v>
      </c>
      <c r="D154" s="4" t="s">
        <v>973</v>
      </c>
    </row>
    <row r="155" spans="1:4" s="8" customFormat="1">
      <c r="A155" s="3" t="s">
        <v>5</v>
      </c>
      <c r="B155" s="3">
        <v>3800000010</v>
      </c>
      <c r="C155" s="3" t="s">
        <v>150</v>
      </c>
      <c r="D155" s="4" t="s">
        <v>974</v>
      </c>
    </row>
    <row r="156" spans="1:4" s="8" customFormat="1">
      <c r="A156" s="3" t="s">
        <v>5</v>
      </c>
      <c r="B156" s="3">
        <v>3810000000</v>
      </c>
      <c r="C156" s="3" t="s">
        <v>151</v>
      </c>
      <c r="D156" s="4" t="s">
        <v>975</v>
      </c>
    </row>
    <row r="157" spans="1:4" s="8" customFormat="1">
      <c r="A157" s="3" t="s">
        <v>5</v>
      </c>
      <c r="B157" s="3">
        <v>3130001500</v>
      </c>
      <c r="C157" s="3" t="s">
        <v>152</v>
      </c>
      <c r="D157" s="4" t="s">
        <v>976</v>
      </c>
    </row>
    <row r="158" spans="1:4" s="8" customFormat="1">
      <c r="A158" s="3" t="s">
        <v>5</v>
      </c>
      <c r="B158" s="3">
        <v>4010000000</v>
      </c>
      <c r="C158" s="3" t="s">
        <v>153</v>
      </c>
      <c r="D158" s="4" t="s">
        <v>977</v>
      </c>
    </row>
    <row r="159" spans="1:4" s="8" customFormat="1">
      <c r="A159" s="3" t="s">
        <v>5</v>
      </c>
      <c r="B159" s="3">
        <v>4010100000</v>
      </c>
      <c r="C159" s="3" t="s">
        <v>154</v>
      </c>
      <c r="D159" s="4" t="s">
        <v>978</v>
      </c>
    </row>
    <row r="160" spans="1:4" s="8" customFormat="1">
      <c r="A160" s="3" t="s">
        <v>5</v>
      </c>
      <c r="B160" s="3">
        <v>3540009080</v>
      </c>
      <c r="C160" s="3" t="s">
        <v>155</v>
      </c>
      <c r="D160" s="3" t="e">
        <v>#N/A</v>
      </c>
    </row>
    <row r="161" spans="1:4" s="8" customFormat="1">
      <c r="A161" s="3" t="s">
        <v>5</v>
      </c>
      <c r="B161" s="3">
        <v>3103000000</v>
      </c>
      <c r="C161" s="3" t="s">
        <v>156</v>
      </c>
      <c r="D161" s="4" t="s">
        <v>979</v>
      </c>
    </row>
    <row r="162" spans="1:4" s="8" customFormat="1">
      <c r="A162" s="3" t="s">
        <v>5</v>
      </c>
      <c r="B162" s="3">
        <v>3103001000</v>
      </c>
      <c r="C162" s="3" t="s">
        <v>157</v>
      </c>
      <c r="D162" s="4" t="s">
        <v>980</v>
      </c>
    </row>
    <row r="163" spans="1:4" s="8" customFormat="1">
      <c r="A163" s="3" t="s">
        <v>5</v>
      </c>
      <c r="B163" s="3">
        <v>4011000000</v>
      </c>
      <c r="C163" s="3" t="s">
        <v>158</v>
      </c>
      <c r="D163" s="4" t="s">
        <v>981</v>
      </c>
    </row>
    <row r="164" spans="1:4" s="8" customFormat="1">
      <c r="A164" s="3" t="s">
        <v>5</v>
      </c>
      <c r="B164" s="3">
        <v>3500000010</v>
      </c>
      <c r="C164" s="3" t="s">
        <v>159</v>
      </c>
      <c r="D164" s="4" t="s">
        <v>982</v>
      </c>
    </row>
    <row r="165" spans="1:4" s="8" customFormat="1">
      <c r="A165" s="3" t="s">
        <v>5</v>
      </c>
      <c r="B165" s="3">
        <v>3100000050</v>
      </c>
      <c r="C165" s="3" t="s">
        <v>160</v>
      </c>
      <c r="D165" s="3" t="e">
        <v>#N/A</v>
      </c>
    </row>
    <row r="166" spans="1:4" s="8" customFormat="1">
      <c r="A166" s="3" t="s">
        <v>3</v>
      </c>
      <c r="B166" s="3">
        <v>3710000001</v>
      </c>
      <c r="C166" s="3" t="s">
        <v>161</v>
      </c>
      <c r="D166" s="3" t="e">
        <v>#N/A</v>
      </c>
    </row>
    <row r="167" spans="1:4" s="8" customFormat="1">
      <c r="A167" s="3" t="s">
        <v>3</v>
      </c>
      <c r="B167" s="3">
        <v>3710000002</v>
      </c>
      <c r="C167" s="3" t="s">
        <v>162</v>
      </c>
      <c r="D167" s="3" t="e">
        <v>#N/A</v>
      </c>
    </row>
    <row r="168" spans="1:4" s="8" customFormat="1">
      <c r="A168" s="3" t="s">
        <v>3</v>
      </c>
      <c r="B168" s="3">
        <v>3710000003</v>
      </c>
      <c r="C168" s="3" t="s">
        <v>163</v>
      </c>
      <c r="D168" s="3" t="e">
        <v>#N/A</v>
      </c>
    </row>
    <row r="169" spans="1:4" s="8" customFormat="1">
      <c r="A169" s="3" t="s">
        <v>3</v>
      </c>
      <c r="B169" s="3">
        <v>3710000000</v>
      </c>
      <c r="C169" s="3" t="s">
        <v>164</v>
      </c>
      <c r="D169" s="4" t="s">
        <v>983</v>
      </c>
    </row>
    <row r="170" spans="1:4" s="8" customFormat="1">
      <c r="A170" s="3" t="s">
        <v>3</v>
      </c>
      <c r="B170" s="3">
        <v>3710000100</v>
      </c>
      <c r="C170" s="3" t="s">
        <v>165</v>
      </c>
      <c r="D170" s="4" t="s">
        <v>984</v>
      </c>
    </row>
    <row r="171" spans="1:4" s="8" customFormat="1">
      <c r="A171" s="3" t="s">
        <v>3</v>
      </c>
      <c r="B171" s="3">
        <v>4232100011</v>
      </c>
      <c r="C171" s="3" t="s">
        <v>166</v>
      </c>
      <c r="D171" s="3" t="e">
        <v>#N/A</v>
      </c>
    </row>
    <row r="172" spans="1:4" s="8" customFormat="1">
      <c r="A172" s="3" t="s">
        <v>3</v>
      </c>
      <c r="B172" s="3">
        <v>4200000160</v>
      </c>
      <c r="C172" s="3" t="s">
        <v>167</v>
      </c>
      <c r="D172" s="3" t="e">
        <v>#N/A</v>
      </c>
    </row>
    <row r="173" spans="1:4" s="8" customFormat="1">
      <c r="A173" s="3" t="s">
        <v>3</v>
      </c>
      <c r="B173" s="3">
        <v>4200000161</v>
      </c>
      <c r="C173" s="3" t="s">
        <v>168</v>
      </c>
      <c r="D173" s="3" t="e">
        <v>#N/A</v>
      </c>
    </row>
    <row r="174" spans="1:4" s="8" customFormat="1">
      <c r="A174" s="3" t="s">
        <v>3</v>
      </c>
      <c r="B174" s="3">
        <v>4200000140</v>
      </c>
      <c r="C174" s="3" t="s">
        <v>169</v>
      </c>
      <c r="D174" s="4" t="s">
        <v>985</v>
      </c>
    </row>
    <row r="175" spans="1:4" s="8" customFormat="1">
      <c r="A175" s="3" t="s">
        <v>3</v>
      </c>
      <c r="B175" s="3">
        <v>4200000162</v>
      </c>
      <c r="C175" s="3" t="s">
        <v>170</v>
      </c>
      <c r="D175" s="3" t="e">
        <v>#N/A</v>
      </c>
    </row>
    <row r="176" spans="1:4" s="8" customFormat="1">
      <c r="A176" s="3" t="s">
        <v>3</v>
      </c>
      <c r="B176" s="3">
        <v>4200000150</v>
      </c>
      <c r="C176" s="3" t="s">
        <v>171</v>
      </c>
      <c r="D176" s="4" t="s">
        <v>986</v>
      </c>
    </row>
    <row r="177" spans="1:4" s="8" customFormat="1">
      <c r="A177" s="3" t="s">
        <v>3</v>
      </c>
      <c r="B177" s="3">
        <v>4200000151</v>
      </c>
      <c r="C177" s="3" t="s">
        <v>172</v>
      </c>
      <c r="D177" s="3" t="e">
        <v>#N/A</v>
      </c>
    </row>
    <row r="178" spans="1:4" s="8" customFormat="1">
      <c r="A178" s="3" t="s">
        <v>3</v>
      </c>
      <c r="B178" s="3">
        <v>4200000152</v>
      </c>
      <c r="C178" s="3" t="s">
        <v>173</v>
      </c>
      <c r="D178" s="3" t="e">
        <v>#N/A</v>
      </c>
    </row>
    <row r="179" spans="1:4" s="8" customFormat="1">
      <c r="A179" s="3" t="s">
        <v>3</v>
      </c>
      <c r="B179" s="3">
        <v>4200000153</v>
      </c>
      <c r="C179" s="3" t="s">
        <v>174</v>
      </c>
      <c r="D179" s="3" t="e">
        <v>#N/A</v>
      </c>
    </row>
    <row r="180" spans="1:4" s="8" customFormat="1">
      <c r="A180" s="3" t="s">
        <v>3</v>
      </c>
      <c r="B180" s="3">
        <v>4200000154</v>
      </c>
      <c r="C180" s="3" t="s">
        <v>175</v>
      </c>
      <c r="D180" s="3" t="e">
        <v>#N/A</v>
      </c>
    </row>
    <row r="181" spans="1:4" s="8" customFormat="1">
      <c r="A181" s="3" t="s">
        <v>3</v>
      </c>
      <c r="B181" s="3">
        <v>4200000155</v>
      </c>
      <c r="C181" s="3" t="s">
        <v>176</v>
      </c>
      <c r="D181" s="3" t="e">
        <v>#N/A</v>
      </c>
    </row>
    <row r="182" spans="1:4" s="8" customFormat="1">
      <c r="A182" s="3" t="s">
        <v>3</v>
      </c>
      <c r="B182" s="3">
        <v>4200000156</v>
      </c>
      <c r="C182" s="3" t="s">
        <v>177</v>
      </c>
      <c r="D182" s="3" t="e">
        <v>#N/A</v>
      </c>
    </row>
    <row r="183" spans="1:4" s="8" customFormat="1">
      <c r="A183" s="3" t="s">
        <v>3</v>
      </c>
      <c r="B183" s="3">
        <v>4203000000</v>
      </c>
      <c r="C183" s="3" t="s">
        <v>178</v>
      </c>
      <c r="D183" s="4" t="s">
        <v>987</v>
      </c>
    </row>
    <row r="184" spans="1:4" s="8" customFormat="1">
      <c r="A184" s="3" t="s">
        <v>3</v>
      </c>
      <c r="B184" s="3">
        <v>4210001500</v>
      </c>
      <c r="C184" s="3" t="s">
        <v>179</v>
      </c>
      <c r="D184" s="4" t="s">
        <v>988</v>
      </c>
    </row>
    <row r="185" spans="1:4" s="8" customFormat="1">
      <c r="A185" s="3" t="s">
        <v>3</v>
      </c>
      <c r="B185" s="3">
        <v>4212001500</v>
      </c>
      <c r="C185" s="3" t="s">
        <v>180</v>
      </c>
      <c r="D185" s="4" t="s">
        <v>989</v>
      </c>
    </row>
    <row r="186" spans="1:4" s="8" customFormat="1">
      <c r="A186" s="3" t="s">
        <v>4</v>
      </c>
      <c r="B186" s="3">
        <v>4201001500</v>
      </c>
      <c r="C186" s="3" t="s">
        <v>181</v>
      </c>
      <c r="D186" s="4" t="s">
        <v>990</v>
      </c>
    </row>
    <row r="187" spans="1:4" s="8" customFormat="1">
      <c r="A187" s="3" t="s">
        <v>4</v>
      </c>
      <c r="B187" s="3">
        <v>4201001501</v>
      </c>
      <c r="C187" s="3" t="s">
        <v>182</v>
      </c>
      <c r="D187" s="3" t="e">
        <v>#N/A</v>
      </c>
    </row>
    <row r="188" spans="1:4" s="8" customFormat="1">
      <c r="A188" s="3" t="s">
        <v>4</v>
      </c>
      <c r="B188" s="3">
        <v>4201001502</v>
      </c>
      <c r="C188" s="3" t="s">
        <v>183</v>
      </c>
      <c r="D188" s="3" t="e">
        <v>#N/A</v>
      </c>
    </row>
    <row r="189" spans="1:4" s="8" customFormat="1">
      <c r="A189" s="3" t="s">
        <v>4</v>
      </c>
      <c r="B189" s="3">
        <v>4230042120</v>
      </c>
      <c r="C189" s="3" t="s">
        <v>184</v>
      </c>
      <c r="D189" s="4" t="s">
        <v>991</v>
      </c>
    </row>
    <row r="190" spans="1:4" s="8" customFormat="1">
      <c r="A190" s="3" t="s">
        <v>4</v>
      </c>
      <c r="B190" s="3">
        <v>4201001510</v>
      </c>
      <c r="C190" s="3" t="s">
        <v>185</v>
      </c>
      <c r="D190" s="4" t="s">
        <v>992</v>
      </c>
    </row>
    <row r="191" spans="1:4" s="8" customFormat="1">
      <c r="A191" s="3" t="s">
        <v>4</v>
      </c>
      <c r="B191" s="3">
        <v>4201001511</v>
      </c>
      <c r="C191" s="3" t="s">
        <v>186</v>
      </c>
      <c r="D191" s="3" t="e">
        <v>#N/A</v>
      </c>
    </row>
    <row r="192" spans="1:4" s="8" customFormat="1">
      <c r="A192" s="3" t="s">
        <v>4</v>
      </c>
      <c r="B192" s="3">
        <v>4230042121</v>
      </c>
      <c r="C192" s="3" t="s">
        <v>187</v>
      </c>
      <c r="D192" s="3" t="e">
        <v>#N/A</v>
      </c>
    </row>
    <row r="193" spans="1:4" s="8" customFormat="1">
      <c r="A193" s="3" t="s">
        <v>4</v>
      </c>
      <c r="B193" s="3">
        <v>4201001503</v>
      </c>
      <c r="C193" s="3" t="s">
        <v>188</v>
      </c>
      <c r="D193" s="3" t="e">
        <v>#N/A</v>
      </c>
    </row>
    <row r="194" spans="1:4" s="8" customFormat="1">
      <c r="A194" s="3" t="s">
        <v>4</v>
      </c>
      <c r="B194" s="3">
        <v>4230042122</v>
      </c>
      <c r="C194" s="3" t="s">
        <v>189</v>
      </c>
      <c r="D194" s="3" t="e">
        <v>#N/A</v>
      </c>
    </row>
    <row r="195" spans="1:4" s="8" customFormat="1">
      <c r="A195" s="3" t="s">
        <v>4</v>
      </c>
      <c r="B195" s="3">
        <v>4201001504</v>
      </c>
      <c r="C195" s="3" t="s">
        <v>190</v>
      </c>
      <c r="D195" s="3" t="e">
        <v>#N/A</v>
      </c>
    </row>
    <row r="196" spans="1:4" s="8" customFormat="1">
      <c r="A196" s="3" t="s">
        <v>4</v>
      </c>
      <c r="B196" s="3">
        <v>4201001505</v>
      </c>
      <c r="C196" s="3" t="s">
        <v>191</v>
      </c>
      <c r="D196" s="3" t="e">
        <v>#N/A</v>
      </c>
    </row>
    <row r="197" spans="1:4" s="8" customFormat="1">
      <c r="A197" s="3" t="s">
        <v>4</v>
      </c>
      <c r="B197" s="3">
        <v>4201001506</v>
      </c>
      <c r="C197" s="3" t="s">
        <v>192</v>
      </c>
      <c r="D197" s="3" t="e">
        <v>#N/A</v>
      </c>
    </row>
    <row r="198" spans="1:4" s="8" customFormat="1">
      <c r="A198" s="3" t="s">
        <v>4</v>
      </c>
      <c r="B198" s="3">
        <v>4201001507</v>
      </c>
      <c r="C198" s="3" t="s">
        <v>193</v>
      </c>
      <c r="D198" s="3" t="e">
        <v>#N/A</v>
      </c>
    </row>
    <row r="199" spans="1:4" s="8" customFormat="1">
      <c r="A199" s="3" t="s">
        <v>4</v>
      </c>
      <c r="B199" s="3">
        <v>4243000200</v>
      </c>
      <c r="C199" s="3" t="s">
        <v>194</v>
      </c>
      <c r="D199" s="4" t="s">
        <v>993</v>
      </c>
    </row>
    <row r="200" spans="1:4" s="8" customFormat="1">
      <c r="A200" s="3" t="s">
        <v>7</v>
      </c>
      <c r="B200" s="3">
        <v>4202001501</v>
      </c>
      <c r="C200" s="3" t="s">
        <v>195</v>
      </c>
      <c r="D200" s="3" t="e">
        <v>#N/A</v>
      </c>
    </row>
    <row r="201" spans="1:4" s="8" customFormat="1">
      <c r="A201" s="3" t="s">
        <v>7</v>
      </c>
      <c r="B201" s="3">
        <v>4202001509</v>
      </c>
      <c r="C201" s="3" t="s">
        <v>196</v>
      </c>
      <c r="D201" s="3" t="e">
        <v>#N/A</v>
      </c>
    </row>
    <row r="202" spans="1:4" s="8" customFormat="1">
      <c r="A202" s="3" t="s">
        <v>7</v>
      </c>
      <c r="B202" s="3">
        <v>4202001502</v>
      </c>
      <c r="C202" s="3" t="s">
        <v>197</v>
      </c>
      <c r="D202" s="3" t="e">
        <v>#N/A</v>
      </c>
    </row>
    <row r="203" spans="1:4" s="8" customFormat="1">
      <c r="A203" s="3" t="s">
        <v>7</v>
      </c>
      <c r="B203" s="3">
        <v>4202001503</v>
      </c>
      <c r="C203" s="3" t="s">
        <v>198</v>
      </c>
      <c r="D203" s="3" t="e">
        <v>#N/A</v>
      </c>
    </row>
    <row r="204" spans="1:4" s="8" customFormat="1">
      <c r="A204" s="3" t="s">
        <v>7</v>
      </c>
      <c r="B204" s="3">
        <v>4202001504</v>
      </c>
      <c r="C204" s="3" t="s">
        <v>199</v>
      </c>
      <c r="D204" s="3" t="e">
        <v>#N/A</v>
      </c>
    </row>
    <row r="205" spans="1:4" s="8" customFormat="1">
      <c r="A205" s="3" t="s">
        <v>7</v>
      </c>
      <c r="B205" s="3">
        <v>4202001505</v>
      </c>
      <c r="C205" s="3" t="s">
        <v>200</v>
      </c>
      <c r="D205" s="3" t="e">
        <v>#N/A</v>
      </c>
    </row>
    <row r="206" spans="1:4" s="8" customFormat="1">
      <c r="A206" s="3" t="s">
        <v>7</v>
      </c>
      <c r="B206" s="3">
        <v>4202001506</v>
      </c>
      <c r="C206" s="3" t="s">
        <v>201</v>
      </c>
      <c r="D206" s="3" t="e">
        <v>#N/A</v>
      </c>
    </row>
    <row r="207" spans="1:4" s="8" customFormat="1">
      <c r="A207" s="3" t="s">
        <v>7</v>
      </c>
      <c r="B207" s="3">
        <v>4202001507</v>
      </c>
      <c r="C207" s="3" t="s">
        <v>202</v>
      </c>
      <c r="D207" s="3" t="e">
        <v>#N/A</v>
      </c>
    </row>
    <row r="208" spans="1:4" s="8" customFormat="1">
      <c r="A208" s="3" t="s">
        <v>7</v>
      </c>
      <c r="B208" s="3">
        <v>4202001508</v>
      </c>
      <c r="C208" s="3" t="s">
        <v>203</v>
      </c>
      <c r="D208" s="3" t="e">
        <v>#N/A</v>
      </c>
    </row>
    <row r="209" spans="1:4" s="8" customFormat="1">
      <c r="A209" s="3" t="s">
        <v>7</v>
      </c>
      <c r="B209" s="3">
        <v>4202001515</v>
      </c>
      <c r="C209" s="3" t="s">
        <v>204</v>
      </c>
      <c r="D209" s="3" t="e">
        <v>#N/A</v>
      </c>
    </row>
    <row r="210" spans="1:4" s="8" customFormat="1">
      <c r="A210" s="3" t="s">
        <v>7</v>
      </c>
      <c r="B210" s="3">
        <v>4202001511</v>
      </c>
      <c r="C210" s="3" t="s">
        <v>205</v>
      </c>
      <c r="D210" s="3" t="e">
        <v>#N/A</v>
      </c>
    </row>
    <row r="211" spans="1:4" s="8" customFormat="1">
      <c r="A211" s="3" t="s">
        <v>7</v>
      </c>
      <c r="B211" s="3">
        <v>4202001512</v>
      </c>
      <c r="C211" s="3" t="s">
        <v>206</v>
      </c>
      <c r="D211" s="3" t="e">
        <v>#N/A</v>
      </c>
    </row>
    <row r="212" spans="1:4" s="8" customFormat="1">
      <c r="A212" s="3" t="s">
        <v>7</v>
      </c>
      <c r="B212" s="3">
        <v>4202000251</v>
      </c>
      <c r="C212" s="3" t="s">
        <v>207</v>
      </c>
      <c r="D212" s="3" t="e">
        <v>#N/A</v>
      </c>
    </row>
    <row r="213" spans="1:4" s="8" customFormat="1">
      <c r="A213" s="3" t="s">
        <v>7</v>
      </c>
      <c r="B213" s="3">
        <v>4202000252</v>
      </c>
      <c r="C213" s="3" t="s">
        <v>208</v>
      </c>
      <c r="D213" s="3" t="e">
        <v>#N/A</v>
      </c>
    </row>
    <row r="214" spans="1:4" s="8" customFormat="1">
      <c r="A214" s="3" t="s">
        <v>7</v>
      </c>
      <c r="B214" s="3">
        <v>4202000253</v>
      </c>
      <c r="C214" s="3" t="s">
        <v>209</v>
      </c>
      <c r="D214" s="3" t="e">
        <v>#N/A</v>
      </c>
    </row>
    <row r="215" spans="1:4" s="8" customFormat="1">
      <c r="A215" s="3" t="s">
        <v>7</v>
      </c>
      <c r="B215" s="3">
        <v>4202000254</v>
      </c>
      <c r="C215" s="3" t="s">
        <v>210</v>
      </c>
      <c r="D215" s="3" t="e">
        <v>#N/A</v>
      </c>
    </row>
    <row r="216" spans="1:4" s="8" customFormat="1">
      <c r="A216" s="3" t="s">
        <v>7</v>
      </c>
      <c r="B216" s="3">
        <v>4202000255</v>
      </c>
      <c r="C216" s="3" t="s">
        <v>211</v>
      </c>
      <c r="D216" s="3" t="e">
        <v>#N/A</v>
      </c>
    </row>
    <row r="217" spans="1:4" s="8" customFormat="1">
      <c r="A217" s="3" t="s">
        <v>7</v>
      </c>
      <c r="B217" s="3">
        <v>4202000256</v>
      </c>
      <c r="C217" s="3" t="s">
        <v>212</v>
      </c>
      <c r="D217" s="3" t="e">
        <v>#N/A</v>
      </c>
    </row>
    <row r="218" spans="1:4" s="8" customFormat="1">
      <c r="A218" s="3" t="s">
        <v>7</v>
      </c>
      <c r="B218" s="3">
        <v>4100000010</v>
      </c>
      <c r="C218" s="3" t="s">
        <v>213</v>
      </c>
      <c r="D218" s="4" t="s">
        <v>994</v>
      </c>
    </row>
    <row r="219" spans="1:4" s="8" customFormat="1">
      <c r="A219" s="3" t="s">
        <v>7</v>
      </c>
      <c r="B219" s="3">
        <v>4202000257</v>
      </c>
      <c r="C219" s="3" t="s">
        <v>214</v>
      </c>
      <c r="D219" s="3" t="e">
        <v>#N/A</v>
      </c>
    </row>
    <row r="220" spans="1:4" s="8" customFormat="1">
      <c r="A220" s="3" t="s">
        <v>7</v>
      </c>
      <c r="B220" s="3">
        <v>4202000210</v>
      </c>
      <c r="C220" s="3" t="s">
        <v>215</v>
      </c>
      <c r="D220" s="4" t="s">
        <v>995</v>
      </c>
    </row>
    <row r="221" spans="1:4" s="8" customFormat="1">
      <c r="A221" s="3" t="s">
        <v>7</v>
      </c>
      <c r="B221" s="3">
        <v>4202003001</v>
      </c>
      <c r="C221" s="3" t="s">
        <v>216</v>
      </c>
      <c r="D221" s="3" t="e">
        <v>#N/A</v>
      </c>
    </row>
    <row r="222" spans="1:4" s="8" customFormat="1">
      <c r="A222" s="3" t="s">
        <v>7</v>
      </c>
      <c r="B222" s="3">
        <v>4202003002</v>
      </c>
      <c r="C222" s="3" t="s">
        <v>217</v>
      </c>
      <c r="D222" s="3" t="e">
        <v>#N/A</v>
      </c>
    </row>
    <row r="223" spans="1:4" s="8" customFormat="1">
      <c r="A223" s="3" t="s">
        <v>7</v>
      </c>
      <c r="B223" s="3">
        <v>4202003003</v>
      </c>
      <c r="C223" s="3" t="s">
        <v>218</v>
      </c>
      <c r="D223" s="3" t="e">
        <v>#N/A</v>
      </c>
    </row>
    <row r="224" spans="1:4" s="8" customFormat="1">
      <c r="A224" s="3" t="s">
        <v>7</v>
      </c>
      <c r="B224" s="3">
        <v>4202003004</v>
      </c>
      <c r="C224" s="3" t="s">
        <v>219</v>
      </c>
      <c r="D224" s="3" t="e">
        <v>#N/A</v>
      </c>
    </row>
    <row r="225" spans="1:4" s="8" customFormat="1">
      <c r="A225" s="3" t="s">
        <v>7</v>
      </c>
      <c r="B225" s="3">
        <v>4202003005</v>
      </c>
      <c r="C225" s="3" t="s">
        <v>220</v>
      </c>
      <c r="D225" s="3" t="e">
        <v>#N/A</v>
      </c>
    </row>
    <row r="226" spans="1:4" s="8" customFormat="1">
      <c r="A226" s="3" t="s">
        <v>7</v>
      </c>
      <c r="B226" s="3">
        <v>4202003006</v>
      </c>
      <c r="C226" s="3" t="s">
        <v>221</v>
      </c>
      <c r="D226" s="3" t="e">
        <v>#N/A</v>
      </c>
    </row>
    <row r="227" spans="1:4" s="8" customFormat="1">
      <c r="A227" s="3" t="s">
        <v>7</v>
      </c>
      <c r="B227" s="3">
        <v>4202003007</v>
      </c>
      <c r="C227" s="3" t="s">
        <v>222</v>
      </c>
      <c r="D227" s="3" t="e">
        <v>#N/A</v>
      </c>
    </row>
    <row r="228" spans="1:4" s="8" customFormat="1">
      <c r="A228" s="3" t="s">
        <v>7</v>
      </c>
      <c r="B228" s="3">
        <v>4202003008</v>
      </c>
      <c r="C228" s="3" t="s">
        <v>223</v>
      </c>
      <c r="D228" s="3" t="e">
        <v>#N/A</v>
      </c>
    </row>
    <row r="229" spans="1:4" s="8" customFormat="1">
      <c r="A229" s="3" t="s">
        <v>7</v>
      </c>
      <c r="B229" s="3">
        <v>4202003009</v>
      </c>
      <c r="C229" s="3" t="s">
        <v>224</v>
      </c>
      <c r="D229" s="3" t="e">
        <v>#N/A</v>
      </c>
    </row>
    <row r="230" spans="1:4" s="8" customFormat="1">
      <c r="A230" s="3" t="s">
        <v>7</v>
      </c>
      <c r="B230" s="3">
        <v>4202003010</v>
      </c>
      <c r="C230" s="3" t="s">
        <v>225</v>
      </c>
      <c r="D230" s="3" t="e">
        <v>#N/A</v>
      </c>
    </row>
    <row r="231" spans="1:4" s="8" customFormat="1">
      <c r="A231" s="3" t="s">
        <v>7</v>
      </c>
      <c r="B231" s="3">
        <v>4202003013</v>
      </c>
      <c r="C231" s="3" t="s">
        <v>226</v>
      </c>
      <c r="D231" s="3" t="e">
        <v>#N/A</v>
      </c>
    </row>
    <row r="232" spans="1:4" s="8" customFormat="1">
      <c r="A232" s="3" t="s">
        <v>7</v>
      </c>
      <c r="B232" s="3">
        <v>4202003014</v>
      </c>
      <c r="C232" s="3" t="s">
        <v>227</v>
      </c>
      <c r="D232" s="3" t="e">
        <v>#N/A</v>
      </c>
    </row>
    <row r="233" spans="1:4" s="8" customFormat="1">
      <c r="A233" s="3" t="s">
        <v>7</v>
      </c>
      <c r="B233" s="3">
        <v>4202003015</v>
      </c>
      <c r="C233" s="3" t="s">
        <v>228</v>
      </c>
      <c r="D233" s="3" t="e">
        <v>#N/A</v>
      </c>
    </row>
    <row r="234" spans="1:4" s="8" customFormat="1">
      <c r="A234" s="3" t="s">
        <v>7</v>
      </c>
      <c r="B234" s="3">
        <v>4202003016</v>
      </c>
      <c r="C234" s="3" t="s">
        <v>229</v>
      </c>
      <c r="D234" s="3" t="e">
        <v>#N/A</v>
      </c>
    </row>
    <row r="235" spans="1:4" s="8" customFormat="1">
      <c r="A235" s="3" t="s">
        <v>7</v>
      </c>
      <c r="B235" s="3">
        <v>4202003100</v>
      </c>
      <c r="C235" s="3" t="s">
        <v>230</v>
      </c>
      <c r="D235" s="3" t="e">
        <v>#N/A</v>
      </c>
    </row>
    <row r="236" spans="1:4" s="8" customFormat="1">
      <c r="A236" s="3" t="s">
        <v>7</v>
      </c>
      <c r="B236" s="3">
        <v>4202003201</v>
      </c>
      <c r="C236" s="3" t="s">
        <v>231</v>
      </c>
      <c r="D236" s="3" t="e">
        <v>#N/A</v>
      </c>
    </row>
    <row r="237" spans="1:4" s="8" customFormat="1">
      <c r="A237" s="3" t="s">
        <v>7</v>
      </c>
      <c r="B237" s="3">
        <v>4202003202</v>
      </c>
      <c r="C237" s="3" t="s">
        <v>232</v>
      </c>
      <c r="D237" s="3" t="e">
        <v>#N/A</v>
      </c>
    </row>
    <row r="238" spans="1:4" s="8" customFormat="1">
      <c r="A238" s="3" t="s">
        <v>7</v>
      </c>
      <c r="B238" s="3">
        <v>4202003301</v>
      </c>
      <c r="C238" s="3" t="s">
        <v>233</v>
      </c>
      <c r="D238" s="3" t="e">
        <v>#N/A</v>
      </c>
    </row>
    <row r="239" spans="1:4" s="8" customFormat="1">
      <c r="A239" s="3" t="s">
        <v>7</v>
      </c>
      <c r="B239" s="3">
        <v>4202003302</v>
      </c>
      <c r="C239" s="3" t="s">
        <v>234</v>
      </c>
      <c r="D239" s="3" t="e">
        <v>#N/A</v>
      </c>
    </row>
    <row r="240" spans="1:4" s="8" customFormat="1">
      <c r="A240" s="3" t="s">
        <v>7</v>
      </c>
      <c r="B240" s="3">
        <v>4202003303</v>
      </c>
      <c r="C240" s="3" t="s">
        <v>235</v>
      </c>
      <c r="D240" s="3" t="e">
        <v>#N/A</v>
      </c>
    </row>
    <row r="241" spans="1:4" s="8" customFormat="1">
      <c r="A241" s="3" t="s">
        <v>7</v>
      </c>
      <c r="B241" s="3">
        <v>4202003304</v>
      </c>
      <c r="C241" s="3" t="s">
        <v>236</v>
      </c>
      <c r="D241" s="3" t="e">
        <v>#N/A</v>
      </c>
    </row>
    <row r="242" spans="1:4" s="8" customFormat="1">
      <c r="A242" s="3" t="s">
        <v>7</v>
      </c>
      <c r="B242" s="3">
        <v>4202003305</v>
      </c>
      <c r="C242" s="3" t="s">
        <v>237</v>
      </c>
      <c r="D242" s="3" t="e">
        <v>#N/A</v>
      </c>
    </row>
    <row r="243" spans="1:4" s="8" customFormat="1">
      <c r="A243" s="3" t="s">
        <v>7</v>
      </c>
      <c r="B243" s="3">
        <v>4202003306</v>
      </c>
      <c r="C243" s="3" t="s">
        <v>238</v>
      </c>
      <c r="D243" s="3" t="e">
        <v>#N/A</v>
      </c>
    </row>
    <row r="244" spans="1:4" s="8" customFormat="1">
      <c r="A244" s="3" t="s">
        <v>7</v>
      </c>
      <c r="B244" s="3">
        <v>4202003307</v>
      </c>
      <c r="C244" s="3" t="s">
        <v>239</v>
      </c>
      <c r="D244" s="3" t="e">
        <v>#N/A</v>
      </c>
    </row>
    <row r="245" spans="1:4" s="8" customFormat="1">
      <c r="A245" s="3" t="s">
        <v>7</v>
      </c>
      <c r="B245" s="3">
        <v>4202003308</v>
      </c>
      <c r="C245" s="3" t="s">
        <v>240</v>
      </c>
      <c r="D245" s="3" t="e">
        <v>#N/A</v>
      </c>
    </row>
    <row r="246" spans="1:4" s="8" customFormat="1">
      <c r="A246" s="3" t="s">
        <v>7</v>
      </c>
      <c r="B246" s="3">
        <v>4202003309</v>
      </c>
      <c r="C246" s="3" t="s">
        <v>241</v>
      </c>
      <c r="D246" s="3" t="e">
        <v>#N/A</v>
      </c>
    </row>
    <row r="247" spans="1:4" s="8" customFormat="1">
      <c r="A247" s="3" t="s">
        <v>7</v>
      </c>
      <c r="B247" s="3">
        <v>4202003310</v>
      </c>
      <c r="C247" s="3" t="s">
        <v>242</v>
      </c>
      <c r="D247" s="3" t="e">
        <v>#N/A</v>
      </c>
    </row>
    <row r="248" spans="1:4" s="8" customFormat="1">
      <c r="A248" s="3" t="s">
        <v>7</v>
      </c>
      <c r="B248" s="3">
        <v>4202003311</v>
      </c>
      <c r="C248" s="3" t="s">
        <v>243</v>
      </c>
      <c r="D248" s="3" t="e">
        <v>#N/A</v>
      </c>
    </row>
    <row r="249" spans="1:4" s="8" customFormat="1">
      <c r="A249" s="3" t="s">
        <v>7</v>
      </c>
      <c r="B249" s="3">
        <v>4202003312</v>
      </c>
      <c r="C249" s="3" t="s">
        <v>244</v>
      </c>
      <c r="D249" s="3" t="e">
        <v>#N/A</v>
      </c>
    </row>
    <row r="250" spans="1:4" s="8" customFormat="1">
      <c r="A250" s="3" t="s">
        <v>7</v>
      </c>
      <c r="B250" s="3">
        <v>4202003400</v>
      </c>
      <c r="C250" s="3" t="s">
        <v>245</v>
      </c>
      <c r="D250" s="3" t="e">
        <v>#N/A</v>
      </c>
    </row>
    <row r="251" spans="1:4" s="8" customFormat="1">
      <c r="A251" s="3" t="s">
        <v>7</v>
      </c>
      <c r="B251" s="3">
        <v>4202000000</v>
      </c>
      <c r="C251" s="3" t="s">
        <v>246</v>
      </c>
      <c r="D251" s="4" t="s">
        <v>996</v>
      </c>
    </row>
    <row r="252" spans="1:4" s="8" customFormat="1">
      <c r="A252" s="3" t="s">
        <v>3</v>
      </c>
      <c r="B252" s="3">
        <v>4240000010</v>
      </c>
      <c r="C252" s="3" t="s">
        <v>247</v>
      </c>
      <c r="D252" s="4" t="s">
        <v>997</v>
      </c>
    </row>
    <row r="253" spans="1:4" s="8" customFormat="1">
      <c r="A253" s="3" t="s">
        <v>3</v>
      </c>
      <c r="B253" s="3">
        <v>4240000030</v>
      </c>
      <c r="C253" s="3" t="s">
        <v>248</v>
      </c>
      <c r="D253" s="3" t="e">
        <v>#N/A</v>
      </c>
    </row>
    <row r="254" spans="1:4" s="8" customFormat="1">
      <c r="A254" s="3" t="s">
        <v>3</v>
      </c>
      <c r="B254" s="3">
        <v>4240001501</v>
      </c>
      <c r="C254" s="3" t="s">
        <v>249</v>
      </c>
      <c r="D254" s="3" t="e">
        <v>#N/A</v>
      </c>
    </row>
    <row r="255" spans="1:4" s="8" customFormat="1">
      <c r="A255" s="3" t="s">
        <v>3</v>
      </c>
      <c r="B255" s="3">
        <v>4240000110</v>
      </c>
      <c r="C255" s="3" t="s">
        <v>250</v>
      </c>
      <c r="D255" s="3" t="e">
        <v>#N/A</v>
      </c>
    </row>
    <row r="256" spans="1:4" s="8" customFormat="1">
      <c r="A256" s="3" t="s">
        <v>3</v>
      </c>
      <c r="B256" s="3">
        <v>4240001502</v>
      </c>
      <c r="C256" s="3" t="s">
        <v>251</v>
      </c>
      <c r="D256" s="3" t="e">
        <v>#N/A</v>
      </c>
    </row>
    <row r="257" spans="1:4" s="8" customFormat="1">
      <c r="A257" s="3" t="s">
        <v>3</v>
      </c>
      <c r="B257" s="3">
        <v>4240000120</v>
      </c>
      <c r="C257" s="3" t="s">
        <v>252</v>
      </c>
      <c r="D257" s="3" t="e">
        <v>#N/A</v>
      </c>
    </row>
    <row r="258" spans="1:4" s="8" customFormat="1">
      <c r="A258" s="3" t="s">
        <v>3</v>
      </c>
      <c r="B258" s="3">
        <v>3700000127</v>
      </c>
      <c r="C258" s="3" t="s">
        <v>253</v>
      </c>
      <c r="D258" s="3" t="e">
        <v>#N/A</v>
      </c>
    </row>
    <row r="259" spans="1:4" s="8" customFormat="1">
      <c r="A259" s="3" t="s">
        <v>3</v>
      </c>
      <c r="B259" s="3">
        <v>4240000130</v>
      </c>
      <c r="C259" s="3" t="s">
        <v>254</v>
      </c>
      <c r="D259" s="3" t="e">
        <v>#N/A</v>
      </c>
    </row>
    <row r="260" spans="1:4" s="8" customFormat="1">
      <c r="A260" s="3" t="s">
        <v>3</v>
      </c>
      <c r="B260" s="3">
        <v>4240001503</v>
      </c>
      <c r="C260" s="3" t="s">
        <v>255</v>
      </c>
      <c r="D260" s="3" t="e">
        <v>#N/A</v>
      </c>
    </row>
    <row r="261" spans="1:4" s="8" customFormat="1">
      <c r="A261" s="3" t="s">
        <v>3</v>
      </c>
      <c r="B261" s="3">
        <v>4240001504</v>
      </c>
      <c r="C261" s="3" t="s">
        <v>256</v>
      </c>
      <c r="D261" s="3" t="e">
        <v>#N/A</v>
      </c>
    </row>
    <row r="262" spans="1:4" s="8" customFormat="1">
      <c r="A262" s="3" t="s">
        <v>3</v>
      </c>
      <c r="B262" s="3">
        <v>3700000128</v>
      </c>
      <c r="C262" s="3" t="s">
        <v>257</v>
      </c>
      <c r="D262" s="3" t="e">
        <v>#N/A</v>
      </c>
    </row>
    <row r="263" spans="1:4" s="8" customFormat="1">
      <c r="A263" s="3" t="s">
        <v>3</v>
      </c>
      <c r="B263" s="3">
        <v>4240000140</v>
      </c>
      <c r="C263" s="3" t="s">
        <v>258</v>
      </c>
      <c r="D263" s="3" t="e">
        <v>#N/A</v>
      </c>
    </row>
    <row r="264" spans="1:4" s="8" customFormat="1">
      <c r="A264" s="3" t="s">
        <v>3</v>
      </c>
      <c r="B264" s="3">
        <v>4240001500</v>
      </c>
      <c r="C264" s="3" t="s">
        <v>259</v>
      </c>
      <c r="D264" s="4" t="s">
        <v>998</v>
      </c>
    </row>
    <row r="265" spans="1:4" s="8" customFormat="1">
      <c r="A265" s="3" t="s">
        <v>3</v>
      </c>
      <c r="B265" s="3">
        <v>3700000126</v>
      </c>
      <c r="C265" s="3" t="s">
        <v>260</v>
      </c>
      <c r="D265" s="3" t="e">
        <v>#N/A</v>
      </c>
    </row>
    <row r="266" spans="1:4" s="8" customFormat="1">
      <c r="A266" s="3" t="s">
        <v>3</v>
      </c>
      <c r="B266" s="3">
        <v>3700000124</v>
      </c>
      <c r="C266" s="3" t="s">
        <v>261</v>
      </c>
      <c r="D266" s="3" t="e">
        <v>#N/A</v>
      </c>
    </row>
    <row r="267" spans="1:4" s="8" customFormat="1">
      <c r="A267" s="3" t="s">
        <v>3</v>
      </c>
      <c r="B267" s="3">
        <v>3700000125</v>
      </c>
      <c r="C267" s="3" t="s">
        <v>262</v>
      </c>
      <c r="D267" s="3" t="e">
        <v>#N/A</v>
      </c>
    </row>
    <row r="268" spans="1:4" s="8" customFormat="1">
      <c r="A268" s="3" t="s">
        <v>3</v>
      </c>
      <c r="B268" s="3">
        <v>3720000000</v>
      </c>
      <c r="C268" s="3" t="s">
        <v>263</v>
      </c>
      <c r="D268" s="4" t="s">
        <v>999</v>
      </c>
    </row>
    <row r="269" spans="1:4" s="8" customFormat="1">
      <c r="A269" s="3" t="s">
        <v>3</v>
      </c>
      <c r="B269" s="6">
        <v>3720000001</v>
      </c>
      <c r="C269" s="3" t="s">
        <v>264</v>
      </c>
      <c r="D269" s="3" t="e">
        <v>#N/A</v>
      </c>
    </row>
    <row r="270" spans="1:4" s="8" customFormat="1">
      <c r="A270" s="3" t="s">
        <v>3</v>
      </c>
      <c r="B270" s="3">
        <v>3720000010</v>
      </c>
      <c r="C270" s="3" t="s">
        <v>265</v>
      </c>
      <c r="D270" s="4" t="s">
        <v>1000</v>
      </c>
    </row>
    <row r="271" spans="1:4" s="8" customFormat="1">
      <c r="A271" s="3" t="s">
        <v>2</v>
      </c>
      <c r="B271" s="3">
        <v>4205100000</v>
      </c>
      <c r="C271" s="3" t="s">
        <v>266</v>
      </c>
      <c r="D271" s="4" t="s">
        <v>1001</v>
      </c>
    </row>
    <row r="272" spans="1:4" s="8" customFormat="1">
      <c r="A272" s="3" t="s">
        <v>2</v>
      </c>
      <c r="B272" s="3">
        <v>4205101000</v>
      </c>
      <c r="C272" s="3" t="s">
        <v>266</v>
      </c>
      <c r="D272" s="4" t="s">
        <v>1002</v>
      </c>
    </row>
    <row r="273" spans="1:4" s="8" customFormat="1">
      <c r="A273" s="3" t="s">
        <v>4</v>
      </c>
      <c r="B273" s="3">
        <v>4200000407</v>
      </c>
      <c r="C273" s="3" t="s">
        <v>267</v>
      </c>
      <c r="D273" s="3" t="e">
        <v>#N/A</v>
      </c>
    </row>
    <row r="274" spans="1:4" s="8" customFormat="1">
      <c r="A274" s="3" t="s">
        <v>4</v>
      </c>
      <c r="B274" s="3">
        <v>4201301500</v>
      </c>
      <c r="C274" s="3" t="s">
        <v>268</v>
      </c>
      <c r="D274" s="4" t="s">
        <v>1003</v>
      </c>
    </row>
    <row r="275" spans="1:4" s="8" customFormat="1">
      <c r="A275" s="3" t="s">
        <v>4</v>
      </c>
      <c r="B275" s="3">
        <v>4243000170</v>
      </c>
      <c r="C275" s="3" t="s">
        <v>269</v>
      </c>
      <c r="D275" s="4" t="s">
        <v>1004</v>
      </c>
    </row>
    <row r="276" spans="1:4" s="8" customFormat="1">
      <c r="A276" s="3" t="s">
        <v>4</v>
      </c>
      <c r="B276" s="3">
        <v>4201300161</v>
      </c>
      <c r="C276" s="3" t="s">
        <v>270</v>
      </c>
      <c r="D276" s="3" t="e">
        <v>#N/A</v>
      </c>
    </row>
    <row r="277" spans="1:4" s="8" customFormat="1">
      <c r="A277" s="3" t="s">
        <v>4</v>
      </c>
      <c r="B277" s="3">
        <v>4200000409</v>
      </c>
      <c r="C277" s="3" t="s">
        <v>271</v>
      </c>
      <c r="D277" s="3" t="e">
        <v>#N/A</v>
      </c>
    </row>
    <row r="278" spans="1:4" s="8" customFormat="1">
      <c r="A278" s="3" t="s">
        <v>4</v>
      </c>
      <c r="B278" s="3">
        <v>4220000010</v>
      </c>
      <c r="C278" s="3" t="s">
        <v>272</v>
      </c>
      <c r="D278" s="4" t="s">
        <v>1005</v>
      </c>
    </row>
    <row r="279" spans="1:4" s="8" customFormat="1">
      <c r="A279" s="3" t="s">
        <v>4</v>
      </c>
      <c r="B279" s="3">
        <v>3700000010</v>
      </c>
      <c r="C279" s="3" t="s">
        <v>273</v>
      </c>
      <c r="D279" s="4" t="s">
        <v>1006</v>
      </c>
    </row>
    <row r="280" spans="1:4" s="8" customFormat="1">
      <c r="A280" s="3" t="s">
        <v>4</v>
      </c>
      <c r="B280" s="3">
        <v>3700000011</v>
      </c>
      <c r="C280" s="3" t="s">
        <v>274</v>
      </c>
      <c r="D280" s="4" t="s">
        <v>1007</v>
      </c>
    </row>
    <row r="281" spans="1:4" s="8" customFormat="1">
      <c r="A281" s="3" t="s">
        <v>4</v>
      </c>
      <c r="B281" s="3">
        <v>3700000012</v>
      </c>
      <c r="C281" s="3" t="s">
        <v>275</v>
      </c>
      <c r="D281" s="3" t="e">
        <v>#N/A</v>
      </c>
    </row>
    <row r="282" spans="1:4" s="8" customFormat="1">
      <c r="A282" s="3" t="s">
        <v>4</v>
      </c>
      <c r="B282" s="3">
        <v>3700000013</v>
      </c>
      <c r="C282" s="3" t="s">
        <v>276</v>
      </c>
      <c r="D282" s="3" t="e">
        <v>#N/A</v>
      </c>
    </row>
    <row r="283" spans="1:4" s="8" customFormat="1">
      <c r="A283" s="3" t="s">
        <v>4</v>
      </c>
      <c r="B283" s="3">
        <v>3700000015</v>
      </c>
      <c r="C283" s="3" t="s">
        <v>277</v>
      </c>
      <c r="D283" s="3" t="e">
        <v>#N/A</v>
      </c>
    </row>
    <row r="284" spans="1:4" s="8" customFormat="1">
      <c r="A284" s="3" t="s">
        <v>4</v>
      </c>
      <c r="B284" s="3">
        <v>2829970010</v>
      </c>
      <c r="C284" s="3" t="s">
        <v>278</v>
      </c>
      <c r="D284" s="4" t="s">
        <v>1008</v>
      </c>
    </row>
    <row r="285" spans="1:4" s="8" customFormat="1">
      <c r="A285" s="3" t="s">
        <v>4</v>
      </c>
      <c r="B285" s="3">
        <v>2829970011</v>
      </c>
      <c r="C285" s="3" t="s">
        <v>278</v>
      </c>
      <c r="D285" s="4" t="s">
        <v>1009</v>
      </c>
    </row>
    <row r="286" spans="1:4" s="8" customFormat="1">
      <c r="A286" s="3" t="s">
        <v>4</v>
      </c>
      <c r="B286" s="3">
        <v>2829970012</v>
      </c>
      <c r="C286" s="3" t="s">
        <v>278</v>
      </c>
      <c r="D286" s="4" t="s">
        <v>1010</v>
      </c>
    </row>
    <row r="287" spans="1:4" s="8" customFormat="1">
      <c r="A287" s="3" t="s">
        <v>4</v>
      </c>
      <c r="B287" s="3">
        <v>2829970021</v>
      </c>
      <c r="C287" s="3" t="s">
        <v>278</v>
      </c>
      <c r="D287" s="4" t="s">
        <v>1011</v>
      </c>
    </row>
    <row r="288" spans="1:4" s="8" customFormat="1">
      <c r="A288" s="3" t="s">
        <v>4</v>
      </c>
      <c r="B288" s="3">
        <v>2829970022</v>
      </c>
      <c r="C288" s="3" t="s">
        <v>278</v>
      </c>
      <c r="D288" s="4" t="s">
        <v>1012</v>
      </c>
    </row>
    <row r="289" spans="1:4" s="8" customFormat="1">
      <c r="A289" s="3" t="s">
        <v>4</v>
      </c>
      <c r="B289" s="3">
        <v>2829970031</v>
      </c>
      <c r="C289" s="3" t="s">
        <v>278</v>
      </c>
      <c r="D289" s="4" t="s">
        <v>1013</v>
      </c>
    </row>
    <row r="290" spans="1:4" s="8" customFormat="1">
      <c r="A290" s="3" t="s">
        <v>4</v>
      </c>
      <c r="B290" s="3">
        <v>2829970032</v>
      </c>
      <c r="C290" s="3" t="s">
        <v>278</v>
      </c>
      <c r="D290" s="4" t="s">
        <v>1014</v>
      </c>
    </row>
    <row r="291" spans="1:4" s="8" customFormat="1">
      <c r="A291" s="3" t="s">
        <v>4</v>
      </c>
      <c r="B291" s="3">
        <v>2829970041</v>
      </c>
      <c r="C291" s="3" t="s">
        <v>278</v>
      </c>
      <c r="D291" s="4" t="s">
        <v>1015</v>
      </c>
    </row>
    <row r="292" spans="1:4" s="8" customFormat="1">
      <c r="A292" s="3" t="s">
        <v>4</v>
      </c>
      <c r="B292" s="3">
        <v>2829970042</v>
      </c>
      <c r="C292" s="3" t="s">
        <v>278</v>
      </c>
      <c r="D292" s="4" t="s">
        <v>1016</v>
      </c>
    </row>
    <row r="293" spans="1:4" s="8" customFormat="1">
      <c r="A293" s="3" t="s">
        <v>4</v>
      </c>
      <c r="B293" s="3">
        <v>2829970051</v>
      </c>
      <c r="C293" s="3" t="s">
        <v>278</v>
      </c>
      <c r="D293" s="4" t="s">
        <v>1017</v>
      </c>
    </row>
    <row r="294" spans="1:4" s="8" customFormat="1">
      <c r="A294" s="3" t="s">
        <v>4</v>
      </c>
      <c r="B294" s="3">
        <v>2829970052</v>
      </c>
      <c r="C294" s="3" t="s">
        <v>278</v>
      </c>
      <c r="D294" s="4" t="s">
        <v>1018</v>
      </c>
    </row>
    <row r="295" spans="1:4" s="8" customFormat="1">
      <c r="A295" s="3" t="s">
        <v>4</v>
      </c>
      <c r="B295" s="3">
        <v>2829970061</v>
      </c>
      <c r="C295" s="3" t="s">
        <v>278</v>
      </c>
      <c r="D295" s="4" t="s">
        <v>1019</v>
      </c>
    </row>
    <row r="296" spans="1:4" s="8" customFormat="1">
      <c r="A296" s="3" t="s">
        <v>4</v>
      </c>
      <c r="B296" s="3">
        <v>2829970062</v>
      </c>
      <c r="C296" s="3" t="s">
        <v>278</v>
      </c>
      <c r="D296" s="4" t="s">
        <v>1020</v>
      </c>
    </row>
    <row r="297" spans="1:4" s="8" customFormat="1">
      <c r="A297" s="3" t="s">
        <v>4</v>
      </c>
      <c r="B297" s="3">
        <v>2829970071</v>
      </c>
      <c r="C297" s="3" t="s">
        <v>278</v>
      </c>
      <c r="D297" s="4" t="s">
        <v>1021</v>
      </c>
    </row>
    <row r="298" spans="1:4" s="8" customFormat="1">
      <c r="A298" s="3" t="s">
        <v>4</v>
      </c>
      <c r="B298" s="3">
        <v>2829970072</v>
      </c>
      <c r="C298" s="3" t="s">
        <v>278</v>
      </c>
      <c r="D298" s="4" t="s">
        <v>1022</v>
      </c>
    </row>
    <row r="299" spans="1:4" s="8" customFormat="1">
      <c r="A299" s="3" t="s">
        <v>4</v>
      </c>
      <c r="B299" s="3">
        <v>3700000014</v>
      </c>
      <c r="C299" s="3" t="s">
        <v>279</v>
      </c>
      <c r="D299" s="3" t="e">
        <v>#N/A</v>
      </c>
    </row>
    <row r="300" spans="1:4" s="8" customFormat="1">
      <c r="A300" s="3" t="s">
        <v>4</v>
      </c>
      <c r="B300" s="3">
        <v>4220000011</v>
      </c>
      <c r="C300" s="3" t="s">
        <v>280</v>
      </c>
      <c r="D300" s="3" t="e">
        <v>#N/A</v>
      </c>
    </row>
    <row r="301" spans="1:4" s="8" customFormat="1">
      <c r="A301" s="3" t="s">
        <v>3</v>
      </c>
      <c r="B301" s="3">
        <v>4221002000</v>
      </c>
      <c r="C301" s="3" t="s">
        <v>281</v>
      </c>
      <c r="D301" s="4" t="s">
        <v>1023</v>
      </c>
    </row>
    <row r="302" spans="1:4" s="8" customFormat="1">
      <c r="A302" s="3" t="s">
        <v>3</v>
      </c>
      <c r="B302" s="3">
        <v>4221002010</v>
      </c>
      <c r="C302" s="3" t="s">
        <v>282</v>
      </c>
      <c r="D302" s="4" t="s">
        <v>1024</v>
      </c>
    </row>
    <row r="303" spans="1:4" s="8" customFormat="1">
      <c r="A303" s="3" t="s">
        <v>3</v>
      </c>
      <c r="B303" s="3">
        <v>4221002020</v>
      </c>
      <c r="C303" s="3" t="s">
        <v>283</v>
      </c>
      <c r="D303" s="4" t="s">
        <v>1025</v>
      </c>
    </row>
    <row r="304" spans="1:4" s="8" customFormat="1">
      <c r="A304" s="3" t="s">
        <v>3</v>
      </c>
      <c r="B304" s="3">
        <v>4221002030</v>
      </c>
      <c r="C304" s="3" t="s">
        <v>284</v>
      </c>
      <c r="D304" s="4" t="s">
        <v>1026</v>
      </c>
    </row>
    <row r="305" spans="1:4" s="8" customFormat="1">
      <c r="A305" s="3" t="s">
        <v>3</v>
      </c>
      <c r="B305" s="3">
        <v>4221002040</v>
      </c>
      <c r="C305" s="3" t="s">
        <v>285</v>
      </c>
      <c r="D305" s="4" t="s">
        <v>1027</v>
      </c>
    </row>
    <row r="306" spans="1:4" s="8" customFormat="1">
      <c r="A306" s="3" t="s">
        <v>3</v>
      </c>
      <c r="B306" s="3">
        <v>4221002050</v>
      </c>
      <c r="C306" s="3" t="s">
        <v>286</v>
      </c>
      <c r="D306" s="4" t="s">
        <v>1028</v>
      </c>
    </row>
    <row r="307" spans="1:4" s="8" customFormat="1">
      <c r="A307" s="3" t="s">
        <v>3</v>
      </c>
      <c r="B307" s="3">
        <v>4221002060</v>
      </c>
      <c r="C307" s="3" t="s">
        <v>287</v>
      </c>
      <c r="D307" s="4" t="s">
        <v>1029</v>
      </c>
    </row>
    <row r="308" spans="1:4" s="8" customFormat="1">
      <c r="A308" s="3" t="s">
        <v>4</v>
      </c>
      <c r="B308" s="3">
        <v>4220000030</v>
      </c>
      <c r="C308" s="3" t="s">
        <v>288</v>
      </c>
      <c r="D308" s="4" t="s">
        <v>1030</v>
      </c>
    </row>
    <row r="309" spans="1:4" s="8" customFormat="1">
      <c r="A309" s="3" t="s">
        <v>4</v>
      </c>
      <c r="B309" s="3">
        <v>3700000430</v>
      </c>
      <c r="C309" s="3" t="s">
        <v>289</v>
      </c>
      <c r="D309" s="3" t="e">
        <v>#N/A</v>
      </c>
    </row>
    <row r="310" spans="1:4" s="8" customFormat="1">
      <c r="A310" s="3" t="s">
        <v>4</v>
      </c>
      <c r="B310" s="3">
        <v>4220000460</v>
      </c>
      <c r="C310" s="3" t="s">
        <v>290</v>
      </c>
      <c r="D310" s="4" t="s">
        <v>1031</v>
      </c>
    </row>
    <row r="311" spans="1:4" s="8" customFormat="1">
      <c r="A311" s="3" t="s">
        <v>4</v>
      </c>
      <c r="B311" s="3">
        <v>4220000461</v>
      </c>
      <c r="C311" s="3" t="s">
        <v>291</v>
      </c>
      <c r="D311" s="3" t="e">
        <v>#N/A</v>
      </c>
    </row>
    <row r="312" spans="1:4" s="8" customFormat="1">
      <c r="A312" s="3" t="s">
        <v>4</v>
      </c>
      <c r="B312" s="3">
        <v>4220000520</v>
      </c>
      <c r="C312" s="3" t="s">
        <v>292</v>
      </c>
      <c r="D312" s="3" t="e">
        <v>#N/A</v>
      </c>
    </row>
    <row r="313" spans="1:4" s="8" customFormat="1">
      <c r="A313" s="3" t="s">
        <v>4</v>
      </c>
      <c r="B313" s="3">
        <v>3700000100</v>
      </c>
      <c r="C313" s="3" t="s">
        <v>293</v>
      </c>
      <c r="D313" s="4" t="s">
        <v>1032</v>
      </c>
    </row>
    <row r="314" spans="1:4" s="8" customFormat="1">
      <c r="A314" s="3" t="s">
        <v>4</v>
      </c>
      <c r="B314" s="3">
        <v>4220000150</v>
      </c>
      <c r="C314" s="3" t="s">
        <v>294</v>
      </c>
      <c r="D314" s="4" t="s">
        <v>1033</v>
      </c>
    </row>
    <row r="315" spans="1:4" s="8" customFormat="1">
      <c r="A315" s="3" t="s">
        <v>4</v>
      </c>
      <c r="B315" s="3">
        <v>4221001010</v>
      </c>
      <c r="C315" s="3" t="s">
        <v>295</v>
      </c>
      <c r="D315" s="3" t="e">
        <v>#N/A</v>
      </c>
    </row>
    <row r="316" spans="1:4" s="8" customFormat="1">
      <c r="A316" s="3" t="s">
        <v>4</v>
      </c>
      <c r="B316" s="3">
        <v>4221001001</v>
      </c>
      <c r="C316" s="3" t="s">
        <v>296</v>
      </c>
      <c r="D316" s="3" t="e">
        <v>#N/A</v>
      </c>
    </row>
    <row r="317" spans="1:4" s="8" customFormat="1">
      <c r="A317" s="3" t="s">
        <v>4</v>
      </c>
      <c r="B317" s="3">
        <v>4220000210</v>
      </c>
      <c r="C317" s="3" t="s">
        <v>297</v>
      </c>
      <c r="D317" s="4" t="s">
        <v>1034</v>
      </c>
    </row>
    <row r="318" spans="1:4" s="8" customFormat="1">
      <c r="A318" s="3" t="s">
        <v>4</v>
      </c>
      <c r="B318" s="3">
        <v>4220000012</v>
      </c>
      <c r="C318" s="3" t="s">
        <v>298</v>
      </c>
      <c r="D318" s="3" t="e">
        <v>#N/A</v>
      </c>
    </row>
    <row r="319" spans="1:4" s="8" customFormat="1">
      <c r="A319" s="3" t="s">
        <v>4</v>
      </c>
      <c r="B319" s="3">
        <v>4200000010</v>
      </c>
      <c r="C319" s="3" t="s">
        <v>299</v>
      </c>
      <c r="D319" s="4" t="s">
        <v>1035</v>
      </c>
    </row>
    <row r="320" spans="1:4" s="8" customFormat="1">
      <c r="A320" s="3" t="s">
        <v>4</v>
      </c>
      <c r="B320" s="3">
        <v>4243000431</v>
      </c>
      <c r="C320" s="3" t="s">
        <v>300</v>
      </c>
      <c r="D320" s="3" t="e">
        <v>#N/A</v>
      </c>
    </row>
    <row r="321" spans="1:4" s="8" customFormat="1">
      <c r="A321" s="3" t="s">
        <v>4</v>
      </c>
      <c r="B321" s="3">
        <v>4243000432</v>
      </c>
      <c r="C321" s="3" t="s">
        <v>301</v>
      </c>
      <c r="D321" s="3" t="e">
        <v>#N/A</v>
      </c>
    </row>
    <row r="322" spans="1:4" s="8" customFormat="1">
      <c r="A322" s="3" t="s">
        <v>4</v>
      </c>
      <c r="B322" s="3">
        <v>4242101500</v>
      </c>
      <c r="C322" s="3" t="s">
        <v>302</v>
      </c>
      <c r="D322" s="4" t="s">
        <v>1036</v>
      </c>
    </row>
    <row r="323" spans="1:4" s="8" customFormat="1">
      <c r="A323" s="3" t="s">
        <v>4</v>
      </c>
      <c r="B323" s="3">
        <v>4200000310</v>
      </c>
      <c r="C323" s="3" t="s">
        <v>303</v>
      </c>
      <c r="D323" s="3" t="e">
        <v>#N/A</v>
      </c>
    </row>
    <row r="324" spans="1:4" s="8" customFormat="1">
      <c r="A324" s="3" t="s">
        <v>3</v>
      </c>
      <c r="B324" s="3">
        <v>4243000434</v>
      </c>
      <c r="C324" s="3" t="s">
        <v>304</v>
      </c>
      <c r="D324" s="3" t="e">
        <v>#N/A</v>
      </c>
    </row>
    <row r="325" spans="1:4" s="8" customFormat="1">
      <c r="A325" s="3" t="s">
        <v>4</v>
      </c>
      <c r="B325" s="3">
        <v>4243000440</v>
      </c>
      <c r="C325" s="3" t="s">
        <v>305</v>
      </c>
      <c r="D325" s="3" t="e">
        <v>#N/A</v>
      </c>
    </row>
    <row r="326" spans="1:4" s="8" customFormat="1">
      <c r="A326" s="3" t="s">
        <v>4</v>
      </c>
      <c r="B326" s="3">
        <v>4243000436</v>
      </c>
      <c r="C326" s="3" t="s">
        <v>306</v>
      </c>
      <c r="D326" s="3" t="e">
        <v>#N/A</v>
      </c>
    </row>
    <row r="327" spans="1:4" s="8" customFormat="1">
      <c r="A327" s="3" t="s">
        <v>4</v>
      </c>
      <c r="B327" s="3">
        <v>4243000435</v>
      </c>
      <c r="C327" s="3" t="s">
        <v>307</v>
      </c>
      <c r="D327" s="3" t="e">
        <v>#N/A</v>
      </c>
    </row>
    <row r="328" spans="1:4" s="8" customFormat="1">
      <c r="A328" s="3" t="s">
        <v>4</v>
      </c>
      <c r="B328" s="3">
        <v>4244000010</v>
      </c>
      <c r="C328" s="3" t="s">
        <v>308</v>
      </c>
      <c r="D328" s="4" t="s">
        <v>1037</v>
      </c>
    </row>
    <row r="329" spans="1:4" s="8" customFormat="1">
      <c r="A329" s="3" t="s">
        <v>4</v>
      </c>
      <c r="B329" s="3">
        <v>4034001500</v>
      </c>
      <c r="C329" s="3" t="s">
        <v>309</v>
      </c>
      <c r="D329" s="4" t="s">
        <v>1038</v>
      </c>
    </row>
    <row r="330" spans="1:4" s="8" customFormat="1">
      <c r="A330" s="3" t="s">
        <v>4</v>
      </c>
      <c r="B330" s="3">
        <v>4230042123</v>
      </c>
      <c r="C330" s="3" t="s">
        <v>310</v>
      </c>
      <c r="D330" s="3" t="e">
        <v>#N/A</v>
      </c>
    </row>
    <row r="331" spans="1:4" s="8" customFormat="1">
      <c r="A331" s="3" t="s">
        <v>3</v>
      </c>
      <c r="B331" s="3">
        <v>4200000312</v>
      </c>
      <c r="C331" s="3" t="s">
        <v>311</v>
      </c>
      <c r="D331" s="3" t="e">
        <v>#N/A</v>
      </c>
    </row>
    <row r="332" spans="1:4" s="8" customFormat="1">
      <c r="A332" s="3" t="s">
        <v>3</v>
      </c>
      <c r="B332" s="3">
        <v>4243000441</v>
      </c>
      <c r="C332" s="3" t="s">
        <v>312</v>
      </c>
      <c r="D332" s="3" t="e">
        <v>#N/A</v>
      </c>
    </row>
    <row r="333" spans="1:4" s="8" customFormat="1">
      <c r="A333" s="3" t="s">
        <v>4</v>
      </c>
      <c r="B333" s="3">
        <v>4232000000</v>
      </c>
      <c r="C333" s="3" t="s">
        <v>313</v>
      </c>
      <c r="D333" s="4" t="s">
        <v>1039</v>
      </c>
    </row>
    <row r="334" spans="1:4" s="8" customFormat="1">
      <c r="A334" s="3" t="s">
        <v>4</v>
      </c>
      <c r="B334" s="3">
        <v>4232001500</v>
      </c>
      <c r="C334" s="3" t="s">
        <v>313</v>
      </c>
      <c r="D334" s="4" t="s">
        <v>1039</v>
      </c>
    </row>
    <row r="335" spans="1:4" s="8" customFormat="1">
      <c r="A335" s="3" t="s">
        <v>4</v>
      </c>
      <c r="B335" s="3">
        <v>4232101000</v>
      </c>
      <c r="C335" s="3" t="s">
        <v>314</v>
      </c>
      <c r="D335" s="4" t="s">
        <v>1040</v>
      </c>
    </row>
    <row r="336" spans="1:4" s="8" customFormat="1">
      <c r="A336" s="3" t="s">
        <v>4</v>
      </c>
      <c r="B336" s="3">
        <v>4205000000</v>
      </c>
      <c r="C336" s="3" t="s">
        <v>315</v>
      </c>
      <c r="D336" s="4" t="s">
        <v>1041</v>
      </c>
    </row>
    <row r="337" spans="1:4" s="8" customFormat="1">
      <c r="A337" s="3" t="s">
        <v>4</v>
      </c>
      <c r="B337" s="3">
        <v>4232101001</v>
      </c>
      <c r="C337" s="3" t="s">
        <v>316</v>
      </c>
      <c r="D337" s="3" t="e">
        <v>#N/A</v>
      </c>
    </row>
    <row r="338" spans="1:4" s="8" customFormat="1">
      <c r="A338" s="3" t="s">
        <v>4</v>
      </c>
      <c r="B338" s="3">
        <v>4202002000</v>
      </c>
      <c r="C338" s="3" t="s">
        <v>317</v>
      </c>
      <c r="D338" s="4" t="s">
        <v>1042</v>
      </c>
    </row>
    <row r="339" spans="1:4" s="8" customFormat="1">
      <c r="A339" s="3" t="s">
        <v>4</v>
      </c>
      <c r="B339" s="3">
        <v>4244000000</v>
      </c>
      <c r="C339" s="3" t="s">
        <v>318</v>
      </c>
      <c r="D339" s="4" t="s">
        <v>1043</v>
      </c>
    </row>
    <row r="340" spans="1:4" s="8" customFormat="1">
      <c r="A340" s="3" t="s">
        <v>4</v>
      </c>
      <c r="B340" s="3">
        <v>4230001500</v>
      </c>
      <c r="C340" s="3" t="s">
        <v>319</v>
      </c>
      <c r="D340" s="4" t="s">
        <v>1044</v>
      </c>
    </row>
    <row r="341" spans="1:4" s="8" customFormat="1">
      <c r="A341" s="3" t="s">
        <v>4</v>
      </c>
      <c r="B341" s="3">
        <v>4250001500</v>
      </c>
      <c r="C341" s="3" t="s">
        <v>320</v>
      </c>
      <c r="D341" s="4" t="s">
        <v>1045</v>
      </c>
    </row>
    <row r="342" spans="1:4" s="8" customFormat="1">
      <c r="A342" s="3" t="s">
        <v>4</v>
      </c>
      <c r="B342" s="3">
        <v>4230001501</v>
      </c>
      <c r="C342" s="3" t="s">
        <v>321</v>
      </c>
      <c r="D342" s="3" t="e">
        <v>#N/A</v>
      </c>
    </row>
    <row r="343" spans="1:4" s="8" customFormat="1">
      <c r="A343" s="3" t="s">
        <v>4</v>
      </c>
      <c r="B343" s="3">
        <v>4230001502</v>
      </c>
      <c r="C343" s="3" t="s">
        <v>322</v>
      </c>
      <c r="D343" s="3" t="e">
        <v>#N/A</v>
      </c>
    </row>
    <row r="344" spans="1:4" s="8" customFormat="1">
      <c r="A344" s="3" t="s">
        <v>4</v>
      </c>
      <c r="B344" s="3">
        <v>4230001503</v>
      </c>
      <c r="C344" s="3" t="s">
        <v>323</v>
      </c>
      <c r="D344" s="3" t="e">
        <v>#N/A</v>
      </c>
    </row>
    <row r="345" spans="1:4" s="8" customFormat="1">
      <c r="A345" s="3" t="s">
        <v>4</v>
      </c>
      <c r="B345" s="3">
        <v>4230010000</v>
      </c>
      <c r="C345" s="3" t="s">
        <v>324</v>
      </c>
      <c r="D345" s="4" t="s">
        <v>1046</v>
      </c>
    </row>
    <row r="346" spans="1:4" s="8" customFormat="1">
      <c r="A346" s="3" t="s">
        <v>4</v>
      </c>
      <c r="B346" s="3">
        <v>4510000010</v>
      </c>
      <c r="C346" s="3" t="s">
        <v>325</v>
      </c>
      <c r="D346" s="4" t="s">
        <v>1047</v>
      </c>
    </row>
    <row r="347" spans="1:4" s="8" customFormat="1">
      <c r="A347" s="3" t="s">
        <v>4</v>
      </c>
      <c r="B347" s="3">
        <v>4240001506</v>
      </c>
      <c r="C347" s="3" t="s">
        <v>326</v>
      </c>
      <c r="D347" s="3" t="e">
        <v>#N/A</v>
      </c>
    </row>
    <row r="348" spans="1:4" s="8" customFormat="1">
      <c r="A348" s="3" t="s">
        <v>4</v>
      </c>
      <c r="B348" s="3">
        <v>4240001507</v>
      </c>
      <c r="C348" s="3" t="s">
        <v>327</v>
      </c>
      <c r="D348" s="3" t="e">
        <v>#N/A</v>
      </c>
    </row>
    <row r="349" spans="1:4" s="8" customFormat="1">
      <c r="A349" s="3" t="s">
        <v>4</v>
      </c>
      <c r="B349" s="3">
        <v>4240001508</v>
      </c>
      <c r="C349" s="3" t="s">
        <v>328</v>
      </c>
      <c r="D349" s="3" t="e">
        <v>#N/A</v>
      </c>
    </row>
    <row r="350" spans="1:4" s="8" customFormat="1">
      <c r="A350" s="3" t="s">
        <v>4</v>
      </c>
      <c r="B350" s="3">
        <v>3730000000</v>
      </c>
      <c r="C350" s="3" t="s">
        <v>329</v>
      </c>
      <c r="D350" s="4" t="s">
        <v>1048</v>
      </c>
    </row>
    <row r="351" spans="1:4" s="8" customFormat="1">
      <c r="A351" s="3" t="s">
        <v>3</v>
      </c>
      <c r="B351" s="3">
        <v>3510000000</v>
      </c>
      <c r="C351" s="3" t="s">
        <v>330</v>
      </c>
      <c r="D351" s="4" t="s">
        <v>1049</v>
      </c>
    </row>
    <row r="352" spans="1:4" s="8" customFormat="1">
      <c r="A352" s="3" t="s">
        <v>3</v>
      </c>
      <c r="B352" s="3">
        <v>4230100000</v>
      </c>
      <c r="C352" s="3" t="s">
        <v>331</v>
      </c>
      <c r="D352" s="4" t="s">
        <v>1050</v>
      </c>
    </row>
    <row r="353" spans="1:4" s="8" customFormat="1">
      <c r="A353" s="3" t="s">
        <v>3</v>
      </c>
      <c r="B353" s="3">
        <v>4010000020</v>
      </c>
      <c r="C353" s="3" t="s">
        <v>332</v>
      </c>
      <c r="D353" s="3" t="e">
        <v>#N/A</v>
      </c>
    </row>
    <row r="354" spans="1:4" s="8" customFormat="1">
      <c r="A354" s="3" t="s">
        <v>4</v>
      </c>
      <c r="B354" s="3">
        <v>3710000004</v>
      </c>
      <c r="C354" s="3" t="s">
        <v>333</v>
      </c>
      <c r="D354" s="3" t="e">
        <v>#N/A</v>
      </c>
    </row>
    <row r="355" spans="1:4" s="8" customFormat="1">
      <c r="A355" s="3" t="s">
        <v>4</v>
      </c>
      <c r="B355" s="3">
        <v>4234001500</v>
      </c>
      <c r="C355" s="3" t="s">
        <v>334</v>
      </c>
      <c r="D355" s="4" t="s">
        <v>1051</v>
      </c>
    </row>
    <row r="356" spans="1:4" s="8" customFormat="1">
      <c r="A356" s="3" t="s">
        <v>3</v>
      </c>
      <c r="B356" s="3">
        <v>4230000210</v>
      </c>
      <c r="C356" s="3" t="s">
        <v>335</v>
      </c>
      <c r="D356" s="4" t="s">
        <v>1052</v>
      </c>
    </row>
    <row r="357" spans="1:4" s="8" customFormat="1">
      <c r="A357" s="3" t="s">
        <v>3</v>
      </c>
      <c r="B357" s="3">
        <v>4230000211</v>
      </c>
      <c r="C357" s="3" t="s">
        <v>336</v>
      </c>
      <c r="D357" s="3" t="e">
        <v>#N/A</v>
      </c>
    </row>
    <row r="358" spans="1:4" s="8" customFormat="1">
      <c r="A358" s="3" t="s">
        <v>3</v>
      </c>
      <c r="B358" s="3">
        <v>3500000040</v>
      </c>
      <c r="C358" s="3" t="s">
        <v>337</v>
      </c>
      <c r="D358" s="3" t="e">
        <v>#N/A</v>
      </c>
    </row>
    <row r="359" spans="1:4" s="8" customFormat="1">
      <c r="A359" s="3" t="s">
        <v>3</v>
      </c>
      <c r="B359" s="3">
        <v>3500000050</v>
      </c>
      <c r="C359" s="3" t="s">
        <v>338</v>
      </c>
      <c r="D359" s="3" t="e">
        <v>#N/A</v>
      </c>
    </row>
    <row r="360" spans="1:4" s="8" customFormat="1">
      <c r="A360" s="3" t="s">
        <v>3</v>
      </c>
      <c r="B360" s="3">
        <v>3500000051</v>
      </c>
      <c r="C360" s="3" t="s">
        <v>339</v>
      </c>
      <c r="D360" s="3" t="e">
        <v>#N/A</v>
      </c>
    </row>
    <row r="361" spans="1:4" s="8" customFormat="1">
      <c r="A361" s="3" t="s">
        <v>3</v>
      </c>
      <c r="B361" s="3">
        <v>3510000020</v>
      </c>
      <c r="C361" s="3" t="s">
        <v>340</v>
      </c>
      <c r="D361" s="3" t="e">
        <v>#N/A</v>
      </c>
    </row>
    <row r="362" spans="1:4" s="8" customFormat="1">
      <c r="A362" s="3" t="s">
        <v>3</v>
      </c>
      <c r="B362" s="3">
        <v>3510000010</v>
      </c>
      <c r="C362" s="3" t="s">
        <v>340</v>
      </c>
      <c r="D362" s="3" t="e">
        <v>#N/A</v>
      </c>
    </row>
    <row r="363" spans="1:4" s="8" customFormat="1">
      <c r="A363" s="3" t="s">
        <v>3</v>
      </c>
      <c r="B363" s="3">
        <v>3500000013</v>
      </c>
      <c r="C363" s="3" t="s">
        <v>341</v>
      </c>
      <c r="D363" s="3" t="e">
        <v>#N/A</v>
      </c>
    </row>
    <row r="364" spans="1:4" s="8" customFormat="1">
      <c r="A364" s="3" t="s">
        <v>3</v>
      </c>
      <c r="B364" s="3">
        <v>3500009040</v>
      </c>
      <c r="C364" s="3" t="s">
        <v>342</v>
      </c>
      <c r="D364" s="3" t="e">
        <v>#N/A</v>
      </c>
    </row>
    <row r="365" spans="1:4" s="8" customFormat="1">
      <c r="A365" s="3" t="s">
        <v>3</v>
      </c>
      <c r="B365" s="3">
        <v>3500009041</v>
      </c>
      <c r="C365" s="3" t="s">
        <v>343</v>
      </c>
      <c r="D365" s="3" t="e">
        <v>#N/A</v>
      </c>
    </row>
    <row r="366" spans="1:4" s="8" customFormat="1">
      <c r="A366" s="3" t="s">
        <v>3</v>
      </c>
      <c r="B366" s="3">
        <v>4010000010</v>
      </c>
      <c r="C366" s="3" t="s">
        <v>344</v>
      </c>
      <c r="D366" s="3" t="e">
        <v>#N/A</v>
      </c>
    </row>
    <row r="367" spans="1:4" s="8" customFormat="1">
      <c r="A367" s="3" t="s">
        <v>7</v>
      </c>
      <c r="B367" s="3">
        <v>4110001500</v>
      </c>
      <c r="C367" s="3" t="s">
        <v>345</v>
      </c>
      <c r="D367" s="4" t="s">
        <v>1053</v>
      </c>
    </row>
    <row r="368" spans="1:4" s="8" customFormat="1">
      <c r="A368" s="3" t="s">
        <v>7</v>
      </c>
      <c r="B368" s="3">
        <v>4110001501</v>
      </c>
      <c r="C368" s="3" t="s">
        <v>346</v>
      </c>
      <c r="D368" s="3" t="e">
        <v>#N/A</v>
      </c>
    </row>
    <row r="369" spans="1:4" s="8" customFormat="1">
      <c r="A369" s="3" t="s">
        <v>4</v>
      </c>
      <c r="B369" s="3">
        <v>4310001500</v>
      </c>
      <c r="C369" s="3" t="s">
        <v>347</v>
      </c>
      <c r="D369" s="4" t="s">
        <v>1054</v>
      </c>
    </row>
    <row r="370" spans="1:4" s="8" customFormat="1">
      <c r="A370" s="3" t="s">
        <v>4</v>
      </c>
      <c r="B370" s="3">
        <v>4510000030</v>
      </c>
      <c r="C370" s="3" t="s">
        <v>348</v>
      </c>
      <c r="D370" s="4" t="s">
        <v>1055</v>
      </c>
    </row>
    <row r="371" spans="1:4" s="8" customFormat="1">
      <c r="A371" s="3" t="s">
        <v>4</v>
      </c>
      <c r="B371" s="3">
        <v>4243000001</v>
      </c>
      <c r="C371" s="3" t="s">
        <v>349</v>
      </c>
      <c r="D371" s="3" t="e">
        <v>#N/A</v>
      </c>
    </row>
    <row r="372" spans="1:4" s="8" customFormat="1">
      <c r="A372" s="3" t="s">
        <v>4</v>
      </c>
      <c r="B372" s="3">
        <v>4034001501</v>
      </c>
      <c r="C372" s="3" t="s">
        <v>350</v>
      </c>
      <c r="D372" s="3" t="e">
        <v>#N/A</v>
      </c>
    </row>
    <row r="373" spans="1:4" s="8" customFormat="1">
      <c r="A373" s="3" t="s">
        <v>4</v>
      </c>
      <c r="B373" s="3">
        <v>4201300281</v>
      </c>
      <c r="C373" s="3" t="s">
        <v>351</v>
      </c>
      <c r="D373" s="3" t="e">
        <v>#N/A</v>
      </c>
    </row>
    <row r="374" spans="1:4" s="8" customFormat="1">
      <c r="A374" s="3" t="s">
        <v>4</v>
      </c>
      <c r="B374" s="3">
        <v>4500000010</v>
      </c>
      <c r="C374" s="3" t="s">
        <v>352</v>
      </c>
      <c r="D374" s="3" t="e">
        <v>#N/A</v>
      </c>
    </row>
    <row r="375" spans="1:4" s="8" customFormat="1">
      <c r="A375" s="3" t="s">
        <v>4</v>
      </c>
      <c r="B375" s="3">
        <v>4230011500</v>
      </c>
      <c r="C375" s="3" t="s">
        <v>352</v>
      </c>
      <c r="D375" s="4" t="s">
        <v>1056</v>
      </c>
    </row>
    <row r="376" spans="1:4" s="8" customFormat="1">
      <c r="A376" s="3" t="s">
        <v>4</v>
      </c>
      <c r="B376" s="3">
        <v>4724000000</v>
      </c>
      <c r="C376" s="3" t="s">
        <v>353</v>
      </c>
      <c r="D376" s="4" t="s">
        <v>1057</v>
      </c>
    </row>
    <row r="377" spans="1:4" s="8" customFormat="1">
      <c r="A377" s="3" t="s">
        <v>2</v>
      </c>
      <c r="B377" s="3">
        <v>4600000000</v>
      </c>
      <c r="C377" s="3" t="s">
        <v>354</v>
      </c>
      <c r="D377" s="4" t="s">
        <v>1058</v>
      </c>
    </row>
    <row r="378" spans="1:4" s="8" customFormat="1">
      <c r="A378" s="3" t="s">
        <v>2</v>
      </c>
      <c r="B378" s="3">
        <v>4650001500</v>
      </c>
      <c r="C378" s="3" t="s">
        <v>355</v>
      </c>
      <c r="D378" s="4" t="s">
        <v>1059</v>
      </c>
    </row>
    <row r="379" spans="1:4" s="8" customFormat="1">
      <c r="A379" s="3" t="s">
        <v>7</v>
      </c>
      <c r="B379" s="3">
        <v>4602000000</v>
      </c>
      <c r="C379" s="3" t="s">
        <v>356</v>
      </c>
      <c r="D379" s="4" t="s">
        <v>1060</v>
      </c>
    </row>
    <row r="380" spans="1:4" s="8" customFormat="1">
      <c r="A380" s="3" t="s">
        <v>4</v>
      </c>
      <c r="B380" s="3">
        <v>4500101500</v>
      </c>
      <c r="C380" s="3" t="s">
        <v>357</v>
      </c>
      <c r="D380" s="4" t="s">
        <v>1061</v>
      </c>
    </row>
    <row r="381" spans="1:4" s="8" customFormat="1">
      <c r="A381" s="3" t="s">
        <v>4</v>
      </c>
      <c r="B381" s="3">
        <v>4610000000</v>
      </c>
      <c r="C381" s="3" t="s">
        <v>358</v>
      </c>
      <c r="D381" s="4" t="s">
        <v>1062</v>
      </c>
    </row>
    <row r="382" spans="1:4" s="8" customFormat="1">
      <c r="A382" s="3" t="s">
        <v>4</v>
      </c>
      <c r="B382" s="3">
        <v>4612000000</v>
      </c>
      <c r="C382" s="3" t="s">
        <v>359</v>
      </c>
      <c r="D382" s="4" t="s">
        <v>1063</v>
      </c>
    </row>
    <row r="383" spans="1:4" s="8" customFormat="1">
      <c r="A383" s="3" t="s">
        <v>4</v>
      </c>
      <c r="B383" s="3">
        <v>4611000000</v>
      </c>
      <c r="C383" s="3" t="s">
        <v>360</v>
      </c>
      <c r="D383" s="4" t="s">
        <v>1064</v>
      </c>
    </row>
    <row r="384" spans="1:4" s="8" customFormat="1">
      <c r="A384" s="3" t="s">
        <v>4</v>
      </c>
      <c r="B384" s="3">
        <v>4540000010</v>
      </c>
      <c r="C384" s="3" t="s">
        <v>361</v>
      </c>
      <c r="D384" s="4" t="s">
        <v>1065</v>
      </c>
    </row>
    <row r="385" spans="1:4" s="8" customFormat="1">
      <c r="A385" s="3" t="s">
        <v>4</v>
      </c>
      <c r="B385" s="3">
        <v>4540000020</v>
      </c>
      <c r="C385" s="3" t="s">
        <v>361</v>
      </c>
      <c r="D385" s="4" t="s">
        <v>1066</v>
      </c>
    </row>
    <row r="386" spans="1:4" s="8" customFormat="1">
      <c r="A386" s="3" t="s">
        <v>4</v>
      </c>
      <c r="B386" s="3">
        <v>4540000030</v>
      </c>
      <c r="C386" s="3" t="s">
        <v>361</v>
      </c>
      <c r="D386" s="4" t="s">
        <v>1067</v>
      </c>
    </row>
    <row r="387" spans="1:4" s="8" customFormat="1">
      <c r="A387" s="3" t="s">
        <v>4</v>
      </c>
      <c r="B387" s="3">
        <v>4540000001</v>
      </c>
      <c r="C387" s="3" t="s">
        <v>362</v>
      </c>
      <c r="D387" s="3" t="e">
        <v>#N/A</v>
      </c>
    </row>
    <row r="388" spans="1:4" s="8" customFormat="1">
      <c r="A388" s="3" t="s">
        <v>4</v>
      </c>
      <c r="B388" s="3">
        <v>4710000030</v>
      </c>
      <c r="C388" s="3" t="s">
        <v>363</v>
      </c>
      <c r="D388" s="4" t="s">
        <v>1068</v>
      </c>
    </row>
    <row r="389" spans="1:4" s="8" customFormat="1">
      <c r="A389" s="3" t="s">
        <v>4</v>
      </c>
      <c r="B389" s="3">
        <v>8990000000</v>
      </c>
      <c r="C389" s="3" t="s">
        <v>364</v>
      </c>
      <c r="D389" s="4" t="s">
        <v>1069</v>
      </c>
    </row>
    <row r="390" spans="1:4" s="8" customFormat="1">
      <c r="A390" s="3" t="s">
        <v>4</v>
      </c>
      <c r="B390" s="3">
        <v>4710000000</v>
      </c>
      <c r="C390" s="3" t="s">
        <v>365</v>
      </c>
      <c r="D390" s="4" t="s">
        <v>1070</v>
      </c>
    </row>
    <row r="391" spans="1:4" s="8" customFormat="1">
      <c r="A391" s="3" t="s">
        <v>4</v>
      </c>
      <c r="B391" s="3">
        <v>4641000001</v>
      </c>
      <c r="C391" s="3" t="s">
        <v>366</v>
      </c>
      <c r="D391" s="4" t="s">
        <v>1071</v>
      </c>
    </row>
    <row r="392" spans="1:4" s="8" customFormat="1">
      <c r="A392" s="3" t="s">
        <v>3</v>
      </c>
      <c r="B392" s="3">
        <v>5000000000</v>
      </c>
      <c r="C392" s="3" t="s">
        <v>367</v>
      </c>
      <c r="D392" s="4" t="s">
        <v>1072</v>
      </c>
    </row>
    <row r="393" spans="1:4" s="8" customFormat="1">
      <c r="A393" s="3" t="s">
        <v>3</v>
      </c>
      <c r="B393" s="3">
        <v>5010000001</v>
      </c>
      <c r="C393" s="3" t="s">
        <v>368</v>
      </c>
      <c r="D393" s="3" t="e">
        <v>#N/A</v>
      </c>
    </row>
    <row r="394" spans="1:4" s="8" customFormat="1">
      <c r="A394" s="3" t="s">
        <v>3</v>
      </c>
      <c r="B394" s="3">
        <v>5010000011</v>
      </c>
      <c r="C394" s="3" t="s">
        <v>369</v>
      </c>
      <c r="D394" s="3" t="e">
        <v>#N/A</v>
      </c>
    </row>
    <row r="395" spans="1:4" s="8" customFormat="1">
      <c r="A395" s="3" t="s">
        <v>3</v>
      </c>
      <c r="B395" s="3">
        <v>5010000000</v>
      </c>
      <c r="C395" s="3" t="s">
        <v>368</v>
      </c>
      <c r="D395" s="4" t="s">
        <v>1073</v>
      </c>
    </row>
    <row r="396" spans="1:4" s="8" customFormat="1">
      <c r="A396" s="3" t="s">
        <v>3</v>
      </c>
      <c r="B396" s="3">
        <v>5010000010</v>
      </c>
      <c r="C396" s="3" t="s">
        <v>369</v>
      </c>
      <c r="D396" s="4" t="s">
        <v>1074</v>
      </c>
    </row>
    <row r="397" spans="1:4" s="8" customFormat="1">
      <c r="A397" s="3" t="s">
        <v>3</v>
      </c>
      <c r="B397" s="3">
        <v>5041001100</v>
      </c>
      <c r="C397" s="3" t="s">
        <v>370</v>
      </c>
      <c r="D397" s="4" t="s">
        <v>1075</v>
      </c>
    </row>
    <row r="398" spans="1:4" s="8" customFormat="1">
      <c r="A398" s="3" t="s">
        <v>3</v>
      </c>
      <c r="B398" s="3">
        <v>5010000002</v>
      </c>
      <c r="C398" s="3" t="s">
        <v>371</v>
      </c>
      <c r="D398" s="3" t="e">
        <v>#N/A</v>
      </c>
    </row>
    <row r="399" spans="1:4" s="8" customFormat="1">
      <c r="A399" s="3" t="s">
        <v>3</v>
      </c>
      <c r="B399" s="3">
        <v>5010000012</v>
      </c>
      <c r="C399" s="3" t="s">
        <v>372</v>
      </c>
      <c r="D399" s="3" t="e">
        <v>#N/A</v>
      </c>
    </row>
    <row r="400" spans="1:4" s="8" customFormat="1">
      <c r="A400" s="3" t="s">
        <v>3</v>
      </c>
      <c r="B400" s="3">
        <v>5000100000</v>
      </c>
      <c r="C400" s="3" t="s">
        <v>373</v>
      </c>
      <c r="D400" s="4" t="s">
        <v>1076</v>
      </c>
    </row>
    <row r="401" spans="1:4" s="8" customFormat="1">
      <c r="A401" s="3" t="s">
        <v>3</v>
      </c>
      <c r="B401" s="3">
        <v>5010100001</v>
      </c>
      <c r="C401" s="3" t="s">
        <v>374</v>
      </c>
      <c r="D401" s="3" t="e">
        <v>#N/A</v>
      </c>
    </row>
    <row r="402" spans="1:4" s="8" customFormat="1">
      <c r="A402" s="3" t="s">
        <v>3</v>
      </c>
      <c r="B402" s="3">
        <v>5010100011</v>
      </c>
      <c r="C402" s="3" t="s">
        <v>375</v>
      </c>
      <c r="D402" s="3" t="e">
        <v>#N/A</v>
      </c>
    </row>
    <row r="403" spans="1:4" s="8" customFormat="1">
      <c r="A403" s="3" t="s">
        <v>3</v>
      </c>
      <c r="B403" s="3">
        <v>5010100000</v>
      </c>
      <c r="C403" s="3" t="s">
        <v>376</v>
      </c>
      <c r="D403" s="4" t="s">
        <v>1077</v>
      </c>
    </row>
    <row r="404" spans="1:4" s="8" customFormat="1">
      <c r="A404" s="3" t="s">
        <v>3</v>
      </c>
      <c r="B404" s="3">
        <v>5010100010</v>
      </c>
      <c r="C404" s="3" t="s">
        <v>377</v>
      </c>
      <c r="D404" s="4" t="s">
        <v>1078</v>
      </c>
    </row>
    <row r="405" spans="1:4" s="8" customFormat="1">
      <c r="A405" s="3" t="s">
        <v>3</v>
      </c>
      <c r="B405" s="3">
        <v>5041002100</v>
      </c>
      <c r="C405" s="3" t="s">
        <v>378</v>
      </c>
      <c r="D405" s="4" t="s">
        <v>1079</v>
      </c>
    </row>
    <row r="406" spans="1:4" s="8" customFormat="1">
      <c r="A406" s="3" t="s">
        <v>3</v>
      </c>
      <c r="B406" s="3">
        <v>5052000010</v>
      </c>
      <c r="C406" s="3" t="s">
        <v>379</v>
      </c>
      <c r="D406" s="3" t="e">
        <v>#N/A</v>
      </c>
    </row>
    <row r="407" spans="1:4" s="8" customFormat="1">
      <c r="A407" s="3" t="s">
        <v>3</v>
      </c>
      <c r="B407" s="3">
        <v>5010100002</v>
      </c>
      <c r="C407" s="3" t="s">
        <v>380</v>
      </c>
      <c r="D407" s="3" t="e">
        <v>#N/A</v>
      </c>
    </row>
    <row r="408" spans="1:4" s="8" customFormat="1">
      <c r="A408" s="3" t="s">
        <v>3</v>
      </c>
      <c r="B408" s="3">
        <v>5010100012</v>
      </c>
      <c r="C408" s="3" t="s">
        <v>381</v>
      </c>
      <c r="D408" s="3" t="e">
        <v>#N/A</v>
      </c>
    </row>
    <row r="409" spans="1:4" s="8" customFormat="1">
      <c r="A409" s="3" t="s">
        <v>3</v>
      </c>
      <c r="B409" s="3">
        <v>5000200000</v>
      </c>
      <c r="C409" s="3" t="s">
        <v>382</v>
      </c>
      <c r="D409" s="4" t="s">
        <v>1080</v>
      </c>
    </row>
    <row r="410" spans="1:4" s="8" customFormat="1">
      <c r="A410" s="3" t="s">
        <v>3</v>
      </c>
      <c r="B410" s="3">
        <v>5000200001</v>
      </c>
      <c r="C410" s="3" t="s">
        <v>383</v>
      </c>
      <c r="D410" s="3" t="e">
        <v>#N/A</v>
      </c>
    </row>
    <row r="411" spans="1:4" s="8" customFormat="1">
      <c r="A411" s="3" t="s">
        <v>3</v>
      </c>
      <c r="B411" s="3">
        <v>5000200002</v>
      </c>
      <c r="C411" s="3" t="s">
        <v>384</v>
      </c>
      <c r="D411" s="3" t="e">
        <v>#N/A</v>
      </c>
    </row>
    <row r="412" spans="1:4" s="8" customFormat="1">
      <c r="A412" s="3" t="s">
        <v>3</v>
      </c>
      <c r="B412" s="3">
        <v>5050000000</v>
      </c>
      <c r="C412" s="3" t="s">
        <v>385</v>
      </c>
      <c r="D412" s="4" t="s">
        <v>1081</v>
      </c>
    </row>
    <row r="413" spans="1:4" s="8" customFormat="1">
      <c r="A413" s="3" t="s">
        <v>3</v>
      </c>
      <c r="B413" s="3">
        <v>5050010000</v>
      </c>
      <c r="C413" s="3" t="s">
        <v>386</v>
      </c>
      <c r="D413" s="4" t="s">
        <v>1082</v>
      </c>
    </row>
    <row r="414" spans="1:4" s="8" customFormat="1">
      <c r="A414" s="3" t="s">
        <v>3</v>
      </c>
      <c r="B414" s="3">
        <v>5052000000</v>
      </c>
      <c r="C414" s="3" t="s">
        <v>387</v>
      </c>
      <c r="D414" s="4" t="s">
        <v>1083</v>
      </c>
    </row>
    <row r="415" spans="1:4" s="8" customFormat="1">
      <c r="A415" s="3" t="s">
        <v>3</v>
      </c>
      <c r="B415" s="3">
        <v>5052010000</v>
      </c>
      <c r="C415" s="3" t="s">
        <v>388</v>
      </c>
      <c r="D415" s="4" t="s">
        <v>1084</v>
      </c>
    </row>
    <row r="416" spans="1:4" s="8" customFormat="1">
      <c r="A416" s="3" t="s">
        <v>3</v>
      </c>
      <c r="B416" s="3">
        <v>5002000000</v>
      </c>
      <c r="C416" s="3" t="s">
        <v>389</v>
      </c>
      <c r="D416" s="4" t="s">
        <v>1085</v>
      </c>
    </row>
    <row r="417" spans="1:4" s="8" customFormat="1">
      <c r="A417" s="3" t="s">
        <v>3</v>
      </c>
      <c r="B417" s="3">
        <v>5002100000</v>
      </c>
      <c r="C417" s="3" t="s">
        <v>389</v>
      </c>
      <c r="D417" s="4" t="s">
        <v>1086</v>
      </c>
    </row>
    <row r="418" spans="1:4" s="8" customFormat="1">
      <c r="A418" s="3" t="s">
        <v>3</v>
      </c>
      <c r="B418" s="3">
        <v>5002200000</v>
      </c>
      <c r="C418" s="3" t="s">
        <v>389</v>
      </c>
      <c r="D418" s="4" t="s">
        <v>1087</v>
      </c>
    </row>
    <row r="419" spans="1:4" s="8" customFormat="1">
      <c r="A419" s="3" t="s">
        <v>5</v>
      </c>
      <c r="B419" s="3">
        <v>6100000000</v>
      </c>
      <c r="C419" s="3" t="s">
        <v>390</v>
      </c>
      <c r="D419" s="4" t="s">
        <v>1088</v>
      </c>
    </row>
    <row r="420" spans="1:4" s="8" customFormat="1">
      <c r="A420" s="3" t="s">
        <v>5</v>
      </c>
      <c r="B420" s="3">
        <v>6100100000</v>
      </c>
      <c r="C420" s="3" t="s">
        <v>1407</v>
      </c>
      <c r="D420" s="4" t="s">
        <v>1089</v>
      </c>
    </row>
    <row r="421" spans="1:4" s="8" customFormat="1">
      <c r="A421" s="3" t="s">
        <v>5</v>
      </c>
      <c r="B421" s="3">
        <v>6102000000</v>
      </c>
      <c r="C421" s="3" t="s">
        <v>391</v>
      </c>
      <c r="D421" s="4" t="s">
        <v>1090</v>
      </c>
    </row>
    <row r="422" spans="1:4" s="8" customFormat="1">
      <c r="A422" s="3" t="s">
        <v>5</v>
      </c>
      <c r="B422" s="3">
        <v>6102100000</v>
      </c>
      <c r="C422" s="3" t="s">
        <v>392</v>
      </c>
      <c r="D422" s="4" t="s">
        <v>1091</v>
      </c>
    </row>
    <row r="423" spans="1:4" s="8" customFormat="1">
      <c r="A423" s="3" t="s">
        <v>2</v>
      </c>
      <c r="B423" s="3">
        <v>7040200000</v>
      </c>
      <c r="C423" s="3" t="s">
        <v>393</v>
      </c>
      <c r="D423" s="4" t="s">
        <v>1092</v>
      </c>
    </row>
    <row r="424" spans="1:4" s="8" customFormat="1">
      <c r="A424" s="3" t="s">
        <v>2</v>
      </c>
      <c r="B424" s="3">
        <v>7040210000</v>
      </c>
      <c r="C424" s="3" t="s">
        <v>393</v>
      </c>
      <c r="D424" s="4" t="s">
        <v>1093</v>
      </c>
    </row>
    <row r="425" spans="1:4" s="8" customFormat="1">
      <c r="A425" s="3" t="s">
        <v>2</v>
      </c>
      <c r="B425" s="3">
        <v>7040000000</v>
      </c>
      <c r="C425" s="3" t="s">
        <v>394</v>
      </c>
      <c r="D425" s="4" t="s">
        <v>1094</v>
      </c>
    </row>
    <row r="426" spans="1:4" s="8" customFormat="1">
      <c r="A426" s="3" t="s">
        <v>2</v>
      </c>
      <c r="B426" s="3">
        <v>7040010000</v>
      </c>
      <c r="C426" s="3" t="s">
        <v>394</v>
      </c>
      <c r="D426" s="4" t="s">
        <v>1095</v>
      </c>
    </row>
    <row r="427" spans="1:4" s="8" customFormat="1">
      <c r="A427" s="3" t="s">
        <v>2</v>
      </c>
      <c r="B427" s="3" t="s">
        <v>1408</v>
      </c>
      <c r="C427" s="3" t="s">
        <v>395</v>
      </c>
      <c r="D427" s="3" t="e">
        <v>#N/A</v>
      </c>
    </row>
    <row r="428" spans="1:4" s="8" customFormat="1">
      <c r="A428" s="3" t="s">
        <v>2</v>
      </c>
      <c r="B428" s="3" t="s">
        <v>1409</v>
      </c>
      <c r="C428" s="3" t="s">
        <v>395</v>
      </c>
      <c r="D428" s="3" t="e">
        <v>#N/A</v>
      </c>
    </row>
    <row r="429" spans="1:4" s="8" customFormat="1">
      <c r="A429" s="3" t="s">
        <v>2</v>
      </c>
      <c r="B429" s="3">
        <v>7030011500</v>
      </c>
      <c r="C429" s="3" t="s">
        <v>396</v>
      </c>
      <c r="D429" s="4" t="s">
        <v>1096</v>
      </c>
    </row>
    <row r="430" spans="1:4" s="8" customFormat="1">
      <c r="A430" s="3" t="s">
        <v>2</v>
      </c>
      <c r="B430" s="3">
        <v>7144109000</v>
      </c>
      <c r="C430" s="3" t="s">
        <v>397</v>
      </c>
      <c r="D430" s="4" t="s">
        <v>1097</v>
      </c>
    </row>
    <row r="431" spans="1:4" s="8" customFormat="1">
      <c r="A431" s="3" t="s">
        <v>2</v>
      </c>
      <c r="B431" s="3">
        <v>7130011500</v>
      </c>
      <c r="C431" s="3" t="s">
        <v>397</v>
      </c>
      <c r="D431" s="4" t="s">
        <v>1098</v>
      </c>
    </row>
    <row r="432" spans="1:4" s="8" customFormat="1">
      <c r="A432" s="3" t="s">
        <v>2</v>
      </c>
      <c r="B432" s="3">
        <v>7133001500</v>
      </c>
      <c r="C432" s="3" t="s">
        <v>397</v>
      </c>
      <c r="D432" s="4" t="s">
        <v>1099</v>
      </c>
    </row>
    <row r="433" spans="1:4" s="8" customFormat="1">
      <c r="A433" s="3" t="s">
        <v>2</v>
      </c>
      <c r="B433" s="3">
        <v>7430001500</v>
      </c>
      <c r="C433" s="3" t="s">
        <v>398</v>
      </c>
      <c r="D433" s="4" t="s">
        <v>1100</v>
      </c>
    </row>
    <row r="434" spans="1:4" s="8" customFormat="1">
      <c r="A434" s="3" t="s">
        <v>2</v>
      </c>
      <c r="B434" s="3">
        <v>7330001500</v>
      </c>
      <c r="C434" s="3" t="s">
        <v>398</v>
      </c>
      <c r="D434" s="4" t="s">
        <v>1101</v>
      </c>
    </row>
    <row r="435" spans="1:4" s="8" customFormat="1">
      <c r="A435" s="3" t="s">
        <v>2</v>
      </c>
      <c r="B435" s="3">
        <v>7433001500</v>
      </c>
      <c r="C435" s="3" t="s">
        <v>398</v>
      </c>
      <c r="D435" s="4" t="s">
        <v>1102</v>
      </c>
    </row>
    <row r="436" spans="1:4" s="8" customFormat="1">
      <c r="A436" s="3" t="s">
        <v>2</v>
      </c>
      <c r="B436" s="3">
        <v>7030000000</v>
      </c>
      <c r="C436" s="3" t="s">
        <v>399</v>
      </c>
      <c r="D436" s="4" t="s">
        <v>1103</v>
      </c>
    </row>
    <row r="437" spans="1:4" s="8" customFormat="1">
      <c r="A437" s="3" t="s">
        <v>2</v>
      </c>
      <c r="B437" s="3">
        <v>7030010000</v>
      </c>
      <c r="C437" s="3" t="s">
        <v>399</v>
      </c>
      <c r="D437" s="4" t="s">
        <v>1104</v>
      </c>
    </row>
    <row r="438" spans="1:4" s="8" customFormat="1">
      <c r="A438" s="3" t="s">
        <v>2</v>
      </c>
      <c r="B438" s="3">
        <v>7360000000</v>
      </c>
      <c r="C438" s="3" t="s">
        <v>400</v>
      </c>
      <c r="D438" s="4" t="s">
        <v>1105</v>
      </c>
    </row>
    <row r="439" spans="1:4" s="8" customFormat="1">
      <c r="A439" s="3" t="s">
        <v>2</v>
      </c>
      <c r="B439" s="3">
        <v>7360010000</v>
      </c>
      <c r="C439" s="3" t="s">
        <v>400</v>
      </c>
      <c r="D439" s="4" t="s">
        <v>1106</v>
      </c>
    </row>
    <row r="440" spans="1:4" s="8" customFormat="1">
      <c r="A440" s="3" t="s">
        <v>2</v>
      </c>
      <c r="B440" s="3">
        <v>7043200000</v>
      </c>
      <c r="C440" s="3" t="s">
        <v>401</v>
      </c>
      <c r="D440" s="4" t="s">
        <v>1107</v>
      </c>
    </row>
    <row r="441" spans="1:4" s="8" customFormat="1">
      <c r="A441" s="3" t="s">
        <v>2</v>
      </c>
      <c r="B441" s="3">
        <v>7043210000</v>
      </c>
      <c r="C441" s="3" t="s">
        <v>401</v>
      </c>
      <c r="D441" s="4" t="s">
        <v>1108</v>
      </c>
    </row>
    <row r="442" spans="1:4" s="8" customFormat="1">
      <c r="A442" s="3" t="s">
        <v>2</v>
      </c>
      <c r="B442" s="3">
        <v>7043100000</v>
      </c>
      <c r="C442" s="3" t="s">
        <v>401</v>
      </c>
      <c r="D442" s="4" t="s">
        <v>1109</v>
      </c>
    </row>
    <row r="443" spans="1:4" s="8" customFormat="1">
      <c r="A443" s="3" t="s">
        <v>2</v>
      </c>
      <c r="B443" s="3">
        <v>7043110000</v>
      </c>
      <c r="C443" s="3" t="s">
        <v>401</v>
      </c>
      <c r="D443" s="4" t="s">
        <v>1110</v>
      </c>
    </row>
    <row r="444" spans="1:4" s="8" customFormat="1">
      <c r="A444" s="3" t="s">
        <v>2</v>
      </c>
      <c r="B444" s="3">
        <v>7043211500</v>
      </c>
      <c r="C444" s="3" t="s">
        <v>401</v>
      </c>
      <c r="D444" s="4" t="s">
        <v>1111</v>
      </c>
    </row>
    <row r="445" spans="1:4" s="8" customFormat="1">
      <c r="A445" s="3" t="s">
        <v>2</v>
      </c>
      <c r="B445" s="3">
        <v>7043101500</v>
      </c>
      <c r="C445" s="3" t="s">
        <v>401</v>
      </c>
      <c r="D445" s="4" t="s">
        <v>1112</v>
      </c>
    </row>
    <row r="446" spans="1:4" s="8" customFormat="1">
      <c r="A446" s="3" t="s">
        <v>2</v>
      </c>
      <c r="B446" s="3">
        <v>7010000000</v>
      </c>
      <c r="C446" s="3" t="s">
        <v>402</v>
      </c>
      <c r="D446" s="4" t="s">
        <v>1113</v>
      </c>
    </row>
    <row r="447" spans="1:4" s="8" customFormat="1">
      <c r="A447" s="3" t="s">
        <v>2</v>
      </c>
      <c r="B447" s="3">
        <v>7010010000</v>
      </c>
      <c r="C447" s="3" t="s">
        <v>402</v>
      </c>
      <c r="D447" s="4" t="s">
        <v>1114</v>
      </c>
    </row>
    <row r="448" spans="1:4" s="8" customFormat="1">
      <c r="A448" s="3" t="s">
        <v>2</v>
      </c>
      <c r="B448" s="3">
        <v>7110000000</v>
      </c>
      <c r="C448" s="3" t="s">
        <v>403</v>
      </c>
      <c r="D448" s="4" t="s">
        <v>1115</v>
      </c>
    </row>
    <row r="449" spans="1:4" s="8" customFormat="1">
      <c r="A449" s="3" t="s">
        <v>2</v>
      </c>
      <c r="B449" s="3">
        <v>7111000000</v>
      </c>
      <c r="C449" s="3" t="s">
        <v>403</v>
      </c>
      <c r="D449" s="4" t="s">
        <v>1116</v>
      </c>
    </row>
    <row r="450" spans="1:4" s="8" customFormat="1">
      <c r="A450" s="3" t="s">
        <v>2</v>
      </c>
      <c r="B450" s="3">
        <v>7113000000</v>
      </c>
      <c r="C450" s="3" t="s">
        <v>403</v>
      </c>
      <c r="D450" s="4" t="s">
        <v>1117</v>
      </c>
    </row>
    <row r="451" spans="1:4" s="8" customFormat="1">
      <c r="A451" s="3" t="s">
        <v>2</v>
      </c>
      <c r="B451" s="3">
        <v>7144100000</v>
      </c>
      <c r="C451" s="3" t="s">
        <v>403</v>
      </c>
      <c r="D451" s="4" t="s">
        <v>1118</v>
      </c>
    </row>
    <row r="452" spans="1:4" s="8" customFormat="1">
      <c r="A452" s="3" t="s">
        <v>2</v>
      </c>
      <c r="B452" s="3">
        <v>7010020000</v>
      </c>
      <c r="C452" s="3" t="s">
        <v>404</v>
      </c>
      <c r="D452" s="4" t="s">
        <v>1119</v>
      </c>
    </row>
    <row r="453" spans="1:4" s="8" customFormat="1">
      <c r="A453" s="3" t="s">
        <v>2</v>
      </c>
      <c r="B453" s="3">
        <v>7310000000</v>
      </c>
      <c r="C453" s="3" t="s">
        <v>405</v>
      </c>
      <c r="D453" s="4" t="s">
        <v>1120</v>
      </c>
    </row>
    <row r="454" spans="1:4" s="8" customFormat="1">
      <c r="A454" s="3" t="s">
        <v>2</v>
      </c>
      <c r="B454" s="3">
        <v>7310010000</v>
      </c>
      <c r="C454" s="3" t="s">
        <v>405</v>
      </c>
      <c r="D454" s="4" t="s">
        <v>1121</v>
      </c>
    </row>
    <row r="455" spans="1:4" s="8" customFormat="1">
      <c r="A455" s="3" t="s">
        <v>2</v>
      </c>
      <c r="B455" s="3">
        <v>7410000000</v>
      </c>
      <c r="C455" s="3" t="s">
        <v>405</v>
      </c>
      <c r="D455" s="4" t="s">
        <v>1122</v>
      </c>
    </row>
    <row r="456" spans="1:4" s="8" customFormat="1">
      <c r="A456" s="3" t="s">
        <v>2</v>
      </c>
      <c r="B456" s="3">
        <v>7410010000</v>
      </c>
      <c r="C456" s="3" t="s">
        <v>405</v>
      </c>
      <c r="D456" s="4" t="s">
        <v>1123</v>
      </c>
    </row>
    <row r="457" spans="1:4" s="8" customFormat="1">
      <c r="A457" s="3" t="s">
        <v>2</v>
      </c>
      <c r="B457" s="3">
        <v>7413000000</v>
      </c>
      <c r="C457" s="3" t="s">
        <v>405</v>
      </c>
      <c r="D457" s="4" t="s">
        <v>1124</v>
      </c>
    </row>
    <row r="458" spans="1:4" s="8" customFormat="1">
      <c r="A458" s="3" t="s">
        <v>2</v>
      </c>
      <c r="B458" s="3">
        <v>7413010000</v>
      </c>
      <c r="C458" s="3" t="s">
        <v>405</v>
      </c>
      <c r="D458" s="4" t="s">
        <v>1125</v>
      </c>
    </row>
    <row r="459" spans="1:4" s="8" customFormat="1">
      <c r="A459" s="3" t="s">
        <v>2</v>
      </c>
      <c r="B459" s="3">
        <v>7010010010</v>
      </c>
      <c r="C459" s="3" t="s">
        <v>406</v>
      </c>
      <c r="D459" s="3" t="e">
        <v>#N/A</v>
      </c>
    </row>
    <row r="460" spans="1:4" s="8" customFormat="1">
      <c r="A460" s="3" t="s">
        <v>2</v>
      </c>
      <c r="B460" s="3">
        <v>7000000000</v>
      </c>
      <c r="C460" s="3" t="s">
        <v>407</v>
      </c>
      <c r="D460" s="4" t="s">
        <v>1126</v>
      </c>
    </row>
    <row r="461" spans="1:4" s="8" customFormat="1">
      <c r="A461" s="3" t="s">
        <v>2</v>
      </c>
      <c r="B461" s="3">
        <v>7000010000</v>
      </c>
      <c r="C461" s="3" t="s">
        <v>407</v>
      </c>
      <c r="D461" s="4" t="s">
        <v>1127</v>
      </c>
    </row>
    <row r="462" spans="1:4" s="8" customFormat="1">
      <c r="A462" s="3" t="s">
        <v>2</v>
      </c>
      <c r="B462" s="3">
        <v>7000020000</v>
      </c>
      <c r="C462" s="3" t="s">
        <v>408</v>
      </c>
      <c r="D462" s="4" t="s">
        <v>1128</v>
      </c>
    </row>
    <row r="463" spans="1:4" s="8" customFormat="1">
      <c r="A463" s="3" t="s">
        <v>2</v>
      </c>
      <c r="B463" s="3">
        <v>7300000000</v>
      </c>
      <c r="C463" s="3" t="s">
        <v>409</v>
      </c>
      <c r="D463" s="4" t="s">
        <v>1129</v>
      </c>
    </row>
    <row r="464" spans="1:4" s="8" customFormat="1">
      <c r="A464" s="3" t="s">
        <v>2</v>
      </c>
      <c r="B464" s="3">
        <v>7300010000</v>
      </c>
      <c r="C464" s="3" t="s">
        <v>409</v>
      </c>
      <c r="D464" s="4" t="s">
        <v>1130</v>
      </c>
    </row>
    <row r="465" spans="1:4" s="8" customFormat="1">
      <c r="A465" s="3" t="s">
        <v>2</v>
      </c>
      <c r="B465" s="3">
        <v>7000011020</v>
      </c>
      <c r="C465" s="3" t="s">
        <v>410</v>
      </c>
      <c r="D465" s="3" t="e">
        <v>#N/A</v>
      </c>
    </row>
    <row r="466" spans="1:4" s="8" customFormat="1">
      <c r="A466" s="3" t="s">
        <v>2</v>
      </c>
      <c r="B466" s="3">
        <v>7050002000</v>
      </c>
      <c r="C466" s="3" t="s">
        <v>411</v>
      </c>
      <c r="D466" s="4" t="s">
        <v>1131</v>
      </c>
    </row>
    <row r="467" spans="1:4" s="8" customFormat="1">
      <c r="A467" s="3" t="s">
        <v>2</v>
      </c>
      <c r="B467" s="3">
        <v>7050012000</v>
      </c>
      <c r="C467" s="3" t="s">
        <v>411</v>
      </c>
      <c r="D467" s="4" t="s">
        <v>1132</v>
      </c>
    </row>
    <row r="468" spans="1:4" s="8" customFormat="1">
      <c r="A468" s="3" t="s">
        <v>2</v>
      </c>
      <c r="B468" s="3">
        <v>7055002000</v>
      </c>
      <c r="C468" s="3" t="s">
        <v>411</v>
      </c>
      <c r="D468" s="4" t="s">
        <v>1133</v>
      </c>
    </row>
    <row r="469" spans="1:4" s="8" customFormat="1">
      <c r="A469" s="3" t="s">
        <v>2</v>
      </c>
      <c r="B469" s="3">
        <v>7055010000</v>
      </c>
      <c r="C469" s="3" t="s">
        <v>411</v>
      </c>
      <c r="D469" s="4" t="s">
        <v>1134</v>
      </c>
    </row>
    <row r="470" spans="1:4" s="8" customFormat="1">
      <c r="A470" s="3" t="s">
        <v>2</v>
      </c>
      <c r="B470" s="3">
        <v>7050010010</v>
      </c>
      <c r="C470" s="3" t="s">
        <v>412</v>
      </c>
      <c r="D470" s="3" t="e">
        <v>#N/A</v>
      </c>
    </row>
    <row r="471" spans="1:4" s="8" customFormat="1">
      <c r="A471" s="3" t="s">
        <v>2</v>
      </c>
      <c r="B471" s="3">
        <v>7902000001</v>
      </c>
      <c r="C471" s="3" t="s">
        <v>413</v>
      </c>
      <c r="D471" s="3" t="e">
        <v>#N/A</v>
      </c>
    </row>
    <row r="472" spans="1:4" s="8" customFormat="1">
      <c r="A472" s="3" t="s">
        <v>2</v>
      </c>
      <c r="B472" s="3">
        <v>7902000000</v>
      </c>
      <c r="C472" s="3" t="s">
        <v>413</v>
      </c>
      <c r="D472" s="4" t="s">
        <v>1135</v>
      </c>
    </row>
    <row r="473" spans="1:4" s="8" customFormat="1">
      <c r="A473" s="3" t="s">
        <v>2</v>
      </c>
      <c r="B473" s="3">
        <v>7902001043</v>
      </c>
      <c r="C473" s="3" t="s">
        <v>414</v>
      </c>
      <c r="D473" s="4" t="s">
        <v>1136</v>
      </c>
    </row>
    <row r="474" spans="1:4" s="8" customFormat="1">
      <c r="A474" s="3" t="s">
        <v>2</v>
      </c>
      <c r="B474" s="3">
        <v>8810002010</v>
      </c>
      <c r="C474" s="3" t="s">
        <v>415</v>
      </c>
      <c r="D474" s="4" t="s">
        <v>1137</v>
      </c>
    </row>
    <row r="475" spans="1:4" s="8" customFormat="1">
      <c r="A475" s="3" t="s">
        <v>2</v>
      </c>
      <c r="B475" s="3">
        <v>7490000020</v>
      </c>
      <c r="C475" s="3" t="s">
        <v>416</v>
      </c>
      <c r="D475" s="3" t="e">
        <v>#N/A</v>
      </c>
    </row>
    <row r="476" spans="1:4" s="8" customFormat="1">
      <c r="A476" s="3" t="s">
        <v>2</v>
      </c>
      <c r="B476" s="3">
        <v>7902110000</v>
      </c>
      <c r="C476" s="3" t="s">
        <v>417</v>
      </c>
      <c r="D476" s="4" t="s">
        <v>1138</v>
      </c>
    </row>
    <row r="477" spans="1:4" s="8" customFormat="1">
      <c r="A477" s="3" t="s">
        <v>2</v>
      </c>
      <c r="B477" s="3">
        <v>7070310000</v>
      </c>
      <c r="C477" s="3" t="s">
        <v>418</v>
      </c>
      <c r="D477" s="4" t="s">
        <v>1139</v>
      </c>
    </row>
    <row r="478" spans="1:4" s="8" customFormat="1">
      <c r="A478" s="3" t="s">
        <v>2</v>
      </c>
      <c r="B478" s="3">
        <v>7142110000</v>
      </c>
      <c r="C478" s="3" t="s">
        <v>419</v>
      </c>
      <c r="D478" s="4" t="s">
        <v>1140</v>
      </c>
    </row>
    <row r="479" spans="1:4" s="8" customFormat="1">
      <c r="A479" s="3" t="s">
        <v>2</v>
      </c>
      <c r="B479" s="3">
        <v>7043810000</v>
      </c>
      <c r="C479" s="3" t="s">
        <v>420</v>
      </c>
      <c r="D479" s="4" t="s">
        <v>1141</v>
      </c>
    </row>
    <row r="480" spans="1:4" s="8" customFormat="1">
      <c r="A480" s="3" t="s">
        <v>2</v>
      </c>
      <c r="B480" s="3">
        <v>6200000010</v>
      </c>
      <c r="C480" s="3" t="s">
        <v>421</v>
      </c>
      <c r="D480" s="3" t="e">
        <v>#N/A</v>
      </c>
    </row>
    <row r="481" spans="1:4" s="8" customFormat="1">
      <c r="A481" s="3" t="s">
        <v>2</v>
      </c>
      <c r="B481" s="3">
        <v>7030020000</v>
      </c>
      <c r="C481" s="3" t="s">
        <v>422</v>
      </c>
      <c r="D481" s="4" t="s">
        <v>1142</v>
      </c>
    </row>
    <row r="482" spans="1:4" s="8" customFormat="1">
      <c r="A482" s="3" t="s">
        <v>2</v>
      </c>
      <c r="B482" s="3">
        <v>7330000000</v>
      </c>
      <c r="C482" s="3" t="s">
        <v>423</v>
      </c>
      <c r="D482" s="4" t="s">
        <v>1143</v>
      </c>
    </row>
    <row r="483" spans="1:4" s="8" customFormat="1">
      <c r="A483" s="3" t="s">
        <v>2</v>
      </c>
      <c r="B483" s="3">
        <v>7330010000</v>
      </c>
      <c r="C483" s="3" t="s">
        <v>423</v>
      </c>
      <c r="D483" s="4" t="s">
        <v>1144</v>
      </c>
    </row>
    <row r="484" spans="1:4" s="8" customFormat="1">
      <c r="A484" s="3" t="s">
        <v>2</v>
      </c>
      <c r="B484" s="3">
        <v>7430000000</v>
      </c>
      <c r="C484" s="3" t="s">
        <v>423</v>
      </c>
      <c r="D484" s="4" t="s">
        <v>1145</v>
      </c>
    </row>
    <row r="485" spans="1:4" s="8" customFormat="1">
      <c r="A485" s="3" t="s">
        <v>2</v>
      </c>
      <c r="B485" s="3">
        <v>7430010000</v>
      </c>
      <c r="C485" s="3" t="s">
        <v>423</v>
      </c>
      <c r="D485" s="4" t="s">
        <v>1146</v>
      </c>
    </row>
    <row r="486" spans="1:4" s="8" customFormat="1">
      <c r="A486" s="3" t="s">
        <v>2</v>
      </c>
      <c r="B486" s="3">
        <v>7433000000</v>
      </c>
      <c r="C486" s="3" t="s">
        <v>423</v>
      </c>
      <c r="D486" s="4" t="s">
        <v>1147</v>
      </c>
    </row>
    <row r="487" spans="1:4" s="8" customFormat="1">
      <c r="A487" s="3" t="s">
        <v>2</v>
      </c>
      <c r="B487" s="3">
        <v>7433010000</v>
      </c>
      <c r="C487" s="3" t="s">
        <v>423</v>
      </c>
      <c r="D487" s="4" t="s">
        <v>1148</v>
      </c>
    </row>
    <row r="488" spans="1:4" s="8" customFormat="1">
      <c r="A488" s="3" t="s">
        <v>2</v>
      </c>
      <c r="B488" s="3">
        <v>7130000000</v>
      </c>
      <c r="C488" s="3" t="s">
        <v>424</v>
      </c>
      <c r="D488" s="4" t="s">
        <v>1149</v>
      </c>
    </row>
    <row r="489" spans="1:4" s="8" customFormat="1">
      <c r="A489" s="3" t="s">
        <v>2</v>
      </c>
      <c r="B489" s="3">
        <v>7133000000</v>
      </c>
      <c r="C489" s="3" t="s">
        <v>424</v>
      </c>
      <c r="D489" s="4" t="s">
        <v>1150</v>
      </c>
    </row>
    <row r="490" spans="1:4" s="8" customFormat="1">
      <c r="A490" s="3" t="s">
        <v>2</v>
      </c>
      <c r="B490" s="3">
        <v>7132000000</v>
      </c>
      <c r="C490" s="3" t="s">
        <v>424</v>
      </c>
      <c r="D490" s="4" t="s">
        <v>1151</v>
      </c>
    </row>
    <row r="491" spans="1:4" s="8" customFormat="1">
      <c r="A491" s="3" t="s">
        <v>2</v>
      </c>
      <c r="B491" s="3">
        <v>7530001000</v>
      </c>
      <c r="C491" s="3" t="s">
        <v>425</v>
      </c>
      <c r="D491" s="4" t="s">
        <v>1152</v>
      </c>
    </row>
    <row r="492" spans="1:4" s="8" customFormat="1">
      <c r="A492" s="3" t="s">
        <v>2</v>
      </c>
      <c r="B492" s="3">
        <v>7630001000</v>
      </c>
      <c r="C492" s="3" t="s">
        <v>426</v>
      </c>
      <c r="D492" s="4" t="s">
        <v>1153</v>
      </c>
    </row>
    <row r="493" spans="1:4" s="8" customFormat="1">
      <c r="A493" s="3" t="s">
        <v>2</v>
      </c>
      <c r="B493" s="3">
        <v>7633001500</v>
      </c>
      <c r="C493" s="3" t="s">
        <v>427</v>
      </c>
      <c r="D493" s="4" t="s">
        <v>1154</v>
      </c>
    </row>
    <row r="494" spans="1:4" s="8" customFormat="1">
      <c r="A494" s="3" t="s">
        <v>2</v>
      </c>
      <c r="B494" s="3">
        <v>7630000000</v>
      </c>
      <c r="C494" s="3" t="s">
        <v>428</v>
      </c>
      <c r="D494" s="4" t="s">
        <v>1155</v>
      </c>
    </row>
    <row r="495" spans="1:4" s="8" customFormat="1">
      <c r="A495" s="3" t="s">
        <v>2</v>
      </c>
      <c r="B495" s="3">
        <v>7633000000</v>
      </c>
      <c r="C495" s="3" t="s">
        <v>428</v>
      </c>
      <c r="D495" s="4" t="s">
        <v>1156</v>
      </c>
    </row>
    <row r="496" spans="1:4" s="8" customFormat="1">
      <c r="A496" s="3" t="s">
        <v>2</v>
      </c>
      <c r="B496" s="3">
        <v>7530000000</v>
      </c>
      <c r="C496" s="3" t="s">
        <v>428</v>
      </c>
      <c r="D496" s="4" t="s">
        <v>1157</v>
      </c>
    </row>
    <row r="497" spans="1:4" s="8" customFormat="1">
      <c r="A497" s="3" t="s">
        <v>2</v>
      </c>
      <c r="B497" s="3">
        <v>6121001500</v>
      </c>
      <c r="C497" s="3" t="s">
        <v>429</v>
      </c>
      <c r="D497" s="4" t="s">
        <v>1158</v>
      </c>
    </row>
    <row r="498" spans="1:4" s="8" customFormat="1">
      <c r="A498" s="3" t="s">
        <v>4</v>
      </c>
      <c r="B498" s="3">
        <v>7980000000</v>
      </c>
      <c r="C498" s="3" t="s">
        <v>430</v>
      </c>
      <c r="D498" s="4" t="s">
        <v>1159</v>
      </c>
    </row>
    <row r="499" spans="1:4" s="8" customFormat="1">
      <c r="A499" s="3" t="s">
        <v>4</v>
      </c>
      <c r="B499" s="3">
        <v>7981000000</v>
      </c>
      <c r="C499" s="3" t="s">
        <v>431</v>
      </c>
      <c r="D499" s="4" t="s">
        <v>1160</v>
      </c>
    </row>
    <row r="500" spans="1:4" s="8" customFormat="1">
      <c r="A500" s="3" t="s">
        <v>2</v>
      </c>
      <c r="B500" s="3">
        <v>7070200000</v>
      </c>
      <c r="C500" s="3" t="s">
        <v>432</v>
      </c>
      <c r="D500" s="4" t="s">
        <v>1161</v>
      </c>
    </row>
    <row r="501" spans="1:4" s="8" customFormat="1">
      <c r="A501" s="3" t="s">
        <v>2</v>
      </c>
      <c r="B501" s="3">
        <v>7072100000</v>
      </c>
      <c r="C501" s="3" t="s">
        <v>432</v>
      </c>
      <c r="D501" s="4" t="s">
        <v>1162</v>
      </c>
    </row>
    <row r="502" spans="1:4" s="8" customFormat="1">
      <c r="A502" s="3" t="s">
        <v>2</v>
      </c>
      <c r="B502" s="3">
        <v>7072101000</v>
      </c>
      <c r="C502" s="3" t="s">
        <v>432</v>
      </c>
      <c r="D502" s="4" t="s">
        <v>1162</v>
      </c>
    </row>
    <row r="503" spans="1:4" s="8" customFormat="1">
      <c r="A503" s="3" t="s">
        <v>2</v>
      </c>
      <c r="B503" s="3">
        <v>7073200000</v>
      </c>
      <c r="C503" s="3" t="s">
        <v>433</v>
      </c>
      <c r="D503" s="4" t="s">
        <v>1163</v>
      </c>
    </row>
    <row r="504" spans="1:4" s="8" customFormat="1">
      <c r="A504" s="3" t="s">
        <v>2</v>
      </c>
      <c r="B504" s="3">
        <v>7073210000</v>
      </c>
      <c r="C504" s="3" t="s">
        <v>433</v>
      </c>
      <c r="D504" s="4" t="s">
        <v>1164</v>
      </c>
    </row>
    <row r="505" spans="1:4" s="8" customFormat="1">
      <c r="A505" s="3" t="s">
        <v>2</v>
      </c>
      <c r="B505" s="3">
        <v>7073201000</v>
      </c>
      <c r="C505" s="3" t="s">
        <v>433</v>
      </c>
      <c r="D505" s="4" t="s">
        <v>1165</v>
      </c>
    </row>
    <row r="506" spans="1:4" s="8" customFormat="1">
      <c r="A506" s="3" t="s">
        <v>2</v>
      </c>
      <c r="B506" s="3">
        <v>7070201000</v>
      </c>
      <c r="C506" s="3" t="s">
        <v>434</v>
      </c>
      <c r="D506" s="4" t="s">
        <v>1166</v>
      </c>
    </row>
    <row r="507" spans="1:4" s="8" customFormat="1">
      <c r="A507" s="3" t="s">
        <v>4</v>
      </c>
      <c r="B507" s="3">
        <v>7202001040</v>
      </c>
      <c r="C507" s="3" t="s">
        <v>435</v>
      </c>
      <c r="D507" s="4" t="s">
        <v>1167</v>
      </c>
    </row>
    <row r="508" spans="1:4" s="8" customFormat="1">
      <c r="A508" s="3" t="s">
        <v>4</v>
      </c>
      <c r="B508" s="3">
        <v>7053001000</v>
      </c>
      <c r="C508" s="3" t="s">
        <v>436</v>
      </c>
      <c r="D508" s="4" t="s">
        <v>1168</v>
      </c>
    </row>
    <row r="509" spans="1:4" s="8" customFormat="1">
      <c r="A509" s="3" t="s">
        <v>4</v>
      </c>
      <c r="B509" s="3">
        <v>5930000000</v>
      </c>
      <c r="C509" s="3" t="s">
        <v>437</v>
      </c>
      <c r="D509" s="4" t="s">
        <v>1169</v>
      </c>
    </row>
    <row r="510" spans="1:4" s="8" customFormat="1">
      <c r="A510" s="3" t="s">
        <v>4</v>
      </c>
      <c r="B510" s="3">
        <v>5930000001</v>
      </c>
      <c r="C510" s="3" t="s">
        <v>438</v>
      </c>
      <c r="D510" s="3" t="e">
        <v>#N/A</v>
      </c>
    </row>
    <row r="511" spans="1:4" s="8" customFormat="1">
      <c r="A511" s="3" t="s">
        <v>4</v>
      </c>
      <c r="B511" s="3">
        <v>5930000002</v>
      </c>
      <c r="C511" s="3" t="s">
        <v>439</v>
      </c>
      <c r="D511" s="3" t="e">
        <v>#N/A</v>
      </c>
    </row>
    <row r="512" spans="1:4" s="8" customFormat="1">
      <c r="A512" s="3" t="s">
        <v>4</v>
      </c>
      <c r="B512" s="3">
        <v>5045000000</v>
      </c>
      <c r="C512" s="3" t="s">
        <v>440</v>
      </c>
      <c r="D512" s="4" t="s">
        <v>1170</v>
      </c>
    </row>
    <row r="513" spans="1:4" s="8" customFormat="1">
      <c r="A513" s="3" t="s">
        <v>4</v>
      </c>
      <c r="B513" s="3">
        <v>5044000000</v>
      </c>
      <c r="C513" s="3" t="s">
        <v>441</v>
      </c>
      <c r="D513" s="4" t="s">
        <v>1171</v>
      </c>
    </row>
    <row r="514" spans="1:4" s="8" customFormat="1">
      <c r="A514" s="3" t="s">
        <v>4</v>
      </c>
      <c r="B514" s="3">
        <v>5042000000</v>
      </c>
      <c r="C514" s="3" t="s">
        <v>442</v>
      </c>
      <c r="D514" s="4" t="s">
        <v>1172</v>
      </c>
    </row>
    <row r="515" spans="1:4" s="8" customFormat="1">
      <c r="A515" s="3" t="s">
        <v>4</v>
      </c>
      <c r="B515" s="3">
        <v>5042000030</v>
      </c>
      <c r="C515" s="3" t="s">
        <v>443</v>
      </c>
      <c r="D515" s="4" t="s">
        <v>1173</v>
      </c>
    </row>
    <row r="516" spans="1:4" s="8" customFormat="1">
      <c r="A516" s="3" t="s">
        <v>3</v>
      </c>
      <c r="B516" s="3">
        <v>5920000000</v>
      </c>
      <c r="C516" s="3" t="s">
        <v>444</v>
      </c>
      <c r="D516" s="4" t="s">
        <v>1174</v>
      </c>
    </row>
    <row r="517" spans="1:4" s="8" customFormat="1">
      <c r="A517" s="3" t="s">
        <v>3</v>
      </c>
      <c r="B517" s="3">
        <v>5040000000</v>
      </c>
      <c r="C517" s="3" t="s">
        <v>444</v>
      </c>
      <c r="D517" s="4" t="s">
        <v>1175</v>
      </c>
    </row>
    <row r="518" spans="1:4" s="8" customFormat="1">
      <c r="A518" s="3" t="s">
        <v>4</v>
      </c>
      <c r="B518" s="3">
        <v>5048000000</v>
      </c>
      <c r="C518" s="3" t="s">
        <v>445</v>
      </c>
      <c r="D518" s="4" t="s">
        <v>1176</v>
      </c>
    </row>
    <row r="519" spans="1:4" s="8" customFormat="1">
      <c r="A519" s="3" t="s">
        <v>4</v>
      </c>
      <c r="B519" s="3">
        <v>5048100000</v>
      </c>
      <c r="C519" s="3" t="s">
        <v>446</v>
      </c>
      <c r="D519" s="4" t="s">
        <v>1177</v>
      </c>
    </row>
    <row r="520" spans="1:4" s="8" customFormat="1">
      <c r="A520" s="3" t="s">
        <v>4</v>
      </c>
      <c r="B520" s="3">
        <v>5048200000</v>
      </c>
      <c r="C520" s="3" t="s">
        <v>447</v>
      </c>
      <c r="D520" s="4" t="s">
        <v>1178</v>
      </c>
    </row>
    <row r="521" spans="1:4" s="8" customFormat="1">
      <c r="A521" s="3" t="s">
        <v>4</v>
      </c>
      <c r="B521" s="3">
        <v>5920000040</v>
      </c>
      <c r="C521" s="3" t="s">
        <v>448</v>
      </c>
      <c r="D521" s="3" t="e">
        <v>#N/A</v>
      </c>
    </row>
    <row r="522" spans="1:4" s="8" customFormat="1">
      <c r="A522" s="3" t="s">
        <v>3</v>
      </c>
      <c r="B522" s="3">
        <v>5910000000</v>
      </c>
      <c r="C522" s="3" t="s">
        <v>449</v>
      </c>
      <c r="D522" s="4" t="s">
        <v>1179</v>
      </c>
    </row>
    <row r="523" spans="1:4" s="8" customFormat="1">
      <c r="A523" s="3" t="s">
        <v>3</v>
      </c>
      <c r="B523" s="3">
        <v>7202000000</v>
      </c>
      <c r="C523" s="3" t="s">
        <v>450</v>
      </c>
      <c r="D523" s="4" t="s">
        <v>1180</v>
      </c>
    </row>
    <row r="524" spans="1:4" s="8" customFormat="1">
      <c r="A524" s="3" t="s">
        <v>8</v>
      </c>
      <c r="B524" s="3">
        <v>8700004010</v>
      </c>
      <c r="C524" s="3" t="s">
        <v>451</v>
      </c>
      <c r="D524" s="4" t="s">
        <v>1181</v>
      </c>
    </row>
    <row r="525" spans="1:4" s="8" customFormat="1">
      <c r="A525" s="3" t="s">
        <v>3</v>
      </c>
      <c r="B525" s="3" t="s">
        <v>9</v>
      </c>
      <c r="C525" s="3" t="s">
        <v>440</v>
      </c>
      <c r="D525" s="3" t="e">
        <v>#N/A</v>
      </c>
    </row>
    <row r="526" spans="1:4" s="8" customFormat="1">
      <c r="A526" s="3" t="s">
        <v>4</v>
      </c>
      <c r="B526" s="3">
        <v>7596000000</v>
      </c>
      <c r="C526" s="3" t="s">
        <v>452</v>
      </c>
      <c r="D526" s="4" t="s">
        <v>1182</v>
      </c>
    </row>
    <row r="527" spans="1:4" s="8" customFormat="1">
      <c r="A527" s="3" t="s">
        <v>8</v>
      </c>
      <c r="B527" s="3">
        <v>8470901010</v>
      </c>
      <c r="C527" s="3" t="s">
        <v>453</v>
      </c>
      <c r="D527" s="4" t="s">
        <v>1183</v>
      </c>
    </row>
    <row r="528" spans="1:4" s="8" customFormat="1">
      <c r="A528" s="3" t="s">
        <v>4</v>
      </c>
      <c r="B528" s="3">
        <v>6010000051</v>
      </c>
      <c r="C528" s="3" t="s">
        <v>454</v>
      </c>
      <c r="D528" s="3" t="e">
        <v>#N/A</v>
      </c>
    </row>
    <row r="529" spans="1:4" s="8" customFormat="1">
      <c r="A529" s="3" t="s">
        <v>4</v>
      </c>
      <c r="B529" s="3">
        <v>6050100050</v>
      </c>
      <c r="C529" s="3" t="s">
        <v>455</v>
      </c>
      <c r="D529" s="3" t="e">
        <v>#N/A</v>
      </c>
    </row>
    <row r="530" spans="1:4" s="8" customFormat="1">
      <c r="A530" s="3" t="s">
        <v>4</v>
      </c>
      <c r="B530" s="3">
        <v>6010000040</v>
      </c>
      <c r="C530" s="3" t="s">
        <v>456</v>
      </c>
      <c r="D530" s="4" t="s">
        <v>1184</v>
      </c>
    </row>
    <row r="531" spans="1:4" s="8" customFormat="1">
      <c r="A531" s="3" t="s">
        <v>4</v>
      </c>
      <c r="B531" s="3">
        <v>6050000040</v>
      </c>
      <c r="C531" s="3" t="s">
        <v>457</v>
      </c>
      <c r="D531" s="4" t="s">
        <v>1185</v>
      </c>
    </row>
    <row r="532" spans="1:4" s="8" customFormat="1">
      <c r="A532" s="3" t="s">
        <v>4</v>
      </c>
      <c r="B532" s="3">
        <v>6050100051</v>
      </c>
      <c r="C532" s="3" t="s">
        <v>458</v>
      </c>
      <c r="D532" s="3" t="e">
        <v>#N/A</v>
      </c>
    </row>
    <row r="533" spans="1:4" s="8" customFormat="1">
      <c r="A533" s="3" t="s">
        <v>4</v>
      </c>
      <c r="B533" s="3">
        <v>6050200031</v>
      </c>
      <c r="C533" s="3" t="s">
        <v>459</v>
      </c>
      <c r="D533" s="3" t="e">
        <v>#N/A</v>
      </c>
    </row>
    <row r="534" spans="1:4" s="8" customFormat="1">
      <c r="A534" s="3" t="s">
        <v>4</v>
      </c>
      <c r="B534" s="3">
        <v>6050000010</v>
      </c>
      <c r="C534" s="3" t="s">
        <v>460</v>
      </c>
      <c r="D534" s="4" t="s">
        <v>1186</v>
      </c>
    </row>
    <row r="535" spans="1:4" s="8" customFormat="1">
      <c r="A535" s="3" t="s">
        <v>4</v>
      </c>
      <c r="B535" s="3">
        <v>6600100730</v>
      </c>
      <c r="C535" s="3" t="s">
        <v>461</v>
      </c>
      <c r="D535" s="3" t="e">
        <v>#N/A</v>
      </c>
    </row>
    <row r="536" spans="1:4" s="8" customFormat="1">
      <c r="A536" s="3" t="s">
        <v>4</v>
      </c>
      <c r="B536" s="3">
        <v>6010000050</v>
      </c>
      <c r="C536" s="3" t="s">
        <v>462</v>
      </c>
      <c r="D536" s="3" t="e">
        <v>#N/A</v>
      </c>
    </row>
    <row r="537" spans="1:4" s="8" customFormat="1">
      <c r="A537" s="3" t="s">
        <v>3</v>
      </c>
      <c r="B537" s="3">
        <v>6050100010</v>
      </c>
      <c r="C537" s="3" t="s">
        <v>463</v>
      </c>
      <c r="D537" s="4" t="s">
        <v>1187</v>
      </c>
    </row>
    <row r="538" spans="1:4" s="8" customFormat="1">
      <c r="A538" s="3" t="s">
        <v>3</v>
      </c>
      <c r="B538" s="3">
        <v>6050100000</v>
      </c>
      <c r="C538" s="3" t="s">
        <v>464</v>
      </c>
      <c r="D538" s="4" t="s">
        <v>1188</v>
      </c>
    </row>
    <row r="539" spans="1:4" s="8" customFormat="1">
      <c r="A539" s="3" t="s">
        <v>3</v>
      </c>
      <c r="B539" s="3">
        <v>6050100040</v>
      </c>
      <c r="C539" s="3" t="s">
        <v>465</v>
      </c>
      <c r="D539" s="3" t="e">
        <v>#N/A</v>
      </c>
    </row>
    <row r="540" spans="1:4" s="8" customFormat="1">
      <c r="A540" s="3" t="s">
        <v>3</v>
      </c>
      <c r="B540" s="3">
        <v>6010000000</v>
      </c>
      <c r="C540" s="3" t="s">
        <v>466</v>
      </c>
      <c r="D540" s="4" t="s">
        <v>1189</v>
      </c>
    </row>
    <row r="541" spans="1:4" s="8" customFormat="1">
      <c r="A541" s="3" t="s">
        <v>3</v>
      </c>
      <c r="B541" s="3">
        <v>6050000000</v>
      </c>
      <c r="C541" s="3" t="s">
        <v>467</v>
      </c>
      <c r="D541" s="4" t="s">
        <v>1190</v>
      </c>
    </row>
    <row r="542" spans="1:4" s="8" customFormat="1">
      <c r="A542" s="3" t="s">
        <v>3</v>
      </c>
      <c r="B542" s="3">
        <v>6050000020</v>
      </c>
      <c r="C542" s="3" t="s">
        <v>468</v>
      </c>
      <c r="D542" s="4" t="s">
        <v>1191</v>
      </c>
    </row>
    <row r="543" spans="1:4" s="8" customFormat="1">
      <c r="A543" s="3" t="s">
        <v>3</v>
      </c>
      <c r="B543" s="3">
        <v>6050300000</v>
      </c>
      <c r="C543" s="3" t="s">
        <v>469</v>
      </c>
      <c r="D543" s="4" t="s">
        <v>1192</v>
      </c>
    </row>
    <row r="544" spans="1:4" s="8" customFormat="1">
      <c r="A544" s="3" t="s">
        <v>3</v>
      </c>
      <c r="B544" s="3">
        <v>6010000005</v>
      </c>
      <c r="C544" s="3" t="s">
        <v>470</v>
      </c>
      <c r="D544" s="4" t="s">
        <v>1193</v>
      </c>
    </row>
    <row r="545" spans="1:4" s="8" customFormat="1">
      <c r="A545" s="3" t="s">
        <v>3</v>
      </c>
      <c r="B545" s="3">
        <v>6010000011</v>
      </c>
      <c r="C545" s="3" t="s">
        <v>471</v>
      </c>
      <c r="D545" s="4" t="s">
        <v>1194</v>
      </c>
    </row>
    <row r="546" spans="1:4" s="8" customFormat="1">
      <c r="A546" s="3" t="s">
        <v>3</v>
      </c>
      <c r="B546" s="3">
        <v>6012000000</v>
      </c>
      <c r="C546" s="3" t="s">
        <v>472</v>
      </c>
      <c r="D546" s="4" t="s">
        <v>1195</v>
      </c>
    </row>
    <row r="547" spans="1:4" s="8" customFormat="1">
      <c r="A547" s="3" t="s">
        <v>3</v>
      </c>
      <c r="B547" s="3">
        <v>6012000100</v>
      </c>
      <c r="C547" s="3" t="s">
        <v>473</v>
      </c>
      <c r="D547" s="4" t="s">
        <v>1196</v>
      </c>
    </row>
    <row r="548" spans="1:4" s="8" customFormat="1">
      <c r="A548" s="3" t="s">
        <v>3</v>
      </c>
      <c r="B548" s="3">
        <v>6000000030</v>
      </c>
      <c r="C548" s="3" t="s">
        <v>474</v>
      </c>
      <c r="D548" s="3" t="e">
        <v>#N/A</v>
      </c>
    </row>
    <row r="549" spans="1:4" s="8" customFormat="1">
      <c r="A549" s="3" t="s">
        <v>3</v>
      </c>
      <c r="B549" s="3">
        <v>6070200000</v>
      </c>
      <c r="C549" s="3" t="s">
        <v>475</v>
      </c>
      <c r="D549" s="4" t="s">
        <v>1197</v>
      </c>
    </row>
    <row r="550" spans="1:4" s="8" customFormat="1">
      <c r="A550" s="3" t="s">
        <v>5</v>
      </c>
      <c r="B550" s="3">
        <v>6020000000</v>
      </c>
      <c r="C550" s="3" t="s">
        <v>476</v>
      </c>
      <c r="D550" s="4" t="s">
        <v>1198</v>
      </c>
    </row>
    <row r="551" spans="1:4" s="8" customFormat="1">
      <c r="A551" s="3" t="s">
        <v>5</v>
      </c>
      <c r="B551" s="3">
        <v>6030000000</v>
      </c>
      <c r="C551" s="3" t="s">
        <v>477</v>
      </c>
      <c r="D551" s="4" t="s">
        <v>1199</v>
      </c>
    </row>
    <row r="552" spans="1:4" s="8" customFormat="1">
      <c r="A552" s="3" t="s">
        <v>5</v>
      </c>
      <c r="B552" s="3">
        <v>6020000500</v>
      </c>
      <c r="C552" s="3" t="s">
        <v>478</v>
      </c>
      <c r="D552" s="3" t="e">
        <v>#N/A</v>
      </c>
    </row>
    <row r="553" spans="1:4" s="8" customFormat="1">
      <c r="A553" s="3" t="s">
        <v>5</v>
      </c>
      <c r="B553" s="3">
        <v>6020000001</v>
      </c>
      <c r="C553" s="3" t="s">
        <v>479</v>
      </c>
      <c r="D553" s="3" t="e">
        <v>#N/A</v>
      </c>
    </row>
    <row r="554" spans="1:4" s="8" customFormat="1">
      <c r="A554" s="3" t="s">
        <v>5</v>
      </c>
      <c r="B554" s="3">
        <v>6030000010</v>
      </c>
      <c r="C554" s="3" t="s">
        <v>480</v>
      </c>
      <c r="D554" s="3" t="e">
        <v>#N/A</v>
      </c>
    </row>
    <row r="555" spans="1:4" s="8" customFormat="1">
      <c r="A555" s="3" t="s">
        <v>5</v>
      </c>
      <c r="B555" s="3">
        <v>6100000002</v>
      </c>
      <c r="C555" s="3" t="s">
        <v>481</v>
      </c>
      <c r="D555" s="3" t="e">
        <v>#N/A</v>
      </c>
    </row>
    <row r="556" spans="1:4" s="8" customFormat="1">
      <c r="A556" s="3" t="s">
        <v>5</v>
      </c>
      <c r="B556" s="3">
        <v>6100000020</v>
      </c>
      <c r="C556" s="3" t="s">
        <v>482</v>
      </c>
      <c r="D556" s="4" t="s">
        <v>1200</v>
      </c>
    </row>
    <row r="557" spans="1:4" s="8" customFormat="1">
      <c r="A557" s="3" t="s">
        <v>5</v>
      </c>
      <c r="B557" s="3">
        <v>6100000080</v>
      </c>
      <c r="C557" s="3" t="s">
        <v>483</v>
      </c>
      <c r="D557" s="3" t="e">
        <v>#N/A</v>
      </c>
    </row>
    <row r="558" spans="1:4" s="8" customFormat="1">
      <c r="A558" s="3" t="s">
        <v>5</v>
      </c>
      <c r="B558" s="3">
        <v>6200000000</v>
      </c>
      <c r="C558" s="3" t="s">
        <v>484</v>
      </c>
      <c r="D558" s="4" t="s">
        <v>1201</v>
      </c>
    </row>
    <row r="559" spans="1:4" s="8" customFormat="1">
      <c r="A559" s="3" t="s">
        <v>5</v>
      </c>
      <c r="B559" s="3">
        <v>6100000090</v>
      </c>
      <c r="C559" s="3" t="s">
        <v>485</v>
      </c>
      <c r="D559" s="3" t="e">
        <v>#N/A</v>
      </c>
    </row>
    <row r="560" spans="1:4" s="8" customFormat="1">
      <c r="A560" s="3" t="s">
        <v>5</v>
      </c>
      <c r="B560" s="3">
        <v>6200100000</v>
      </c>
      <c r="C560" s="3" t="s">
        <v>486</v>
      </c>
      <c r="D560" s="4" t="s">
        <v>1202</v>
      </c>
    </row>
    <row r="561" spans="1:4" s="8" customFormat="1">
      <c r="A561" s="3" t="s">
        <v>5</v>
      </c>
      <c r="B561" s="3">
        <v>6180000000</v>
      </c>
      <c r="C561" s="3" t="s">
        <v>487</v>
      </c>
      <c r="D561" s="4" t="s">
        <v>1203</v>
      </c>
    </row>
    <row r="562" spans="1:4" s="8" customFormat="1">
      <c r="A562" s="3" t="s">
        <v>5</v>
      </c>
      <c r="B562" s="3">
        <v>6180000010</v>
      </c>
      <c r="C562" s="3" t="s">
        <v>488</v>
      </c>
      <c r="D562" s="3" t="e">
        <v>#N/A</v>
      </c>
    </row>
    <row r="563" spans="1:4" s="8" customFormat="1">
      <c r="A563" s="3" t="s">
        <v>5</v>
      </c>
      <c r="B563" s="3">
        <v>6100000003</v>
      </c>
      <c r="C563" s="3" t="s">
        <v>489</v>
      </c>
      <c r="D563" s="3" t="e">
        <v>#N/A</v>
      </c>
    </row>
    <row r="564" spans="1:4" s="8" customFormat="1">
      <c r="A564" s="3" t="s">
        <v>5</v>
      </c>
      <c r="B564" s="3">
        <v>6104000000</v>
      </c>
      <c r="C564" s="3" t="s">
        <v>490</v>
      </c>
      <c r="D564" s="4" t="s">
        <v>1204</v>
      </c>
    </row>
    <row r="565" spans="1:4" s="8" customFormat="1">
      <c r="A565" s="3" t="s">
        <v>5</v>
      </c>
      <c r="B565" s="3">
        <v>6104001000</v>
      </c>
      <c r="C565" s="3" t="s">
        <v>491</v>
      </c>
      <c r="D565" s="4" t="s">
        <v>1205</v>
      </c>
    </row>
    <row r="566" spans="1:4" s="8" customFormat="1">
      <c r="A566" s="3" t="s">
        <v>5</v>
      </c>
      <c r="B566" s="6">
        <v>6100000140</v>
      </c>
      <c r="C566" s="3" t="s">
        <v>492</v>
      </c>
      <c r="D566" s="3" t="e">
        <v>#N/A</v>
      </c>
    </row>
    <row r="567" spans="1:4" s="8" customFormat="1">
      <c r="A567" s="3" t="s">
        <v>5</v>
      </c>
      <c r="B567" s="3">
        <v>6022000000</v>
      </c>
      <c r="C567" s="3" t="s">
        <v>493</v>
      </c>
      <c r="D567" s="4" t="s">
        <v>1206</v>
      </c>
    </row>
    <row r="568" spans="1:4" s="8" customFormat="1">
      <c r="A568" s="3" t="s">
        <v>5</v>
      </c>
      <c r="B568" s="3">
        <v>6032000000</v>
      </c>
      <c r="C568" s="3" t="s">
        <v>494</v>
      </c>
      <c r="D568" s="4" t="s">
        <v>1207</v>
      </c>
    </row>
    <row r="569" spans="1:4" s="8" customFormat="1">
      <c r="A569" s="3" t="s">
        <v>5</v>
      </c>
      <c r="B569" s="3">
        <v>6022000001</v>
      </c>
      <c r="C569" s="3" t="s">
        <v>495</v>
      </c>
      <c r="D569" s="3" t="e">
        <v>#N/A</v>
      </c>
    </row>
    <row r="570" spans="1:4" s="8" customFormat="1">
      <c r="A570" s="3" t="s">
        <v>5</v>
      </c>
      <c r="B570" s="6">
        <v>6102000140</v>
      </c>
      <c r="C570" s="3" t="s">
        <v>496</v>
      </c>
      <c r="D570" s="3" t="e">
        <v>#N/A</v>
      </c>
    </row>
    <row r="571" spans="1:4" s="8" customFormat="1">
      <c r="A571" s="3" t="s">
        <v>5</v>
      </c>
      <c r="B571" s="3">
        <v>6102000001</v>
      </c>
      <c r="C571" s="3" t="s">
        <v>497</v>
      </c>
      <c r="D571" s="3" t="e">
        <v>#N/A</v>
      </c>
    </row>
    <row r="572" spans="1:4" s="8" customFormat="1">
      <c r="A572" s="3" t="s">
        <v>3</v>
      </c>
      <c r="B572" s="3">
        <v>6050200005</v>
      </c>
      <c r="C572" s="3" t="s">
        <v>498</v>
      </c>
      <c r="D572" s="3" t="e">
        <v>#N/A</v>
      </c>
    </row>
    <row r="573" spans="1:4" s="8" customFormat="1">
      <c r="A573" s="3" t="s">
        <v>3</v>
      </c>
      <c r="B573" s="3">
        <v>6050200003</v>
      </c>
      <c r="C573" s="3" t="s">
        <v>499</v>
      </c>
      <c r="D573" s="4" t="s">
        <v>1208</v>
      </c>
    </row>
    <row r="574" spans="1:4" s="8" customFormat="1">
      <c r="A574" s="3" t="s">
        <v>3</v>
      </c>
      <c r="B574" s="3">
        <v>6050200000</v>
      </c>
      <c r="C574" s="3" t="s">
        <v>500</v>
      </c>
      <c r="D574" s="4" t="s">
        <v>1209</v>
      </c>
    </row>
    <row r="575" spans="1:4" s="8" customFormat="1">
      <c r="A575" s="3" t="s">
        <v>3</v>
      </c>
      <c r="B575" s="3">
        <v>6100000130</v>
      </c>
      <c r="C575" s="3" t="s">
        <v>501</v>
      </c>
      <c r="D575" s="3" t="e">
        <v>#N/A</v>
      </c>
    </row>
    <row r="576" spans="1:4" s="8" customFormat="1">
      <c r="A576" s="3" t="s">
        <v>3</v>
      </c>
      <c r="B576" s="3">
        <v>6060010020</v>
      </c>
      <c r="C576" s="3" t="s">
        <v>502</v>
      </c>
      <c r="D576" s="4" t="s">
        <v>1210</v>
      </c>
    </row>
    <row r="577" spans="1:4" s="8" customFormat="1">
      <c r="A577" s="3" t="s">
        <v>3</v>
      </c>
      <c r="B577" s="3">
        <v>6070100000</v>
      </c>
      <c r="C577" s="3" t="s">
        <v>503</v>
      </c>
      <c r="D577" s="4" t="s">
        <v>1211</v>
      </c>
    </row>
    <row r="578" spans="1:4" s="8" customFormat="1">
      <c r="A578" s="3" t="s">
        <v>3</v>
      </c>
      <c r="B578" s="3">
        <v>6120000010</v>
      </c>
      <c r="C578" s="3" t="s">
        <v>504</v>
      </c>
      <c r="D578" s="3" t="e">
        <v>#N/A</v>
      </c>
    </row>
    <row r="579" spans="1:4" s="8" customFormat="1">
      <c r="A579" s="3" t="s">
        <v>3</v>
      </c>
      <c r="B579" s="3">
        <v>6120001500</v>
      </c>
      <c r="C579" s="3" t="s">
        <v>505</v>
      </c>
      <c r="D579" s="4" t="s">
        <v>1212</v>
      </c>
    </row>
    <row r="580" spans="1:4" s="8" customFormat="1">
      <c r="A580" s="3" t="s">
        <v>3</v>
      </c>
      <c r="B580" s="3">
        <v>6122100000</v>
      </c>
      <c r="C580" s="3" t="s">
        <v>506</v>
      </c>
      <c r="D580" s="4" t="s">
        <v>1213</v>
      </c>
    </row>
    <row r="581" spans="1:4" s="8" customFormat="1">
      <c r="A581" s="3" t="s">
        <v>7</v>
      </c>
      <c r="B581" s="3">
        <v>6970000207</v>
      </c>
      <c r="C581" s="3" t="s">
        <v>507</v>
      </c>
      <c r="D581" s="3" t="e">
        <v>#N/A</v>
      </c>
    </row>
    <row r="582" spans="1:4" s="8" customFormat="1">
      <c r="A582" s="3" t="s">
        <v>7</v>
      </c>
      <c r="B582" s="3">
        <v>6970000208</v>
      </c>
      <c r="C582" s="3" t="s">
        <v>508</v>
      </c>
      <c r="D582" s="3" t="e">
        <v>#N/A</v>
      </c>
    </row>
    <row r="583" spans="1:4" s="8" customFormat="1">
      <c r="A583" s="3" t="s">
        <v>7</v>
      </c>
      <c r="B583" s="3">
        <v>6970000209</v>
      </c>
      <c r="C583" s="3" t="s">
        <v>509</v>
      </c>
      <c r="D583" s="3" t="e">
        <v>#N/A</v>
      </c>
    </row>
    <row r="584" spans="1:4" s="8" customFormat="1">
      <c r="A584" s="3" t="s">
        <v>7</v>
      </c>
      <c r="B584" s="3">
        <v>7490000021</v>
      </c>
      <c r="C584" s="3" t="s">
        <v>510</v>
      </c>
      <c r="D584" s="3" t="e">
        <v>#N/A</v>
      </c>
    </row>
    <row r="585" spans="1:4" s="8" customFormat="1">
      <c r="A585" s="3" t="s">
        <v>7</v>
      </c>
      <c r="B585" s="3">
        <v>7010010020</v>
      </c>
      <c r="C585" s="3" t="s">
        <v>511</v>
      </c>
      <c r="D585" s="3" t="e">
        <v>#N/A</v>
      </c>
    </row>
    <row r="586" spans="1:4" s="8" customFormat="1">
      <c r="A586" s="3" t="s">
        <v>7</v>
      </c>
      <c r="B586" s="3">
        <v>7000011021</v>
      </c>
      <c r="C586" s="3" t="s">
        <v>512</v>
      </c>
      <c r="D586" s="3" t="e">
        <v>#N/A</v>
      </c>
    </row>
    <row r="587" spans="1:4" s="8" customFormat="1">
      <c r="A587" s="3" t="s">
        <v>7</v>
      </c>
      <c r="B587" s="3">
        <v>7030001501</v>
      </c>
      <c r="C587" s="3" t="s">
        <v>513</v>
      </c>
      <c r="D587" s="3" t="e">
        <v>#N/A</v>
      </c>
    </row>
    <row r="588" spans="1:4" s="8" customFormat="1">
      <c r="A588" s="3" t="s">
        <v>7</v>
      </c>
      <c r="B588" s="3">
        <v>6970000210</v>
      </c>
      <c r="C588" s="3" t="s">
        <v>514</v>
      </c>
      <c r="D588" s="3" t="e">
        <v>#N/A</v>
      </c>
    </row>
    <row r="589" spans="1:4" s="8" customFormat="1">
      <c r="A589" s="3" t="s">
        <v>7</v>
      </c>
      <c r="B589" s="3">
        <v>6970000211</v>
      </c>
      <c r="C589" s="3" t="s">
        <v>515</v>
      </c>
      <c r="D589" s="3" t="e">
        <v>#N/A</v>
      </c>
    </row>
    <row r="590" spans="1:4" s="8" customFormat="1">
      <c r="A590" s="3" t="s">
        <v>7</v>
      </c>
      <c r="B590" s="3">
        <v>7490000022</v>
      </c>
      <c r="C590" s="3" t="s">
        <v>516</v>
      </c>
      <c r="D590" s="3" t="e">
        <v>#N/A</v>
      </c>
    </row>
    <row r="591" spans="1:4" s="8" customFormat="1">
      <c r="A591" s="3" t="s">
        <v>7</v>
      </c>
      <c r="B591" s="3">
        <v>7010010021</v>
      </c>
      <c r="C591" s="3" t="s">
        <v>517</v>
      </c>
      <c r="D591" s="3" t="e">
        <v>#N/A</v>
      </c>
    </row>
    <row r="592" spans="1:4" s="8" customFormat="1">
      <c r="A592" s="3" t="s">
        <v>7</v>
      </c>
      <c r="B592" s="3">
        <v>7000011022</v>
      </c>
      <c r="C592" s="3" t="s">
        <v>518</v>
      </c>
      <c r="D592" s="3" t="e">
        <v>#N/A</v>
      </c>
    </row>
    <row r="593" spans="1:4" s="8" customFormat="1">
      <c r="A593" s="3" t="s">
        <v>7</v>
      </c>
      <c r="B593" s="3">
        <v>7030001502</v>
      </c>
      <c r="C593" s="3" t="s">
        <v>519</v>
      </c>
      <c r="D593" s="3" t="e">
        <v>#N/A</v>
      </c>
    </row>
    <row r="594" spans="1:4" s="8" customFormat="1">
      <c r="A594" s="3" t="s">
        <v>7</v>
      </c>
      <c r="B594" s="3">
        <v>6970000212</v>
      </c>
      <c r="C594" s="3" t="s">
        <v>520</v>
      </c>
      <c r="D594" s="3" t="e">
        <v>#N/A</v>
      </c>
    </row>
    <row r="595" spans="1:4" s="8" customFormat="1">
      <c r="A595" s="3" t="s">
        <v>7</v>
      </c>
      <c r="B595" s="3">
        <v>7490000023</v>
      </c>
      <c r="C595" s="3" t="s">
        <v>521</v>
      </c>
      <c r="D595" s="3" t="e">
        <v>#N/A</v>
      </c>
    </row>
    <row r="596" spans="1:4" s="8" customFormat="1">
      <c r="A596" s="3" t="s">
        <v>7</v>
      </c>
      <c r="B596" s="3">
        <v>6970000040</v>
      </c>
      <c r="C596" s="3" t="s">
        <v>522</v>
      </c>
      <c r="D596" s="4" t="s">
        <v>1214</v>
      </c>
    </row>
    <row r="597" spans="1:4" s="8" customFormat="1">
      <c r="A597" s="3" t="s">
        <v>7</v>
      </c>
      <c r="B597" s="3">
        <v>6970100040</v>
      </c>
      <c r="C597" s="3" t="s">
        <v>523</v>
      </c>
      <c r="D597" s="4" t="s">
        <v>1215</v>
      </c>
    </row>
    <row r="598" spans="1:4" s="8" customFormat="1">
      <c r="A598" s="3" t="s">
        <v>7</v>
      </c>
      <c r="B598" s="3">
        <v>6970200040</v>
      </c>
      <c r="C598" s="3" t="s">
        <v>524</v>
      </c>
      <c r="D598" s="4" t="s">
        <v>1216</v>
      </c>
    </row>
    <row r="599" spans="1:4" s="8" customFormat="1">
      <c r="A599" s="3" t="s">
        <v>7</v>
      </c>
      <c r="B599" s="3">
        <v>8460101050</v>
      </c>
      <c r="C599" s="3" t="s">
        <v>525</v>
      </c>
      <c r="D599" s="3" t="e">
        <v>#N/A</v>
      </c>
    </row>
    <row r="600" spans="1:4" s="8" customFormat="1">
      <c r="A600" s="3" t="s">
        <v>10</v>
      </c>
      <c r="B600" s="3">
        <v>6955020010</v>
      </c>
      <c r="C600" s="3" t="s">
        <v>526</v>
      </c>
      <c r="D600" s="4" t="s">
        <v>1217</v>
      </c>
    </row>
    <row r="601" spans="1:4" s="8" customFormat="1">
      <c r="A601" s="3" t="s">
        <v>10</v>
      </c>
      <c r="B601" s="3">
        <v>6955030010</v>
      </c>
      <c r="C601" s="3" t="s">
        <v>527</v>
      </c>
      <c r="D601" s="4" t="s">
        <v>1218</v>
      </c>
    </row>
    <row r="602" spans="1:4" s="8" customFormat="1">
      <c r="A602" s="3" t="s">
        <v>10</v>
      </c>
      <c r="B602" s="3">
        <v>6600000070</v>
      </c>
      <c r="C602" s="3" t="s">
        <v>528</v>
      </c>
      <c r="D602" s="3" t="e">
        <v>#N/A</v>
      </c>
    </row>
    <row r="603" spans="1:4" s="8" customFormat="1">
      <c r="A603" s="3" t="s">
        <v>10</v>
      </c>
      <c r="B603" s="3">
        <v>6600100070</v>
      </c>
      <c r="C603" s="3" t="s">
        <v>529</v>
      </c>
      <c r="D603" s="3" t="e">
        <v>#N/A</v>
      </c>
    </row>
    <row r="604" spans="1:4" s="8" customFormat="1">
      <c r="A604" s="3" t="s">
        <v>10</v>
      </c>
      <c r="B604" s="3">
        <v>6600200070</v>
      </c>
      <c r="C604" s="3" t="s">
        <v>530</v>
      </c>
      <c r="D604" s="3" t="e">
        <v>#N/A</v>
      </c>
    </row>
    <row r="605" spans="1:4" s="8" customFormat="1">
      <c r="A605" s="3" t="s">
        <v>10</v>
      </c>
      <c r="B605" s="3">
        <v>6600000000</v>
      </c>
      <c r="C605" s="3" t="s">
        <v>531</v>
      </c>
      <c r="D605" s="4" t="s">
        <v>1219</v>
      </c>
    </row>
    <row r="606" spans="1:4" s="8" customFormat="1">
      <c r="A606" s="3" t="s">
        <v>3</v>
      </c>
      <c r="B606" s="3">
        <v>6610000000</v>
      </c>
      <c r="C606" s="3" t="s">
        <v>532</v>
      </c>
      <c r="D606" s="4" t="s">
        <v>1220</v>
      </c>
    </row>
    <row r="607" spans="1:4" s="8" customFormat="1">
      <c r="A607" s="3" t="s">
        <v>3</v>
      </c>
      <c r="B607" s="3">
        <v>6610000100</v>
      </c>
      <c r="C607" s="3" t="s">
        <v>533</v>
      </c>
      <c r="D607" s="4" t="s">
        <v>1221</v>
      </c>
    </row>
    <row r="608" spans="1:4" s="8" customFormat="1">
      <c r="A608" s="3" t="s">
        <v>10</v>
      </c>
      <c r="B608" s="3">
        <v>6600100000</v>
      </c>
      <c r="C608" s="3" t="s">
        <v>534</v>
      </c>
      <c r="D608" s="4" t="s">
        <v>1222</v>
      </c>
    </row>
    <row r="609" spans="1:4" s="8" customFormat="1">
      <c r="A609" s="3" t="s">
        <v>3</v>
      </c>
      <c r="B609" s="3">
        <v>6610100000</v>
      </c>
      <c r="C609" s="3" t="s">
        <v>535</v>
      </c>
      <c r="D609" s="4" t="s">
        <v>1223</v>
      </c>
    </row>
    <row r="610" spans="1:4" s="8" customFormat="1">
      <c r="A610" s="3" t="s">
        <v>3</v>
      </c>
      <c r="B610" s="3">
        <v>6610100100</v>
      </c>
      <c r="C610" s="3" t="s">
        <v>536</v>
      </c>
      <c r="D610" s="4" t="s">
        <v>1224</v>
      </c>
    </row>
    <row r="611" spans="1:4" s="8" customFormat="1">
      <c r="A611" s="3" t="s">
        <v>10</v>
      </c>
      <c r="B611" s="3">
        <v>6600200000</v>
      </c>
      <c r="C611" s="3" t="s">
        <v>537</v>
      </c>
      <c r="D611" s="4" t="s">
        <v>1225</v>
      </c>
    </row>
    <row r="612" spans="1:4" s="8" customFormat="1">
      <c r="A612" s="3" t="s">
        <v>10</v>
      </c>
      <c r="B612" s="3">
        <v>6901030160</v>
      </c>
      <c r="C612" s="3" t="s">
        <v>538</v>
      </c>
      <c r="D612" s="3" t="e">
        <v>#N/A</v>
      </c>
    </row>
    <row r="613" spans="1:4" s="8" customFormat="1">
      <c r="A613" s="3" t="s">
        <v>10</v>
      </c>
      <c r="B613" s="3">
        <v>6900000730</v>
      </c>
      <c r="C613" s="3" t="s">
        <v>539</v>
      </c>
      <c r="D613" s="3" t="e">
        <v>#N/A</v>
      </c>
    </row>
    <row r="614" spans="1:4" s="8" customFormat="1">
      <c r="A614" s="3" t="s">
        <v>10</v>
      </c>
      <c r="B614" s="3">
        <v>6900100360</v>
      </c>
      <c r="C614" s="3" t="s">
        <v>540</v>
      </c>
      <c r="D614" s="4" t="s">
        <v>1226</v>
      </c>
    </row>
    <row r="615" spans="1:4" s="8" customFormat="1">
      <c r="A615" s="3" t="s">
        <v>10</v>
      </c>
      <c r="B615" s="3">
        <v>6900000731</v>
      </c>
      <c r="C615" s="3" t="s">
        <v>541</v>
      </c>
      <c r="D615" s="3" t="e">
        <v>#N/A</v>
      </c>
    </row>
    <row r="616" spans="1:4" s="8" customFormat="1">
      <c r="A616" s="3" t="s">
        <v>10</v>
      </c>
      <c r="B616" s="3">
        <v>6900000732</v>
      </c>
      <c r="C616" s="3" t="s">
        <v>542</v>
      </c>
      <c r="D616" s="3" t="e">
        <v>#N/A</v>
      </c>
    </row>
    <row r="617" spans="1:4" s="8" customFormat="1">
      <c r="A617" s="3" t="s">
        <v>10</v>
      </c>
      <c r="B617" s="3">
        <v>6900100361</v>
      </c>
      <c r="C617" s="3" t="s">
        <v>543</v>
      </c>
      <c r="D617" s="3" t="e">
        <v>#N/A</v>
      </c>
    </row>
    <row r="618" spans="1:4" s="8" customFormat="1">
      <c r="A618" s="3" t="s">
        <v>10</v>
      </c>
      <c r="B618" s="3">
        <v>6901030161</v>
      </c>
      <c r="C618" s="3" t="s">
        <v>544</v>
      </c>
      <c r="D618" s="3" t="e">
        <v>#N/A</v>
      </c>
    </row>
    <row r="619" spans="1:4" s="8" customFormat="1">
      <c r="A619" s="3" t="s">
        <v>10</v>
      </c>
      <c r="B619" s="3">
        <v>6900000400</v>
      </c>
      <c r="C619" s="3" t="s">
        <v>545</v>
      </c>
      <c r="D619" s="4" t="s">
        <v>1227</v>
      </c>
    </row>
    <row r="620" spans="1:4" s="8" customFormat="1">
      <c r="A620" s="3" t="s">
        <v>10</v>
      </c>
      <c r="B620" s="3">
        <v>6900100120</v>
      </c>
      <c r="C620" s="3" t="s">
        <v>546</v>
      </c>
      <c r="D620" s="4" t="s">
        <v>1228</v>
      </c>
    </row>
    <row r="621" spans="1:4" s="8" customFormat="1">
      <c r="A621" s="3" t="s">
        <v>10</v>
      </c>
      <c r="B621" s="3">
        <v>6900000030</v>
      </c>
      <c r="C621" s="3" t="s">
        <v>547</v>
      </c>
      <c r="D621" s="4" t="s">
        <v>1229</v>
      </c>
    </row>
    <row r="622" spans="1:4" s="8" customFormat="1">
      <c r="A622" s="3" t="s">
        <v>10</v>
      </c>
      <c r="B622" s="3">
        <v>6900000733</v>
      </c>
      <c r="C622" s="3" t="s">
        <v>548</v>
      </c>
      <c r="D622" s="3" t="e">
        <v>#N/A</v>
      </c>
    </row>
    <row r="623" spans="1:4" s="8" customFormat="1">
      <c r="A623" s="3" t="s">
        <v>10</v>
      </c>
      <c r="B623" s="3">
        <v>6900000734</v>
      </c>
      <c r="C623" s="3" t="s">
        <v>549</v>
      </c>
      <c r="D623" s="3" t="e">
        <v>#N/A</v>
      </c>
    </row>
    <row r="624" spans="1:4" s="8" customFormat="1">
      <c r="A624" s="3" t="s">
        <v>10</v>
      </c>
      <c r="B624" s="3">
        <v>6900000735</v>
      </c>
      <c r="C624" s="3" t="s">
        <v>550</v>
      </c>
      <c r="D624" s="3" t="e">
        <v>#N/A</v>
      </c>
    </row>
    <row r="625" spans="1:4" s="8" customFormat="1">
      <c r="A625" s="3" t="s">
        <v>10</v>
      </c>
      <c r="B625" s="3">
        <v>6901020010</v>
      </c>
      <c r="C625" s="3" t="s">
        <v>551</v>
      </c>
      <c r="D625" s="3" t="e">
        <v>#N/A</v>
      </c>
    </row>
    <row r="626" spans="1:4" s="8" customFormat="1">
      <c r="A626" s="3" t="s">
        <v>10</v>
      </c>
      <c r="B626" s="3">
        <v>6901230001</v>
      </c>
      <c r="C626" s="3" t="s">
        <v>552</v>
      </c>
      <c r="D626" s="3" t="e">
        <v>#N/A</v>
      </c>
    </row>
    <row r="627" spans="1:4" s="8" customFormat="1">
      <c r="A627" s="3" t="s">
        <v>10</v>
      </c>
      <c r="B627" s="3">
        <v>6900200000</v>
      </c>
      <c r="C627" s="3" t="s">
        <v>553</v>
      </c>
      <c r="D627" s="3" t="e">
        <v>#N/A</v>
      </c>
    </row>
    <row r="628" spans="1:4" s="8" customFormat="1">
      <c r="A628" s="3" t="s">
        <v>10</v>
      </c>
      <c r="B628" s="3">
        <v>6900200001</v>
      </c>
      <c r="C628" s="3" t="s">
        <v>554</v>
      </c>
      <c r="D628" s="3" t="e">
        <v>#N/A</v>
      </c>
    </row>
    <row r="629" spans="1:4" s="8" customFormat="1">
      <c r="A629" s="3" t="s">
        <v>10</v>
      </c>
      <c r="B629" s="3">
        <v>6900200002</v>
      </c>
      <c r="C629" s="3" t="s">
        <v>555</v>
      </c>
      <c r="D629" s="3" t="e">
        <v>#N/A</v>
      </c>
    </row>
    <row r="630" spans="1:4" s="8" customFormat="1">
      <c r="A630" s="3" t="s">
        <v>10</v>
      </c>
      <c r="B630" s="3">
        <v>6901230002</v>
      </c>
      <c r="C630" s="3" t="s">
        <v>556</v>
      </c>
      <c r="D630" s="3" t="e">
        <v>#N/A</v>
      </c>
    </row>
    <row r="631" spans="1:4" s="8" customFormat="1">
      <c r="A631" s="3" t="s">
        <v>10</v>
      </c>
      <c r="B631" s="3">
        <v>6900200003</v>
      </c>
      <c r="C631" s="3" t="s">
        <v>557</v>
      </c>
      <c r="D631" s="3" t="e">
        <v>#N/A</v>
      </c>
    </row>
    <row r="632" spans="1:4" s="8" customFormat="1">
      <c r="A632" s="3" t="s">
        <v>10</v>
      </c>
      <c r="B632" s="3">
        <v>6900200004</v>
      </c>
      <c r="C632" s="3" t="s">
        <v>558</v>
      </c>
      <c r="D632" s="3" t="e">
        <v>#N/A</v>
      </c>
    </row>
    <row r="633" spans="1:4" s="8" customFormat="1">
      <c r="A633" s="3" t="s">
        <v>10</v>
      </c>
      <c r="B633" s="3">
        <v>6901020011</v>
      </c>
      <c r="C633" s="3" t="s">
        <v>559</v>
      </c>
      <c r="D633" s="3" t="e">
        <v>#N/A</v>
      </c>
    </row>
    <row r="634" spans="1:4" s="8" customFormat="1">
      <c r="A634" s="3" t="s">
        <v>10</v>
      </c>
      <c r="B634" s="3">
        <v>6901030162</v>
      </c>
      <c r="C634" s="3" t="s">
        <v>560</v>
      </c>
      <c r="D634" s="3" t="e">
        <v>#N/A</v>
      </c>
    </row>
    <row r="635" spans="1:4" s="8" customFormat="1">
      <c r="A635" s="3" t="s">
        <v>10</v>
      </c>
      <c r="B635" s="3">
        <v>6901230005</v>
      </c>
      <c r="C635" s="3" t="s">
        <v>561</v>
      </c>
      <c r="D635" s="3" t="e">
        <v>#N/A</v>
      </c>
    </row>
    <row r="636" spans="1:4" s="8" customFormat="1">
      <c r="A636" s="3" t="s">
        <v>10</v>
      </c>
      <c r="B636" s="3">
        <v>6901020012</v>
      </c>
      <c r="C636" s="3" t="s">
        <v>562</v>
      </c>
      <c r="D636" s="3" t="e">
        <v>#N/A</v>
      </c>
    </row>
    <row r="637" spans="1:4" s="8" customFormat="1">
      <c r="A637" s="3" t="s">
        <v>10</v>
      </c>
      <c r="B637" s="3">
        <v>6901020013</v>
      </c>
      <c r="C637" s="3" t="s">
        <v>563</v>
      </c>
      <c r="D637" s="3" t="e">
        <v>#N/A</v>
      </c>
    </row>
    <row r="638" spans="1:4" s="8" customFormat="1">
      <c r="A638" s="3" t="s">
        <v>10</v>
      </c>
      <c r="B638" s="3">
        <v>6901020018</v>
      </c>
      <c r="C638" s="3" t="s">
        <v>564</v>
      </c>
      <c r="D638" s="3" t="e">
        <v>#N/A</v>
      </c>
    </row>
    <row r="639" spans="1:4" s="8" customFormat="1">
      <c r="A639" s="3" t="s">
        <v>10</v>
      </c>
      <c r="B639" s="3">
        <v>6901020019</v>
      </c>
      <c r="C639" s="3" t="s">
        <v>565</v>
      </c>
      <c r="D639" s="3" t="e">
        <v>#N/A</v>
      </c>
    </row>
    <row r="640" spans="1:4" s="8" customFormat="1">
      <c r="A640" s="3" t="s">
        <v>10</v>
      </c>
      <c r="B640" s="3">
        <v>6910000000</v>
      </c>
      <c r="C640" s="3" t="s">
        <v>566</v>
      </c>
      <c r="D640" s="3" t="e">
        <v>#N/A</v>
      </c>
    </row>
    <row r="641" spans="1:4" s="8" customFormat="1">
      <c r="A641" s="3" t="s">
        <v>10</v>
      </c>
      <c r="B641" s="3">
        <v>6910000001</v>
      </c>
      <c r="C641" s="3" t="s">
        <v>567</v>
      </c>
      <c r="D641" s="3" t="e">
        <v>#N/A</v>
      </c>
    </row>
    <row r="642" spans="1:4" s="8" customFormat="1">
      <c r="A642" s="3" t="s">
        <v>10</v>
      </c>
      <c r="B642" s="3">
        <v>6910000002</v>
      </c>
      <c r="C642" s="3" t="s">
        <v>568</v>
      </c>
      <c r="D642" s="3" t="e">
        <v>#N/A</v>
      </c>
    </row>
    <row r="643" spans="1:4" s="8" customFormat="1">
      <c r="A643" s="3" t="s">
        <v>10</v>
      </c>
      <c r="B643" s="3">
        <v>6901030163</v>
      </c>
      <c r="C643" s="3" t="s">
        <v>569</v>
      </c>
      <c r="D643" s="3" t="e">
        <v>#N/A</v>
      </c>
    </row>
    <row r="644" spans="1:4" s="8" customFormat="1">
      <c r="A644" s="3" t="s">
        <v>10</v>
      </c>
      <c r="B644" s="3">
        <v>6910000003</v>
      </c>
      <c r="C644" s="3" t="s">
        <v>570</v>
      </c>
      <c r="D644" s="3" t="e">
        <v>#N/A</v>
      </c>
    </row>
    <row r="645" spans="1:4" s="8" customFormat="1">
      <c r="A645" s="3" t="s">
        <v>10</v>
      </c>
      <c r="B645" s="3">
        <v>6910000004</v>
      </c>
      <c r="C645" s="3" t="s">
        <v>571</v>
      </c>
      <c r="D645" s="3" t="e">
        <v>#N/A</v>
      </c>
    </row>
    <row r="646" spans="1:4" s="8" customFormat="1">
      <c r="A646" s="3" t="s">
        <v>10</v>
      </c>
      <c r="B646" s="3">
        <v>6910000005</v>
      </c>
      <c r="C646" s="3" t="s">
        <v>572</v>
      </c>
      <c r="D646" s="3" t="e">
        <v>#N/A</v>
      </c>
    </row>
    <row r="647" spans="1:4" s="8" customFormat="1">
      <c r="A647" s="3" t="s">
        <v>10</v>
      </c>
      <c r="B647" s="3">
        <v>6910000006</v>
      </c>
      <c r="C647" s="3" t="s">
        <v>573</v>
      </c>
      <c r="D647" s="3" t="e">
        <v>#N/A</v>
      </c>
    </row>
    <row r="648" spans="1:4" s="8" customFormat="1">
      <c r="A648" s="3" t="s">
        <v>10</v>
      </c>
      <c r="B648" s="3">
        <v>6910000007</v>
      </c>
      <c r="C648" s="3" t="s">
        <v>574</v>
      </c>
      <c r="D648" s="3" t="e">
        <v>#N/A</v>
      </c>
    </row>
    <row r="649" spans="1:4" s="8" customFormat="1">
      <c r="A649" s="3" t="s">
        <v>10</v>
      </c>
      <c r="B649" s="3">
        <v>6910000008</v>
      </c>
      <c r="C649" s="3" t="s">
        <v>575</v>
      </c>
      <c r="D649" s="3" t="e">
        <v>#N/A</v>
      </c>
    </row>
    <row r="650" spans="1:4" s="8" customFormat="1">
      <c r="A650" s="3" t="s">
        <v>10</v>
      </c>
      <c r="B650" s="3">
        <v>6910000009</v>
      </c>
      <c r="C650" s="3" t="s">
        <v>576</v>
      </c>
      <c r="D650" s="3" t="e">
        <v>#N/A</v>
      </c>
    </row>
    <row r="651" spans="1:4" s="8" customFormat="1">
      <c r="A651" s="3" t="s">
        <v>10</v>
      </c>
      <c r="B651" s="3">
        <v>6910000010</v>
      </c>
      <c r="C651" s="3" t="s">
        <v>577</v>
      </c>
      <c r="D651" s="3" t="e">
        <v>#N/A</v>
      </c>
    </row>
    <row r="652" spans="1:4" s="8" customFormat="1">
      <c r="A652" s="3" t="s">
        <v>10</v>
      </c>
      <c r="B652" s="3">
        <v>6910000011</v>
      </c>
      <c r="C652" s="3" t="s">
        <v>578</v>
      </c>
      <c r="D652" s="3" t="e">
        <v>#N/A</v>
      </c>
    </row>
    <row r="653" spans="1:4" s="8" customFormat="1">
      <c r="A653" s="3" t="s">
        <v>10</v>
      </c>
      <c r="B653" s="3">
        <v>6910000012</v>
      </c>
      <c r="C653" s="3" t="s">
        <v>579</v>
      </c>
      <c r="D653" s="3" t="e">
        <v>#N/A</v>
      </c>
    </row>
    <row r="654" spans="1:4" s="8" customFormat="1">
      <c r="A654" s="3" t="s">
        <v>10</v>
      </c>
      <c r="B654" s="3">
        <v>6910000013</v>
      </c>
      <c r="C654" s="3" t="s">
        <v>580</v>
      </c>
      <c r="D654" s="3" t="e">
        <v>#N/A</v>
      </c>
    </row>
    <row r="655" spans="1:4" s="8" customFormat="1">
      <c r="A655" s="3" t="s">
        <v>10</v>
      </c>
      <c r="B655" s="3">
        <v>6910000014</v>
      </c>
      <c r="C655" s="3" t="s">
        <v>581</v>
      </c>
      <c r="D655" s="3" t="e">
        <v>#N/A</v>
      </c>
    </row>
    <row r="656" spans="1:4" s="8" customFormat="1">
      <c r="A656" s="3" t="s">
        <v>10</v>
      </c>
      <c r="B656" s="3">
        <v>6910000015</v>
      </c>
      <c r="C656" s="3" t="s">
        <v>582</v>
      </c>
      <c r="D656" s="3" t="e">
        <v>#N/A</v>
      </c>
    </row>
    <row r="657" spans="1:4" s="8" customFormat="1">
      <c r="A657" s="3" t="s">
        <v>10</v>
      </c>
      <c r="B657" s="3">
        <v>6910000016</v>
      </c>
      <c r="C657" s="3" t="s">
        <v>583</v>
      </c>
      <c r="D657" s="3" t="e">
        <v>#N/A</v>
      </c>
    </row>
    <row r="658" spans="1:4" s="8" customFormat="1">
      <c r="A658" s="3" t="s">
        <v>10</v>
      </c>
      <c r="B658" s="3">
        <v>6901020014</v>
      </c>
      <c r="C658" s="3" t="s">
        <v>584</v>
      </c>
      <c r="D658" s="3" t="e">
        <v>#N/A</v>
      </c>
    </row>
    <row r="659" spans="1:4" s="8" customFormat="1">
      <c r="A659" s="3" t="s">
        <v>10</v>
      </c>
      <c r="B659" s="3">
        <v>6901020015</v>
      </c>
      <c r="C659" s="3" t="s">
        <v>585</v>
      </c>
      <c r="D659" s="3" t="e">
        <v>#N/A</v>
      </c>
    </row>
    <row r="660" spans="1:4" s="8" customFormat="1">
      <c r="A660" s="3" t="s">
        <v>10</v>
      </c>
      <c r="B660" s="3">
        <v>6910200000</v>
      </c>
      <c r="C660" s="3" t="s">
        <v>586</v>
      </c>
      <c r="D660" s="3" t="e">
        <v>#N/A</v>
      </c>
    </row>
    <row r="661" spans="1:4" s="8" customFormat="1">
      <c r="A661" s="3" t="s">
        <v>10</v>
      </c>
      <c r="B661" s="3">
        <v>6910200001</v>
      </c>
      <c r="C661" s="3" t="s">
        <v>587</v>
      </c>
      <c r="D661" s="3" t="e">
        <v>#N/A</v>
      </c>
    </row>
    <row r="662" spans="1:4" s="8" customFormat="1">
      <c r="A662" s="3" t="s">
        <v>10</v>
      </c>
      <c r="B662" s="3">
        <v>6910200002</v>
      </c>
      <c r="C662" s="3" t="s">
        <v>588</v>
      </c>
      <c r="D662" s="3" t="e">
        <v>#N/A</v>
      </c>
    </row>
    <row r="663" spans="1:4" s="8" customFormat="1">
      <c r="A663" s="3" t="s">
        <v>10</v>
      </c>
      <c r="B663" s="3">
        <v>6901230003</v>
      </c>
      <c r="C663" s="3" t="s">
        <v>589</v>
      </c>
      <c r="D663" s="3" t="e">
        <v>#N/A</v>
      </c>
    </row>
    <row r="664" spans="1:4" s="8" customFormat="1">
      <c r="A664" s="3" t="s">
        <v>10</v>
      </c>
      <c r="B664" s="3">
        <v>6910200003</v>
      </c>
      <c r="C664" s="3" t="s">
        <v>590</v>
      </c>
      <c r="D664" s="3" t="e">
        <v>#N/A</v>
      </c>
    </row>
    <row r="665" spans="1:4" s="8" customFormat="1">
      <c r="A665" s="3" t="s">
        <v>10</v>
      </c>
      <c r="B665" s="3">
        <v>6910200004</v>
      </c>
      <c r="C665" s="3" t="s">
        <v>591</v>
      </c>
      <c r="D665" s="3" t="e">
        <v>#N/A</v>
      </c>
    </row>
    <row r="666" spans="1:4" s="8" customFormat="1">
      <c r="A666" s="3" t="s">
        <v>10</v>
      </c>
      <c r="B666" s="3">
        <v>6910200005</v>
      </c>
      <c r="C666" s="3" t="s">
        <v>592</v>
      </c>
      <c r="D666" s="3" t="e">
        <v>#N/A</v>
      </c>
    </row>
    <row r="667" spans="1:4" s="8" customFormat="1">
      <c r="A667" s="3" t="s">
        <v>10</v>
      </c>
      <c r="B667" s="3">
        <v>6910200006</v>
      </c>
      <c r="C667" s="3" t="s">
        <v>593</v>
      </c>
      <c r="D667" s="3" t="e">
        <v>#N/A</v>
      </c>
    </row>
    <row r="668" spans="1:4" s="8" customFormat="1">
      <c r="A668" s="3" t="s">
        <v>10</v>
      </c>
      <c r="B668" s="3">
        <v>6910200007</v>
      </c>
      <c r="C668" s="3" t="s">
        <v>594</v>
      </c>
      <c r="D668" s="3" t="e">
        <v>#N/A</v>
      </c>
    </row>
    <row r="669" spans="1:4" s="8" customFormat="1">
      <c r="A669" s="3" t="s">
        <v>10</v>
      </c>
      <c r="B669" s="3">
        <v>6910200008</v>
      </c>
      <c r="C669" s="3" t="s">
        <v>595</v>
      </c>
      <c r="D669" s="3" t="e">
        <v>#N/A</v>
      </c>
    </row>
    <row r="670" spans="1:4" s="8" customFormat="1">
      <c r="A670" s="3" t="s">
        <v>10</v>
      </c>
      <c r="B670" s="3">
        <v>6910200009</v>
      </c>
      <c r="C670" s="3" t="s">
        <v>596</v>
      </c>
      <c r="D670" s="3" t="e">
        <v>#N/A</v>
      </c>
    </row>
    <row r="671" spans="1:4" s="8" customFormat="1">
      <c r="A671" s="3" t="s">
        <v>10</v>
      </c>
      <c r="B671" s="3">
        <v>6910200010</v>
      </c>
      <c r="C671" s="3" t="s">
        <v>597</v>
      </c>
      <c r="D671" s="3" t="e">
        <v>#N/A</v>
      </c>
    </row>
    <row r="672" spans="1:4" s="8" customFormat="1">
      <c r="A672" s="3" t="s">
        <v>10</v>
      </c>
      <c r="B672" s="3">
        <v>6910200011</v>
      </c>
      <c r="C672" s="3" t="s">
        <v>598</v>
      </c>
      <c r="D672" s="3" t="e">
        <v>#N/A</v>
      </c>
    </row>
    <row r="673" spans="1:4" s="8" customFormat="1">
      <c r="A673" s="3" t="s">
        <v>10</v>
      </c>
      <c r="B673" s="3">
        <v>6910200012</v>
      </c>
      <c r="C673" s="3" t="s">
        <v>599</v>
      </c>
      <c r="D673" s="3" t="e">
        <v>#N/A</v>
      </c>
    </row>
    <row r="674" spans="1:4" s="8" customFormat="1">
      <c r="A674" s="3" t="s">
        <v>10</v>
      </c>
      <c r="B674" s="3">
        <v>6910200013</v>
      </c>
      <c r="C674" s="3" t="s">
        <v>600</v>
      </c>
      <c r="D674" s="3" t="e">
        <v>#N/A</v>
      </c>
    </row>
    <row r="675" spans="1:4" s="8" customFormat="1">
      <c r="A675" s="3" t="s">
        <v>10</v>
      </c>
      <c r="B675" s="3">
        <v>6910200014</v>
      </c>
      <c r="C675" s="3" t="s">
        <v>601</v>
      </c>
      <c r="D675" s="3" t="e">
        <v>#N/A</v>
      </c>
    </row>
    <row r="676" spans="1:4" s="8" customFormat="1">
      <c r="A676" s="3" t="s">
        <v>10</v>
      </c>
      <c r="B676" s="3">
        <v>6910200015</v>
      </c>
      <c r="C676" s="3" t="s">
        <v>602</v>
      </c>
      <c r="D676" s="3" t="e">
        <v>#N/A</v>
      </c>
    </row>
    <row r="677" spans="1:4" s="8" customFormat="1">
      <c r="A677" s="3" t="s">
        <v>10</v>
      </c>
      <c r="B677" s="3">
        <v>6910200016</v>
      </c>
      <c r="C677" s="3" t="s">
        <v>603</v>
      </c>
      <c r="D677" s="3" t="e">
        <v>#N/A</v>
      </c>
    </row>
    <row r="678" spans="1:4" s="8" customFormat="1">
      <c r="A678" s="3" t="s">
        <v>10</v>
      </c>
      <c r="B678" s="3">
        <v>6901020016</v>
      </c>
      <c r="C678" s="3" t="s">
        <v>604</v>
      </c>
      <c r="D678" s="3" t="e">
        <v>#N/A</v>
      </c>
    </row>
    <row r="679" spans="1:4" s="8" customFormat="1">
      <c r="A679" s="3" t="s">
        <v>10</v>
      </c>
      <c r="B679" s="3">
        <v>6901020017</v>
      </c>
      <c r="C679" s="3" t="s">
        <v>605</v>
      </c>
      <c r="D679" s="3" t="e">
        <v>#N/A</v>
      </c>
    </row>
    <row r="680" spans="1:4" s="8" customFormat="1">
      <c r="A680" s="3" t="s">
        <v>10</v>
      </c>
      <c r="B680" s="3">
        <v>6910000017</v>
      </c>
      <c r="C680" s="3" t="s">
        <v>606</v>
      </c>
      <c r="D680" s="3" t="e">
        <v>#N/A</v>
      </c>
    </row>
    <row r="681" spans="1:4" s="8" customFormat="1">
      <c r="A681" s="3" t="s">
        <v>10</v>
      </c>
      <c r="B681" s="3">
        <v>6910200017</v>
      </c>
      <c r="C681" s="3" t="s">
        <v>607</v>
      </c>
      <c r="D681" s="3" t="e">
        <v>#N/A</v>
      </c>
    </row>
    <row r="682" spans="1:4" s="8" customFormat="1">
      <c r="A682" s="3" t="s">
        <v>10</v>
      </c>
      <c r="B682" s="3">
        <v>6910000018</v>
      </c>
      <c r="C682" s="3" t="s">
        <v>608</v>
      </c>
      <c r="D682" s="3" t="e">
        <v>#N/A</v>
      </c>
    </row>
    <row r="683" spans="1:4" s="8" customFormat="1">
      <c r="A683" s="3" t="s">
        <v>10</v>
      </c>
      <c r="B683" s="3">
        <v>6910200018</v>
      </c>
      <c r="C683" s="3" t="s">
        <v>609</v>
      </c>
      <c r="D683" s="3" t="e">
        <v>#N/A</v>
      </c>
    </row>
    <row r="684" spans="1:4" s="8" customFormat="1">
      <c r="A684" s="3" t="s">
        <v>10</v>
      </c>
      <c r="B684" s="3">
        <v>6900000110</v>
      </c>
      <c r="C684" s="3" t="s">
        <v>610</v>
      </c>
      <c r="D684" s="4" t="s">
        <v>1230</v>
      </c>
    </row>
    <row r="685" spans="1:4" s="8" customFormat="1">
      <c r="A685" s="3" t="s">
        <v>10</v>
      </c>
      <c r="B685" s="3">
        <v>6901030164</v>
      </c>
      <c r="C685" s="3" t="s">
        <v>611</v>
      </c>
      <c r="D685" s="3" t="e">
        <v>#N/A</v>
      </c>
    </row>
    <row r="686" spans="1:4" s="8" customFormat="1">
      <c r="A686" s="3" t="s">
        <v>10</v>
      </c>
      <c r="B686" s="3">
        <v>6910000019</v>
      </c>
      <c r="C686" s="3" t="s">
        <v>612</v>
      </c>
      <c r="D686" s="3" t="e">
        <v>#N/A</v>
      </c>
    </row>
    <row r="687" spans="1:4" s="8" customFormat="1">
      <c r="A687" s="3" t="s">
        <v>10</v>
      </c>
      <c r="B687" s="3">
        <v>6900000736</v>
      </c>
      <c r="C687" s="3" t="s">
        <v>613</v>
      </c>
      <c r="D687" s="3" t="e">
        <v>#N/A</v>
      </c>
    </row>
    <row r="688" spans="1:4" s="8" customFormat="1">
      <c r="A688" s="3" t="s">
        <v>10</v>
      </c>
      <c r="B688" s="3">
        <v>6900000737</v>
      </c>
      <c r="C688" s="3" t="s">
        <v>614</v>
      </c>
      <c r="D688" s="3" t="e">
        <v>#N/A</v>
      </c>
    </row>
    <row r="689" spans="1:4" s="8" customFormat="1">
      <c r="A689" s="3" t="s">
        <v>10</v>
      </c>
      <c r="B689" s="3">
        <v>6900000738</v>
      </c>
      <c r="C689" s="3" t="s">
        <v>615</v>
      </c>
      <c r="D689" s="3" t="e">
        <v>#N/A</v>
      </c>
    </row>
    <row r="690" spans="1:4" s="8" customFormat="1">
      <c r="A690" s="3" t="s">
        <v>10</v>
      </c>
      <c r="B690" s="3">
        <v>6900000739</v>
      </c>
      <c r="C690" s="3" t="s">
        <v>616</v>
      </c>
      <c r="D690" s="3" t="e">
        <v>#N/A</v>
      </c>
    </row>
    <row r="691" spans="1:4" s="8" customFormat="1">
      <c r="A691" s="3" t="s">
        <v>10</v>
      </c>
      <c r="B691" s="3">
        <v>6900000740</v>
      </c>
      <c r="C691" s="3" t="s">
        <v>617</v>
      </c>
      <c r="D691" s="3" t="e">
        <v>#N/A</v>
      </c>
    </row>
    <row r="692" spans="1:4" s="8" customFormat="1">
      <c r="A692" s="3" t="s">
        <v>10</v>
      </c>
      <c r="B692" s="3">
        <v>6900200107</v>
      </c>
      <c r="C692" s="3" t="s">
        <v>618</v>
      </c>
      <c r="D692" s="4" t="s">
        <v>1231</v>
      </c>
    </row>
    <row r="693" spans="1:4" s="8" customFormat="1">
      <c r="A693" s="3" t="s">
        <v>10</v>
      </c>
      <c r="B693" s="3">
        <v>6901230004</v>
      </c>
      <c r="C693" s="3" t="s">
        <v>619</v>
      </c>
      <c r="D693" s="3" t="e">
        <v>#N/A</v>
      </c>
    </row>
    <row r="694" spans="1:4" s="8" customFormat="1">
      <c r="A694" s="3" t="s">
        <v>10</v>
      </c>
      <c r="B694" s="3">
        <v>6910200107</v>
      </c>
      <c r="C694" s="3" t="s">
        <v>620</v>
      </c>
      <c r="D694" s="4" t="s">
        <v>1232</v>
      </c>
    </row>
    <row r="695" spans="1:4" s="8" customFormat="1">
      <c r="A695" s="3" t="s">
        <v>10</v>
      </c>
      <c r="B695" s="3">
        <v>6900200005</v>
      </c>
      <c r="C695" s="3" t="s">
        <v>621</v>
      </c>
      <c r="D695" s="3" t="e">
        <v>#N/A</v>
      </c>
    </row>
    <row r="696" spans="1:4" s="8" customFormat="1">
      <c r="A696" s="3" t="s">
        <v>10</v>
      </c>
      <c r="B696" s="3">
        <v>6951000000</v>
      </c>
      <c r="C696" s="3" t="s">
        <v>622</v>
      </c>
      <c r="D696" s="4" t="s">
        <v>1233</v>
      </c>
    </row>
    <row r="697" spans="1:4" s="8" customFormat="1">
      <c r="A697" s="3" t="s">
        <v>10</v>
      </c>
      <c r="B697" s="3">
        <v>6952000000</v>
      </c>
      <c r="C697" s="3" t="s">
        <v>623</v>
      </c>
      <c r="D697" s="4" t="s">
        <v>1234</v>
      </c>
    </row>
    <row r="698" spans="1:4" s="8" customFormat="1">
      <c r="A698" s="3" t="s">
        <v>10</v>
      </c>
      <c r="B698" s="3">
        <v>6951200000</v>
      </c>
      <c r="C698" s="3" t="s">
        <v>624</v>
      </c>
      <c r="D698" s="4" t="s">
        <v>1235</v>
      </c>
    </row>
    <row r="699" spans="1:4" s="8" customFormat="1">
      <c r="A699" s="3" t="s">
        <v>10</v>
      </c>
      <c r="B699" s="3">
        <v>6952200000</v>
      </c>
      <c r="C699" s="3" t="s">
        <v>625</v>
      </c>
      <c r="D699" s="4" t="s">
        <v>1236</v>
      </c>
    </row>
    <row r="700" spans="1:4" s="8" customFormat="1">
      <c r="A700" s="3" t="s">
        <v>10</v>
      </c>
      <c r="B700" s="3">
        <v>6956010001</v>
      </c>
      <c r="C700" s="3" t="s">
        <v>626</v>
      </c>
      <c r="D700" s="3" t="e">
        <v>#N/A</v>
      </c>
    </row>
    <row r="701" spans="1:4" s="8" customFormat="1">
      <c r="A701" s="3" t="s">
        <v>10</v>
      </c>
      <c r="B701" s="3">
        <v>6956010002</v>
      </c>
      <c r="C701" s="3" t="s">
        <v>627</v>
      </c>
      <c r="D701" s="3" t="e">
        <v>#N/A</v>
      </c>
    </row>
    <row r="702" spans="1:4" s="8" customFormat="1">
      <c r="A702" s="3" t="s">
        <v>10</v>
      </c>
      <c r="B702" s="3">
        <v>6956010003</v>
      </c>
      <c r="C702" s="3" t="s">
        <v>628</v>
      </c>
      <c r="D702" s="3" t="e">
        <v>#N/A</v>
      </c>
    </row>
    <row r="703" spans="1:4" s="8" customFormat="1">
      <c r="A703" s="3" t="s">
        <v>10</v>
      </c>
      <c r="B703" s="3">
        <v>6700000000</v>
      </c>
      <c r="C703" s="3" t="s">
        <v>629</v>
      </c>
      <c r="D703" s="4" t="s">
        <v>1237</v>
      </c>
    </row>
    <row r="704" spans="1:4" s="8" customFormat="1">
      <c r="A704" s="3" t="s">
        <v>10</v>
      </c>
      <c r="B704" s="3">
        <v>6700100000</v>
      </c>
      <c r="C704" s="3" t="s">
        <v>630</v>
      </c>
      <c r="D704" s="4" t="s">
        <v>1238</v>
      </c>
    </row>
    <row r="705" spans="1:4" s="8" customFormat="1">
      <c r="A705" s="3" t="s">
        <v>10</v>
      </c>
      <c r="B705" s="3">
        <v>6700200000</v>
      </c>
      <c r="C705" s="3" t="s">
        <v>631</v>
      </c>
      <c r="D705" s="4" t="s">
        <v>1239</v>
      </c>
    </row>
    <row r="706" spans="1:4" s="8" customFormat="1">
      <c r="A706" s="3" t="s">
        <v>10</v>
      </c>
      <c r="B706" s="3">
        <v>6700300000</v>
      </c>
      <c r="C706" s="3" t="s">
        <v>632</v>
      </c>
      <c r="D706" s="4" t="s">
        <v>1240</v>
      </c>
    </row>
    <row r="707" spans="1:4" s="8" customFormat="1">
      <c r="A707" s="3" t="s">
        <v>10</v>
      </c>
      <c r="B707" s="3">
        <v>6700200010</v>
      </c>
      <c r="C707" s="3" t="s">
        <v>633</v>
      </c>
      <c r="D707" s="3" t="e">
        <v>#N/A</v>
      </c>
    </row>
    <row r="708" spans="1:4" s="8" customFormat="1">
      <c r="A708" s="3" t="s">
        <v>10</v>
      </c>
      <c r="B708" s="3">
        <v>6700200020</v>
      </c>
      <c r="C708" s="3" t="s">
        <v>634</v>
      </c>
      <c r="D708" s="3" t="e">
        <v>#N/A</v>
      </c>
    </row>
    <row r="709" spans="1:4" s="8" customFormat="1">
      <c r="A709" s="3" t="s">
        <v>10</v>
      </c>
      <c r="B709" s="3">
        <v>6700400000</v>
      </c>
      <c r="C709" s="3" t="s">
        <v>635</v>
      </c>
      <c r="D709" s="4" t="s">
        <v>1241</v>
      </c>
    </row>
    <row r="710" spans="1:4" s="8" customFormat="1">
      <c r="A710" s="3" t="s">
        <v>10</v>
      </c>
      <c r="B710" s="3">
        <v>6700500000</v>
      </c>
      <c r="C710" s="3" t="s">
        <v>636</v>
      </c>
      <c r="D710" s="4" t="s">
        <v>1242</v>
      </c>
    </row>
    <row r="711" spans="1:4" s="8" customFormat="1">
      <c r="A711" s="3" t="s">
        <v>10</v>
      </c>
      <c r="B711" s="3">
        <v>6700600000</v>
      </c>
      <c r="C711" s="3" t="s">
        <v>637</v>
      </c>
      <c r="D711" s="4" t="s">
        <v>1243</v>
      </c>
    </row>
    <row r="712" spans="1:4" s="8" customFormat="1">
      <c r="A712" s="3" t="s">
        <v>10</v>
      </c>
      <c r="B712" s="3">
        <v>6700700000</v>
      </c>
      <c r="C712" s="3" t="s">
        <v>638</v>
      </c>
      <c r="D712" s="4" t="s">
        <v>1244</v>
      </c>
    </row>
    <row r="713" spans="1:4" s="8" customFormat="1">
      <c r="A713" s="3" t="s">
        <v>2</v>
      </c>
      <c r="B713" s="3">
        <v>7810000000</v>
      </c>
      <c r="C713" s="3" t="s">
        <v>639</v>
      </c>
      <c r="D713" s="4" t="s">
        <v>1245</v>
      </c>
    </row>
    <row r="714" spans="1:4" s="8" customFormat="1">
      <c r="A714" s="3" t="s">
        <v>2</v>
      </c>
      <c r="B714" s="3">
        <v>7813000000</v>
      </c>
      <c r="C714" s="3" t="s">
        <v>640</v>
      </c>
      <c r="D714" s="4" t="s">
        <v>1246</v>
      </c>
    </row>
    <row r="715" spans="1:4" s="8" customFormat="1">
      <c r="A715" s="3" t="s">
        <v>2</v>
      </c>
      <c r="B715" s="3">
        <v>7700000000</v>
      </c>
      <c r="C715" s="3" t="s">
        <v>641</v>
      </c>
      <c r="D715" s="4" t="s">
        <v>1247</v>
      </c>
    </row>
    <row r="716" spans="1:4" s="8" customFormat="1">
      <c r="A716" s="3" t="s">
        <v>10</v>
      </c>
      <c r="B716" s="3">
        <v>7059031000</v>
      </c>
      <c r="C716" s="3" t="s">
        <v>642</v>
      </c>
      <c r="D716" s="4" t="s">
        <v>1248</v>
      </c>
    </row>
    <row r="717" spans="1:4" s="8" customFormat="1">
      <c r="A717" s="3" t="s">
        <v>8</v>
      </c>
      <c r="B717" s="3">
        <v>7059031010</v>
      </c>
      <c r="C717" s="3" t="s">
        <v>643</v>
      </c>
      <c r="D717" s="4" t="s">
        <v>1249</v>
      </c>
    </row>
    <row r="718" spans="1:4" s="8" customFormat="1">
      <c r="A718" s="3" t="s">
        <v>8</v>
      </c>
      <c r="B718" s="3">
        <v>8000101010</v>
      </c>
      <c r="C718" s="3" t="s">
        <v>644</v>
      </c>
      <c r="D718" s="4" t="s">
        <v>1250</v>
      </c>
    </row>
    <row r="719" spans="1:4" s="8" customFormat="1">
      <c r="A719" s="3" t="s">
        <v>8</v>
      </c>
      <c r="B719" s="3">
        <v>8000201010</v>
      </c>
      <c r="C719" s="3" t="s">
        <v>645</v>
      </c>
      <c r="D719" s="4" t="s">
        <v>1251</v>
      </c>
    </row>
    <row r="720" spans="1:4" s="8" customFormat="1">
      <c r="A720" s="3" t="s">
        <v>8</v>
      </c>
      <c r="B720" s="3">
        <v>8000401010</v>
      </c>
      <c r="C720" s="3" t="s">
        <v>646</v>
      </c>
      <c r="D720" s="4" t="s">
        <v>1252</v>
      </c>
    </row>
    <row r="721" spans="1:4" s="8" customFormat="1">
      <c r="A721" s="3" t="s">
        <v>8</v>
      </c>
      <c r="B721" s="3">
        <v>8000301010</v>
      </c>
      <c r="C721" s="3" t="s">
        <v>647</v>
      </c>
      <c r="D721" s="4" t="s">
        <v>1253</v>
      </c>
    </row>
    <row r="722" spans="1:4" s="8" customFormat="1">
      <c r="A722" s="3" t="s">
        <v>10</v>
      </c>
      <c r="B722" s="3">
        <v>6956020000</v>
      </c>
      <c r="C722" s="3" t="s">
        <v>648</v>
      </c>
      <c r="D722" s="4" t="s">
        <v>1254</v>
      </c>
    </row>
    <row r="723" spans="1:4" s="8" customFormat="1">
      <c r="A723" s="3" t="s">
        <v>10</v>
      </c>
      <c r="B723" s="3">
        <v>6956220000</v>
      </c>
      <c r="C723" s="3" t="s">
        <v>649</v>
      </c>
      <c r="D723" s="4" t="s">
        <v>1255</v>
      </c>
    </row>
    <row r="724" spans="1:4" s="8" customFormat="1">
      <c r="A724" s="3" t="s">
        <v>8</v>
      </c>
      <c r="B724" s="3">
        <v>8000302020</v>
      </c>
      <c r="C724" s="3" t="s">
        <v>650</v>
      </c>
      <c r="D724" s="4" t="s">
        <v>1256</v>
      </c>
    </row>
    <row r="725" spans="1:4" s="8" customFormat="1">
      <c r="A725" s="3" t="s">
        <v>8</v>
      </c>
      <c r="B725" s="3">
        <v>8000302010</v>
      </c>
      <c r="C725" s="3" t="s">
        <v>651</v>
      </c>
      <c r="D725" s="4" t="s">
        <v>1257</v>
      </c>
    </row>
    <row r="726" spans="1:4" s="8" customFormat="1">
      <c r="A726" s="3" t="s">
        <v>10</v>
      </c>
      <c r="B726" s="3">
        <v>6956020010</v>
      </c>
      <c r="C726" s="3" t="s">
        <v>652</v>
      </c>
      <c r="D726" s="4" t="s">
        <v>1258</v>
      </c>
    </row>
    <row r="727" spans="1:4" s="8" customFormat="1">
      <c r="A727" s="3" t="s">
        <v>10</v>
      </c>
      <c r="B727" s="3">
        <v>6956220010</v>
      </c>
      <c r="C727" s="3" t="s">
        <v>653</v>
      </c>
      <c r="D727" s="4" t="s">
        <v>1259</v>
      </c>
    </row>
    <row r="728" spans="1:4" s="8" customFormat="1">
      <c r="A728" s="3" t="s">
        <v>8</v>
      </c>
      <c r="B728" s="3">
        <v>8450501010</v>
      </c>
      <c r="C728" s="3" t="s">
        <v>654</v>
      </c>
      <c r="D728" s="4" t="s">
        <v>1260</v>
      </c>
    </row>
    <row r="729" spans="1:4" s="8" customFormat="1">
      <c r="A729" s="3" t="s">
        <v>8</v>
      </c>
      <c r="B729" s="3">
        <v>8010501010</v>
      </c>
      <c r="C729" s="3" t="s">
        <v>655</v>
      </c>
      <c r="D729" s="4" t="s">
        <v>1261</v>
      </c>
    </row>
    <row r="730" spans="1:4" s="8" customFormat="1">
      <c r="A730" s="3" t="s">
        <v>8</v>
      </c>
      <c r="B730" s="3">
        <v>8010201020</v>
      </c>
      <c r="C730" s="3" t="s">
        <v>656</v>
      </c>
      <c r="D730" s="4" t="s">
        <v>1262</v>
      </c>
    </row>
    <row r="731" spans="1:4" s="8" customFormat="1">
      <c r="A731" s="3" t="s">
        <v>8</v>
      </c>
      <c r="B731" s="3">
        <v>8010501040</v>
      </c>
      <c r="C731" s="3" t="s">
        <v>657</v>
      </c>
      <c r="D731" s="4" t="s">
        <v>1263</v>
      </c>
    </row>
    <row r="732" spans="1:4" s="8" customFormat="1">
      <c r="A732" s="3" t="s">
        <v>8</v>
      </c>
      <c r="B732" s="3">
        <v>8010501050</v>
      </c>
      <c r="C732" s="3" t="s">
        <v>658</v>
      </c>
      <c r="D732" s="4" t="s">
        <v>1264</v>
      </c>
    </row>
    <row r="733" spans="1:4" s="8" customFormat="1">
      <c r="A733" s="3" t="s">
        <v>8</v>
      </c>
      <c r="B733" s="3">
        <v>8010501110</v>
      </c>
      <c r="C733" s="3" t="s">
        <v>659</v>
      </c>
      <c r="D733" s="4" t="s">
        <v>1265</v>
      </c>
    </row>
    <row r="734" spans="1:4" s="8" customFormat="1">
      <c r="A734" s="3" t="s">
        <v>8</v>
      </c>
      <c r="B734" s="3">
        <v>8010501060</v>
      </c>
      <c r="C734" s="3" t="s">
        <v>660</v>
      </c>
      <c r="D734" s="4" t="s">
        <v>1266</v>
      </c>
    </row>
    <row r="735" spans="1:4" s="8" customFormat="1">
      <c r="A735" s="3" t="s">
        <v>8</v>
      </c>
      <c r="B735" s="3">
        <v>8010201050</v>
      </c>
      <c r="C735" s="3" t="s">
        <v>661</v>
      </c>
      <c r="D735" s="3" t="e">
        <v>#N/A</v>
      </c>
    </row>
    <row r="736" spans="1:4" s="8" customFormat="1">
      <c r="A736" s="3" t="s">
        <v>8</v>
      </c>
      <c r="B736" s="3">
        <v>8010201051</v>
      </c>
      <c r="C736" s="3" t="s">
        <v>662</v>
      </c>
      <c r="D736" s="3" t="e">
        <v>#N/A</v>
      </c>
    </row>
    <row r="737" spans="1:4" s="8" customFormat="1">
      <c r="A737" s="3" t="s">
        <v>8</v>
      </c>
      <c r="B737" s="3">
        <v>8010505010</v>
      </c>
      <c r="C737" s="3" t="s">
        <v>663</v>
      </c>
      <c r="D737" s="4" t="s">
        <v>1267</v>
      </c>
    </row>
    <row r="738" spans="1:4" s="8" customFormat="1">
      <c r="A738" s="3" t="s">
        <v>8</v>
      </c>
      <c r="B738" s="3">
        <v>8010501220</v>
      </c>
      <c r="C738" s="3" t="s">
        <v>664</v>
      </c>
      <c r="D738" s="3" t="e">
        <v>#N/A</v>
      </c>
    </row>
    <row r="739" spans="1:4" s="8" customFormat="1">
      <c r="A739" s="3" t="s">
        <v>8</v>
      </c>
      <c r="B739" s="3">
        <v>8010501230</v>
      </c>
      <c r="C739" s="3" t="s">
        <v>665</v>
      </c>
      <c r="D739" s="3" t="e">
        <v>#N/A</v>
      </c>
    </row>
    <row r="740" spans="1:4" s="8" customFormat="1">
      <c r="A740" s="3" t="s">
        <v>4</v>
      </c>
      <c r="B740" s="3">
        <v>8480300010</v>
      </c>
      <c r="C740" s="3" t="s">
        <v>666</v>
      </c>
      <c r="D740" s="4" t="s">
        <v>1268</v>
      </c>
    </row>
    <row r="741" spans="1:4" s="8" customFormat="1">
      <c r="A741" s="3" t="s">
        <v>8</v>
      </c>
      <c r="B741" s="3">
        <v>8000801020</v>
      </c>
      <c r="C741" s="3" t="s">
        <v>667</v>
      </c>
      <c r="D741" s="4" t="s">
        <v>1269</v>
      </c>
    </row>
    <row r="742" spans="1:4" s="8" customFormat="1">
      <c r="A742" s="3" t="s">
        <v>8</v>
      </c>
      <c r="B742" s="3">
        <v>8000901020</v>
      </c>
      <c r="C742" s="3" t="s">
        <v>668</v>
      </c>
      <c r="D742" s="4" t="s">
        <v>1270</v>
      </c>
    </row>
    <row r="743" spans="1:4" s="8" customFormat="1">
      <c r="A743" s="3" t="s">
        <v>8</v>
      </c>
      <c r="B743" s="3">
        <v>8000603010</v>
      </c>
      <c r="C743" s="3" t="s">
        <v>669</v>
      </c>
      <c r="D743" s="4" t="s">
        <v>1271</v>
      </c>
    </row>
    <row r="744" spans="1:4" s="8" customFormat="1">
      <c r="A744" s="3" t="s">
        <v>8</v>
      </c>
      <c r="B744" s="3">
        <v>8000801030</v>
      </c>
      <c r="C744" s="3" t="s">
        <v>670</v>
      </c>
      <c r="D744" s="4" t="s">
        <v>1272</v>
      </c>
    </row>
    <row r="745" spans="1:4" s="8" customFormat="1">
      <c r="A745" s="3" t="s">
        <v>10</v>
      </c>
      <c r="B745" s="3">
        <v>6600000060</v>
      </c>
      <c r="C745" s="3" t="s">
        <v>671</v>
      </c>
      <c r="D745" s="3" t="e">
        <v>#N/A</v>
      </c>
    </row>
    <row r="746" spans="1:4" s="8" customFormat="1">
      <c r="A746" s="3" t="s">
        <v>10</v>
      </c>
      <c r="B746" s="3">
        <v>6600100090</v>
      </c>
      <c r="C746" s="3" t="s">
        <v>672</v>
      </c>
      <c r="D746" s="3" t="e">
        <v>#N/A</v>
      </c>
    </row>
    <row r="747" spans="1:4" s="8" customFormat="1">
      <c r="A747" s="3" t="s">
        <v>10</v>
      </c>
      <c r="B747" s="3">
        <v>6600200060</v>
      </c>
      <c r="C747" s="3" t="s">
        <v>673</v>
      </c>
      <c r="D747" s="3" t="e">
        <v>#N/A</v>
      </c>
    </row>
    <row r="748" spans="1:4" s="8" customFormat="1">
      <c r="A748" s="3" t="s">
        <v>8</v>
      </c>
      <c r="B748" s="3">
        <v>8450501013</v>
      </c>
      <c r="C748" s="3" t="s">
        <v>674</v>
      </c>
      <c r="D748" s="3" t="e">
        <v>#N/A</v>
      </c>
    </row>
    <row r="749" spans="1:4" s="8" customFormat="1">
      <c r="A749" s="3" t="s">
        <v>8</v>
      </c>
      <c r="B749" s="3">
        <v>8010501250</v>
      </c>
      <c r="C749" s="3" t="s">
        <v>675</v>
      </c>
      <c r="D749" s="3" t="e">
        <v>#N/A</v>
      </c>
    </row>
    <row r="750" spans="1:4" s="8" customFormat="1">
      <c r="A750" s="3" t="s">
        <v>8</v>
      </c>
      <c r="B750" s="3">
        <v>8010501260</v>
      </c>
      <c r="C750" s="3" t="s">
        <v>676</v>
      </c>
      <c r="D750" s="3" t="e">
        <v>#N/A</v>
      </c>
    </row>
    <row r="751" spans="1:4" s="8" customFormat="1">
      <c r="A751" s="3" t="s">
        <v>8</v>
      </c>
      <c r="B751" s="3">
        <v>8010503010</v>
      </c>
      <c r="C751" s="3" t="s">
        <v>677</v>
      </c>
      <c r="D751" s="4" t="s">
        <v>1273</v>
      </c>
    </row>
    <row r="752" spans="1:4" s="8" customFormat="1">
      <c r="A752" s="3" t="s">
        <v>8</v>
      </c>
      <c r="B752" s="3">
        <v>8100101010</v>
      </c>
      <c r="C752" s="3" t="s">
        <v>678</v>
      </c>
      <c r="D752" s="4" t="s">
        <v>1274</v>
      </c>
    </row>
    <row r="753" spans="1:4" s="8" customFormat="1">
      <c r="A753" s="3" t="s">
        <v>4</v>
      </c>
      <c r="B753" s="3">
        <v>8100104010</v>
      </c>
      <c r="C753" s="3" t="s">
        <v>679</v>
      </c>
      <c r="D753" s="4" t="s">
        <v>1275</v>
      </c>
    </row>
    <row r="754" spans="1:4" s="8" customFormat="1">
      <c r="A754" s="3" t="s">
        <v>8</v>
      </c>
      <c r="B754" s="3">
        <v>8100102010</v>
      </c>
      <c r="C754" s="3" t="s">
        <v>680</v>
      </c>
      <c r="D754" s="4" t="s">
        <v>1276</v>
      </c>
    </row>
    <row r="755" spans="1:4" s="8" customFormat="1">
      <c r="A755" s="3" t="s">
        <v>8</v>
      </c>
      <c r="B755" s="3">
        <v>8120601010</v>
      </c>
      <c r="C755" s="3" t="s">
        <v>681</v>
      </c>
      <c r="D755" s="4" t="s">
        <v>1277</v>
      </c>
    </row>
    <row r="756" spans="1:4" s="8" customFormat="1">
      <c r="A756" s="3" t="s">
        <v>8</v>
      </c>
      <c r="B756" s="3">
        <v>8120501010</v>
      </c>
      <c r="C756" s="3" t="s">
        <v>682</v>
      </c>
      <c r="D756" s="4" t="s">
        <v>1278</v>
      </c>
    </row>
    <row r="757" spans="1:4" s="8" customFormat="1">
      <c r="A757" s="3" t="s">
        <v>8</v>
      </c>
      <c r="B757" s="3">
        <v>8120201010</v>
      </c>
      <c r="C757" s="3" t="s">
        <v>683</v>
      </c>
      <c r="D757" s="4" t="s">
        <v>1279</v>
      </c>
    </row>
    <row r="758" spans="1:4" s="8" customFormat="1">
      <c r="A758" s="3" t="s">
        <v>8</v>
      </c>
      <c r="B758" s="3">
        <v>8120601040</v>
      </c>
      <c r="C758" s="3" t="s">
        <v>684</v>
      </c>
      <c r="D758" s="3" t="e">
        <v>#N/A</v>
      </c>
    </row>
    <row r="759" spans="1:4" s="8" customFormat="1">
      <c r="A759" s="3" t="s">
        <v>8</v>
      </c>
      <c r="B759" s="3">
        <v>8120601050</v>
      </c>
      <c r="C759" s="3" t="s">
        <v>685</v>
      </c>
      <c r="D759" s="3" t="e">
        <v>#N/A</v>
      </c>
    </row>
    <row r="760" spans="1:4" s="8" customFormat="1">
      <c r="A760" s="3" t="s">
        <v>8</v>
      </c>
      <c r="B760" s="3">
        <v>8121001010</v>
      </c>
      <c r="C760" s="3" t="s">
        <v>686</v>
      </c>
      <c r="D760" s="4" t="s">
        <v>1280</v>
      </c>
    </row>
    <row r="761" spans="1:4" s="8" customFormat="1">
      <c r="A761" s="3" t="s">
        <v>8</v>
      </c>
      <c r="B761" s="3">
        <v>8120801010</v>
      </c>
      <c r="C761" s="3" t="s">
        <v>687</v>
      </c>
      <c r="D761" s="4" t="s">
        <v>1281</v>
      </c>
    </row>
    <row r="762" spans="1:4" s="8" customFormat="1">
      <c r="A762" s="3" t="s">
        <v>8</v>
      </c>
      <c r="B762" s="6">
        <v>8121101040</v>
      </c>
      <c r="C762" s="6" t="s">
        <v>688</v>
      </c>
      <c r="D762" s="6" t="e">
        <v>#N/A</v>
      </c>
    </row>
    <row r="763" spans="1:4" s="8" customFormat="1">
      <c r="A763" s="3" t="s">
        <v>8</v>
      </c>
      <c r="B763" s="3">
        <v>8210101010</v>
      </c>
      <c r="C763" s="3" t="s">
        <v>689</v>
      </c>
      <c r="D763" s="4" t="s">
        <v>1282</v>
      </c>
    </row>
    <row r="764" spans="1:4" s="8" customFormat="1">
      <c r="A764" s="3" t="s">
        <v>8</v>
      </c>
      <c r="B764" s="3">
        <v>8120201030</v>
      </c>
      <c r="C764" s="3" t="s">
        <v>690</v>
      </c>
      <c r="D764" s="3" t="e">
        <v>#N/A</v>
      </c>
    </row>
    <row r="765" spans="1:4" s="8" customFormat="1">
      <c r="A765" s="3" t="s">
        <v>8</v>
      </c>
      <c r="B765" s="3">
        <v>8121101020</v>
      </c>
      <c r="C765" s="3" t="s">
        <v>691</v>
      </c>
      <c r="D765" s="4" t="s">
        <v>1283</v>
      </c>
    </row>
    <row r="766" spans="1:4" s="8" customFormat="1">
      <c r="A766" s="3" t="s">
        <v>10</v>
      </c>
      <c r="B766" s="3">
        <v>6953000000</v>
      </c>
      <c r="C766" s="3" t="s">
        <v>692</v>
      </c>
      <c r="D766" s="4" t="s">
        <v>1284</v>
      </c>
    </row>
    <row r="767" spans="1:4" s="8" customFormat="1">
      <c r="A767" s="3" t="s">
        <v>10</v>
      </c>
      <c r="B767" s="3">
        <v>6952000002</v>
      </c>
      <c r="C767" s="3" t="s">
        <v>693</v>
      </c>
      <c r="D767" s="3" t="e">
        <v>#N/A</v>
      </c>
    </row>
    <row r="768" spans="1:4" s="8" customFormat="1">
      <c r="A768" s="3" t="s">
        <v>8</v>
      </c>
      <c r="B768" s="3">
        <v>8400101010</v>
      </c>
      <c r="C768" s="3" t="s">
        <v>694</v>
      </c>
      <c r="D768" s="4" t="s">
        <v>1285</v>
      </c>
    </row>
    <row r="769" spans="1:4" s="8" customFormat="1">
      <c r="A769" s="3" t="s">
        <v>8</v>
      </c>
      <c r="B769" s="3">
        <v>8400201010</v>
      </c>
      <c r="C769" s="3" t="s">
        <v>695</v>
      </c>
      <c r="D769" s="4" t="s">
        <v>1286</v>
      </c>
    </row>
    <row r="770" spans="1:4" s="8" customFormat="1">
      <c r="A770" s="3" t="s">
        <v>10</v>
      </c>
      <c r="B770" s="3">
        <v>6953200000</v>
      </c>
      <c r="C770" s="3" t="s">
        <v>696</v>
      </c>
      <c r="D770" s="4" t="s">
        <v>1287</v>
      </c>
    </row>
    <row r="771" spans="1:4" s="8" customFormat="1">
      <c r="A771" s="3" t="s">
        <v>10</v>
      </c>
      <c r="B771" s="3">
        <v>6951000020</v>
      </c>
      <c r="C771" s="3" t="s">
        <v>697</v>
      </c>
      <c r="D771" s="4" t="s">
        <v>1288</v>
      </c>
    </row>
    <row r="772" spans="1:4" s="8" customFormat="1">
      <c r="A772" s="3" t="s">
        <v>10</v>
      </c>
      <c r="B772" s="3">
        <v>6952000001</v>
      </c>
      <c r="C772" s="3" t="s">
        <v>698</v>
      </c>
      <c r="D772" s="3" t="e">
        <v>#N/A</v>
      </c>
    </row>
    <row r="773" spans="1:4" s="8" customFormat="1">
      <c r="A773" s="3" t="s">
        <v>8</v>
      </c>
      <c r="B773" s="3">
        <v>8400101011</v>
      </c>
      <c r="C773" s="3" t="s">
        <v>699</v>
      </c>
      <c r="D773" s="4" t="s">
        <v>1289</v>
      </c>
    </row>
    <row r="774" spans="1:4" s="8" customFormat="1">
      <c r="A774" s="3" t="s">
        <v>10</v>
      </c>
      <c r="B774" s="3">
        <v>6955000000</v>
      </c>
      <c r="C774" s="3" t="s">
        <v>700</v>
      </c>
      <c r="D774" s="4" t="s">
        <v>1290</v>
      </c>
    </row>
    <row r="775" spans="1:4" s="8" customFormat="1">
      <c r="A775" s="3" t="s">
        <v>8</v>
      </c>
      <c r="B775" s="3">
        <v>8010520000</v>
      </c>
      <c r="C775" s="3" t="s">
        <v>701</v>
      </c>
      <c r="D775" s="4" t="s">
        <v>1291</v>
      </c>
    </row>
    <row r="776" spans="1:4" s="8" customFormat="1">
      <c r="A776" s="3" t="s">
        <v>10</v>
      </c>
      <c r="B776" s="3">
        <v>6951000001</v>
      </c>
      <c r="C776" s="3" t="s">
        <v>702</v>
      </c>
      <c r="D776" s="3" t="e">
        <v>#N/A</v>
      </c>
    </row>
    <row r="777" spans="1:4" s="8" customFormat="1">
      <c r="A777" s="3" t="s">
        <v>10</v>
      </c>
      <c r="B777" s="3">
        <v>6953200007</v>
      </c>
      <c r="C777" s="3" t="s">
        <v>703</v>
      </c>
      <c r="D777" s="4" t="s">
        <v>1292</v>
      </c>
    </row>
    <row r="778" spans="1:4" s="8" customFormat="1">
      <c r="A778" s="3" t="s">
        <v>10</v>
      </c>
      <c r="B778" s="3">
        <v>6952200002</v>
      </c>
      <c r="C778" s="3" t="s">
        <v>704</v>
      </c>
      <c r="D778" s="3" t="e">
        <v>#N/A</v>
      </c>
    </row>
    <row r="779" spans="1:4" s="8" customFormat="1">
      <c r="A779" s="3" t="s">
        <v>10</v>
      </c>
      <c r="B779" s="3">
        <v>6951200007</v>
      </c>
      <c r="C779" s="3" t="s">
        <v>705</v>
      </c>
      <c r="D779" s="4" t="s">
        <v>1293</v>
      </c>
    </row>
    <row r="780" spans="1:4" s="8" customFormat="1">
      <c r="A780" s="3" t="s">
        <v>10</v>
      </c>
      <c r="B780" s="3">
        <v>6952200001</v>
      </c>
      <c r="C780" s="3" t="s">
        <v>706</v>
      </c>
      <c r="D780" s="3" t="e">
        <v>#N/A</v>
      </c>
    </row>
    <row r="781" spans="1:4" s="8" customFormat="1">
      <c r="A781" s="3" t="s">
        <v>10</v>
      </c>
      <c r="B781" s="3">
        <v>6951200001</v>
      </c>
      <c r="C781" s="3" t="s">
        <v>707</v>
      </c>
      <c r="D781" s="3" t="e">
        <v>#N/A</v>
      </c>
    </row>
    <row r="782" spans="1:4" s="8" customFormat="1">
      <c r="A782" s="3" t="s">
        <v>10</v>
      </c>
      <c r="B782" s="3">
        <v>6930000001</v>
      </c>
      <c r="C782" s="3" t="s">
        <v>708</v>
      </c>
      <c r="D782" s="4" t="s">
        <v>1294</v>
      </c>
    </row>
    <row r="783" spans="1:4" s="8" customFormat="1">
      <c r="A783" s="3" t="s">
        <v>10</v>
      </c>
      <c r="B783" s="3">
        <v>6930000002</v>
      </c>
      <c r="C783" s="3" t="s">
        <v>709</v>
      </c>
      <c r="D783" s="4" t="s">
        <v>1295</v>
      </c>
    </row>
    <row r="784" spans="1:4" s="8" customFormat="1">
      <c r="A784" s="3" t="s">
        <v>10</v>
      </c>
      <c r="B784" s="3">
        <v>6930000003</v>
      </c>
      <c r="C784" s="3" t="s">
        <v>710</v>
      </c>
      <c r="D784" s="4" t="s">
        <v>1296</v>
      </c>
    </row>
    <row r="785" spans="1:4" s="8" customFormat="1">
      <c r="A785" s="3" t="s">
        <v>10</v>
      </c>
      <c r="B785" s="3">
        <v>6930100000</v>
      </c>
      <c r="C785" s="3" t="s">
        <v>711</v>
      </c>
      <c r="D785" s="4" t="s">
        <v>1297</v>
      </c>
    </row>
    <row r="786" spans="1:4" s="8" customFormat="1">
      <c r="A786" s="3" t="s">
        <v>10</v>
      </c>
      <c r="B786" s="3">
        <v>6930101500</v>
      </c>
      <c r="C786" s="3" t="s">
        <v>712</v>
      </c>
      <c r="D786" s="4" t="s">
        <v>1297</v>
      </c>
    </row>
    <row r="787" spans="1:4" s="8" customFormat="1">
      <c r="A787" s="3" t="s">
        <v>10</v>
      </c>
      <c r="B787" s="3">
        <v>6953000010</v>
      </c>
      <c r="C787" s="3" t="s">
        <v>713</v>
      </c>
      <c r="D787" s="3" t="e">
        <v>#N/A</v>
      </c>
    </row>
    <row r="788" spans="1:4" s="8" customFormat="1">
      <c r="A788" s="3" t="s">
        <v>8</v>
      </c>
      <c r="B788" s="3">
        <v>8420211010</v>
      </c>
      <c r="C788" s="3" t="s">
        <v>714</v>
      </c>
      <c r="D788" s="4" t="s">
        <v>1298</v>
      </c>
    </row>
    <row r="789" spans="1:4" s="8" customFormat="1">
      <c r="A789" s="3" t="s">
        <v>10</v>
      </c>
      <c r="B789" s="3">
        <v>6953200010</v>
      </c>
      <c r="C789" s="3" t="s">
        <v>715</v>
      </c>
      <c r="D789" s="3" t="e">
        <v>#N/A</v>
      </c>
    </row>
    <row r="790" spans="1:4" s="8" customFormat="1">
      <c r="A790" s="3" t="s">
        <v>8</v>
      </c>
      <c r="B790" s="3">
        <v>8420101030</v>
      </c>
      <c r="C790" s="3" t="s">
        <v>716</v>
      </c>
      <c r="D790" s="3" t="e">
        <v>#N/A</v>
      </c>
    </row>
    <row r="791" spans="1:4" s="8" customFormat="1">
      <c r="A791" s="3" t="s">
        <v>8</v>
      </c>
      <c r="B791" s="3">
        <v>8420201030</v>
      </c>
      <c r="C791" s="3" t="s">
        <v>717</v>
      </c>
      <c r="D791" s="3" t="e">
        <v>#N/A</v>
      </c>
    </row>
    <row r="792" spans="1:4" s="8" customFormat="1">
      <c r="A792" s="3" t="s">
        <v>8</v>
      </c>
      <c r="B792" s="3">
        <v>8470201080</v>
      </c>
      <c r="C792" s="3" t="s">
        <v>718</v>
      </c>
      <c r="D792" s="4" t="s">
        <v>1299</v>
      </c>
    </row>
    <row r="793" spans="1:4" s="8" customFormat="1">
      <c r="A793" s="3" t="s">
        <v>8</v>
      </c>
      <c r="B793" s="3">
        <v>8010520010</v>
      </c>
      <c r="C793" s="3" t="s">
        <v>719</v>
      </c>
      <c r="D793" s="4" t="s">
        <v>1300</v>
      </c>
    </row>
    <row r="794" spans="1:4" s="8" customFormat="1">
      <c r="A794" s="3" t="s">
        <v>8</v>
      </c>
      <c r="B794" s="3">
        <v>8010520001</v>
      </c>
      <c r="C794" s="3" t="s">
        <v>720</v>
      </c>
      <c r="D794" s="3" t="e">
        <v>#N/A</v>
      </c>
    </row>
    <row r="795" spans="1:4" s="8" customFormat="1">
      <c r="A795" s="3" t="s">
        <v>8</v>
      </c>
      <c r="B795" s="3">
        <v>8010520002</v>
      </c>
      <c r="C795" s="3" t="s">
        <v>721</v>
      </c>
      <c r="D795" s="3" t="e">
        <v>#N/A</v>
      </c>
    </row>
    <row r="796" spans="1:4" s="8" customFormat="1">
      <c r="A796" s="3" t="s">
        <v>8</v>
      </c>
      <c r="B796" s="3">
        <v>8010520020</v>
      </c>
      <c r="C796" s="3" t="s">
        <v>722</v>
      </c>
      <c r="D796" s="4" t="s">
        <v>1301</v>
      </c>
    </row>
    <row r="797" spans="1:4" s="8" customFormat="1">
      <c r="A797" s="3" t="s">
        <v>8</v>
      </c>
      <c r="B797" s="3">
        <v>8010520003</v>
      </c>
      <c r="C797" s="3" t="s">
        <v>723</v>
      </c>
      <c r="D797" s="3" t="e">
        <v>#N/A</v>
      </c>
    </row>
    <row r="798" spans="1:4" s="8" customFormat="1">
      <c r="A798" s="3" t="s">
        <v>8</v>
      </c>
      <c r="B798" s="3">
        <v>8200101010</v>
      </c>
      <c r="C798" s="3" t="s">
        <v>724</v>
      </c>
      <c r="D798" s="4" t="s">
        <v>1302</v>
      </c>
    </row>
    <row r="799" spans="1:4" s="8" customFormat="1">
      <c r="A799" s="3" t="s">
        <v>8</v>
      </c>
      <c r="B799" s="3">
        <v>8210102010</v>
      </c>
      <c r="C799" s="3" t="s">
        <v>725</v>
      </c>
      <c r="D799" s="4" t="s">
        <v>1303</v>
      </c>
    </row>
    <row r="800" spans="1:4" s="8" customFormat="1">
      <c r="A800" s="3" t="s">
        <v>8</v>
      </c>
      <c r="B800" s="3">
        <v>8200102010</v>
      </c>
      <c r="C800" s="3" t="s">
        <v>726</v>
      </c>
      <c r="D800" s="4" t="s">
        <v>1304</v>
      </c>
    </row>
    <row r="801" spans="1:4" s="8" customFormat="1">
      <c r="A801" s="3" t="s">
        <v>8</v>
      </c>
      <c r="B801" s="3">
        <v>8220105010</v>
      </c>
      <c r="C801" s="3" t="s">
        <v>727</v>
      </c>
      <c r="D801" s="4" t="s">
        <v>1305</v>
      </c>
    </row>
    <row r="802" spans="1:4" s="8" customFormat="1">
      <c r="A802" s="3" t="s">
        <v>8</v>
      </c>
      <c r="B802" s="3">
        <v>8220101020</v>
      </c>
      <c r="C802" s="3" t="s">
        <v>728</v>
      </c>
      <c r="D802" s="3" t="e">
        <v>#N/A</v>
      </c>
    </row>
    <row r="803" spans="1:4" s="8" customFormat="1">
      <c r="A803" s="3" t="s">
        <v>8</v>
      </c>
      <c r="B803" s="3">
        <v>8220101030</v>
      </c>
      <c r="C803" s="3" t="s">
        <v>729</v>
      </c>
      <c r="D803" s="3" t="e">
        <v>#N/A</v>
      </c>
    </row>
    <row r="804" spans="1:4" s="8" customFormat="1">
      <c r="A804" s="3" t="s">
        <v>8</v>
      </c>
      <c r="B804" s="3">
        <v>8220101010</v>
      </c>
      <c r="C804" s="3" t="s">
        <v>730</v>
      </c>
      <c r="D804" s="4" t="s">
        <v>1306</v>
      </c>
    </row>
    <row r="805" spans="1:4" s="8" customFormat="1">
      <c r="A805" s="3" t="s">
        <v>8</v>
      </c>
      <c r="B805" s="3">
        <v>8210201010</v>
      </c>
      <c r="C805" s="3" t="s">
        <v>731</v>
      </c>
      <c r="D805" s="4" t="s">
        <v>1307</v>
      </c>
    </row>
    <row r="806" spans="1:4" s="8" customFormat="1">
      <c r="A806" s="3" t="s">
        <v>4</v>
      </c>
      <c r="B806" s="3">
        <v>8220201010</v>
      </c>
      <c r="C806" s="3" t="s">
        <v>732</v>
      </c>
      <c r="D806" s="4" t="s">
        <v>1308</v>
      </c>
    </row>
    <row r="807" spans="1:4" s="8" customFormat="1">
      <c r="A807" s="3" t="s">
        <v>8</v>
      </c>
      <c r="B807" s="3">
        <v>8200150000</v>
      </c>
      <c r="C807" s="3" t="s">
        <v>733</v>
      </c>
      <c r="D807" s="4" t="s">
        <v>1309</v>
      </c>
    </row>
    <row r="808" spans="1:4" s="8" customFormat="1">
      <c r="A808" s="3" t="s">
        <v>4</v>
      </c>
      <c r="B808" s="3">
        <v>8480400000</v>
      </c>
      <c r="C808" s="3" t="s">
        <v>734</v>
      </c>
      <c r="D808" s="4" t="s">
        <v>1310</v>
      </c>
    </row>
    <row r="809" spans="1:4" s="8" customFormat="1">
      <c r="A809" s="3" t="s">
        <v>4</v>
      </c>
      <c r="B809" s="3">
        <v>8480300020</v>
      </c>
      <c r="C809" s="3" t="s">
        <v>735</v>
      </c>
      <c r="D809" s="4" t="s">
        <v>1311</v>
      </c>
    </row>
    <row r="810" spans="1:4" s="8" customFormat="1">
      <c r="A810" s="3" t="s">
        <v>8</v>
      </c>
      <c r="B810" s="3">
        <v>8320101010</v>
      </c>
      <c r="C810" s="3" t="s">
        <v>736</v>
      </c>
      <c r="D810" s="4" t="s">
        <v>1312</v>
      </c>
    </row>
    <row r="811" spans="1:4" s="8" customFormat="1">
      <c r="A811" s="3" t="s">
        <v>8</v>
      </c>
      <c r="B811" s="3">
        <v>8320106010</v>
      </c>
      <c r="C811" s="3" t="s">
        <v>737</v>
      </c>
      <c r="D811" s="4" t="s">
        <v>1313</v>
      </c>
    </row>
    <row r="812" spans="1:4" s="8" customFormat="1">
      <c r="A812" s="3" t="s">
        <v>10</v>
      </c>
      <c r="B812" s="3">
        <v>6970000202</v>
      </c>
      <c r="C812" s="3" t="s">
        <v>738</v>
      </c>
      <c r="D812" s="3" t="e">
        <v>#N/A</v>
      </c>
    </row>
    <row r="813" spans="1:4" s="8" customFormat="1">
      <c r="A813" s="3" t="s">
        <v>10</v>
      </c>
      <c r="B813" s="3">
        <v>6970200050</v>
      </c>
      <c r="C813" s="3" t="s">
        <v>739</v>
      </c>
      <c r="D813" s="3" t="e">
        <v>#N/A</v>
      </c>
    </row>
    <row r="814" spans="1:4" s="8" customFormat="1">
      <c r="A814" s="3" t="s">
        <v>10</v>
      </c>
      <c r="B814" s="3">
        <v>6970100020</v>
      </c>
      <c r="C814" s="3" t="s">
        <v>740</v>
      </c>
      <c r="D814" s="4" t="s">
        <v>1314</v>
      </c>
    </row>
    <row r="815" spans="1:4" s="8" customFormat="1">
      <c r="A815" s="3" t="s">
        <v>4</v>
      </c>
      <c r="B815" s="3">
        <v>6010000012</v>
      </c>
      <c r="C815" s="3" t="s">
        <v>741</v>
      </c>
      <c r="D815" s="3" t="e">
        <v>#N/A</v>
      </c>
    </row>
    <row r="816" spans="1:4" s="8" customFormat="1">
      <c r="A816" s="3" t="s">
        <v>10</v>
      </c>
      <c r="B816" s="3">
        <v>6972000000</v>
      </c>
      <c r="C816" s="3" t="s">
        <v>742</v>
      </c>
      <c r="D816" s="4" t="s">
        <v>1315</v>
      </c>
    </row>
    <row r="817" spans="1:4" s="8" customFormat="1">
      <c r="A817" s="3" t="s">
        <v>4</v>
      </c>
      <c r="B817" s="3">
        <v>7902001000</v>
      </c>
      <c r="C817" s="3" t="s">
        <v>743</v>
      </c>
      <c r="D817" s="4" t="s">
        <v>1316</v>
      </c>
    </row>
    <row r="818" spans="1:4" s="8" customFormat="1">
      <c r="A818" s="3" t="s">
        <v>8</v>
      </c>
      <c r="B818" s="3">
        <v>8470801010</v>
      </c>
      <c r="C818" s="3" t="s">
        <v>744</v>
      </c>
      <c r="D818" s="4" t="s">
        <v>1317</v>
      </c>
    </row>
    <row r="819" spans="1:4" s="8" customFormat="1">
      <c r="A819" s="3" t="s">
        <v>10</v>
      </c>
      <c r="B819" s="3">
        <v>6972200000</v>
      </c>
      <c r="C819" s="3" t="s">
        <v>745</v>
      </c>
      <c r="D819" s="4" t="s">
        <v>1318</v>
      </c>
    </row>
    <row r="820" spans="1:4" s="8" customFormat="1">
      <c r="A820" s="3" t="s">
        <v>10</v>
      </c>
      <c r="B820" s="3">
        <v>6972100000</v>
      </c>
      <c r="C820" s="3" t="s">
        <v>746</v>
      </c>
      <c r="D820" s="4" t="s">
        <v>1319</v>
      </c>
    </row>
    <row r="821" spans="1:4" s="8" customFormat="1">
      <c r="A821" s="3" t="s">
        <v>8</v>
      </c>
      <c r="B821" s="3">
        <v>8440101010</v>
      </c>
      <c r="C821" s="3" t="s">
        <v>747</v>
      </c>
      <c r="D821" s="4" t="s">
        <v>1320</v>
      </c>
    </row>
    <row r="822" spans="1:4" s="8" customFormat="1">
      <c r="A822" s="3" t="s">
        <v>8</v>
      </c>
      <c r="B822" s="3">
        <v>8470601020</v>
      </c>
      <c r="C822" s="3" t="s">
        <v>748</v>
      </c>
      <c r="D822" s="4" t="s">
        <v>1321</v>
      </c>
    </row>
    <row r="823" spans="1:4" s="8" customFormat="1">
      <c r="A823" s="3" t="s">
        <v>8</v>
      </c>
      <c r="B823" s="3">
        <v>8440102010</v>
      </c>
      <c r="C823" s="3" t="s">
        <v>749</v>
      </c>
      <c r="D823" s="4" t="s">
        <v>1322</v>
      </c>
    </row>
    <row r="824" spans="1:4" s="8" customFormat="1">
      <c r="A824" s="3" t="s">
        <v>8</v>
      </c>
      <c r="B824" s="3">
        <v>8100401010</v>
      </c>
      <c r="C824" s="3" t="s">
        <v>750</v>
      </c>
      <c r="D824" s="4" t="s">
        <v>1323</v>
      </c>
    </row>
    <row r="825" spans="1:4" s="8" customFormat="1">
      <c r="A825" s="3" t="s">
        <v>8</v>
      </c>
      <c r="B825" s="3">
        <v>8100201010</v>
      </c>
      <c r="C825" s="3" t="s">
        <v>751</v>
      </c>
      <c r="D825" s="4" t="s">
        <v>1324</v>
      </c>
    </row>
    <row r="826" spans="1:4" s="8" customFormat="1">
      <c r="A826" s="3" t="s">
        <v>8</v>
      </c>
      <c r="B826" s="3">
        <v>8110101010</v>
      </c>
      <c r="C826" s="3" t="s">
        <v>752</v>
      </c>
      <c r="D826" s="4" t="s">
        <v>1325</v>
      </c>
    </row>
    <row r="827" spans="1:4" s="8" customFormat="1">
      <c r="A827" s="3" t="s">
        <v>8</v>
      </c>
      <c r="B827" s="3">
        <v>8430201010</v>
      </c>
      <c r="C827" s="3" t="s">
        <v>753</v>
      </c>
      <c r="D827" s="4" t="s">
        <v>1326</v>
      </c>
    </row>
    <row r="828" spans="1:4" s="8" customFormat="1">
      <c r="A828" s="3" t="s">
        <v>8</v>
      </c>
      <c r="B828" s="3">
        <v>8430401010</v>
      </c>
      <c r="C828" s="3" t="s">
        <v>754</v>
      </c>
      <c r="D828" s="4" t="s">
        <v>1327</v>
      </c>
    </row>
    <row r="829" spans="1:4" s="8" customFormat="1">
      <c r="A829" s="3" t="s">
        <v>8</v>
      </c>
      <c r="B829" s="3">
        <v>8470301010</v>
      </c>
      <c r="C829" s="3" t="s">
        <v>755</v>
      </c>
      <c r="D829" s="4" t="s">
        <v>1328</v>
      </c>
    </row>
    <row r="830" spans="1:4" s="8" customFormat="1">
      <c r="A830" s="3" t="s">
        <v>8</v>
      </c>
      <c r="B830" s="3">
        <v>8450601010</v>
      </c>
      <c r="C830" s="3" t="s">
        <v>756</v>
      </c>
      <c r="D830" s="4" t="s">
        <v>1329</v>
      </c>
    </row>
    <row r="831" spans="1:4" s="8" customFormat="1">
      <c r="A831" s="3" t="s">
        <v>8</v>
      </c>
      <c r="B831" s="3">
        <v>8110102010</v>
      </c>
      <c r="C831" s="3" t="s">
        <v>757</v>
      </c>
      <c r="D831" s="4" t="s">
        <v>1330</v>
      </c>
    </row>
    <row r="832" spans="1:4" s="8" customFormat="1">
      <c r="A832" s="3" t="s">
        <v>8</v>
      </c>
      <c r="B832" s="3">
        <v>8470901070</v>
      </c>
      <c r="C832" s="3" t="s">
        <v>758</v>
      </c>
      <c r="D832" s="3" t="e">
        <v>#N/A</v>
      </c>
    </row>
    <row r="833" spans="1:4" s="8" customFormat="1">
      <c r="A833" s="3" t="s">
        <v>8</v>
      </c>
      <c r="B833" s="3">
        <v>8410103010</v>
      </c>
      <c r="C833" s="3" t="s">
        <v>759</v>
      </c>
      <c r="D833" s="4" t="s">
        <v>1331</v>
      </c>
    </row>
    <row r="834" spans="1:4" s="8" customFormat="1">
      <c r="A834" s="3" t="s">
        <v>8</v>
      </c>
      <c r="B834" s="3">
        <v>8430101010</v>
      </c>
      <c r="C834" s="3" t="s">
        <v>760</v>
      </c>
      <c r="D834" s="4" t="s">
        <v>1332</v>
      </c>
    </row>
    <row r="835" spans="1:4" s="8" customFormat="1">
      <c r="A835" s="3" t="s">
        <v>10</v>
      </c>
      <c r="B835" s="3">
        <v>6970000203</v>
      </c>
      <c r="C835" s="3" t="s">
        <v>761</v>
      </c>
      <c r="D835" s="3" t="e">
        <v>#N/A</v>
      </c>
    </row>
    <row r="836" spans="1:4" s="8" customFormat="1">
      <c r="A836" s="3" t="s">
        <v>10</v>
      </c>
      <c r="B836" s="3">
        <v>6970200003</v>
      </c>
      <c r="C836" s="3" t="s">
        <v>762</v>
      </c>
      <c r="D836" s="3" t="e">
        <v>#N/A</v>
      </c>
    </row>
    <row r="837" spans="1:4" s="8" customFormat="1">
      <c r="A837" s="3" t="s">
        <v>8</v>
      </c>
      <c r="B837" s="3">
        <v>8450101010</v>
      </c>
      <c r="C837" s="3" t="s">
        <v>763</v>
      </c>
      <c r="D837" s="4" t="s">
        <v>1333</v>
      </c>
    </row>
    <row r="838" spans="1:4" s="8" customFormat="1">
      <c r="A838" s="3" t="s">
        <v>4</v>
      </c>
      <c r="B838" s="3">
        <v>7902009010</v>
      </c>
      <c r="C838" s="3" t="s">
        <v>764</v>
      </c>
      <c r="D838" s="4" t="s">
        <v>1334</v>
      </c>
    </row>
    <row r="839" spans="1:4" s="8" customFormat="1">
      <c r="A839" s="3" t="s">
        <v>8</v>
      </c>
      <c r="B839" s="3">
        <v>8100301010</v>
      </c>
      <c r="C839" s="3" t="s">
        <v>765</v>
      </c>
      <c r="D839" s="4" t="s">
        <v>1335</v>
      </c>
    </row>
    <row r="840" spans="1:4" s="8" customFormat="1">
      <c r="A840" s="3" t="s">
        <v>8</v>
      </c>
      <c r="B840" s="3">
        <v>8450301010</v>
      </c>
      <c r="C840" s="3" t="s">
        <v>766</v>
      </c>
      <c r="D840" s="4" t="s">
        <v>1336</v>
      </c>
    </row>
    <row r="841" spans="1:4" s="8" customFormat="1">
      <c r="A841" s="3" t="s">
        <v>4</v>
      </c>
      <c r="B841" s="3">
        <v>7900000000</v>
      </c>
      <c r="C841" s="3" t="s">
        <v>767</v>
      </c>
      <c r="D841" s="4" t="s">
        <v>1337</v>
      </c>
    </row>
    <row r="842" spans="1:4" s="8" customFormat="1">
      <c r="A842" s="3" t="s">
        <v>4</v>
      </c>
      <c r="B842" s="3">
        <v>7900001500</v>
      </c>
      <c r="C842" s="3" t="s">
        <v>767</v>
      </c>
      <c r="D842" s="4" t="s">
        <v>1338</v>
      </c>
    </row>
    <row r="843" spans="1:4" s="8" customFormat="1">
      <c r="A843" s="3" t="s">
        <v>10</v>
      </c>
      <c r="B843" s="3">
        <v>7900000010</v>
      </c>
      <c r="C843" s="3" t="s">
        <v>768</v>
      </c>
      <c r="D843" s="3" t="e">
        <v>#N/A</v>
      </c>
    </row>
    <row r="844" spans="1:4" s="8" customFormat="1">
      <c r="A844" s="3" t="s">
        <v>8</v>
      </c>
      <c r="B844" s="3">
        <v>8470501010</v>
      </c>
      <c r="C844" s="3" t="s">
        <v>769</v>
      </c>
      <c r="D844" s="4" t="s">
        <v>1339</v>
      </c>
    </row>
    <row r="845" spans="1:4" s="8" customFormat="1">
      <c r="A845" s="3" t="s">
        <v>8</v>
      </c>
      <c r="B845" s="3">
        <v>8460101051</v>
      </c>
      <c r="C845" s="3" t="s">
        <v>770</v>
      </c>
      <c r="D845" s="3" t="e">
        <v>#N/A</v>
      </c>
    </row>
    <row r="846" spans="1:4" s="8" customFormat="1">
      <c r="A846" s="3" t="s">
        <v>8</v>
      </c>
      <c r="B846" s="3">
        <v>8470302010</v>
      </c>
      <c r="C846" s="3" t="s">
        <v>771</v>
      </c>
      <c r="D846" s="4" t="s">
        <v>1340</v>
      </c>
    </row>
    <row r="847" spans="1:4" s="8" customFormat="1">
      <c r="A847" s="3" t="s">
        <v>8</v>
      </c>
      <c r="B847" s="3">
        <v>8320211011</v>
      </c>
      <c r="C847" s="3" t="s">
        <v>772</v>
      </c>
      <c r="D847" s="3" t="e">
        <v>#N/A</v>
      </c>
    </row>
    <row r="848" spans="1:4" s="8" customFormat="1">
      <c r="A848" s="3" t="s">
        <v>10</v>
      </c>
      <c r="B848" s="3">
        <v>6910000167</v>
      </c>
      <c r="C848" s="3" t="s">
        <v>773</v>
      </c>
      <c r="D848" s="4" t="s">
        <v>1341</v>
      </c>
    </row>
    <row r="849" spans="1:4" s="8" customFormat="1">
      <c r="A849" s="3" t="s">
        <v>10</v>
      </c>
      <c r="B849" s="3">
        <v>6970000010</v>
      </c>
      <c r="C849" s="3" t="s">
        <v>774</v>
      </c>
      <c r="D849" s="4" t="s">
        <v>1342</v>
      </c>
    </row>
    <row r="850" spans="1:4" s="8" customFormat="1">
      <c r="A850" s="3" t="s">
        <v>4</v>
      </c>
      <c r="B850" s="3">
        <v>6010000013</v>
      </c>
      <c r="C850" s="3" t="s">
        <v>775</v>
      </c>
      <c r="D850" s="3" t="e">
        <v>#N/A</v>
      </c>
    </row>
    <row r="851" spans="1:4" s="8" customFormat="1">
      <c r="A851" s="3" t="s">
        <v>8</v>
      </c>
      <c r="B851" s="3">
        <v>8470904020</v>
      </c>
      <c r="C851" s="3" t="s">
        <v>776</v>
      </c>
      <c r="D851" s="4" t="s">
        <v>1343</v>
      </c>
    </row>
    <row r="852" spans="1:4" s="8" customFormat="1">
      <c r="A852" s="3" t="s">
        <v>8</v>
      </c>
      <c r="B852" s="3">
        <v>8450501014</v>
      </c>
      <c r="C852" s="3" t="s">
        <v>777</v>
      </c>
      <c r="D852" s="3" t="e">
        <v>#N/A</v>
      </c>
    </row>
    <row r="853" spans="1:4" s="8" customFormat="1">
      <c r="A853" s="3" t="s">
        <v>8</v>
      </c>
      <c r="B853" s="3">
        <v>8450001030</v>
      </c>
      <c r="C853" s="3" t="s">
        <v>778</v>
      </c>
      <c r="D853" s="4" t="s">
        <v>1344</v>
      </c>
    </row>
    <row r="854" spans="1:4" s="8" customFormat="1">
      <c r="A854" s="3" t="s">
        <v>8</v>
      </c>
      <c r="B854" s="3">
        <v>8450010000</v>
      </c>
      <c r="C854" s="3" t="s">
        <v>779</v>
      </c>
      <c r="D854" s="4" t="s">
        <v>1345</v>
      </c>
    </row>
    <row r="855" spans="1:4" s="8" customFormat="1">
      <c r="A855" s="3" t="s">
        <v>10</v>
      </c>
      <c r="B855" s="3">
        <v>6956020020</v>
      </c>
      <c r="C855" s="3" t="s">
        <v>780</v>
      </c>
      <c r="D855" s="3" t="e">
        <v>#N/A</v>
      </c>
    </row>
    <row r="856" spans="1:4" s="8" customFormat="1">
      <c r="A856" s="3" t="s">
        <v>8</v>
      </c>
      <c r="B856" s="3">
        <v>8320211010</v>
      </c>
      <c r="C856" s="3" t="s">
        <v>781</v>
      </c>
      <c r="D856" s="4" t="s">
        <v>1346</v>
      </c>
    </row>
    <row r="857" spans="1:4" s="8" customFormat="1">
      <c r="A857" s="3" t="s">
        <v>8</v>
      </c>
      <c r="B857" s="3">
        <v>8320305010</v>
      </c>
      <c r="C857" s="3" t="s">
        <v>782</v>
      </c>
      <c r="D857" s="4" t="s">
        <v>1347</v>
      </c>
    </row>
    <row r="858" spans="1:4" s="8" customFormat="1">
      <c r="A858" s="3" t="s">
        <v>10</v>
      </c>
      <c r="B858" s="3">
        <v>6910200167</v>
      </c>
      <c r="C858" s="3" t="s">
        <v>783</v>
      </c>
      <c r="D858" s="4" t="s">
        <v>1348</v>
      </c>
    </row>
    <row r="859" spans="1:4" s="8" customFormat="1">
      <c r="A859" s="3" t="s">
        <v>10</v>
      </c>
      <c r="B859" s="3">
        <v>6956220020</v>
      </c>
      <c r="C859" s="3" t="s">
        <v>784</v>
      </c>
      <c r="D859" s="3" t="e">
        <v>#N/A</v>
      </c>
    </row>
    <row r="860" spans="1:4" s="8" customFormat="1">
      <c r="A860" s="3" t="s">
        <v>8</v>
      </c>
      <c r="B860" s="3">
        <v>8450020000</v>
      </c>
      <c r="C860" s="3" t="s">
        <v>785</v>
      </c>
      <c r="D860" s="4" t="s">
        <v>1349</v>
      </c>
    </row>
    <row r="861" spans="1:4" s="8" customFormat="1">
      <c r="A861" s="3" t="s">
        <v>10</v>
      </c>
      <c r="B861" s="3">
        <v>6600100081</v>
      </c>
      <c r="C861" s="3" t="s">
        <v>786</v>
      </c>
      <c r="D861" s="3" t="e">
        <v>#N/A</v>
      </c>
    </row>
    <row r="862" spans="1:4" s="8" customFormat="1">
      <c r="A862" s="3" t="s">
        <v>8</v>
      </c>
      <c r="B862" s="3">
        <v>8470901080</v>
      </c>
      <c r="C862" s="3" t="s">
        <v>787</v>
      </c>
      <c r="D862" s="3" t="e">
        <v>#N/A</v>
      </c>
    </row>
    <row r="863" spans="1:4" s="8" customFormat="1">
      <c r="A863" s="3" t="s">
        <v>8</v>
      </c>
      <c r="B863" s="3">
        <v>8450001060</v>
      </c>
      <c r="C863" s="3" t="s">
        <v>788</v>
      </c>
      <c r="D863" s="4" t="s">
        <v>1350</v>
      </c>
    </row>
    <row r="864" spans="1:4" s="8" customFormat="1">
      <c r="A864" s="3" t="s">
        <v>10</v>
      </c>
      <c r="B864" s="3">
        <v>6970200020</v>
      </c>
      <c r="C864" s="3" t="s">
        <v>789</v>
      </c>
      <c r="D864" s="4" t="s">
        <v>1351</v>
      </c>
    </row>
    <row r="865" spans="1:4" s="8" customFormat="1">
      <c r="A865" s="3" t="s">
        <v>10</v>
      </c>
      <c r="B865" s="3">
        <v>6972000010</v>
      </c>
      <c r="C865" s="3" t="s">
        <v>790</v>
      </c>
      <c r="D865" s="4" t="s">
        <v>1352</v>
      </c>
    </row>
    <row r="866" spans="1:4" s="8" customFormat="1">
      <c r="A866" s="3" t="s">
        <v>10</v>
      </c>
      <c r="B866" s="3">
        <v>6972200010</v>
      </c>
      <c r="C866" s="3" t="s">
        <v>791</v>
      </c>
      <c r="D866" s="3" t="e">
        <v>#N/A</v>
      </c>
    </row>
    <row r="867" spans="1:4" s="8" customFormat="1">
      <c r="A867" s="3" t="s">
        <v>8</v>
      </c>
      <c r="B867" s="3">
        <v>8701000000</v>
      </c>
      <c r="C867" s="3" t="s">
        <v>792</v>
      </c>
      <c r="D867" s="4" t="s">
        <v>1353</v>
      </c>
    </row>
    <row r="868" spans="1:4" s="8" customFormat="1">
      <c r="A868" s="3" t="s">
        <v>8</v>
      </c>
      <c r="B868" s="3">
        <v>8450040000</v>
      </c>
      <c r="C868" s="3" t="s">
        <v>793</v>
      </c>
      <c r="D868" s="4" t="s">
        <v>1354</v>
      </c>
    </row>
    <row r="869" spans="1:4" s="8" customFormat="1">
      <c r="A869" s="3" t="s">
        <v>4</v>
      </c>
      <c r="B869" s="3">
        <v>6010000070</v>
      </c>
      <c r="C869" s="3" t="s">
        <v>794</v>
      </c>
      <c r="D869" s="3" t="e">
        <v>#N/A</v>
      </c>
    </row>
    <row r="870" spans="1:4" s="8" customFormat="1">
      <c r="A870" s="3" t="s">
        <v>8</v>
      </c>
      <c r="B870" s="3">
        <v>8450501015</v>
      </c>
      <c r="C870" s="3" t="s">
        <v>795</v>
      </c>
      <c r="D870" s="3" t="e">
        <v>#N/A</v>
      </c>
    </row>
    <row r="871" spans="1:4" s="8" customFormat="1">
      <c r="A871" s="3" t="s">
        <v>8</v>
      </c>
      <c r="B871" s="3">
        <v>8460101052</v>
      </c>
      <c r="C871" s="3" t="s">
        <v>796</v>
      </c>
      <c r="D871" s="3" t="e">
        <v>#N/A</v>
      </c>
    </row>
    <row r="872" spans="1:4" s="8" customFormat="1">
      <c r="A872" s="3" t="s">
        <v>10</v>
      </c>
      <c r="B872" s="3">
        <v>6970000200</v>
      </c>
      <c r="C872" s="3" t="s">
        <v>797</v>
      </c>
      <c r="D872" s="3" t="e">
        <v>#N/A</v>
      </c>
    </row>
    <row r="873" spans="1:4" s="8" customFormat="1">
      <c r="A873" s="3" t="s">
        <v>10</v>
      </c>
      <c r="B873" s="3">
        <v>6970100200</v>
      </c>
      <c r="C873" s="3" t="s">
        <v>798</v>
      </c>
      <c r="D873" s="3" t="e">
        <v>#N/A</v>
      </c>
    </row>
    <row r="874" spans="1:4" s="8" customFormat="1">
      <c r="A874" s="3" t="s">
        <v>10</v>
      </c>
      <c r="B874" s="3">
        <v>6970200200</v>
      </c>
      <c r="C874" s="3" t="s">
        <v>799</v>
      </c>
      <c r="D874" s="3" t="e">
        <v>#N/A</v>
      </c>
    </row>
    <row r="875" spans="1:4" s="8" customFormat="1">
      <c r="A875" s="3" t="s">
        <v>10</v>
      </c>
      <c r="B875" s="3">
        <v>6970200080</v>
      </c>
      <c r="C875" s="3" t="s">
        <v>800</v>
      </c>
      <c r="D875" s="4" t="s">
        <v>1355</v>
      </c>
    </row>
    <row r="876" spans="1:4" s="8" customFormat="1">
      <c r="A876" s="3" t="s">
        <v>8</v>
      </c>
      <c r="B876" s="3">
        <v>8460101053</v>
      </c>
      <c r="C876" s="3" t="s">
        <v>801</v>
      </c>
      <c r="D876" s="3" t="e">
        <v>#N/A</v>
      </c>
    </row>
    <row r="877" spans="1:4" s="8" customFormat="1">
      <c r="A877" s="3" t="s">
        <v>10</v>
      </c>
      <c r="B877" s="3">
        <v>6970000600</v>
      </c>
      <c r="C877" s="3" t="s">
        <v>802</v>
      </c>
      <c r="D877" s="3" t="e">
        <v>#N/A</v>
      </c>
    </row>
    <row r="878" spans="1:4" s="8" customFormat="1">
      <c r="A878" s="3" t="s">
        <v>10</v>
      </c>
      <c r="B878" s="3">
        <v>6970100600</v>
      </c>
      <c r="C878" s="3" t="s">
        <v>803</v>
      </c>
      <c r="D878" s="3" t="e">
        <v>#N/A</v>
      </c>
    </row>
    <row r="879" spans="1:4" s="8" customFormat="1">
      <c r="A879" s="3" t="s">
        <v>10</v>
      </c>
      <c r="B879" s="3">
        <v>6970200600</v>
      </c>
      <c r="C879" s="3" t="s">
        <v>804</v>
      </c>
      <c r="D879" s="3" t="e">
        <v>#N/A</v>
      </c>
    </row>
    <row r="880" spans="1:4" s="8" customFormat="1">
      <c r="A880" s="3" t="s">
        <v>8</v>
      </c>
      <c r="B880" s="3">
        <v>8450501016</v>
      </c>
      <c r="C880" s="3" t="s">
        <v>805</v>
      </c>
      <c r="D880" s="3" t="e">
        <v>#N/A</v>
      </c>
    </row>
    <row r="881" spans="1:4" s="8" customFormat="1">
      <c r="A881" s="3" t="s">
        <v>8</v>
      </c>
      <c r="B881" s="3">
        <v>6901030000</v>
      </c>
      <c r="C881" s="3" t="s">
        <v>806</v>
      </c>
      <c r="D881" s="4" t="s">
        <v>1356</v>
      </c>
    </row>
    <row r="882" spans="1:4" s="8" customFormat="1">
      <c r="A882" s="3" t="s">
        <v>8</v>
      </c>
      <c r="B882" s="3">
        <v>8450501017</v>
      </c>
      <c r="C882" s="3" t="s">
        <v>807</v>
      </c>
      <c r="D882" s="3" t="e">
        <v>#N/A</v>
      </c>
    </row>
    <row r="883" spans="1:4" s="8" customFormat="1">
      <c r="A883" s="3" t="s">
        <v>3</v>
      </c>
      <c r="B883" s="3">
        <v>6602100000</v>
      </c>
      <c r="C883" s="3" t="s">
        <v>808</v>
      </c>
      <c r="D883" s="4" t="s">
        <v>1357</v>
      </c>
    </row>
    <row r="884" spans="1:4" s="8" customFormat="1">
      <c r="A884" s="3" t="s">
        <v>3</v>
      </c>
      <c r="B884" s="3">
        <v>5022010000</v>
      </c>
      <c r="C884" s="3" t="s">
        <v>809</v>
      </c>
      <c r="D884" s="4" t="s">
        <v>1358</v>
      </c>
    </row>
    <row r="885" spans="1:4" s="8" customFormat="1">
      <c r="A885" s="3" t="s">
        <v>3</v>
      </c>
      <c r="B885" s="3">
        <v>5022110000</v>
      </c>
      <c r="C885" s="3" t="s">
        <v>810</v>
      </c>
      <c r="D885" s="4" t="s">
        <v>1359</v>
      </c>
    </row>
    <row r="886" spans="1:4" s="8" customFormat="1">
      <c r="A886" s="3" t="s">
        <v>3</v>
      </c>
      <c r="B886" s="3">
        <v>5022210000</v>
      </c>
      <c r="C886" s="3" t="s">
        <v>811</v>
      </c>
      <c r="D886" s="4" t="s">
        <v>1360</v>
      </c>
    </row>
    <row r="887" spans="1:4" s="8" customFormat="1">
      <c r="A887" s="3" t="s">
        <v>8</v>
      </c>
      <c r="B887" s="3">
        <v>8470501020</v>
      </c>
      <c r="C887" s="3" t="s">
        <v>812</v>
      </c>
      <c r="D887" s="3" t="e">
        <v>#N/A</v>
      </c>
    </row>
    <row r="888" spans="1:4" s="8" customFormat="1">
      <c r="A888" s="3" t="s">
        <v>2</v>
      </c>
      <c r="B888" s="3">
        <v>7043900000</v>
      </c>
      <c r="C888" s="3" t="s">
        <v>813</v>
      </c>
      <c r="D888" s="4" t="s">
        <v>1361</v>
      </c>
    </row>
    <row r="889" spans="1:4" s="8" customFormat="1">
      <c r="A889" s="3" t="s">
        <v>2</v>
      </c>
      <c r="B889" s="3">
        <v>7043910000</v>
      </c>
      <c r="C889" s="3" t="s">
        <v>813</v>
      </c>
      <c r="D889" s="4" t="s">
        <v>1362</v>
      </c>
    </row>
    <row r="890" spans="1:4" s="8" customFormat="1">
      <c r="A890" s="3" t="s">
        <v>2</v>
      </c>
      <c r="B890" s="3">
        <v>7043901500</v>
      </c>
      <c r="C890" s="3" t="s">
        <v>813</v>
      </c>
      <c r="D890" s="4" t="s">
        <v>1363</v>
      </c>
    </row>
    <row r="891" spans="1:4" s="8" customFormat="1">
      <c r="A891" s="3" t="s">
        <v>2</v>
      </c>
      <c r="B891" s="3">
        <v>7902001050</v>
      </c>
      <c r="C891" s="3" t="s">
        <v>814</v>
      </c>
      <c r="D891" s="3" t="e">
        <v>#N/A</v>
      </c>
    </row>
    <row r="892" spans="1:4" s="8" customFormat="1">
      <c r="A892" s="3" t="s">
        <v>2</v>
      </c>
      <c r="B892" s="3">
        <v>7043920000</v>
      </c>
      <c r="C892" s="3" t="s">
        <v>815</v>
      </c>
      <c r="D892" s="4" t="s">
        <v>1364</v>
      </c>
    </row>
    <row r="893" spans="1:4" s="8" customFormat="1">
      <c r="A893" s="3" t="s">
        <v>2</v>
      </c>
      <c r="B893" s="3">
        <v>7043930000</v>
      </c>
      <c r="C893" s="3" t="s">
        <v>815</v>
      </c>
      <c r="D893" s="4" t="s">
        <v>1365</v>
      </c>
    </row>
    <row r="894" spans="1:4" s="8" customFormat="1">
      <c r="A894" s="3" t="s">
        <v>4</v>
      </c>
      <c r="B894" s="3">
        <v>6600100071</v>
      </c>
      <c r="C894" s="3" t="s">
        <v>816</v>
      </c>
      <c r="D894" s="3" t="e">
        <v>#N/A</v>
      </c>
    </row>
    <row r="895" spans="1:4" s="8" customFormat="1">
      <c r="A895" s="3" t="s">
        <v>4</v>
      </c>
      <c r="B895" s="3">
        <v>8700001030</v>
      </c>
      <c r="C895" s="3" t="s">
        <v>817</v>
      </c>
      <c r="D895" s="4" t="s">
        <v>1366</v>
      </c>
    </row>
    <row r="896" spans="1:4" s="8" customFormat="1">
      <c r="A896" s="3" t="s">
        <v>4</v>
      </c>
      <c r="B896" s="3">
        <v>6600100060</v>
      </c>
      <c r="C896" s="3" t="s">
        <v>818</v>
      </c>
      <c r="D896" s="3" t="e">
        <v>#N/A</v>
      </c>
    </row>
    <row r="897" spans="1:4" s="8" customFormat="1">
      <c r="A897" s="3" t="s">
        <v>3</v>
      </c>
      <c r="B897" s="3">
        <v>7902001060</v>
      </c>
      <c r="C897" s="3" t="s">
        <v>819</v>
      </c>
      <c r="D897" s="3" t="e">
        <v>#N/A</v>
      </c>
    </row>
    <row r="898" spans="1:4" s="8" customFormat="1">
      <c r="A898" s="3" t="s">
        <v>3</v>
      </c>
      <c r="B898" s="3">
        <v>7902001061</v>
      </c>
      <c r="C898" s="3" t="s">
        <v>820</v>
      </c>
      <c r="D898" s="3" t="e">
        <v>#N/A</v>
      </c>
    </row>
    <row r="899" spans="1:4" s="8" customFormat="1">
      <c r="A899" s="3" t="s">
        <v>4</v>
      </c>
      <c r="B899" s="3">
        <v>5000000001</v>
      </c>
      <c r="C899" s="7" t="s">
        <v>821</v>
      </c>
      <c r="D899" s="7" t="e">
        <v>#N/A</v>
      </c>
    </row>
    <row r="900" spans="1:4" s="8" customFormat="1">
      <c r="A900" s="3" t="s">
        <v>4</v>
      </c>
      <c r="B900" s="3">
        <v>5000100001</v>
      </c>
      <c r="C900" s="7" t="s">
        <v>822</v>
      </c>
      <c r="D900" s="7" t="e">
        <v>#N/A</v>
      </c>
    </row>
    <row r="901" spans="1:4" s="8" customFormat="1">
      <c r="A901" s="3" t="s">
        <v>4</v>
      </c>
      <c r="B901" s="3">
        <v>5000200003</v>
      </c>
      <c r="C901" s="7" t="s">
        <v>823</v>
      </c>
      <c r="D901" s="7" t="e">
        <v>#N/A</v>
      </c>
    </row>
    <row r="902" spans="1:4" s="8" customFormat="1">
      <c r="A902" s="3" t="s">
        <v>4</v>
      </c>
      <c r="B902" s="3">
        <v>5000200010</v>
      </c>
      <c r="C902" s="7" t="s">
        <v>824</v>
      </c>
      <c r="D902" s="9" t="s">
        <v>1367</v>
      </c>
    </row>
    <row r="903" spans="1:4" s="8" customFormat="1">
      <c r="A903" s="3" t="s">
        <v>4</v>
      </c>
      <c r="B903" s="3">
        <v>5920000070</v>
      </c>
      <c r="C903" s="7" t="s">
        <v>825</v>
      </c>
      <c r="D903" s="7" t="e">
        <v>#N/A</v>
      </c>
    </row>
    <row r="904" spans="1:4" s="8" customFormat="1">
      <c r="A904" s="3" t="s">
        <v>10</v>
      </c>
      <c r="B904" s="3">
        <v>6600000030</v>
      </c>
      <c r="C904" s="7" t="s">
        <v>826</v>
      </c>
      <c r="D904" s="7" t="e">
        <v>#N/A</v>
      </c>
    </row>
    <row r="905" spans="1:4" s="8" customFormat="1">
      <c r="A905" s="3" t="s">
        <v>10</v>
      </c>
      <c r="B905" s="3">
        <v>6600100040</v>
      </c>
      <c r="C905" s="7" t="s">
        <v>827</v>
      </c>
      <c r="D905" s="7" t="e">
        <v>#N/A</v>
      </c>
    </row>
    <row r="906" spans="1:4" s="8" customFormat="1">
      <c r="A906" s="3" t="s">
        <v>10</v>
      </c>
      <c r="B906" s="3">
        <v>6600200030</v>
      </c>
      <c r="C906" s="7" t="s">
        <v>828</v>
      </c>
      <c r="D906" s="7" t="e">
        <v>#N/A</v>
      </c>
    </row>
    <row r="907" spans="1:4" s="8" customFormat="1">
      <c r="A907" s="3" t="s">
        <v>10</v>
      </c>
      <c r="B907" s="3">
        <v>6600100050</v>
      </c>
      <c r="C907" s="7" t="s">
        <v>829</v>
      </c>
      <c r="D907" s="7" t="e">
        <v>#N/A</v>
      </c>
    </row>
    <row r="908" spans="1:4" s="8" customFormat="1">
      <c r="A908" s="3" t="s">
        <v>10</v>
      </c>
      <c r="B908" s="3">
        <v>6900200052</v>
      </c>
      <c r="C908" s="7" t="s">
        <v>830</v>
      </c>
      <c r="D908" s="7" t="e">
        <v>#N/A</v>
      </c>
    </row>
    <row r="909" spans="1:4" s="8" customFormat="1">
      <c r="A909" s="3" t="s">
        <v>4</v>
      </c>
      <c r="B909" s="3">
        <v>6050100060</v>
      </c>
      <c r="C909" s="7" t="s">
        <v>831</v>
      </c>
      <c r="D909" s="7" t="e">
        <v>#N/A</v>
      </c>
    </row>
    <row r="910" spans="1:4" s="8" customFormat="1">
      <c r="A910" s="3" t="s">
        <v>4</v>
      </c>
      <c r="B910" s="3">
        <v>5920000001</v>
      </c>
      <c r="C910" s="7" t="s">
        <v>831</v>
      </c>
      <c r="D910" s="7" t="e">
        <v>#N/A</v>
      </c>
    </row>
    <row r="911" spans="1:4" s="8" customFormat="1">
      <c r="A911" s="3" t="s">
        <v>4</v>
      </c>
      <c r="B911" s="3">
        <v>6050100061</v>
      </c>
      <c r="C911" s="7" t="s">
        <v>832</v>
      </c>
      <c r="D911" s="7" t="e">
        <v>#N/A</v>
      </c>
    </row>
    <row r="912" spans="1:4" s="8" customFormat="1">
      <c r="A912" s="3" t="s">
        <v>4</v>
      </c>
      <c r="B912" s="3">
        <v>6050100062</v>
      </c>
      <c r="C912" s="7" t="s">
        <v>833</v>
      </c>
      <c r="D912" s="7" t="e">
        <v>#N/A</v>
      </c>
    </row>
    <row r="913" spans="1:4" s="8" customFormat="1">
      <c r="A913" s="3" t="s">
        <v>4</v>
      </c>
      <c r="B913" s="3">
        <v>6050100063</v>
      </c>
      <c r="C913" s="7" t="s">
        <v>834</v>
      </c>
      <c r="D913" s="7" t="e">
        <v>#N/A</v>
      </c>
    </row>
    <row r="914" spans="1:4" s="8" customFormat="1">
      <c r="A914" s="3" t="s">
        <v>4</v>
      </c>
      <c r="B914" s="3">
        <v>6100000060</v>
      </c>
      <c r="C914" s="7" t="s">
        <v>835</v>
      </c>
      <c r="D914" s="9" t="s">
        <v>1368</v>
      </c>
    </row>
    <row r="915" spans="1:4" s="8" customFormat="1">
      <c r="A915" s="3" t="s">
        <v>4</v>
      </c>
      <c r="B915" s="3">
        <v>6050200021</v>
      </c>
      <c r="C915" s="7" t="s">
        <v>836</v>
      </c>
      <c r="D915" s="9" t="s">
        <v>1369</v>
      </c>
    </row>
    <row r="916" spans="1:4" s="8" customFormat="1">
      <c r="A916" s="3" t="s">
        <v>4</v>
      </c>
      <c r="B916" s="3">
        <v>6050200028</v>
      </c>
      <c r="C916" s="7" t="s">
        <v>837</v>
      </c>
      <c r="D916" s="7" t="e">
        <v>#N/A</v>
      </c>
    </row>
    <row r="917" spans="1:4" s="8" customFormat="1">
      <c r="A917" s="3" t="s">
        <v>3</v>
      </c>
      <c r="B917" s="3">
        <v>6060110000</v>
      </c>
      <c r="C917" s="7" t="s">
        <v>838</v>
      </c>
      <c r="D917" s="9" t="s">
        <v>1370</v>
      </c>
    </row>
    <row r="918" spans="1:4" s="8" customFormat="1">
      <c r="A918" s="3" t="s">
        <v>4</v>
      </c>
      <c r="B918" s="3">
        <v>6100000061</v>
      </c>
      <c r="C918" s="7" t="s">
        <v>839</v>
      </c>
      <c r="D918" s="7" t="e">
        <v>#N/A</v>
      </c>
    </row>
    <row r="919" spans="1:4" s="8" customFormat="1">
      <c r="A919" s="3" t="s">
        <v>4</v>
      </c>
      <c r="B919" s="3">
        <v>6070300000</v>
      </c>
      <c r="C919" s="7" t="s">
        <v>840</v>
      </c>
      <c r="D919" s="9" t="s">
        <v>1371</v>
      </c>
    </row>
    <row r="920" spans="1:4" s="8" customFormat="1">
      <c r="A920" s="3" t="s">
        <v>4</v>
      </c>
      <c r="B920" s="3">
        <v>6070100001</v>
      </c>
      <c r="C920" s="3" t="s">
        <v>841</v>
      </c>
      <c r="D920" s="3" t="e">
        <v>#N/A</v>
      </c>
    </row>
    <row r="921" spans="1:4" s="8" customFormat="1">
      <c r="A921" s="3" t="s">
        <v>4</v>
      </c>
      <c r="B921" s="3">
        <v>6070100002</v>
      </c>
      <c r="C921" s="3" t="s">
        <v>842</v>
      </c>
      <c r="D921" s="3" t="e">
        <v>#N/A</v>
      </c>
    </row>
    <row r="922" spans="1:4" s="8" customFormat="1">
      <c r="A922" s="3" t="s">
        <v>3</v>
      </c>
      <c r="B922" s="3">
        <v>6070100003</v>
      </c>
      <c r="C922" s="3" t="s">
        <v>843</v>
      </c>
      <c r="D922" s="7" t="e">
        <v>#N/A</v>
      </c>
    </row>
    <row r="923" spans="1:4" s="8" customFormat="1">
      <c r="A923" s="3" t="s">
        <v>4</v>
      </c>
      <c r="B923" s="3">
        <v>6070300004</v>
      </c>
      <c r="C923" s="7" t="s">
        <v>844</v>
      </c>
      <c r="D923" s="7" t="e">
        <v>#N/A</v>
      </c>
    </row>
    <row r="924" spans="1:4" s="8" customFormat="1">
      <c r="A924" s="3" t="s">
        <v>3</v>
      </c>
      <c r="B924" s="3">
        <v>6150000000</v>
      </c>
      <c r="C924" s="7" t="s">
        <v>845</v>
      </c>
      <c r="D924" s="9" t="s">
        <v>1372</v>
      </c>
    </row>
    <row r="925" spans="1:4" s="8" customFormat="1">
      <c r="A925" s="3" t="s">
        <v>4</v>
      </c>
      <c r="B925" s="3">
        <v>5920000071</v>
      </c>
      <c r="C925" s="7" t="s">
        <v>846</v>
      </c>
      <c r="D925" s="7" t="e">
        <v>#N/A</v>
      </c>
    </row>
    <row r="926" spans="1:4" s="8" customFormat="1">
      <c r="A926" s="3" t="s">
        <v>4</v>
      </c>
      <c r="B926" s="3">
        <v>6050100064</v>
      </c>
      <c r="C926" s="7" t="s">
        <v>847</v>
      </c>
      <c r="D926" s="7" t="e">
        <v>#N/A</v>
      </c>
    </row>
    <row r="927" spans="1:4" s="8" customFormat="1">
      <c r="A927" s="3" t="s">
        <v>4</v>
      </c>
      <c r="B927" s="3">
        <v>6070300005</v>
      </c>
      <c r="C927" s="7" t="s">
        <v>848</v>
      </c>
      <c r="D927" s="7" t="e">
        <v>#N/A</v>
      </c>
    </row>
    <row r="928" spans="1:4" s="8" customFormat="1">
      <c r="A928" s="3" t="s">
        <v>3</v>
      </c>
      <c r="B928" s="3">
        <v>6180000020</v>
      </c>
      <c r="C928" s="7" t="s">
        <v>849</v>
      </c>
      <c r="D928" s="7" t="e">
        <v>#N/A</v>
      </c>
    </row>
    <row r="929" spans="1:4" s="8" customFormat="1">
      <c r="A929" s="3" t="s">
        <v>4</v>
      </c>
      <c r="B929" s="3">
        <v>6070100004</v>
      </c>
      <c r="C929" s="7" t="s">
        <v>850</v>
      </c>
      <c r="D929" s="7" t="e">
        <v>#N/A</v>
      </c>
    </row>
    <row r="930" spans="1:4" s="8" customFormat="1">
      <c r="A930" s="3" t="s">
        <v>4</v>
      </c>
      <c r="B930" s="3">
        <v>7590000000</v>
      </c>
      <c r="C930" s="3" t="s">
        <v>851</v>
      </c>
      <c r="D930" s="4" t="s">
        <v>1373</v>
      </c>
    </row>
    <row r="931" spans="1:4" s="8" customFormat="1">
      <c r="A931" s="3" t="s">
        <v>8</v>
      </c>
      <c r="B931" s="3">
        <v>8470101080</v>
      </c>
      <c r="C931" s="3" t="s">
        <v>852</v>
      </c>
      <c r="D931" s="4" t="s">
        <v>1374</v>
      </c>
    </row>
    <row r="932" spans="1:4" s="8" customFormat="1">
      <c r="A932" s="3" t="s">
        <v>8</v>
      </c>
      <c r="B932" s="3">
        <v>8470901050</v>
      </c>
      <c r="C932" s="3" t="s">
        <v>853</v>
      </c>
      <c r="D932" s="4" t="s">
        <v>1375</v>
      </c>
    </row>
    <row r="933" spans="1:4" s="8" customFormat="1">
      <c r="A933" s="3" t="s">
        <v>8</v>
      </c>
      <c r="B933" s="3">
        <v>8700002010</v>
      </c>
      <c r="C933" s="3" t="s">
        <v>854</v>
      </c>
      <c r="D933" s="4" t="s">
        <v>1376</v>
      </c>
    </row>
    <row r="934" spans="1:4" s="8" customFormat="1">
      <c r="A934" s="3" t="s">
        <v>4</v>
      </c>
      <c r="B934" s="3">
        <v>6010000080</v>
      </c>
      <c r="C934" s="3" t="s">
        <v>855</v>
      </c>
      <c r="D934" s="3" t="e">
        <v>#N/A</v>
      </c>
    </row>
    <row r="935" spans="1:4" s="8" customFormat="1">
      <c r="A935" s="3" t="s">
        <v>4</v>
      </c>
      <c r="B935" s="3">
        <v>6600100740</v>
      </c>
      <c r="C935" s="3" t="s">
        <v>856</v>
      </c>
      <c r="D935" s="3" t="e">
        <v>#N/A</v>
      </c>
    </row>
    <row r="936" spans="1:4" s="8" customFormat="1">
      <c r="A936" s="3" t="s">
        <v>4</v>
      </c>
      <c r="B936" s="3">
        <v>6050100210</v>
      </c>
      <c r="C936" s="3" t="s">
        <v>857</v>
      </c>
      <c r="D936" s="3" t="e">
        <v>#N/A</v>
      </c>
    </row>
    <row r="937" spans="1:4" s="8" customFormat="1">
      <c r="A937" s="3" t="s">
        <v>4</v>
      </c>
      <c r="B937" s="3">
        <v>6010000007</v>
      </c>
      <c r="C937" s="3" t="s">
        <v>858</v>
      </c>
      <c r="D937" s="4" t="s">
        <v>1377</v>
      </c>
    </row>
    <row r="938" spans="1:4" s="8" customFormat="1">
      <c r="A938" s="3" t="s">
        <v>4</v>
      </c>
      <c r="B938" s="3">
        <v>6050000041</v>
      </c>
      <c r="C938" s="3" t="s">
        <v>859</v>
      </c>
      <c r="D938" s="3" t="e">
        <v>#N/A</v>
      </c>
    </row>
    <row r="939" spans="1:4" s="8" customFormat="1">
      <c r="A939" s="3" t="s">
        <v>4</v>
      </c>
      <c r="B939" s="3">
        <v>6050100211</v>
      </c>
      <c r="C939" s="3" t="s">
        <v>860</v>
      </c>
      <c r="D939" s="3" t="e">
        <v>#N/A</v>
      </c>
    </row>
    <row r="940" spans="1:4" s="8" customFormat="1">
      <c r="A940" s="3" t="s">
        <v>4</v>
      </c>
      <c r="B940" s="3">
        <v>6050200030</v>
      </c>
      <c r="C940" s="3" t="s">
        <v>861</v>
      </c>
      <c r="D940" s="3" t="e">
        <v>#N/A</v>
      </c>
    </row>
    <row r="941" spans="1:4" s="8" customFormat="1">
      <c r="A941" s="3" t="s">
        <v>4</v>
      </c>
      <c r="B941" s="3">
        <v>6050000042</v>
      </c>
      <c r="C941" s="3" t="s">
        <v>862</v>
      </c>
      <c r="D941" s="3" t="e">
        <v>#N/A</v>
      </c>
    </row>
    <row r="942" spans="1:4" s="8" customFormat="1">
      <c r="A942" s="3" t="s">
        <v>10</v>
      </c>
      <c r="B942" s="3">
        <v>6970000206</v>
      </c>
      <c r="C942" s="3" t="s">
        <v>863</v>
      </c>
      <c r="D942" s="3" t="e">
        <v>#N/A</v>
      </c>
    </row>
    <row r="943" spans="1:4" s="8" customFormat="1">
      <c r="A943" s="3" t="s">
        <v>7</v>
      </c>
      <c r="B943" s="3">
        <v>8810000000</v>
      </c>
      <c r="C943" s="3" t="s">
        <v>864</v>
      </c>
      <c r="D943" s="4" t="s">
        <v>1378</v>
      </c>
    </row>
    <row r="944" spans="1:4" s="8" customFormat="1">
      <c r="A944" s="3" t="s">
        <v>7</v>
      </c>
      <c r="B944" s="3">
        <v>8810100000</v>
      </c>
      <c r="C944" s="3" t="s">
        <v>865</v>
      </c>
      <c r="D944" s="4" t="s">
        <v>1379</v>
      </c>
    </row>
    <row r="945" spans="1:4" s="8" customFormat="1">
      <c r="A945" s="3" t="s">
        <v>7</v>
      </c>
      <c r="B945" s="3">
        <v>8812000000</v>
      </c>
      <c r="C945" s="3" t="s">
        <v>866</v>
      </c>
      <c r="D945" s="4" t="s">
        <v>1380</v>
      </c>
    </row>
    <row r="946" spans="1:4" s="8" customFormat="1">
      <c r="A946" s="3" t="s">
        <v>7</v>
      </c>
      <c r="B946" s="3">
        <v>8820000000</v>
      </c>
      <c r="C946" s="3" t="s">
        <v>867</v>
      </c>
      <c r="D946" s="4" t="s">
        <v>1381</v>
      </c>
    </row>
    <row r="947" spans="1:4" s="8" customFormat="1">
      <c r="A947" s="3" t="s">
        <v>7</v>
      </c>
      <c r="B947" s="3">
        <v>8820100000</v>
      </c>
      <c r="C947" s="3" t="s">
        <v>868</v>
      </c>
      <c r="D947" s="4" t="s">
        <v>1382</v>
      </c>
    </row>
    <row r="948" spans="1:4" s="8" customFormat="1">
      <c r="A948" s="3" t="s">
        <v>7</v>
      </c>
      <c r="B948" s="3">
        <v>8822000000</v>
      </c>
      <c r="C948" s="3" t="s">
        <v>869</v>
      </c>
      <c r="D948" s="4" t="s">
        <v>1383</v>
      </c>
    </row>
    <row r="949" spans="1:4" s="8" customFormat="1">
      <c r="A949" s="3" t="s">
        <v>2</v>
      </c>
      <c r="B949" s="3" t="s">
        <v>11</v>
      </c>
      <c r="C949" s="3" t="s">
        <v>870</v>
      </c>
      <c r="D949" s="3" t="e">
        <v>#N/A</v>
      </c>
    </row>
    <row r="950" spans="1:4" s="8" customFormat="1">
      <c r="A950" s="3" t="s">
        <v>2</v>
      </c>
      <c r="B950" s="3" t="s">
        <v>12</v>
      </c>
      <c r="C950" s="3" t="s">
        <v>871</v>
      </c>
      <c r="D950" s="3" t="e">
        <v>#N/A</v>
      </c>
    </row>
    <row r="951" spans="1:4" s="8" customFormat="1">
      <c r="A951" s="3" t="s">
        <v>2</v>
      </c>
      <c r="B951" s="3" t="s">
        <v>13</v>
      </c>
      <c r="C951" s="3" t="s">
        <v>872</v>
      </c>
      <c r="D951" s="3" t="e">
        <v>#N/A</v>
      </c>
    </row>
    <row r="952" spans="1:4" s="8" customFormat="1">
      <c r="A952" s="3" t="s">
        <v>5</v>
      </c>
      <c r="B952" s="3">
        <v>3812000000</v>
      </c>
      <c r="C952" s="3" t="s">
        <v>873</v>
      </c>
      <c r="D952" s="4" t="s">
        <v>1384</v>
      </c>
    </row>
    <row r="953" spans="1:4" s="8" customFormat="1">
      <c r="A953" s="3" t="s">
        <v>5</v>
      </c>
      <c r="B953" s="3">
        <v>6102000020</v>
      </c>
      <c r="C953" s="3" t="s">
        <v>874</v>
      </c>
      <c r="D953" s="4" t="s">
        <v>1385</v>
      </c>
    </row>
    <row r="954" spans="1:4" s="8" customFormat="1" ht="14.25">
      <c r="A954" s="3" t="s">
        <v>4</v>
      </c>
      <c r="B954" s="7">
        <v>7470000000</v>
      </c>
      <c r="C954" s="10"/>
      <c r="D954" s="4" t="s">
        <v>1386</v>
      </c>
    </row>
    <row r="955" spans="1:4" s="8" customFormat="1" ht="14.25">
      <c r="A955" s="3" t="s">
        <v>4</v>
      </c>
      <c r="B955" s="7">
        <v>7474000000</v>
      </c>
      <c r="C955" s="10"/>
      <c r="D955" s="4" t="s">
        <v>1387</v>
      </c>
    </row>
    <row r="956" spans="1:4" s="8" customFormat="1" ht="14.25">
      <c r="A956" s="3" t="s">
        <v>4</v>
      </c>
      <c r="B956" s="7">
        <v>7475000000</v>
      </c>
      <c r="C956" s="10"/>
      <c r="D956" s="4" t="s">
        <v>1388</v>
      </c>
    </row>
    <row r="957" spans="1:4" s="8" customFormat="1" ht="14.25">
      <c r="A957" s="3" t="s">
        <v>4</v>
      </c>
      <c r="B957" s="7">
        <v>8820010000</v>
      </c>
      <c r="C957" s="10"/>
      <c r="D957" s="4" t="s">
        <v>1389</v>
      </c>
    </row>
    <row r="958" spans="1:4" s="8" customFormat="1" ht="14.25">
      <c r="A958" s="3" t="s">
        <v>4</v>
      </c>
      <c r="B958" s="7">
        <v>8820300000</v>
      </c>
      <c r="C958" s="10"/>
      <c r="D958" s="4" t="s">
        <v>1390</v>
      </c>
    </row>
    <row r="959" spans="1:4" s="8" customFormat="1" ht="14.25">
      <c r="A959" s="3" t="s">
        <v>4</v>
      </c>
      <c r="B959" s="7">
        <v>6120010000</v>
      </c>
      <c r="C959" s="10"/>
      <c r="D959" s="4" t="s">
        <v>1391</v>
      </c>
    </row>
    <row r="960" spans="1:4" s="8" customFormat="1" ht="14.25">
      <c r="A960" s="3" t="s">
        <v>4</v>
      </c>
      <c r="B960" s="7">
        <v>6120050000</v>
      </c>
      <c r="C960" s="10"/>
      <c r="D960" s="4" t="s">
        <v>1392</v>
      </c>
    </row>
    <row r="961" spans="1:4" s="8" customFormat="1" ht="14.25">
      <c r="A961" s="3" t="s">
        <v>4</v>
      </c>
      <c r="B961" s="7">
        <v>6121200000</v>
      </c>
      <c r="C961" s="10"/>
      <c r="D961" s="4" t="s">
        <v>1393</v>
      </c>
    </row>
    <row r="962" spans="1:4" s="8" customFormat="1" ht="14.25">
      <c r="A962" s="3" t="s">
        <v>4</v>
      </c>
      <c r="B962" s="7">
        <v>4032012000</v>
      </c>
      <c r="C962" s="10"/>
      <c r="D962" s="4" t="s">
        <v>1394</v>
      </c>
    </row>
    <row r="963" spans="1:4" s="8" customFormat="1" ht="14.25">
      <c r="A963" s="3" t="s">
        <v>4</v>
      </c>
      <c r="B963" s="7">
        <v>7043940000</v>
      </c>
      <c r="C963" s="10"/>
      <c r="D963" s="4" t="s">
        <v>1395</v>
      </c>
    </row>
    <row r="964" spans="1:4" s="8" customFormat="1" ht="14.25">
      <c r="A964" s="3" t="s">
        <v>4</v>
      </c>
      <c r="B964" s="7">
        <v>7043950000</v>
      </c>
      <c r="C964" s="10"/>
      <c r="D964" s="4" t="s">
        <v>1396</v>
      </c>
    </row>
    <row r="965" spans="1:4" s="8" customFormat="1" ht="14.25">
      <c r="A965" s="3" t="s">
        <v>4</v>
      </c>
      <c r="B965" s="7">
        <v>7043960000</v>
      </c>
      <c r="C965" s="10"/>
      <c r="D965" s="4" t="s">
        <v>1397</v>
      </c>
    </row>
    <row r="966" spans="1:4" s="8" customFormat="1" ht="14.25">
      <c r="A966" s="3" t="s">
        <v>4</v>
      </c>
      <c r="B966" s="7">
        <v>7043970000</v>
      </c>
      <c r="C966" s="10"/>
      <c r="D966" s="4" t="s">
        <v>1398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R418"/>
  <sheetViews>
    <sheetView workbookViewId="0">
      <selection activeCell="B11" sqref="B11"/>
    </sheetView>
  </sheetViews>
  <sheetFormatPr defaultColWidth="7.875" defaultRowHeight="12.75"/>
  <cols>
    <col min="1" max="1" width="40.625" style="62" customWidth="1"/>
    <col min="2" max="2" width="28.875" style="72" customWidth="1"/>
    <col min="3" max="3" width="3.375" style="62" customWidth="1"/>
    <col min="4" max="4" width="7.75" style="62" customWidth="1"/>
    <col min="5" max="5" width="12.25" style="62" customWidth="1"/>
    <col min="6" max="6" width="14.625" style="62" customWidth="1"/>
    <col min="7" max="7" width="12.625" style="62" customWidth="1"/>
    <col min="8" max="8" width="26.5" style="62" customWidth="1"/>
    <col min="9" max="9" width="7.875" style="62"/>
    <col min="10" max="11" width="15.625" style="68" customWidth="1"/>
    <col min="12" max="12" width="42" style="68" customWidth="1"/>
    <col min="13" max="13" width="9.375" style="68" customWidth="1"/>
    <col min="14" max="14" width="28" style="62" customWidth="1"/>
    <col min="15" max="15" width="7.875" style="62"/>
    <col min="16" max="16" width="5.375" style="62" customWidth="1"/>
    <col min="17" max="17" width="31.875" style="62" customWidth="1"/>
    <col min="18" max="18" width="7.5" style="62" customWidth="1"/>
    <col min="19" max="16384" width="7.875" style="62"/>
  </cols>
  <sheetData>
    <row r="1" spans="1:18" s="60" customFormat="1" ht="25.5">
      <c r="A1" s="59" t="s">
        <v>3558</v>
      </c>
      <c r="B1" s="69" t="s">
        <v>3559</v>
      </c>
      <c r="D1" s="59" t="s">
        <v>3560</v>
      </c>
      <c r="E1" s="59" t="s">
        <v>3561</v>
      </c>
      <c r="F1" s="59" t="s">
        <v>3562</v>
      </c>
      <c r="G1" s="59" t="s">
        <v>3563</v>
      </c>
      <c r="H1" s="59" t="s">
        <v>3564</v>
      </c>
      <c r="J1" s="59" t="s">
        <v>3565</v>
      </c>
      <c r="K1" s="59" t="s">
        <v>3566</v>
      </c>
      <c r="L1" s="59" t="s">
        <v>3567</v>
      </c>
      <c r="M1" s="59" t="s">
        <v>3568</v>
      </c>
      <c r="N1" s="59" t="s">
        <v>3569</v>
      </c>
      <c r="P1" s="59" t="s">
        <v>3570</v>
      </c>
      <c r="Q1" s="59" t="s">
        <v>3571</v>
      </c>
      <c r="R1" s="59" t="s">
        <v>3572</v>
      </c>
    </row>
    <row r="2" spans="1:18">
      <c r="A2" s="61" t="s">
        <v>3573</v>
      </c>
      <c r="B2" s="70" t="s">
        <v>3574</v>
      </c>
      <c r="D2" s="63" t="s">
        <v>3575</v>
      </c>
      <c r="E2" s="63" t="s">
        <v>3576</v>
      </c>
      <c r="F2" s="63" t="s">
        <v>3577</v>
      </c>
      <c r="G2" s="63" t="s">
        <v>3578</v>
      </c>
      <c r="H2" s="63" t="s">
        <v>3579</v>
      </c>
      <c r="J2" s="64" t="s">
        <v>3580</v>
      </c>
      <c r="K2" s="64" t="s">
        <v>3581</v>
      </c>
      <c r="L2" s="64" t="s">
        <v>3582</v>
      </c>
      <c r="M2" s="64" t="s">
        <v>3583</v>
      </c>
      <c r="N2" s="62" t="s">
        <v>3584</v>
      </c>
      <c r="P2" s="65" t="s">
        <v>3585</v>
      </c>
      <c r="Q2" s="65" t="s">
        <v>3586</v>
      </c>
      <c r="R2" s="65" t="s">
        <v>3587</v>
      </c>
    </row>
    <row r="3" spans="1:18">
      <c r="A3" s="61" t="s">
        <v>3588</v>
      </c>
      <c r="B3" s="70" t="s">
        <v>3589</v>
      </c>
      <c r="D3" s="63" t="s">
        <v>3575</v>
      </c>
      <c r="E3" s="63" t="s">
        <v>3590</v>
      </c>
      <c r="F3" s="63" t="s">
        <v>3591</v>
      </c>
      <c r="G3" s="63" t="s">
        <v>3592</v>
      </c>
      <c r="H3" s="63" t="s">
        <v>3593</v>
      </c>
      <c r="J3" s="64" t="s">
        <v>3594</v>
      </c>
      <c r="K3" s="64" t="s">
        <v>3581</v>
      </c>
      <c r="L3" s="64" t="s">
        <v>3595</v>
      </c>
      <c r="M3" s="64" t="s">
        <v>3596</v>
      </c>
      <c r="N3" s="62" t="s">
        <v>3597</v>
      </c>
      <c r="P3" s="65" t="s">
        <v>3598</v>
      </c>
      <c r="Q3" s="66" t="s">
        <v>3599</v>
      </c>
      <c r="R3" s="65" t="s">
        <v>3587</v>
      </c>
    </row>
    <row r="4" spans="1:18">
      <c r="A4" s="61" t="s">
        <v>3600</v>
      </c>
      <c r="B4" s="70" t="s">
        <v>3601</v>
      </c>
      <c r="D4" s="63" t="s">
        <v>3575</v>
      </c>
      <c r="E4" s="63" t="s">
        <v>3602</v>
      </c>
      <c r="F4" s="63" t="s">
        <v>3603</v>
      </c>
      <c r="G4" s="63" t="s">
        <v>3604</v>
      </c>
      <c r="H4" s="63" t="s">
        <v>3605</v>
      </c>
      <c r="J4" s="64" t="s">
        <v>3606</v>
      </c>
      <c r="K4" s="64" t="s">
        <v>3581</v>
      </c>
      <c r="L4" s="64" t="s">
        <v>3607</v>
      </c>
      <c r="M4" s="64" t="s">
        <v>3608</v>
      </c>
      <c r="N4" s="62" t="s">
        <v>3607</v>
      </c>
      <c r="P4" s="65" t="s">
        <v>3609</v>
      </c>
      <c r="Q4" s="66" t="s">
        <v>3610</v>
      </c>
      <c r="R4" s="65" t="s">
        <v>3587</v>
      </c>
    </row>
    <row r="5" spans="1:18">
      <c r="A5" s="61" t="s">
        <v>3611</v>
      </c>
      <c r="B5" s="70" t="s">
        <v>3612</v>
      </c>
      <c r="D5" s="63" t="s">
        <v>3575</v>
      </c>
      <c r="E5" s="63" t="s">
        <v>3613</v>
      </c>
      <c r="F5" s="63" t="s">
        <v>3614</v>
      </c>
      <c r="G5" s="63" t="s">
        <v>3615</v>
      </c>
      <c r="H5" s="63" t="s">
        <v>3616</v>
      </c>
      <c r="J5" s="64" t="s">
        <v>3617</v>
      </c>
      <c r="K5" s="64" t="s">
        <v>3581</v>
      </c>
      <c r="L5" s="64" t="s">
        <v>3618</v>
      </c>
      <c r="M5" s="64" t="s">
        <v>3619</v>
      </c>
      <c r="N5" s="62" t="s">
        <v>3620</v>
      </c>
      <c r="P5" s="65" t="s">
        <v>3621</v>
      </c>
      <c r="Q5" s="65" t="s">
        <v>3622</v>
      </c>
      <c r="R5" s="65" t="s">
        <v>3587</v>
      </c>
    </row>
    <row r="6" spans="1:18">
      <c r="A6" s="61" t="s">
        <v>3623</v>
      </c>
      <c r="B6" s="70" t="s">
        <v>3624</v>
      </c>
      <c r="D6" s="63" t="s">
        <v>3575</v>
      </c>
      <c r="E6" s="63" t="s">
        <v>3625</v>
      </c>
      <c r="F6" s="63" t="s">
        <v>3626</v>
      </c>
      <c r="G6" s="63" t="s">
        <v>3627</v>
      </c>
      <c r="H6" s="63" t="s">
        <v>3628</v>
      </c>
      <c r="J6" s="64" t="s">
        <v>3629</v>
      </c>
      <c r="K6" s="64" t="s">
        <v>3581</v>
      </c>
      <c r="L6" s="64" t="s">
        <v>3630</v>
      </c>
      <c r="M6" s="64" t="s">
        <v>3619</v>
      </c>
      <c r="N6" s="62" t="s">
        <v>3620</v>
      </c>
      <c r="P6" s="65" t="s">
        <v>3631</v>
      </c>
      <c r="Q6" s="65" t="s">
        <v>3632</v>
      </c>
      <c r="R6" s="65" t="s">
        <v>3587</v>
      </c>
    </row>
    <row r="7" spans="1:18">
      <c r="A7" s="61" t="s">
        <v>3633</v>
      </c>
      <c r="B7" s="70" t="s">
        <v>3634</v>
      </c>
      <c r="D7" s="63" t="s">
        <v>3575</v>
      </c>
      <c r="E7" s="63" t="s">
        <v>3635</v>
      </c>
      <c r="F7" s="63" t="s">
        <v>3636</v>
      </c>
      <c r="G7" s="63" t="s">
        <v>3637</v>
      </c>
      <c r="H7" s="63" t="s">
        <v>3638</v>
      </c>
      <c r="J7" s="64" t="s">
        <v>3639</v>
      </c>
      <c r="K7" s="64" t="s">
        <v>3581</v>
      </c>
      <c r="L7" s="64" t="s">
        <v>3640</v>
      </c>
      <c r="M7" s="64" t="s">
        <v>3619</v>
      </c>
      <c r="N7" s="62" t="s">
        <v>3620</v>
      </c>
      <c r="P7" s="65" t="s">
        <v>3641</v>
      </c>
      <c r="Q7" s="65" t="s">
        <v>3642</v>
      </c>
      <c r="R7" s="65" t="s">
        <v>3587</v>
      </c>
    </row>
    <row r="8" spans="1:18">
      <c r="A8" s="61" t="s">
        <v>3643</v>
      </c>
      <c r="B8" s="70" t="s">
        <v>3644</v>
      </c>
      <c r="D8" s="63" t="s">
        <v>3575</v>
      </c>
      <c r="E8" s="63" t="s">
        <v>3645</v>
      </c>
      <c r="F8" s="63" t="s">
        <v>3646</v>
      </c>
      <c r="G8" s="63" t="s">
        <v>3647</v>
      </c>
      <c r="H8" s="63" t="s">
        <v>3648</v>
      </c>
      <c r="J8" s="64" t="s">
        <v>3649</v>
      </c>
      <c r="K8" s="64" t="s">
        <v>3581</v>
      </c>
      <c r="L8" s="64" t="s">
        <v>3650</v>
      </c>
      <c r="M8" s="64" t="s">
        <v>3651</v>
      </c>
      <c r="N8" s="62" t="s">
        <v>3652</v>
      </c>
      <c r="P8" s="65" t="s">
        <v>3653</v>
      </c>
      <c r="Q8" s="65" t="s">
        <v>3654</v>
      </c>
      <c r="R8" s="65" t="s">
        <v>3587</v>
      </c>
    </row>
    <row r="9" spans="1:18">
      <c r="A9" s="61" t="s">
        <v>3655</v>
      </c>
      <c r="B9" s="70" t="s">
        <v>3656</v>
      </c>
      <c r="D9" s="63" t="s">
        <v>3575</v>
      </c>
      <c r="E9" s="63" t="s">
        <v>3657</v>
      </c>
      <c r="F9" s="63" t="s">
        <v>3658</v>
      </c>
      <c r="G9" s="63" t="s">
        <v>3659</v>
      </c>
      <c r="H9" s="63" t="s">
        <v>3660</v>
      </c>
      <c r="J9" s="64" t="s">
        <v>3661</v>
      </c>
      <c r="K9" s="64" t="s">
        <v>3581</v>
      </c>
      <c r="L9" s="64" t="s">
        <v>3662</v>
      </c>
      <c r="M9" s="64" t="s">
        <v>3651</v>
      </c>
      <c r="N9" s="62" t="s">
        <v>3652</v>
      </c>
      <c r="P9" s="65" t="s">
        <v>3663</v>
      </c>
      <c r="Q9" s="65" t="s">
        <v>3664</v>
      </c>
      <c r="R9" s="65" t="s">
        <v>3587</v>
      </c>
    </row>
    <row r="10" spans="1:18">
      <c r="A10" s="61" t="s">
        <v>3665</v>
      </c>
      <c r="B10" s="70" t="s">
        <v>3666</v>
      </c>
      <c r="D10" s="63" t="s">
        <v>3575</v>
      </c>
      <c r="E10" s="63" t="s">
        <v>3667</v>
      </c>
      <c r="F10" s="63" t="s">
        <v>3668</v>
      </c>
      <c r="G10" s="63" t="s">
        <v>3669</v>
      </c>
      <c r="H10" s="63" t="s">
        <v>3670</v>
      </c>
      <c r="J10" s="64" t="s">
        <v>3671</v>
      </c>
      <c r="K10" s="64" t="s">
        <v>3581</v>
      </c>
      <c r="L10" s="64" t="s">
        <v>3672</v>
      </c>
      <c r="M10" s="64" t="s">
        <v>3651</v>
      </c>
      <c r="N10" s="62" t="s">
        <v>3652</v>
      </c>
      <c r="P10" s="65" t="s">
        <v>3673</v>
      </c>
      <c r="Q10" s="65" t="s">
        <v>3674</v>
      </c>
      <c r="R10" s="65" t="s">
        <v>3587</v>
      </c>
    </row>
    <row r="11" spans="1:18" ht="25.5">
      <c r="A11" s="61" t="s">
        <v>3675</v>
      </c>
      <c r="B11" s="70" t="s">
        <v>3676</v>
      </c>
      <c r="D11" s="63" t="s">
        <v>3575</v>
      </c>
      <c r="E11" s="63" t="s">
        <v>3677</v>
      </c>
      <c r="F11" s="63" t="s">
        <v>3678</v>
      </c>
      <c r="G11" s="63" t="s">
        <v>3679</v>
      </c>
      <c r="H11" s="63" t="s">
        <v>3680</v>
      </c>
      <c r="J11" s="64" t="s">
        <v>3411</v>
      </c>
      <c r="K11" s="64" t="s">
        <v>3581</v>
      </c>
      <c r="L11" s="64" t="s">
        <v>3681</v>
      </c>
      <c r="M11" s="64" t="s">
        <v>3682</v>
      </c>
      <c r="N11" s="62" t="s">
        <v>3683</v>
      </c>
      <c r="P11" s="65" t="s">
        <v>3684</v>
      </c>
      <c r="Q11" s="65" t="s">
        <v>3685</v>
      </c>
      <c r="R11" s="65" t="s">
        <v>3587</v>
      </c>
    </row>
    <row r="12" spans="1:18">
      <c r="A12" s="61" t="s">
        <v>3686</v>
      </c>
      <c r="B12" s="70" t="s">
        <v>3687</v>
      </c>
      <c r="D12" s="63" t="s">
        <v>3575</v>
      </c>
      <c r="E12" s="63" t="s">
        <v>3688</v>
      </c>
      <c r="F12" s="63" t="s">
        <v>3689</v>
      </c>
      <c r="G12" s="63" t="s">
        <v>3690</v>
      </c>
      <c r="H12" s="63" t="s">
        <v>3691</v>
      </c>
      <c r="J12" s="64" t="s">
        <v>3407</v>
      </c>
      <c r="K12" s="64" t="s">
        <v>3581</v>
      </c>
      <c r="L12" s="64" t="s">
        <v>3692</v>
      </c>
      <c r="M12" s="64" t="s">
        <v>3693</v>
      </c>
      <c r="N12" s="62" t="s">
        <v>3694</v>
      </c>
      <c r="P12" s="65" t="s">
        <v>3695</v>
      </c>
      <c r="Q12" s="65" t="s">
        <v>3696</v>
      </c>
      <c r="R12" s="65" t="s">
        <v>3587</v>
      </c>
    </row>
    <row r="13" spans="1:18">
      <c r="A13" s="61" t="s">
        <v>3697</v>
      </c>
      <c r="B13" s="70" t="s">
        <v>3698</v>
      </c>
      <c r="D13" s="63" t="s">
        <v>3575</v>
      </c>
      <c r="E13" s="63" t="s">
        <v>3699</v>
      </c>
      <c r="F13" s="63" t="s">
        <v>3700</v>
      </c>
      <c r="G13" s="63" t="s">
        <v>3701</v>
      </c>
      <c r="H13" s="63" t="s">
        <v>3702</v>
      </c>
      <c r="J13" s="64" t="s">
        <v>3703</v>
      </c>
      <c r="K13" s="64" t="s">
        <v>3581</v>
      </c>
      <c r="L13" s="64" t="s">
        <v>3704</v>
      </c>
      <c r="M13" s="64" t="s">
        <v>3619</v>
      </c>
      <c r="N13" s="62" t="s">
        <v>3620</v>
      </c>
      <c r="P13" s="65" t="s">
        <v>3705</v>
      </c>
      <c r="Q13" s="65" t="s">
        <v>3706</v>
      </c>
      <c r="R13" s="65" t="s">
        <v>3587</v>
      </c>
    </row>
    <row r="14" spans="1:18">
      <c r="A14" s="61" t="s">
        <v>3707</v>
      </c>
      <c r="B14" s="71">
        <v>899000</v>
      </c>
      <c r="D14" s="63" t="s">
        <v>3575</v>
      </c>
      <c r="E14" s="63" t="s">
        <v>3708</v>
      </c>
      <c r="F14" s="63" t="s">
        <v>3709</v>
      </c>
      <c r="G14" s="63" t="s">
        <v>3710</v>
      </c>
      <c r="H14" s="63" t="s">
        <v>3711</v>
      </c>
      <c r="J14" s="64" t="s">
        <v>3712</v>
      </c>
      <c r="K14" s="64" t="s">
        <v>3581</v>
      </c>
      <c r="L14" s="64" t="s">
        <v>3713</v>
      </c>
      <c r="M14" s="64" t="s">
        <v>3619</v>
      </c>
      <c r="N14" s="62" t="s">
        <v>3620</v>
      </c>
      <c r="P14" s="65" t="s">
        <v>3714</v>
      </c>
      <c r="Q14" s="65" t="s">
        <v>3715</v>
      </c>
      <c r="R14" s="65" t="s">
        <v>3587</v>
      </c>
    </row>
    <row r="15" spans="1:18">
      <c r="A15" s="61" t="s">
        <v>3716</v>
      </c>
      <c r="B15" s="70" t="s">
        <v>3717</v>
      </c>
      <c r="D15" s="63" t="s">
        <v>3575</v>
      </c>
      <c r="E15" s="63" t="s">
        <v>3718</v>
      </c>
      <c r="F15" s="63" t="s">
        <v>3719</v>
      </c>
      <c r="G15" s="63" t="s">
        <v>3720</v>
      </c>
      <c r="H15" s="63" t="s">
        <v>3721</v>
      </c>
      <c r="J15" s="64" t="s">
        <v>3722</v>
      </c>
      <c r="K15" s="64" t="s">
        <v>3581</v>
      </c>
      <c r="L15" s="64" t="s">
        <v>3723</v>
      </c>
      <c r="M15" s="64" t="s">
        <v>3619</v>
      </c>
      <c r="N15" s="62" t="s">
        <v>3620</v>
      </c>
      <c r="P15" s="65" t="s">
        <v>3724</v>
      </c>
      <c r="Q15" s="65" t="s">
        <v>3725</v>
      </c>
      <c r="R15" s="65" t="s">
        <v>3587</v>
      </c>
    </row>
    <row r="16" spans="1:18">
      <c r="D16" s="63" t="s">
        <v>3575</v>
      </c>
      <c r="E16" s="63" t="s">
        <v>3726</v>
      </c>
      <c r="F16" s="63" t="s">
        <v>3727</v>
      </c>
      <c r="G16" s="63" t="s">
        <v>3728</v>
      </c>
      <c r="H16" s="63" t="s">
        <v>3729</v>
      </c>
      <c r="J16" s="64" t="s">
        <v>3730</v>
      </c>
      <c r="K16" s="64" t="s">
        <v>3581</v>
      </c>
      <c r="L16" s="64" t="s">
        <v>3731</v>
      </c>
      <c r="M16" s="64" t="s">
        <v>3651</v>
      </c>
      <c r="N16" s="62" t="s">
        <v>3652</v>
      </c>
      <c r="P16" s="65" t="s">
        <v>3732</v>
      </c>
      <c r="Q16" s="65" t="s">
        <v>3733</v>
      </c>
      <c r="R16" s="65" t="s">
        <v>3587</v>
      </c>
    </row>
    <row r="17" spans="4:18">
      <c r="D17" s="63" t="s">
        <v>3575</v>
      </c>
      <c r="E17" s="63" t="s">
        <v>3734</v>
      </c>
      <c r="F17" s="63" t="s">
        <v>3735</v>
      </c>
      <c r="G17" s="63" t="s">
        <v>3736</v>
      </c>
      <c r="H17" s="63" t="s">
        <v>3737</v>
      </c>
      <c r="J17" s="64" t="s">
        <v>3738</v>
      </c>
      <c r="K17" s="64" t="s">
        <v>3581</v>
      </c>
      <c r="L17" s="64" t="s">
        <v>3739</v>
      </c>
      <c r="M17" s="64" t="s">
        <v>3651</v>
      </c>
      <c r="N17" s="62" t="s">
        <v>3652</v>
      </c>
      <c r="P17" s="65" t="s">
        <v>3740</v>
      </c>
      <c r="Q17" s="65" t="s">
        <v>3741</v>
      </c>
      <c r="R17" s="65" t="s">
        <v>3587</v>
      </c>
    </row>
    <row r="18" spans="4:18">
      <c r="D18" s="63" t="s">
        <v>3575</v>
      </c>
      <c r="E18" s="63" t="s">
        <v>3742</v>
      </c>
      <c r="F18" s="63" t="s">
        <v>3743</v>
      </c>
      <c r="G18" s="63" t="s">
        <v>3744</v>
      </c>
      <c r="H18" s="63" t="s">
        <v>3745</v>
      </c>
      <c r="J18" s="64" t="s">
        <v>3746</v>
      </c>
      <c r="K18" s="64" t="s">
        <v>3581</v>
      </c>
      <c r="L18" s="64" t="s">
        <v>3747</v>
      </c>
      <c r="M18" s="64" t="s">
        <v>3651</v>
      </c>
      <c r="N18" s="62" t="s">
        <v>3652</v>
      </c>
      <c r="P18" s="65" t="s">
        <v>3748</v>
      </c>
      <c r="Q18" s="65" t="s">
        <v>3749</v>
      </c>
      <c r="R18" s="65" t="s">
        <v>3587</v>
      </c>
    </row>
    <row r="19" spans="4:18">
      <c r="D19" s="63" t="s">
        <v>3575</v>
      </c>
      <c r="E19" s="63" t="s">
        <v>3750</v>
      </c>
      <c r="F19" s="63" t="s">
        <v>3751</v>
      </c>
      <c r="G19" s="63" t="s">
        <v>3752</v>
      </c>
      <c r="H19" s="63" t="s">
        <v>3753</v>
      </c>
      <c r="J19" s="64" t="s">
        <v>3417</v>
      </c>
      <c r="K19" s="64" t="s">
        <v>3581</v>
      </c>
      <c r="L19" s="64" t="s">
        <v>3754</v>
      </c>
      <c r="M19" s="64" t="s">
        <v>3755</v>
      </c>
      <c r="N19" s="62" t="s">
        <v>3756</v>
      </c>
      <c r="P19" s="65" t="s">
        <v>3757</v>
      </c>
      <c r="Q19" s="65" t="s">
        <v>3758</v>
      </c>
      <c r="R19" s="65" t="s">
        <v>3587</v>
      </c>
    </row>
    <row r="20" spans="4:18">
      <c r="D20" s="63" t="s">
        <v>3575</v>
      </c>
      <c r="E20" s="63" t="s">
        <v>3759</v>
      </c>
      <c r="F20" s="63" t="s">
        <v>3760</v>
      </c>
      <c r="G20" s="63" t="s">
        <v>3761</v>
      </c>
      <c r="H20" s="63" t="s">
        <v>3762</v>
      </c>
      <c r="J20" s="64" t="s">
        <v>3763</v>
      </c>
      <c r="K20" s="64" t="s">
        <v>3581</v>
      </c>
      <c r="L20" s="64" t="s">
        <v>3764</v>
      </c>
      <c r="M20" s="64" t="s">
        <v>3765</v>
      </c>
      <c r="N20" s="62" t="s">
        <v>3766</v>
      </c>
      <c r="P20" s="65" t="s">
        <v>3767</v>
      </c>
      <c r="Q20" s="65" t="s">
        <v>3768</v>
      </c>
      <c r="R20" s="65" t="s">
        <v>3587</v>
      </c>
    </row>
    <row r="21" spans="4:18">
      <c r="D21" s="63" t="s">
        <v>3575</v>
      </c>
      <c r="E21" s="63" t="s">
        <v>3769</v>
      </c>
      <c r="F21" s="63" t="s">
        <v>3770</v>
      </c>
      <c r="G21" s="63" t="s">
        <v>3771</v>
      </c>
      <c r="H21" s="63" t="s">
        <v>3772</v>
      </c>
      <c r="J21" s="64" t="s">
        <v>3773</v>
      </c>
      <c r="K21" s="64" t="s">
        <v>3581</v>
      </c>
      <c r="L21" s="64" t="s">
        <v>3774</v>
      </c>
      <c r="M21" s="64" t="s">
        <v>3775</v>
      </c>
      <c r="N21" s="62" t="s">
        <v>3776</v>
      </c>
      <c r="P21" s="65" t="s">
        <v>3777</v>
      </c>
      <c r="Q21" s="65" t="s">
        <v>3778</v>
      </c>
      <c r="R21" s="65" t="s">
        <v>3587</v>
      </c>
    </row>
    <row r="22" spans="4:18">
      <c r="D22" s="63" t="s">
        <v>3575</v>
      </c>
      <c r="E22" s="63" t="s">
        <v>3779</v>
      </c>
      <c r="F22" s="63" t="s">
        <v>3780</v>
      </c>
      <c r="G22" s="63" t="s">
        <v>3781</v>
      </c>
      <c r="H22" s="63" t="s">
        <v>3782</v>
      </c>
      <c r="J22" s="64" t="s">
        <v>3422</v>
      </c>
      <c r="K22" s="64" t="s">
        <v>3581</v>
      </c>
      <c r="L22" s="64" t="s">
        <v>3783</v>
      </c>
      <c r="M22" s="64" t="s">
        <v>3784</v>
      </c>
      <c r="N22" s="62" t="s">
        <v>3785</v>
      </c>
      <c r="P22" s="65" t="s">
        <v>3786</v>
      </c>
      <c r="Q22" s="65" t="s">
        <v>3787</v>
      </c>
      <c r="R22" s="65" t="s">
        <v>3587</v>
      </c>
    </row>
    <row r="23" spans="4:18">
      <c r="D23" s="63" t="s">
        <v>3575</v>
      </c>
      <c r="E23" s="63" t="s">
        <v>3788</v>
      </c>
      <c r="F23" s="63" t="s">
        <v>3789</v>
      </c>
      <c r="G23" s="63" t="s">
        <v>3790</v>
      </c>
      <c r="H23" s="63" t="s">
        <v>3791</v>
      </c>
      <c r="J23" s="64" t="s">
        <v>3792</v>
      </c>
      <c r="K23" s="64" t="s">
        <v>3581</v>
      </c>
      <c r="L23" s="64" t="s">
        <v>3793</v>
      </c>
      <c r="M23" s="64" t="s">
        <v>3794</v>
      </c>
      <c r="N23" s="62" t="s">
        <v>3795</v>
      </c>
      <c r="P23" s="65" t="s">
        <v>3796</v>
      </c>
      <c r="Q23" s="65" t="s">
        <v>3797</v>
      </c>
      <c r="R23" s="65" t="s">
        <v>3587</v>
      </c>
    </row>
    <row r="24" spans="4:18">
      <c r="D24" s="63" t="s">
        <v>3575</v>
      </c>
      <c r="E24" s="63" t="s">
        <v>3798</v>
      </c>
      <c r="F24" s="63" t="s">
        <v>3799</v>
      </c>
      <c r="G24" s="63" t="s">
        <v>3800</v>
      </c>
      <c r="H24" s="63" t="s">
        <v>3801</v>
      </c>
      <c r="J24" s="64" t="s">
        <v>3802</v>
      </c>
      <c r="K24" s="64" t="s">
        <v>3581</v>
      </c>
      <c r="L24" s="64" t="s">
        <v>3803</v>
      </c>
      <c r="M24" s="64" t="s">
        <v>3804</v>
      </c>
      <c r="N24" s="62" t="s">
        <v>3805</v>
      </c>
      <c r="P24" s="65" t="s">
        <v>3806</v>
      </c>
      <c r="Q24" s="65" t="s">
        <v>3807</v>
      </c>
      <c r="R24" s="65" t="s">
        <v>3587</v>
      </c>
    </row>
    <row r="25" spans="4:18">
      <c r="D25" s="63" t="s">
        <v>3575</v>
      </c>
      <c r="E25" s="63" t="s">
        <v>3808</v>
      </c>
      <c r="F25" s="63" t="s">
        <v>3809</v>
      </c>
      <c r="G25" s="63" t="s">
        <v>3810</v>
      </c>
      <c r="H25" s="63" t="s">
        <v>3811</v>
      </c>
      <c r="J25" s="64" t="s">
        <v>3812</v>
      </c>
      <c r="K25" s="64" t="s">
        <v>3581</v>
      </c>
      <c r="L25" s="64" t="s">
        <v>3813</v>
      </c>
      <c r="M25" s="64" t="s">
        <v>3814</v>
      </c>
      <c r="N25" s="62" t="s">
        <v>3815</v>
      </c>
      <c r="P25" s="65" t="s">
        <v>3816</v>
      </c>
      <c r="Q25" s="65" t="s">
        <v>3817</v>
      </c>
      <c r="R25" s="65" t="s">
        <v>3587</v>
      </c>
    </row>
    <row r="26" spans="4:18">
      <c r="D26" s="63" t="s">
        <v>3575</v>
      </c>
      <c r="E26" s="63" t="s">
        <v>3818</v>
      </c>
      <c r="F26" s="63" t="s">
        <v>3819</v>
      </c>
      <c r="G26" s="63" t="s">
        <v>3820</v>
      </c>
      <c r="H26" s="63" t="s">
        <v>3821</v>
      </c>
      <c r="J26" s="64" t="s">
        <v>3822</v>
      </c>
      <c r="K26" s="64" t="s">
        <v>3581</v>
      </c>
      <c r="L26" s="64" t="s">
        <v>3823</v>
      </c>
      <c r="M26" s="64" t="s">
        <v>3824</v>
      </c>
      <c r="N26" s="62" t="s">
        <v>3825</v>
      </c>
      <c r="P26" s="65" t="s">
        <v>3826</v>
      </c>
      <c r="Q26" s="65" t="s">
        <v>3827</v>
      </c>
      <c r="R26" s="65" t="s">
        <v>3828</v>
      </c>
    </row>
    <row r="27" spans="4:18">
      <c r="D27" s="63" t="s">
        <v>3575</v>
      </c>
      <c r="E27" s="63" t="s">
        <v>3829</v>
      </c>
      <c r="F27" s="63" t="s">
        <v>3830</v>
      </c>
      <c r="G27" s="63" t="s">
        <v>3831</v>
      </c>
      <c r="H27" s="63" t="s">
        <v>3832</v>
      </c>
      <c r="J27" s="64" t="s">
        <v>3423</v>
      </c>
      <c r="K27" s="64" t="s">
        <v>3581</v>
      </c>
      <c r="L27" s="64" t="s">
        <v>3833</v>
      </c>
      <c r="M27" s="64" t="s">
        <v>3834</v>
      </c>
      <c r="N27" s="62" t="s">
        <v>3835</v>
      </c>
      <c r="P27" s="65" t="s">
        <v>3836</v>
      </c>
      <c r="Q27" s="65" t="s">
        <v>3837</v>
      </c>
      <c r="R27" s="65" t="s">
        <v>3828</v>
      </c>
    </row>
    <row r="28" spans="4:18">
      <c r="D28" s="63" t="s">
        <v>3575</v>
      </c>
      <c r="E28" s="63" t="s">
        <v>3838</v>
      </c>
      <c r="F28" s="63" t="s">
        <v>3839</v>
      </c>
      <c r="G28" s="63" t="s">
        <v>3840</v>
      </c>
      <c r="H28" s="63" t="s">
        <v>3841</v>
      </c>
      <c r="J28" s="64" t="s">
        <v>3842</v>
      </c>
      <c r="K28" s="64" t="s">
        <v>3581</v>
      </c>
      <c r="L28" s="64" t="s">
        <v>3843</v>
      </c>
      <c r="M28" s="64" t="s">
        <v>3844</v>
      </c>
      <c r="N28" s="62" t="s">
        <v>3845</v>
      </c>
      <c r="P28" s="65" t="s">
        <v>3846</v>
      </c>
      <c r="Q28" s="65" t="s">
        <v>3847</v>
      </c>
      <c r="R28" s="65" t="s">
        <v>3828</v>
      </c>
    </row>
    <row r="29" spans="4:18">
      <c r="D29" s="63" t="s">
        <v>3575</v>
      </c>
      <c r="E29" s="63" t="s">
        <v>3848</v>
      </c>
      <c r="F29" s="63" t="s">
        <v>3849</v>
      </c>
      <c r="G29" s="63" t="s">
        <v>3850</v>
      </c>
      <c r="H29" s="63" t="s">
        <v>3851</v>
      </c>
      <c r="J29" s="64" t="s">
        <v>3430</v>
      </c>
      <c r="K29" s="64" t="s">
        <v>3581</v>
      </c>
      <c r="L29" s="64" t="s">
        <v>3852</v>
      </c>
      <c r="M29" s="64" t="s">
        <v>3853</v>
      </c>
      <c r="N29" s="62" t="s">
        <v>3854</v>
      </c>
      <c r="P29" s="65" t="s">
        <v>3855</v>
      </c>
      <c r="Q29" s="65" t="s">
        <v>3856</v>
      </c>
      <c r="R29" s="65" t="s">
        <v>3828</v>
      </c>
    </row>
    <row r="30" spans="4:18">
      <c r="D30" s="63" t="s">
        <v>3575</v>
      </c>
      <c r="E30" s="63" t="s">
        <v>3857</v>
      </c>
      <c r="F30" s="63" t="s">
        <v>3858</v>
      </c>
      <c r="G30" s="63" t="s">
        <v>3859</v>
      </c>
      <c r="H30" s="63" t="s">
        <v>3860</v>
      </c>
      <c r="J30" s="64" t="s">
        <v>3861</v>
      </c>
      <c r="K30" s="64" t="s">
        <v>3581</v>
      </c>
      <c r="L30" s="64" t="s">
        <v>3862</v>
      </c>
      <c r="M30" s="64" t="s">
        <v>3863</v>
      </c>
      <c r="N30" s="62" t="s">
        <v>3864</v>
      </c>
      <c r="P30" s="65" t="s">
        <v>3865</v>
      </c>
      <c r="Q30" s="65" t="s">
        <v>3866</v>
      </c>
      <c r="R30" s="65" t="s">
        <v>3828</v>
      </c>
    </row>
    <row r="31" spans="4:18">
      <c r="D31" s="63" t="s">
        <v>3575</v>
      </c>
      <c r="E31" s="63" t="s">
        <v>3867</v>
      </c>
      <c r="F31" s="63" t="s">
        <v>3868</v>
      </c>
      <c r="G31" s="63" t="s">
        <v>3869</v>
      </c>
      <c r="H31" s="63" t="s">
        <v>3870</v>
      </c>
      <c r="J31" s="64" t="s">
        <v>3871</v>
      </c>
      <c r="K31" s="64" t="s">
        <v>3581</v>
      </c>
      <c r="L31" s="64" t="s">
        <v>3872</v>
      </c>
      <c r="M31" s="64" t="s">
        <v>3873</v>
      </c>
      <c r="N31" s="62" t="s">
        <v>3874</v>
      </c>
      <c r="P31" s="65" t="s">
        <v>3875</v>
      </c>
      <c r="Q31" s="65" t="s">
        <v>3876</v>
      </c>
      <c r="R31" s="65" t="s">
        <v>3828</v>
      </c>
    </row>
    <row r="32" spans="4:18">
      <c r="D32" s="63" t="s">
        <v>3575</v>
      </c>
      <c r="E32" s="63" t="s">
        <v>3877</v>
      </c>
      <c r="F32" s="63" t="s">
        <v>3878</v>
      </c>
      <c r="G32" s="63" t="s">
        <v>3879</v>
      </c>
      <c r="H32" s="63" t="s">
        <v>3880</v>
      </c>
      <c r="J32" s="64" t="s">
        <v>3881</v>
      </c>
      <c r="K32" s="64" t="s">
        <v>3581</v>
      </c>
      <c r="L32" s="64" t="s">
        <v>3882</v>
      </c>
      <c r="M32" s="64" t="s">
        <v>3863</v>
      </c>
      <c r="N32" s="62" t="s">
        <v>3864</v>
      </c>
      <c r="P32" s="65" t="s">
        <v>3883</v>
      </c>
      <c r="Q32" s="65" t="s">
        <v>3884</v>
      </c>
      <c r="R32" s="65" t="s">
        <v>3828</v>
      </c>
    </row>
    <row r="33" spans="4:18">
      <c r="D33" s="63" t="s">
        <v>3575</v>
      </c>
      <c r="E33" s="63" t="s">
        <v>3885</v>
      </c>
      <c r="F33" s="63" t="s">
        <v>3886</v>
      </c>
      <c r="G33" s="63" t="s">
        <v>3887</v>
      </c>
      <c r="H33" s="63" t="s">
        <v>3888</v>
      </c>
      <c r="J33" s="64" t="s">
        <v>3889</v>
      </c>
      <c r="K33" s="64" t="s">
        <v>3581</v>
      </c>
      <c r="L33" s="64" t="s">
        <v>3890</v>
      </c>
      <c r="M33" s="64" t="s">
        <v>3775</v>
      </c>
      <c r="N33" s="62" t="s">
        <v>3776</v>
      </c>
      <c r="P33" s="65" t="s">
        <v>3891</v>
      </c>
      <c r="Q33" s="65" t="s">
        <v>3892</v>
      </c>
      <c r="R33" s="65" t="s">
        <v>3828</v>
      </c>
    </row>
    <row r="34" spans="4:18">
      <c r="D34" s="63" t="s">
        <v>3575</v>
      </c>
      <c r="E34" s="63" t="s">
        <v>3893</v>
      </c>
      <c r="F34" s="63" t="s">
        <v>3894</v>
      </c>
      <c r="G34" s="63" t="s">
        <v>3895</v>
      </c>
      <c r="H34" s="63" t="s">
        <v>3896</v>
      </c>
      <c r="J34" s="64" t="s">
        <v>3897</v>
      </c>
      <c r="K34" s="64" t="s">
        <v>3581</v>
      </c>
      <c r="L34" s="64" t="s">
        <v>3898</v>
      </c>
      <c r="M34" s="64" t="s">
        <v>3873</v>
      </c>
      <c r="N34" s="62" t="s">
        <v>3874</v>
      </c>
      <c r="P34" s="65" t="s">
        <v>3899</v>
      </c>
      <c r="Q34" s="65" t="s">
        <v>3900</v>
      </c>
      <c r="R34" s="65" t="s">
        <v>3828</v>
      </c>
    </row>
    <row r="35" spans="4:18">
      <c r="D35" s="63" t="s">
        <v>3575</v>
      </c>
      <c r="E35" s="63" t="s">
        <v>3901</v>
      </c>
      <c r="F35" s="63" t="s">
        <v>3902</v>
      </c>
      <c r="G35" s="63" t="s">
        <v>3903</v>
      </c>
      <c r="H35" s="63" t="s">
        <v>3904</v>
      </c>
      <c r="J35" s="64" t="s">
        <v>3421</v>
      </c>
      <c r="K35" s="64" t="s">
        <v>3581</v>
      </c>
      <c r="L35" s="64" t="s">
        <v>3905</v>
      </c>
      <c r="M35" s="64" t="s">
        <v>3906</v>
      </c>
      <c r="N35" s="62" t="s">
        <v>3907</v>
      </c>
      <c r="P35" s="65" t="s">
        <v>3908</v>
      </c>
      <c r="Q35" s="65" t="s">
        <v>3909</v>
      </c>
      <c r="R35" s="65" t="s">
        <v>3828</v>
      </c>
    </row>
    <row r="36" spans="4:18">
      <c r="D36" s="63" t="s">
        <v>3575</v>
      </c>
      <c r="E36" s="63" t="s">
        <v>3910</v>
      </c>
      <c r="F36" s="63" t="s">
        <v>3911</v>
      </c>
      <c r="G36" s="63" t="s">
        <v>3912</v>
      </c>
      <c r="H36" s="63" t="s">
        <v>3913</v>
      </c>
      <c r="J36" s="64" t="s">
        <v>3914</v>
      </c>
      <c r="K36" s="64" t="s">
        <v>3581</v>
      </c>
      <c r="L36" s="64" t="s">
        <v>3915</v>
      </c>
      <c r="M36" s="64" t="s">
        <v>3906</v>
      </c>
      <c r="N36" s="62" t="s">
        <v>3907</v>
      </c>
      <c r="P36" s="65" t="s">
        <v>3916</v>
      </c>
      <c r="Q36" s="65" t="s">
        <v>3917</v>
      </c>
      <c r="R36" s="65" t="s">
        <v>3828</v>
      </c>
    </row>
    <row r="37" spans="4:18">
      <c r="D37" s="63" t="s">
        <v>3575</v>
      </c>
      <c r="E37" s="63" t="s">
        <v>3918</v>
      </c>
      <c r="F37" s="63" t="s">
        <v>3919</v>
      </c>
      <c r="G37" s="63" t="s">
        <v>3920</v>
      </c>
      <c r="H37" s="63" t="s">
        <v>3921</v>
      </c>
      <c r="J37" s="64" t="s">
        <v>3922</v>
      </c>
      <c r="K37" s="64" t="s">
        <v>3581</v>
      </c>
      <c r="L37" s="64" t="s">
        <v>3923</v>
      </c>
      <c r="M37" s="64" t="s">
        <v>3906</v>
      </c>
      <c r="N37" s="62" t="s">
        <v>3907</v>
      </c>
      <c r="P37" s="65" t="s">
        <v>3924</v>
      </c>
      <c r="Q37" s="65" t="s">
        <v>3925</v>
      </c>
      <c r="R37" s="65" t="s">
        <v>3828</v>
      </c>
    </row>
    <row r="38" spans="4:18">
      <c r="D38" s="63" t="s">
        <v>3575</v>
      </c>
      <c r="E38" s="63" t="s">
        <v>3926</v>
      </c>
      <c r="F38" s="63" t="s">
        <v>3927</v>
      </c>
      <c r="G38" s="63" t="s">
        <v>3928</v>
      </c>
      <c r="H38" s="63" t="s">
        <v>3929</v>
      </c>
      <c r="J38" s="64" t="s">
        <v>3930</v>
      </c>
      <c r="K38" s="64" t="s">
        <v>3581</v>
      </c>
      <c r="L38" s="64" t="s">
        <v>3931</v>
      </c>
      <c r="M38" s="64" t="s">
        <v>3932</v>
      </c>
      <c r="N38" s="62" t="s">
        <v>3933</v>
      </c>
      <c r="P38" s="65" t="s">
        <v>3934</v>
      </c>
      <c r="Q38" s="65" t="s">
        <v>3935</v>
      </c>
      <c r="R38" s="65" t="s">
        <v>3828</v>
      </c>
    </row>
    <row r="39" spans="4:18">
      <c r="D39" s="63" t="s">
        <v>3575</v>
      </c>
      <c r="E39" s="63" t="s">
        <v>3936</v>
      </c>
      <c r="F39" s="63" t="s">
        <v>3937</v>
      </c>
      <c r="G39" s="63" t="s">
        <v>3938</v>
      </c>
      <c r="H39" s="63" t="s">
        <v>3939</v>
      </c>
      <c r="J39" s="64" t="s">
        <v>3940</v>
      </c>
      <c r="K39" s="64" t="s">
        <v>3581</v>
      </c>
      <c r="L39" s="64" t="s">
        <v>3941</v>
      </c>
      <c r="M39" s="64" t="s">
        <v>3755</v>
      </c>
      <c r="N39" s="62" t="s">
        <v>3756</v>
      </c>
      <c r="P39" s="65" t="s">
        <v>3942</v>
      </c>
      <c r="Q39" s="65" t="s">
        <v>3943</v>
      </c>
      <c r="R39" s="65" t="s">
        <v>3828</v>
      </c>
    </row>
    <row r="40" spans="4:18">
      <c r="D40" s="63" t="s">
        <v>3575</v>
      </c>
      <c r="E40" s="63" t="s">
        <v>3944</v>
      </c>
      <c r="F40" s="63" t="s">
        <v>3945</v>
      </c>
      <c r="G40" s="63" t="s">
        <v>3946</v>
      </c>
      <c r="H40" s="63" t="s">
        <v>3947</v>
      </c>
      <c r="J40" s="64" t="s">
        <v>3426</v>
      </c>
      <c r="K40" s="64" t="s">
        <v>3581</v>
      </c>
      <c r="L40" s="64" t="s">
        <v>3948</v>
      </c>
      <c r="M40" s="64" t="s">
        <v>3949</v>
      </c>
      <c r="N40" s="62" t="s">
        <v>3950</v>
      </c>
      <c r="P40" s="65" t="s">
        <v>3951</v>
      </c>
      <c r="Q40" s="65" t="s">
        <v>3952</v>
      </c>
      <c r="R40" s="65" t="s">
        <v>3828</v>
      </c>
    </row>
    <row r="41" spans="4:18">
      <c r="D41" s="63" t="s">
        <v>3575</v>
      </c>
      <c r="E41" s="63" t="s">
        <v>3953</v>
      </c>
      <c r="F41" s="63" t="s">
        <v>3954</v>
      </c>
      <c r="G41" s="63" t="s">
        <v>3955</v>
      </c>
      <c r="H41" s="63" t="s">
        <v>3956</v>
      </c>
      <c r="J41" s="64" t="s">
        <v>3957</v>
      </c>
      <c r="K41" s="64" t="s">
        <v>3581</v>
      </c>
      <c r="L41" s="64" t="s">
        <v>3958</v>
      </c>
      <c r="M41" s="64" t="s">
        <v>3755</v>
      </c>
      <c r="N41" s="62" t="s">
        <v>3756</v>
      </c>
      <c r="P41" s="65" t="s">
        <v>3959</v>
      </c>
      <c r="Q41" s="65" t="s">
        <v>3960</v>
      </c>
      <c r="R41" s="65" t="s">
        <v>3828</v>
      </c>
    </row>
    <row r="42" spans="4:18">
      <c r="D42" s="63" t="s">
        <v>3575</v>
      </c>
      <c r="E42" s="63" t="s">
        <v>3961</v>
      </c>
      <c r="F42" s="63" t="s">
        <v>3962</v>
      </c>
      <c r="G42" s="63" t="s">
        <v>3963</v>
      </c>
      <c r="H42" s="63" t="s">
        <v>3964</v>
      </c>
      <c r="J42" s="64" t="s">
        <v>3965</v>
      </c>
      <c r="K42" s="64" t="s">
        <v>3581</v>
      </c>
      <c r="L42" s="64" t="s">
        <v>3966</v>
      </c>
      <c r="M42" s="64" t="s">
        <v>3755</v>
      </c>
      <c r="N42" s="62" t="s">
        <v>3756</v>
      </c>
      <c r="P42" s="65" t="s">
        <v>3967</v>
      </c>
      <c r="Q42" s="65" t="s">
        <v>3968</v>
      </c>
      <c r="R42" s="65" t="s">
        <v>3828</v>
      </c>
    </row>
    <row r="43" spans="4:18">
      <c r="D43" s="63" t="s">
        <v>3575</v>
      </c>
      <c r="E43" s="63" t="s">
        <v>3969</v>
      </c>
      <c r="F43" s="63" t="s">
        <v>3970</v>
      </c>
      <c r="G43" s="63" t="s">
        <v>3971</v>
      </c>
      <c r="H43" s="63" t="s">
        <v>3972</v>
      </c>
      <c r="J43" s="64" t="s">
        <v>3973</v>
      </c>
      <c r="K43" s="64" t="s">
        <v>3581</v>
      </c>
      <c r="L43" s="64" t="s">
        <v>3974</v>
      </c>
      <c r="M43" s="64" t="s">
        <v>3975</v>
      </c>
      <c r="N43" s="62" t="s">
        <v>3976</v>
      </c>
      <c r="P43" s="65" t="s">
        <v>3977</v>
      </c>
      <c r="Q43" s="65" t="s">
        <v>3978</v>
      </c>
      <c r="R43" s="65" t="s">
        <v>3828</v>
      </c>
    </row>
    <row r="44" spans="4:18">
      <c r="D44" s="63" t="s">
        <v>3575</v>
      </c>
      <c r="E44" s="63" t="s">
        <v>3979</v>
      </c>
      <c r="F44" s="63" t="s">
        <v>3980</v>
      </c>
      <c r="G44" s="63" t="s">
        <v>3981</v>
      </c>
      <c r="H44" s="63" t="s">
        <v>3982</v>
      </c>
      <c r="J44" s="64" t="s">
        <v>3973</v>
      </c>
      <c r="K44" s="64" t="s">
        <v>3581</v>
      </c>
      <c r="L44" s="64" t="s">
        <v>3983</v>
      </c>
      <c r="M44" s="64" t="s">
        <v>3975</v>
      </c>
      <c r="N44" s="62" t="s">
        <v>3976</v>
      </c>
      <c r="P44" s="65" t="s">
        <v>3984</v>
      </c>
      <c r="Q44" s="65" t="s">
        <v>3985</v>
      </c>
      <c r="R44" s="65" t="s">
        <v>3828</v>
      </c>
    </row>
    <row r="45" spans="4:18">
      <c r="D45" s="63" t="s">
        <v>3575</v>
      </c>
      <c r="E45" s="63" t="s">
        <v>3986</v>
      </c>
      <c r="F45" s="63" t="s">
        <v>3987</v>
      </c>
      <c r="G45" s="63" t="s">
        <v>3988</v>
      </c>
      <c r="H45" s="63" t="s">
        <v>3989</v>
      </c>
      <c r="J45" s="64" t="s">
        <v>3990</v>
      </c>
      <c r="K45" s="64" t="s">
        <v>3581</v>
      </c>
      <c r="L45" s="64" t="s">
        <v>3991</v>
      </c>
      <c r="M45" s="64" t="s">
        <v>3992</v>
      </c>
      <c r="N45" s="62" t="s">
        <v>3993</v>
      </c>
      <c r="P45" s="65" t="s">
        <v>3994</v>
      </c>
      <c r="Q45" s="65" t="s">
        <v>3995</v>
      </c>
      <c r="R45" s="65" t="s">
        <v>3828</v>
      </c>
    </row>
    <row r="46" spans="4:18">
      <c r="D46" s="63" t="s">
        <v>3575</v>
      </c>
      <c r="E46" s="63" t="s">
        <v>3996</v>
      </c>
      <c r="F46" s="63" t="s">
        <v>3997</v>
      </c>
      <c r="G46" s="63" t="s">
        <v>3998</v>
      </c>
      <c r="H46" s="63" t="s">
        <v>3999</v>
      </c>
      <c r="J46" s="64" t="s">
        <v>4000</v>
      </c>
      <c r="K46" s="64" t="s">
        <v>3581</v>
      </c>
      <c r="L46" s="64" t="s">
        <v>4001</v>
      </c>
      <c r="M46" s="64" t="s">
        <v>4002</v>
      </c>
      <c r="N46" s="62" t="s">
        <v>4003</v>
      </c>
      <c r="P46" s="65" t="s">
        <v>4004</v>
      </c>
      <c r="Q46" s="65" t="s">
        <v>4005</v>
      </c>
      <c r="R46" s="65" t="s">
        <v>3828</v>
      </c>
    </row>
    <row r="47" spans="4:18" ht="25.5">
      <c r="D47" s="63" t="s">
        <v>3575</v>
      </c>
      <c r="E47" s="63" t="s">
        <v>4006</v>
      </c>
      <c r="F47" s="63" t="s">
        <v>4007</v>
      </c>
      <c r="G47" s="63" t="s">
        <v>4008</v>
      </c>
      <c r="H47" s="63" t="s">
        <v>4009</v>
      </c>
      <c r="J47" s="64" t="s">
        <v>3990</v>
      </c>
      <c r="K47" s="64" t="s">
        <v>3581</v>
      </c>
      <c r="L47" s="64" t="s">
        <v>4010</v>
      </c>
      <c r="M47" s="64" t="s">
        <v>3992</v>
      </c>
      <c r="N47" s="62" t="s">
        <v>3993</v>
      </c>
      <c r="P47" s="65" t="s">
        <v>4011</v>
      </c>
      <c r="Q47" s="65" t="s">
        <v>4012</v>
      </c>
      <c r="R47" s="65" t="s">
        <v>3828</v>
      </c>
    </row>
    <row r="48" spans="4:18">
      <c r="D48" s="63" t="s">
        <v>3575</v>
      </c>
      <c r="E48" s="63" t="s">
        <v>4013</v>
      </c>
      <c r="F48" s="63" t="s">
        <v>4014</v>
      </c>
      <c r="G48" s="63" t="s">
        <v>4015</v>
      </c>
      <c r="H48" s="63" t="s">
        <v>4016</v>
      </c>
      <c r="J48" s="64" t="s">
        <v>4000</v>
      </c>
      <c r="K48" s="64" t="s">
        <v>3581</v>
      </c>
      <c r="L48" s="64" t="s">
        <v>4017</v>
      </c>
      <c r="M48" s="64" t="s">
        <v>4002</v>
      </c>
      <c r="N48" s="62" t="s">
        <v>4003</v>
      </c>
      <c r="P48" s="65" t="s">
        <v>4018</v>
      </c>
      <c r="Q48" s="65" t="s">
        <v>4019</v>
      </c>
      <c r="R48" s="65" t="s">
        <v>3828</v>
      </c>
    </row>
    <row r="49" spans="4:18" ht="25.5">
      <c r="D49" s="63" t="s">
        <v>3575</v>
      </c>
      <c r="E49" s="63" t="s">
        <v>4020</v>
      </c>
      <c r="F49" s="63" t="s">
        <v>4021</v>
      </c>
      <c r="G49" s="63" t="s">
        <v>4022</v>
      </c>
      <c r="H49" s="63" t="s">
        <v>4023</v>
      </c>
      <c r="J49" s="64" t="s">
        <v>4024</v>
      </c>
      <c r="K49" s="64" t="s">
        <v>3581</v>
      </c>
      <c r="L49" s="64" t="s">
        <v>4025</v>
      </c>
      <c r="M49" s="64" t="s">
        <v>4026</v>
      </c>
      <c r="N49" s="62" t="s">
        <v>4027</v>
      </c>
      <c r="P49" s="65" t="s">
        <v>4028</v>
      </c>
      <c r="Q49" s="65" t="s">
        <v>4029</v>
      </c>
      <c r="R49" s="65" t="s">
        <v>3828</v>
      </c>
    </row>
    <row r="50" spans="4:18">
      <c r="D50" s="63" t="s">
        <v>3575</v>
      </c>
      <c r="E50" s="63" t="s">
        <v>4030</v>
      </c>
      <c r="F50" s="63" t="s">
        <v>4031</v>
      </c>
      <c r="G50" s="63" t="s">
        <v>4032</v>
      </c>
      <c r="H50" s="63" t="s">
        <v>4033</v>
      </c>
      <c r="J50" s="64" t="s">
        <v>4034</v>
      </c>
      <c r="K50" s="64" t="s">
        <v>3581</v>
      </c>
      <c r="L50" s="64" t="s">
        <v>4035</v>
      </c>
      <c r="M50" s="64" t="s">
        <v>4036</v>
      </c>
      <c r="N50" s="62" t="s">
        <v>4037</v>
      </c>
      <c r="P50" s="65" t="s">
        <v>4038</v>
      </c>
      <c r="Q50" s="65" t="s">
        <v>4039</v>
      </c>
      <c r="R50" s="65" t="s">
        <v>3828</v>
      </c>
    </row>
    <row r="51" spans="4:18">
      <c r="D51" s="63" t="s">
        <v>3575</v>
      </c>
      <c r="E51" s="63" t="s">
        <v>4040</v>
      </c>
      <c r="F51" s="63" t="s">
        <v>4041</v>
      </c>
      <c r="G51" s="63" t="s">
        <v>4042</v>
      </c>
      <c r="H51" s="63" t="s">
        <v>4043</v>
      </c>
      <c r="J51" s="64" t="s">
        <v>4044</v>
      </c>
      <c r="K51" s="64" t="s">
        <v>3581</v>
      </c>
      <c r="L51" s="64" t="s">
        <v>4045</v>
      </c>
      <c r="M51" s="64" t="s">
        <v>4046</v>
      </c>
      <c r="N51" s="62" t="s">
        <v>4047</v>
      </c>
      <c r="P51" s="65" t="s">
        <v>4048</v>
      </c>
      <c r="Q51" s="65" t="s">
        <v>4049</v>
      </c>
      <c r="R51" s="65" t="s">
        <v>3828</v>
      </c>
    </row>
    <row r="52" spans="4:18">
      <c r="D52" s="63" t="s">
        <v>3575</v>
      </c>
      <c r="E52" s="63" t="s">
        <v>4050</v>
      </c>
      <c r="F52" s="63" t="s">
        <v>4051</v>
      </c>
      <c r="G52" s="63" t="s">
        <v>4052</v>
      </c>
      <c r="H52" s="63" t="s">
        <v>4053</v>
      </c>
      <c r="J52" s="64" t="s">
        <v>4054</v>
      </c>
      <c r="K52" s="64" t="s">
        <v>3581</v>
      </c>
      <c r="L52" s="64" t="s">
        <v>4055</v>
      </c>
      <c r="M52" s="64" t="s">
        <v>4056</v>
      </c>
      <c r="N52" s="62" t="s">
        <v>4057</v>
      </c>
      <c r="P52" s="65" t="s">
        <v>4058</v>
      </c>
      <c r="Q52" s="65" t="s">
        <v>4059</v>
      </c>
      <c r="R52" s="65" t="s">
        <v>3828</v>
      </c>
    </row>
    <row r="53" spans="4:18">
      <c r="D53" s="63" t="s">
        <v>3575</v>
      </c>
      <c r="E53" s="63" t="s">
        <v>4060</v>
      </c>
      <c r="F53" s="63" t="s">
        <v>4061</v>
      </c>
      <c r="G53" s="63" t="s">
        <v>4062</v>
      </c>
      <c r="H53" s="63" t="s">
        <v>4063</v>
      </c>
      <c r="J53" s="64" t="s">
        <v>4064</v>
      </c>
      <c r="K53" s="64" t="s">
        <v>3581</v>
      </c>
      <c r="L53" s="64" t="s">
        <v>4065</v>
      </c>
      <c r="M53" s="64" t="s">
        <v>4066</v>
      </c>
      <c r="N53" s="62" t="s">
        <v>4067</v>
      </c>
      <c r="P53" s="65" t="s">
        <v>4068</v>
      </c>
      <c r="Q53" s="65" t="s">
        <v>4069</v>
      </c>
      <c r="R53" s="65" t="s">
        <v>3828</v>
      </c>
    </row>
    <row r="54" spans="4:18">
      <c r="D54" s="63" t="s">
        <v>3575</v>
      </c>
      <c r="E54" s="63" t="s">
        <v>4070</v>
      </c>
      <c r="F54" s="63" t="s">
        <v>4071</v>
      </c>
      <c r="G54" s="63" t="s">
        <v>4072</v>
      </c>
      <c r="H54" s="63" t="s">
        <v>4073</v>
      </c>
      <c r="J54" s="64" t="s">
        <v>4074</v>
      </c>
      <c r="K54" s="64" t="s">
        <v>3581</v>
      </c>
      <c r="L54" s="64" t="s">
        <v>4075</v>
      </c>
      <c r="M54" s="64" t="s">
        <v>4076</v>
      </c>
      <c r="N54" s="62" t="s">
        <v>4077</v>
      </c>
      <c r="P54" s="65" t="s">
        <v>4078</v>
      </c>
      <c r="Q54" s="65" t="s">
        <v>4079</v>
      </c>
      <c r="R54" s="65" t="s">
        <v>3828</v>
      </c>
    </row>
    <row r="55" spans="4:18">
      <c r="D55" s="63" t="s">
        <v>3575</v>
      </c>
      <c r="E55" s="63" t="s">
        <v>4080</v>
      </c>
      <c r="F55" s="63" t="s">
        <v>4081</v>
      </c>
      <c r="G55" s="63" t="s">
        <v>4082</v>
      </c>
      <c r="H55" s="63" t="s">
        <v>4083</v>
      </c>
      <c r="J55" s="64" t="s">
        <v>4084</v>
      </c>
      <c r="K55" s="64" t="s">
        <v>3581</v>
      </c>
      <c r="L55" s="64" t="s">
        <v>4085</v>
      </c>
      <c r="M55" s="64" t="s">
        <v>4086</v>
      </c>
      <c r="N55" s="62" t="s">
        <v>4087</v>
      </c>
      <c r="P55" s="65" t="s">
        <v>4088</v>
      </c>
      <c r="Q55" s="65" t="s">
        <v>4089</v>
      </c>
      <c r="R55" s="65" t="s">
        <v>3828</v>
      </c>
    </row>
    <row r="56" spans="4:18">
      <c r="D56" s="63" t="s">
        <v>3575</v>
      </c>
      <c r="E56" s="63" t="s">
        <v>4090</v>
      </c>
      <c r="F56" s="63" t="s">
        <v>4091</v>
      </c>
      <c r="G56" s="63" t="s">
        <v>4092</v>
      </c>
      <c r="H56" s="63" t="s">
        <v>4093</v>
      </c>
      <c r="J56" s="64" t="s">
        <v>4094</v>
      </c>
      <c r="K56" s="64" t="s">
        <v>3581</v>
      </c>
      <c r="L56" s="64" t="s">
        <v>4095</v>
      </c>
      <c r="M56" s="64" t="s">
        <v>4096</v>
      </c>
      <c r="N56" s="62" t="s">
        <v>4097</v>
      </c>
      <c r="P56" s="65" t="s">
        <v>4098</v>
      </c>
      <c r="Q56" s="65" t="s">
        <v>4099</v>
      </c>
      <c r="R56" s="65" t="s">
        <v>3828</v>
      </c>
    </row>
    <row r="57" spans="4:18">
      <c r="D57" s="63" t="s">
        <v>3575</v>
      </c>
      <c r="E57" s="63" t="s">
        <v>4100</v>
      </c>
      <c r="F57" s="63" t="s">
        <v>4101</v>
      </c>
      <c r="G57" s="63" t="s">
        <v>4102</v>
      </c>
      <c r="H57" s="63" t="s">
        <v>4103</v>
      </c>
      <c r="J57" s="64" t="s">
        <v>4104</v>
      </c>
      <c r="K57" s="64" t="s">
        <v>3581</v>
      </c>
      <c r="L57" s="64" t="s">
        <v>4105</v>
      </c>
      <c r="M57" s="64" t="s">
        <v>4096</v>
      </c>
      <c r="N57" s="62" t="s">
        <v>4097</v>
      </c>
      <c r="P57" s="65" t="s">
        <v>4106</v>
      </c>
      <c r="Q57" s="65" t="s">
        <v>4107</v>
      </c>
      <c r="R57" s="65" t="s">
        <v>3828</v>
      </c>
    </row>
    <row r="58" spans="4:18">
      <c r="D58" s="63" t="s">
        <v>3575</v>
      </c>
      <c r="E58" s="63" t="s">
        <v>4108</v>
      </c>
      <c r="F58" s="63" t="s">
        <v>4109</v>
      </c>
      <c r="G58" s="63" t="s">
        <v>4110</v>
      </c>
      <c r="H58" s="63" t="s">
        <v>4111</v>
      </c>
      <c r="J58" s="64" t="s">
        <v>4112</v>
      </c>
      <c r="K58" s="64" t="s">
        <v>3581</v>
      </c>
      <c r="L58" s="64" t="s">
        <v>4113</v>
      </c>
      <c r="M58" s="64" t="s">
        <v>4096</v>
      </c>
      <c r="N58" s="62" t="s">
        <v>4097</v>
      </c>
      <c r="P58" s="65" t="s">
        <v>4114</v>
      </c>
      <c r="Q58" s="65" t="s">
        <v>4115</v>
      </c>
      <c r="R58" s="65" t="s">
        <v>3828</v>
      </c>
    </row>
    <row r="59" spans="4:18">
      <c r="D59" s="63"/>
      <c r="E59" s="63"/>
      <c r="F59" s="63"/>
      <c r="G59" s="63"/>
      <c r="H59" s="63"/>
      <c r="J59" s="64" t="s">
        <v>4116</v>
      </c>
      <c r="K59" s="64" t="s">
        <v>3581</v>
      </c>
      <c r="L59" s="64" t="s">
        <v>4117</v>
      </c>
      <c r="M59" s="64" t="s">
        <v>4096</v>
      </c>
      <c r="N59" s="62" t="s">
        <v>4097</v>
      </c>
      <c r="P59" s="65" t="s">
        <v>4118</v>
      </c>
      <c r="Q59" s="65" t="s">
        <v>4119</v>
      </c>
      <c r="R59" s="65" t="s">
        <v>3828</v>
      </c>
    </row>
    <row r="60" spans="4:18">
      <c r="D60" s="63"/>
      <c r="E60" s="63"/>
      <c r="F60" s="63"/>
      <c r="G60" s="63"/>
      <c r="H60" s="63"/>
      <c r="J60" s="64" t="s">
        <v>4120</v>
      </c>
      <c r="K60" s="64" t="s">
        <v>3581</v>
      </c>
      <c r="L60" s="64" t="s">
        <v>4121</v>
      </c>
      <c r="M60" s="64" t="s">
        <v>4096</v>
      </c>
      <c r="N60" s="62" t="s">
        <v>4097</v>
      </c>
      <c r="P60" s="65" t="s">
        <v>4122</v>
      </c>
      <c r="Q60" s="65" t="s">
        <v>4123</v>
      </c>
      <c r="R60" s="65" t="s">
        <v>3828</v>
      </c>
    </row>
    <row r="61" spans="4:18">
      <c r="D61" s="63"/>
      <c r="E61" s="63"/>
      <c r="F61" s="63"/>
      <c r="G61" s="63"/>
      <c r="H61" s="63"/>
      <c r="J61" s="64" t="s">
        <v>4124</v>
      </c>
      <c r="K61" s="64" t="s">
        <v>3581</v>
      </c>
      <c r="L61" s="64" t="s">
        <v>4125</v>
      </c>
      <c r="M61" s="64" t="s">
        <v>4096</v>
      </c>
      <c r="N61" s="62" t="s">
        <v>4097</v>
      </c>
      <c r="P61" s="65" t="s">
        <v>4126</v>
      </c>
      <c r="Q61" s="65" t="s">
        <v>4127</v>
      </c>
      <c r="R61" s="65" t="s">
        <v>3828</v>
      </c>
    </row>
    <row r="62" spans="4:18">
      <c r="D62" s="63"/>
      <c r="E62" s="63"/>
      <c r="F62" s="63"/>
      <c r="G62" s="63"/>
      <c r="H62" s="63"/>
      <c r="J62" s="64" t="s">
        <v>3418</v>
      </c>
      <c r="K62" s="64" t="s">
        <v>3581</v>
      </c>
      <c r="L62" s="64" t="s">
        <v>4128</v>
      </c>
      <c r="M62" s="64" t="s">
        <v>4129</v>
      </c>
      <c r="N62" s="62" t="s">
        <v>4130</v>
      </c>
      <c r="P62" s="65" t="s">
        <v>4131</v>
      </c>
      <c r="Q62" s="65" t="s">
        <v>4132</v>
      </c>
      <c r="R62" s="65" t="s">
        <v>3828</v>
      </c>
    </row>
    <row r="63" spans="4:18">
      <c r="D63" s="63"/>
      <c r="E63" s="63"/>
      <c r="F63" s="63"/>
      <c r="G63" s="63"/>
      <c r="H63" s="63"/>
      <c r="J63" s="64" t="s">
        <v>3414</v>
      </c>
      <c r="K63" s="64" t="s">
        <v>3581</v>
      </c>
      <c r="L63" s="64" t="s">
        <v>4133</v>
      </c>
      <c r="M63" s="64" t="s">
        <v>4129</v>
      </c>
      <c r="N63" s="62" t="s">
        <v>4130</v>
      </c>
      <c r="P63" s="65" t="s">
        <v>4134</v>
      </c>
      <c r="Q63" s="65" t="s">
        <v>4135</v>
      </c>
      <c r="R63" s="65" t="s">
        <v>3828</v>
      </c>
    </row>
    <row r="64" spans="4:18">
      <c r="D64" s="63"/>
      <c r="E64" s="63"/>
      <c r="F64" s="63"/>
      <c r="G64" s="63"/>
      <c r="H64" s="63"/>
      <c r="J64" s="64" t="s">
        <v>4136</v>
      </c>
      <c r="K64" s="64" t="s">
        <v>3581</v>
      </c>
      <c r="L64" s="64" t="s">
        <v>4137</v>
      </c>
      <c r="M64" s="64" t="s">
        <v>4129</v>
      </c>
      <c r="N64" s="62" t="s">
        <v>4130</v>
      </c>
      <c r="P64" s="65" t="s">
        <v>4138</v>
      </c>
      <c r="Q64" s="65" t="s">
        <v>4139</v>
      </c>
      <c r="R64" s="65" t="s">
        <v>3828</v>
      </c>
    </row>
    <row r="65" spans="4:18">
      <c r="D65" s="63"/>
      <c r="E65" s="63"/>
      <c r="F65" s="63"/>
      <c r="G65" s="63"/>
      <c r="H65" s="63"/>
      <c r="J65" s="64" t="s">
        <v>3405</v>
      </c>
      <c r="K65" s="64" t="s">
        <v>3581</v>
      </c>
      <c r="L65" s="64" t="s">
        <v>4140</v>
      </c>
      <c r="M65" s="64" t="s">
        <v>4141</v>
      </c>
      <c r="N65" s="62" t="s">
        <v>4142</v>
      </c>
      <c r="P65" s="65" t="s">
        <v>4143</v>
      </c>
      <c r="Q65" s="65" t="s">
        <v>4144</v>
      </c>
      <c r="R65" s="65" t="s">
        <v>3828</v>
      </c>
    </row>
    <row r="66" spans="4:18">
      <c r="D66" s="63"/>
      <c r="E66" s="63"/>
      <c r="F66" s="63"/>
      <c r="G66" s="63"/>
      <c r="H66" s="63"/>
      <c r="J66" s="64" t="s">
        <v>3410</v>
      </c>
      <c r="K66" s="64" t="s">
        <v>3581</v>
      </c>
      <c r="L66" s="64" t="s">
        <v>4145</v>
      </c>
      <c r="M66" s="64" t="s">
        <v>4146</v>
      </c>
      <c r="N66" s="62" t="s">
        <v>4147</v>
      </c>
      <c r="P66" s="67" t="s">
        <v>4148</v>
      </c>
      <c r="Q66" s="65" t="s">
        <v>4149</v>
      </c>
      <c r="R66" s="65" t="s">
        <v>3828</v>
      </c>
    </row>
    <row r="67" spans="4:18">
      <c r="D67" s="63"/>
      <c r="E67" s="63"/>
      <c r="F67" s="63"/>
      <c r="G67" s="63"/>
      <c r="H67" s="63"/>
      <c r="J67" s="64" t="s">
        <v>3409</v>
      </c>
      <c r="K67" s="64" t="s">
        <v>3581</v>
      </c>
      <c r="L67" s="64" t="s">
        <v>4150</v>
      </c>
      <c r="M67" s="64" t="s">
        <v>4151</v>
      </c>
      <c r="N67" s="62" t="s">
        <v>4152</v>
      </c>
    </row>
    <row r="68" spans="4:18">
      <c r="D68" s="63"/>
      <c r="E68" s="63"/>
      <c r="F68" s="63"/>
      <c r="G68" s="63"/>
      <c r="H68" s="63"/>
      <c r="J68" s="64" t="s">
        <v>4153</v>
      </c>
      <c r="K68" s="64" t="s">
        <v>3581</v>
      </c>
      <c r="L68" s="64" t="s">
        <v>4154</v>
      </c>
      <c r="M68" s="64" t="s">
        <v>4155</v>
      </c>
      <c r="N68" s="62" t="s">
        <v>4156</v>
      </c>
    </row>
    <row r="69" spans="4:18">
      <c r="D69" s="63"/>
      <c r="E69" s="63"/>
      <c r="F69" s="63"/>
      <c r="G69" s="63"/>
      <c r="H69" s="63"/>
      <c r="J69" s="64" t="s">
        <v>4157</v>
      </c>
      <c r="K69" s="64" t="s">
        <v>3581</v>
      </c>
      <c r="L69" s="64" t="s">
        <v>4158</v>
      </c>
      <c r="M69" s="64" t="s">
        <v>4159</v>
      </c>
      <c r="N69" s="62" t="s">
        <v>4158</v>
      </c>
    </row>
    <row r="70" spans="4:18">
      <c r="D70" s="63"/>
      <c r="E70" s="63"/>
      <c r="F70" s="63"/>
      <c r="G70" s="63"/>
      <c r="H70" s="63"/>
      <c r="J70" s="64" t="s">
        <v>4160</v>
      </c>
      <c r="K70" s="64" t="s">
        <v>3581</v>
      </c>
      <c r="L70" s="64" t="s">
        <v>4161</v>
      </c>
      <c r="M70" s="64" t="s">
        <v>4162</v>
      </c>
      <c r="N70" s="62" t="s">
        <v>4163</v>
      </c>
    </row>
    <row r="71" spans="4:18">
      <c r="D71" s="63"/>
      <c r="E71" s="63"/>
      <c r="F71" s="63"/>
      <c r="G71" s="63"/>
      <c r="H71" s="63"/>
      <c r="J71" s="64" t="s">
        <v>4164</v>
      </c>
      <c r="K71" s="64" t="s">
        <v>3581</v>
      </c>
      <c r="L71" s="64" t="s">
        <v>4165</v>
      </c>
      <c r="M71" s="64" t="s">
        <v>4166</v>
      </c>
      <c r="N71" s="62" t="s">
        <v>4167</v>
      </c>
    </row>
    <row r="72" spans="4:18">
      <c r="D72" s="63"/>
      <c r="E72" s="63"/>
      <c r="F72" s="63"/>
      <c r="G72" s="63"/>
      <c r="H72" s="63"/>
      <c r="J72" s="64" t="s">
        <v>4168</v>
      </c>
      <c r="K72" s="64" t="s">
        <v>3581</v>
      </c>
      <c r="L72" s="64" t="s">
        <v>1363</v>
      </c>
      <c r="M72" s="64" t="s">
        <v>4166</v>
      </c>
      <c r="N72" s="62" t="s">
        <v>4167</v>
      </c>
    </row>
    <row r="73" spans="4:18">
      <c r="D73" s="63"/>
      <c r="E73" s="63"/>
      <c r="F73" s="63"/>
      <c r="G73" s="63"/>
      <c r="H73" s="63"/>
      <c r="J73" s="64" t="s">
        <v>4169</v>
      </c>
      <c r="K73" s="64" t="s">
        <v>3581</v>
      </c>
      <c r="L73" s="64" t="s">
        <v>1363</v>
      </c>
      <c r="M73" s="64" t="s">
        <v>4170</v>
      </c>
      <c r="N73" s="62" t="s">
        <v>4171</v>
      </c>
    </row>
    <row r="74" spans="4:18">
      <c r="D74" s="63"/>
      <c r="E74" s="63"/>
      <c r="F74" s="63"/>
      <c r="G74" s="63"/>
      <c r="H74" s="63"/>
      <c r="J74" s="64" t="s">
        <v>4172</v>
      </c>
      <c r="K74" s="64" t="s">
        <v>3581</v>
      </c>
      <c r="L74" s="64" t="s">
        <v>1363</v>
      </c>
      <c r="M74" s="64" t="s">
        <v>4173</v>
      </c>
      <c r="N74" s="62" t="s">
        <v>4174</v>
      </c>
    </row>
    <row r="75" spans="4:18">
      <c r="D75" s="63"/>
      <c r="E75" s="63"/>
      <c r="F75" s="63"/>
      <c r="G75" s="63"/>
      <c r="H75" s="63"/>
      <c r="J75" s="64" t="s">
        <v>4175</v>
      </c>
      <c r="K75" s="64" t="s">
        <v>3581</v>
      </c>
      <c r="L75" s="64" t="s">
        <v>4176</v>
      </c>
      <c r="M75" s="64" t="s">
        <v>4177</v>
      </c>
      <c r="N75" s="62" t="s">
        <v>4178</v>
      </c>
    </row>
    <row r="76" spans="4:18">
      <c r="D76" s="63"/>
      <c r="E76" s="63"/>
      <c r="F76" s="63"/>
      <c r="G76" s="63"/>
      <c r="H76" s="63"/>
      <c r="J76" s="64" t="s">
        <v>4179</v>
      </c>
      <c r="K76" s="64" t="s">
        <v>3581</v>
      </c>
      <c r="L76" s="64" t="s">
        <v>4180</v>
      </c>
      <c r="M76" s="64" t="s">
        <v>4181</v>
      </c>
      <c r="N76" s="62" t="s">
        <v>4182</v>
      </c>
    </row>
    <row r="77" spans="4:18">
      <c r="D77" s="63"/>
      <c r="E77" s="63"/>
      <c r="F77" s="63"/>
      <c r="G77" s="63"/>
      <c r="H77" s="63"/>
      <c r="J77" s="64" t="s">
        <v>4183</v>
      </c>
      <c r="K77" s="64" t="s">
        <v>3581</v>
      </c>
      <c r="L77" s="64" t="s">
        <v>4184</v>
      </c>
      <c r="M77" s="64" t="s">
        <v>4185</v>
      </c>
      <c r="N77" s="62" t="s">
        <v>4186</v>
      </c>
    </row>
    <row r="78" spans="4:18">
      <c r="D78" s="63"/>
      <c r="E78" s="63"/>
      <c r="F78" s="63"/>
      <c r="G78" s="63"/>
      <c r="H78" s="63"/>
      <c r="J78" s="64" t="s">
        <v>4187</v>
      </c>
      <c r="K78" s="64" t="s">
        <v>3581</v>
      </c>
      <c r="L78" s="64" t="s">
        <v>4188</v>
      </c>
      <c r="M78" s="64" t="s">
        <v>4189</v>
      </c>
      <c r="N78" s="62" t="s">
        <v>4190</v>
      </c>
    </row>
    <row r="79" spans="4:18">
      <c r="D79" s="63"/>
      <c r="E79" s="63"/>
      <c r="F79" s="63"/>
      <c r="G79" s="63"/>
      <c r="H79" s="63"/>
      <c r="J79" s="64" t="s">
        <v>4191</v>
      </c>
      <c r="K79" s="64" t="s">
        <v>3581</v>
      </c>
      <c r="L79" s="64" t="s">
        <v>4192</v>
      </c>
      <c r="M79" s="64" t="s">
        <v>4193</v>
      </c>
      <c r="N79" s="62" t="s">
        <v>4194</v>
      </c>
    </row>
    <row r="80" spans="4:18">
      <c r="D80" s="63"/>
      <c r="E80" s="63"/>
      <c r="F80" s="63"/>
      <c r="G80" s="63"/>
      <c r="H80" s="63"/>
      <c r="J80" s="64" t="s">
        <v>4195</v>
      </c>
      <c r="K80" s="64" t="s">
        <v>3581</v>
      </c>
      <c r="L80" s="64" t="s">
        <v>4196</v>
      </c>
      <c r="M80" s="64" t="s">
        <v>4197</v>
      </c>
      <c r="N80" s="62" t="s">
        <v>4198</v>
      </c>
    </row>
    <row r="81" spans="4:14">
      <c r="D81" s="63"/>
      <c r="E81" s="63"/>
      <c r="F81" s="63"/>
      <c r="G81" s="63"/>
      <c r="H81" s="63"/>
      <c r="J81" s="64" t="s">
        <v>4199</v>
      </c>
      <c r="K81" s="64" t="s">
        <v>3581</v>
      </c>
      <c r="L81" s="64" t="s">
        <v>4200</v>
      </c>
      <c r="M81" s="64" t="s">
        <v>4201</v>
      </c>
      <c r="N81" s="62" t="s">
        <v>4202</v>
      </c>
    </row>
    <row r="82" spans="4:14">
      <c r="D82" s="63"/>
      <c r="E82" s="63"/>
      <c r="F82" s="63"/>
      <c r="G82" s="63"/>
      <c r="H82" s="63"/>
      <c r="J82" s="64" t="s">
        <v>4199</v>
      </c>
      <c r="K82" s="64" t="s">
        <v>3581</v>
      </c>
      <c r="L82" s="64" t="s">
        <v>4196</v>
      </c>
      <c r="M82" s="64" t="s">
        <v>4201</v>
      </c>
      <c r="N82" s="62" t="s">
        <v>4202</v>
      </c>
    </row>
    <row r="83" spans="4:14">
      <c r="D83" s="63"/>
      <c r="E83" s="63"/>
      <c r="F83" s="63"/>
      <c r="G83" s="63"/>
      <c r="H83" s="63"/>
      <c r="J83" s="64" t="s">
        <v>4203</v>
      </c>
      <c r="K83" s="64" t="s">
        <v>3581</v>
      </c>
      <c r="L83" s="64" t="s">
        <v>4204</v>
      </c>
      <c r="M83" s="64" t="s">
        <v>4205</v>
      </c>
      <c r="N83" s="62" t="s">
        <v>4206</v>
      </c>
    </row>
    <row r="84" spans="4:14">
      <c r="D84" s="63"/>
      <c r="E84" s="63"/>
      <c r="F84" s="63"/>
      <c r="G84" s="63"/>
      <c r="H84" s="63"/>
      <c r="J84" s="64" t="s">
        <v>4207</v>
      </c>
      <c r="K84" s="64" t="s">
        <v>3581</v>
      </c>
      <c r="L84" s="64" t="s">
        <v>4208</v>
      </c>
      <c r="M84" s="64" t="s">
        <v>4209</v>
      </c>
      <c r="N84" s="62" t="s">
        <v>4210</v>
      </c>
    </row>
    <row r="85" spans="4:14">
      <c r="D85" s="63"/>
      <c r="E85" s="63"/>
      <c r="F85" s="63"/>
      <c r="G85" s="63"/>
      <c r="H85" s="63"/>
      <c r="J85" s="64" t="s">
        <v>4211</v>
      </c>
      <c r="K85" s="64" t="s">
        <v>3581</v>
      </c>
      <c r="L85" s="64" t="s">
        <v>4212</v>
      </c>
      <c r="M85" s="64" t="s">
        <v>4205</v>
      </c>
      <c r="N85" s="62" t="s">
        <v>4206</v>
      </c>
    </row>
    <row r="86" spans="4:14">
      <c r="D86" s="63"/>
      <c r="E86" s="63"/>
      <c r="F86" s="63"/>
      <c r="G86" s="63"/>
      <c r="H86" s="63"/>
      <c r="J86" s="64" t="s">
        <v>4213</v>
      </c>
      <c r="K86" s="64" t="s">
        <v>3581</v>
      </c>
      <c r="L86" s="64" t="s">
        <v>4214</v>
      </c>
      <c r="M86" s="64" t="s">
        <v>4215</v>
      </c>
      <c r="N86" s="62" t="s">
        <v>4216</v>
      </c>
    </row>
    <row r="87" spans="4:14">
      <c r="D87" s="63"/>
      <c r="E87" s="63"/>
      <c r="F87" s="63"/>
      <c r="G87" s="63"/>
      <c r="H87" s="63"/>
      <c r="J87" s="64" t="s">
        <v>4217</v>
      </c>
      <c r="K87" s="64" t="s">
        <v>4218</v>
      </c>
      <c r="L87" s="64" t="s">
        <v>4219</v>
      </c>
      <c r="M87" s="64" t="s">
        <v>4220</v>
      </c>
      <c r="N87" s="62" t="s">
        <v>4221</v>
      </c>
    </row>
    <row r="88" spans="4:14">
      <c r="D88" s="63"/>
      <c r="E88" s="63"/>
      <c r="F88" s="63"/>
      <c r="G88" s="63"/>
      <c r="H88" s="63"/>
      <c r="J88" s="64" t="s">
        <v>4217</v>
      </c>
      <c r="K88" s="64" t="s">
        <v>4222</v>
      </c>
      <c r="L88" s="64" t="s">
        <v>4182</v>
      </c>
      <c r="M88" s="64" t="s">
        <v>4181</v>
      </c>
      <c r="N88" s="62" t="s">
        <v>4182</v>
      </c>
    </row>
    <row r="89" spans="4:14">
      <c r="D89" s="63"/>
      <c r="E89" s="63"/>
      <c r="F89" s="63"/>
      <c r="G89" s="63"/>
      <c r="H89" s="63"/>
      <c r="J89" s="64" t="s">
        <v>4223</v>
      </c>
      <c r="K89" s="64" t="s">
        <v>3581</v>
      </c>
      <c r="L89" s="64" t="s">
        <v>4224</v>
      </c>
      <c r="M89" s="64" t="s">
        <v>4205</v>
      </c>
      <c r="N89" s="62" t="s">
        <v>4206</v>
      </c>
    </row>
    <row r="90" spans="4:14">
      <c r="D90" s="63"/>
      <c r="E90" s="63"/>
      <c r="F90" s="63"/>
      <c r="G90" s="63"/>
      <c r="H90" s="63"/>
      <c r="J90" s="64" t="s">
        <v>4225</v>
      </c>
      <c r="K90" s="64" t="s">
        <v>3581</v>
      </c>
      <c r="L90" s="64" t="s">
        <v>4226</v>
      </c>
      <c r="M90" s="64" t="s">
        <v>4205</v>
      </c>
      <c r="N90" s="62" t="s">
        <v>4206</v>
      </c>
    </row>
    <row r="91" spans="4:14">
      <c r="D91" s="63"/>
      <c r="E91" s="63"/>
      <c r="F91" s="63"/>
      <c r="G91" s="63"/>
      <c r="H91" s="63"/>
      <c r="J91" s="64" t="s">
        <v>4227</v>
      </c>
      <c r="K91" s="64" t="s">
        <v>4218</v>
      </c>
      <c r="L91" s="64" t="s">
        <v>4228</v>
      </c>
      <c r="M91" s="64" t="s">
        <v>4229</v>
      </c>
      <c r="N91" s="62" t="s">
        <v>4230</v>
      </c>
    </row>
    <row r="92" spans="4:14">
      <c r="D92" s="63"/>
      <c r="E92" s="63"/>
      <c r="F92" s="63"/>
      <c r="G92" s="63"/>
      <c r="H92" s="63"/>
      <c r="J92" s="64" t="s">
        <v>4227</v>
      </c>
      <c r="K92" s="64" t="s">
        <v>4222</v>
      </c>
      <c r="L92" s="64" t="s">
        <v>4182</v>
      </c>
      <c r="M92" s="64" t="s">
        <v>4181</v>
      </c>
      <c r="N92" s="62" t="s">
        <v>4182</v>
      </c>
    </row>
    <row r="93" spans="4:14">
      <c r="D93" s="63"/>
      <c r="E93" s="63"/>
      <c r="F93" s="63"/>
      <c r="G93" s="63"/>
      <c r="H93" s="63"/>
      <c r="J93" s="64" t="s">
        <v>4231</v>
      </c>
      <c r="K93" s="64" t="s">
        <v>3581</v>
      </c>
      <c r="L93" s="64" t="s">
        <v>4232</v>
      </c>
      <c r="M93" s="64" t="s">
        <v>4233</v>
      </c>
      <c r="N93" s="62" t="s">
        <v>4234</v>
      </c>
    </row>
    <row r="94" spans="4:14">
      <c r="D94" s="63"/>
      <c r="E94" s="63"/>
      <c r="F94" s="63"/>
      <c r="G94" s="63"/>
      <c r="H94" s="63"/>
      <c r="J94" s="64" t="s">
        <v>4235</v>
      </c>
      <c r="K94" s="64" t="s">
        <v>3581</v>
      </c>
      <c r="L94" s="64" t="s">
        <v>4236</v>
      </c>
      <c r="M94" s="64" t="s">
        <v>4237</v>
      </c>
      <c r="N94" s="62" t="s">
        <v>4238</v>
      </c>
    </row>
    <row r="95" spans="4:14">
      <c r="D95" s="63"/>
      <c r="E95" s="63"/>
      <c r="F95" s="63"/>
      <c r="G95" s="63"/>
      <c r="H95" s="63"/>
      <c r="J95" s="64" t="s">
        <v>4239</v>
      </c>
      <c r="K95" s="64" t="s">
        <v>3581</v>
      </c>
      <c r="L95" s="64" t="s">
        <v>4240</v>
      </c>
      <c r="M95" s="64" t="s">
        <v>4241</v>
      </c>
      <c r="N95" s="62" t="s">
        <v>4242</v>
      </c>
    </row>
    <row r="96" spans="4:14">
      <c r="D96" s="63"/>
      <c r="E96" s="63"/>
      <c r="F96" s="63"/>
      <c r="G96" s="63"/>
      <c r="H96" s="63"/>
      <c r="J96" s="64" t="s">
        <v>4243</v>
      </c>
      <c r="K96" s="64" t="s">
        <v>3581</v>
      </c>
      <c r="L96" s="64" t="s">
        <v>4244</v>
      </c>
      <c r="M96" s="64" t="s">
        <v>4245</v>
      </c>
      <c r="N96" s="62" t="s">
        <v>4246</v>
      </c>
    </row>
    <row r="97" spans="4:14" ht="25.5">
      <c r="D97" s="63"/>
      <c r="E97" s="63"/>
      <c r="F97" s="63"/>
      <c r="G97" s="63"/>
      <c r="H97" s="63"/>
      <c r="J97" s="64" t="s">
        <v>4247</v>
      </c>
      <c r="K97" s="64" t="s">
        <v>3581</v>
      </c>
      <c r="L97" s="64" t="s">
        <v>4248</v>
      </c>
      <c r="M97" s="64" t="s">
        <v>4249</v>
      </c>
      <c r="N97" s="62" t="s">
        <v>4250</v>
      </c>
    </row>
    <row r="98" spans="4:14">
      <c r="D98" s="63"/>
      <c r="E98" s="63"/>
      <c r="F98" s="63"/>
      <c r="G98" s="63"/>
      <c r="H98" s="63"/>
      <c r="J98" s="64" t="s">
        <v>4251</v>
      </c>
      <c r="K98" s="64" t="s">
        <v>3581</v>
      </c>
      <c r="L98" s="64" t="s">
        <v>4252</v>
      </c>
      <c r="M98" s="64" t="s">
        <v>4253</v>
      </c>
      <c r="N98" s="62" t="e">
        <v>#N/A</v>
      </c>
    </row>
    <row r="99" spans="4:14">
      <c r="D99" s="63"/>
      <c r="E99" s="63"/>
      <c r="F99" s="63"/>
      <c r="G99" s="63"/>
      <c r="H99" s="63"/>
      <c r="J99" s="64" t="s">
        <v>4254</v>
      </c>
      <c r="K99" s="64" t="s">
        <v>3581</v>
      </c>
      <c r="L99" s="64" t="s">
        <v>4255</v>
      </c>
      <c r="M99" s="64" t="s">
        <v>4256</v>
      </c>
      <c r="N99" s="62" t="s">
        <v>4257</v>
      </c>
    </row>
    <row r="100" spans="4:14">
      <c r="D100" s="63"/>
      <c r="E100" s="63"/>
      <c r="F100" s="63"/>
      <c r="G100" s="63"/>
      <c r="H100" s="63"/>
      <c r="J100" s="64" t="s">
        <v>4258</v>
      </c>
      <c r="K100" s="64" t="s">
        <v>3581</v>
      </c>
      <c r="L100" s="64" t="s">
        <v>4259</v>
      </c>
      <c r="M100" s="64" t="s">
        <v>3765</v>
      </c>
      <c r="N100" s="62" t="s">
        <v>3766</v>
      </c>
    </row>
    <row r="101" spans="4:14">
      <c r="D101" s="63"/>
      <c r="E101" s="63"/>
      <c r="F101" s="63"/>
      <c r="G101" s="63"/>
      <c r="H101" s="63"/>
      <c r="J101" s="64" t="s">
        <v>4260</v>
      </c>
      <c r="K101" s="64" t="s">
        <v>3581</v>
      </c>
      <c r="L101" s="64" t="s">
        <v>4261</v>
      </c>
      <c r="M101" s="64" t="s">
        <v>4262</v>
      </c>
      <c r="N101" s="62" t="s">
        <v>4263</v>
      </c>
    </row>
    <row r="102" spans="4:14">
      <c r="D102" s="63"/>
      <c r="E102" s="63"/>
      <c r="F102" s="63"/>
      <c r="G102" s="63"/>
      <c r="H102" s="63"/>
      <c r="J102" s="64" t="s">
        <v>4264</v>
      </c>
      <c r="K102" s="64" t="s">
        <v>3581</v>
      </c>
      <c r="L102" s="64" t="s">
        <v>4265</v>
      </c>
      <c r="M102" s="64" t="s">
        <v>4266</v>
      </c>
      <c r="N102" s="62" t="s">
        <v>4267</v>
      </c>
    </row>
    <row r="103" spans="4:14">
      <c r="D103" s="63"/>
      <c r="E103" s="63"/>
      <c r="F103" s="63"/>
      <c r="G103" s="63"/>
      <c r="H103" s="63"/>
      <c r="J103" s="64" t="s">
        <v>4268</v>
      </c>
      <c r="K103" s="64" t="s">
        <v>3581</v>
      </c>
      <c r="L103" s="64" t="s">
        <v>4265</v>
      </c>
      <c r="M103" s="64" t="s">
        <v>4269</v>
      </c>
      <c r="N103" s="62" t="s">
        <v>4270</v>
      </c>
    </row>
    <row r="104" spans="4:14">
      <c r="D104" s="63"/>
      <c r="E104" s="63"/>
      <c r="F104" s="63"/>
      <c r="G104" s="63"/>
      <c r="H104" s="63"/>
      <c r="J104" s="64" t="s">
        <v>4271</v>
      </c>
      <c r="K104" s="64" t="s">
        <v>3581</v>
      </c>
      <c r="L104" s="64" t="s">
        <v>4272</v>
      </c>
      <c r="M104" s="64" t="s">
        <v>4273</v>
      </c>
      <c r="N104" s="62" t="e">
        <v>#N/A</v>
      </c>
    </row>
    <row r="105" spans="4:14">
      <c r="D105" s="63"/>
      <c r="E105" s="63"/>
      <c r="F105" s="63"/>
      <c r="G105" s="63"/>
      <c r="H105" s="63"/>
      <c r="J105" s="64" t="s">
        <v>4274</v>
      </c>
      <c r="K105" s="64" t="s">
        <v>3581</v>
      </c>
      <c r="L105" s="64" t="s">
        <v>4275</v>
      </c>
      <c r="M105" s="64" t="s">
        <v>4276</v>
      </c>
      <c r="N105" s="62" t="s">
        <v>4277</v>
      </c>
    </row>
    <row r="106" spans="4:14">
      <c r="D106" s="63"/>
      <c r="E106" s="63"/>
      <c r="F106" s="63"/>
      <c r="G106" s="63"/>
      <c r="H106" s="63"/>
      <c r="J106" s="64" t="s">
        <v>4278</v>
      </c>
      <c r="K106" s="64" t="s">
        <v>3581</v>
      </c>
      <c r="L106" s="64" t="s">
        <v>4279</v>
      </c>
      <c r="M106" s="64" t="s">
        <v>4273</v>
      </c>
      <c r="N106" s="62" t="e">
        <v>#N/A</v>
      </c>
    </row>
    <row r="107" spans="4:14">
      <c r="D107" s="63"/>
      <c r="E107" s="63"/>
      <c r="F107" s="63"/>
      <c r="G107" s="63"/>
      <c r="H107" s="63"/>
      <c r="J107" s="64" t="s">
        <v>4280</v>
      </c>
      <c r="K107" s="64" t="s">
        <v>3581</v>
      </c>
      <c r="L107" s="64" t="s">
        <v>4281</v>
      </c>
      <c r="M107" s="64" t="s">
        <v>4273</v>
      </c>
      <c r="N107" s="62" t="e">
        <v>#N/A</v>
      </c>
    </row>
    <row r="108" spans="4:14">
      <c r="D108" s="63"/>
      <c r="E108" s="63"/>
      <c r="F108" s="63"/>
      <c r="G108" s="63"/>
      <c r="H108" s="63"/>
      <c r="J108" s="64" t="s">
        <v>4282</v>
      </c>
      <c r="K108" s="64" t="s">
        <v>3581</v>
      </c>
      <c r="L108" s="64" t="s">
        <v>4283</v>
      </c>
      <c r="M108" s="64" t="s">
        <v>4284</v>
      </c>
      <c r="N108" s="62" t="s">
        <v>4285</v>
      </c>
    </row>
    <row r="109" spans="4:14">
      <c r="D109" s="63"/>
      <c r="E109" s="63"/>
      <c r="F109" s="63"/>
      <c r="G109" s="63"/>
      <c r="H109" s="63"/>
      <c r="J109" s="64" t="s">
        <v>4286</v>
      </c>
      <c r="K109" s="64" t="s">
        <v>3581</v>
      </c>
      <c r="L109" s="64" t="s">
        <v>4287</v>
      </c>
      <c r="M109" s="64" t="s">
        <v>4284</v>
      </c>
      <c r="N109" s="62" t="s">
        <v>4285</v>
      </c>
    </row>
    <row r="110" spans="4:14">
      <c r="D110" s="63"/>
      <c r="E110" s="63"/>
      <c r="F110" s="63"/>
      <c r="G110" s="63"/>
      <c r="H110" s="63"/>
      <c r="J110" s="64" t="s">
        <v>4288</v>
      </c>
      <c r="K110" s="64" t="s">
        <v>3581</v>
      </c>
      <c r="L110" s="64" t="s">
        <v>4289</v>
      </c>
      <c r="M110" s="64" t="s">
        <v>4290</v>
      </c>
      <c r="N110" s="62" t="s">
        <v>4291</v>
      </c>
    </row>
    <row r="111" spans="4:14">
      <c r="D111" s="63"/>
      <c r="E111" s="63"/>
      <c r="F111" s="63"/>
      <c r="G111" s="63"/>
      <c r="H111" s="63"/>
      <c r="J111" s="64" t="s">
        <v>4292</v>
      </c>
      <c r="K111" s="64" t="s">
        <v>3581</v>
      </c>
      <c r="L111" s="64" t="s">
        <v>4293</v>
      </c>
      <c r="M111" s="64" t="s">
        <v>4294</v>
      </c>
      <c r="N111" s="62" t="s">
        <v>4295</v>
      </c>
    </row>
    <row r="112" spans="4:14">
      <c r="D112" s="63"/>
      <c r="E112" s="63"/>
      <c r="F112" s="63"/>
      <c r="G112" s="63"/>
      <c r="H112" s="63"/>
      <c r="J112" s="64" t="s">
        <v>4296</v>
      </c>
      <c r="K112" s="64" t="s">
        <v>3581</v>
      </c>
      <c r="L112" s="64" t="s">
        <v>4297</v>
      </c>
      <c r="M112" s="64" t="s">
        <v>4294</v>
      </c>
      <c r="N112" s="62" t="s">
        <v>4295</v>
      </c>
    </row>
    <row r="113" spans="4:14">
      <c r="D113" s="63"/>
      <c r="E113" s="63"/>
      <c r="F113" s="63"/>
      <c r="G113" s="63"/>
      <c r="H113" s="63"/>
      <c r="J113" s="64" t="s">
        <v>4298</v>
      </c>
      <c r="K113" s="64" t="s">
        <v>3581</v>
      </c>
      <c r="L113" s="64" t="s">
        <v>4299</v>
      </c>
      <c r="M113" s="64" t="s">
        <v>4294</v>
      </c>
      <c r="N113" s="62" t="s">
        <v>4295</v>
      </c>
    </row>
    <row r="114" spans="4:14">
      <c r="D114" s="63"/>
      <c r="E114" s="63"/>
      <c r="F114" s="63"/>
      <c r="G114" s="63"/>
      <c r="H114" s="63"/>
      <c r="J114" s="64" t="s">
        <v>4300</v>
      </c>
      <c r="K114" s="64" t="s">
        <v>3581</v>
      </c>
      <c r="L114" s="64" t="s">
        <v>4301</v>
      </c>
      <c r="M114" s="64" t="s">
        <v>4290</v>
      </c>
      <c r="N114" s="62" t="s">
        <v>4291</v>
      </c>
    </row>
    <row r="115" spans="4:14">
      <c r="D115" s="63"/>
      <c r="E115" s="63"/>
      <c r="F115" s="63"/>
      <c r="G115" s="63"/>
      <c r="H115" s="63"/>
      <c r="J115" s="64" t="s">
        <v>4302</v>
      </c>
      <c r="K115" s="64" t="s">
        <v>3581</v>
      </c>
      <c r="L115" s="64" t="s">
        <v>4303</v>
      </c>
      <c r="M115" s="64" t="s">
        <v>4290</v>
      </c>
      <c r="N115" s="62" t="s">
        <v>4291</v>
      </c>
    </row>
    <row r="116" spans="4:14" ht="25.5">
      <c r="D116" s="63"/>
      <c r="E116" s="63"/>
      <c r="F116" s="63"/>
      <c r="G116" s="63"/>
      <c r="H116" s="63"/>
      <c r="J116" s="64" t="s">
        <v>4304</v>
      </c>
      <c r="K116" s="64" t="s">
        <v>3581</v>
      </c>
      <c r="L116" s="64" t="s">
        <v>4305</v>
      </c>
      <c r="M116" s="64" t="s">
        <v>4306</v>
      </c>
      <c r="N116" s="62" t="s">
        <v>4307</v>
      </c>
    </row>
    <row r="117" spans="4:14">
      <c r="D117" s="63"/>
      <c r="E117" s="63"/>
      <c r="F117" s="63"/>
      <c r="G117" s="63"/>
      <c r="H117" s="63"/>
      <c r="J117" s="64" t="s">
        <v>4308</v>
      </c>
      <c r="K117" s="64" t="s">
        <v>3581</v>
      </c>
      <c r="L117" s="64" t="s">
        <v>4309</v>
      </c>
      <c r="M117" s="64" t="s">
        <v>4310</v>
      </c>
      <c r="N117" s="62" t="s">
        <v>4311</v>
      </c>
    </row>
    <row r="118" spans="4:14">
      <c r="D118" s="63"/>
      <c r="E118" s="63"/>
      <c r="F118" s="63"/>
      <c r="G118" s="63"/>
      <c r="H118" s="63"/>
      <c r="J118" s="64" t="s">
        <v>4312</v>
      </c>
      <c r="K118" s="64" t="s">
        <v>3581</v>
      </c>
      <c r="L118" s="64" t="s">
        <v>4313</v>
      </c>
      <c r="M118" s="64" t="s">
        <v>4306</v>
      </c>
      <c r="N118" s="62" t="s">
        <v>4307</v>
      </c>
    </row>
    <row r="119" spans="4:14">
      <c r="D119" s="63"/>
      <c r="E119" s="63"/>
      <c r="F119" s="63"/>
      <c r="G119" s="63"/>
      <c r="H119" s="63"/>
      <c r="J119" s="64" t="s">
        <v>4314</v>
      </c>
      <c r="K119" s="64" t="s">
        <v>3581</v>
      </c>
      <c r="L119" s="64" t="s">
        <v>4315</v>
      </c>
      <c r="M119" s="64" t="s">
        <v>4306</v>
      </c>
      <c r="N119" s="62" t="s">
        <v>4307</v>
      </c>
    </row>
    <row r="120" spans="4:14" ht="25.5">
      <c r="D120" s="63"/>
      <c r="E120" s="63"/>
      <c r="F120" s="63"/>
      <c r="G120" s="63"/>
      <c r="H120" s="63"/>
      <c r="J120" s="64" t="s">
        <v>4316</v>
      </c>
      <c r="K120" s="64" t="s">
        <v>3581</v>
      </c>
      <c r="L120" s="64" t="s">
        <v>4317</v>
      </c>
      <c r="M120" s="64" t="s">
        <v>4306</v>
      </c>
      <c r="N120" s="62" t="s">
        <v>4307</v>
      </c>
    </row>
    <row r="121" spans="4:14">
      <c r="D121" s="63"/>
      <c r="E121" s="63"/>
      <c r="F121" s="63"/>
      <c r="G121" s="63"/>
      <c r="H121" s="63"/>
      <c r="J121" s="64" t="s">
        <v>4318</v>
      </c>
      <c r="K121" s="64" t="s">
        <v>3581</v>
      </c>
      <c r="L121" s="64" t="s">
        <v>4319</v>
      </c>
      <c r="M121" s="64" t="s">
        <v>4306</v>
      </c>
      <c r="N121" s="62" t="s">
        <v>4307</v>
      </c>
    </row>
    <row r="122" spans="4:14">
      <c r="D122" s="63"/>
      <c r="E122" s="63"/>
      <c r="F122" s="63"/>
      <c r="G122" s="63"/>
      <c r="H122" s="63"/>
      <c r="J122" s="64" t="s">
        <v>4320</v>
      </c>
      <c r="K122" s="64" t="s">
        <v>3581</v>
      </c>
      <c r="L122" s="64" t="s">
        <v>4321</v>
      </c>
      <c r="M122" s="64" t="s">
        <v>4310</v>
      </c>
      <c r="N122" s="62" t="s">
        <v>4311</v>
      </c>
    </row>
    <row r="123" spans="4:14">
      <c r="D123" s="63"/>
      <c r="E123" s="63"/>
      <c r="F123" s="63"/>
      <c r="G123" s="63"/>
      <c r="H123" s="63"/>
      <c r="J123" s="64" t="s">
        <v>4322</v>
      </c>
      <c r="K123" s="64" t="s">
        <v>3581</v>
      </c>
      <c r="L123" s="64" t="s">
        <v>4323</v>
      </c>
      <c r="M123" s="64" t="s">
        <v>4290</v>
      </c>
      <c r="N123" s="62" t="s">
        <v>4291</v>
      </c>
    </row>
    <row r="124" spans="4:14">
      <c r="D124" s="63"/>
      <c r="E124" s="63"/>
      <c r="F124" s="63"/>
      <c r="G124" s="63"/>
      <c r="H124" s="63"/>
      <c r="J124" s="64" t="s">
        <v>4324</v>
      </c>
      <c r="K124" s="64" t="s">
        <v>3581</v>
      </c>
      <c r="L124" s="64" t="s">
        <v>4325</v>
      </c>
      <c r="M124" s="64" t="s">
        <v>4290</v>
      </c>
      <c r="N124" s="62" t="s">
        <v>4291</v>
      </c>
    </row>
    <row r="125" spans="4:14" ht="25.5">
      <c r="D125" s="63"/>
      <c r="E125" s="63"/>
      <c r="F125" s="63"/>
      <c r="G125" s="63"/>
      <c r="H125" s="63"/>
      <c r="J125" s="64" t="s">
        <v>4326</v>
      </c>
      <c r="K125" s="64" t="s">
        <v>3581</v>
      </c>
      <c r="L125" s="64" t="s">
        <v>4327</v>
      </c>
      <c r="M125" s="64" t="s">
        <v>4290</v>
      </c>
      <c r="N125" s="62" t="s">
        <v>4291</v>
      </c>
    </row>
    <row r="126" spans="4:14">
      <c r="D126" s="63"/>
      <c r="E126" s="63"/>
      <c r="F126" s="63"/>
      <c r="G126" s="63"/>
      <c r="H126" s="63"/>
      <c r="J126" s="64" t="s">
        <v>4328</v>
      </c>
      <c r="K126" s="64" t="s">
        <v>3581</v>
      </c>
      <c r="L126" s="64" t="s">
        <v>4329</v>
      </c>
      <c r="M126" s="64" t="s">
        <v>4290</v>
      </c>
      <c r="N126" s="62" t="s">
        <v>4291</v>
      </c>
    </row>
    <row r="127" spans="4:14">
      <c r="D127" s="63"/>
      <c r="E127" s="63"/>
      <c r="F127" s="63"/>
      <c r="G127" s="63"/>
      <c r="H127" s="63"/>
      <c r="J127" s="64" t="s">
        <v>4330</v>
      </c>
      <c r="K127" s="64" t="s">
        <v>3581</v>
      </c>
      <c r="L127" s="64" t="s">
        <v>4331</v>
      </c>
      <c r="M127" s="64" t="s">
        <v>4290</v>
      </c>
      <c r="N127" s="62" t="s">
        <v>4291</v>
      </c>
    </row>
    <row r="128" spans="4:14">
      <c r="D128" s="63"/>
      <c r="E128" s="63"/>
      <c r="F128" s="63"/>
      <c r="G128" s="63"/>
      <c r="H128" s="63"/>
      <c r="J128" s="64" t="s">
        <v>4332</v>
      </c>
      <c r="K128" s="64" t="s">
        <v>3581</v>
      </c>
      <c r="L128" s="64" t="s">
        <v>4333</v>
      </c>
      <c r="M128" s="64" t="s">
        <v>4290</v>
      </c>
      <c r="N128" s="62" t="s">
        <v>4291</v>
      </c>
    </row>
    <row r="129" spans="4:14">
      <c r="D129" s="63"/>
      <c r="E129" s="63"/>
      <c r="F129" s="63"/>
      <c r="G129" s="63"/>
      <c r="H129" s="63"/>
      <c r="J129" s="64" t="s">
        <v>4334</v>
      </c>
      <c r="K129" s="64" t="s">
        <v>3581</v>
      </c>
      <c r="L129" s="64" t="s">
        <v>4335</v>
      </c>
      <c r="M129" s="64" t="s">
        <v>4290</v>
      </c>
      <c r="N129" s="62" t="s">
        <v>4291</v>
      </c>
    </row>
    <row r="130" spans="4:14">
      <c r="D130" s="63"/>
      <c r="E130" s="63"/>
      <c r="F130" s="63"/>
      <c r="G130" s="63"/>
      <c r="H130" s="63"/>
      <c r="J130" s="64" t="s">
        <v>4336</v>
      </c>
      <c r="K130" s="64" t="s">
        <v>3581</v>
      </c>
      <c r="L130" s="64" t="s">
        <v>4337</v>
      </c>
      <c r="M130" s="64" t="s">
        <v>4290</v>
      </c>
      <c r="N130" s="62" t="s">
        <v>4291</v>
      </c>
    </row>
    <row r="131" spans="4:14">
      <c r="D131" s="63"/>
      <c r="E131" s="63"/>
      <c r="F131" s="63"/>
      <c r="G131" s="63"/>
      <c r="H131" s="63"/>
      <c r="J131" s="64" t="s">
        <v>4338</v>
      </c>
      <c r="K131" s="64" t="s">
        <v>3581</v>
      </c>
      <c r="L131" s="64" t="s">
        <v>4339</v>
      </c>
      <c r="M131" s="64" t="s">
        <v>4290</v>
      </c>
      <c r="N131" s="62" t="s">
        <v>4291</v>
      </c>
    </row>
    <row r="132" spans="4:14">
      <c r="D132" s="63"/>
      <c r="E132" s="63"/>
      <c r="F132" s="63"/>
      <c r="G132" s="63"/>
      <c r="H132" s="63"/>
      <c r="J132" s="64" t="s">
        <v>4340</v>
      </c>
      <c r="K132" s="64" t="s">
        <v>3581</v>
      </c>
      <c r="L132" s="64" t="s">
        <v>4341</v>
      </c>
      <c r="M132" s="64" t="s">
        <v>4290</v>
      </c>
      <c r="N132" s="62" t="s">
        <v>4291</v>
      </c>
    </row>
    <row r="133" spans="4:14">
      <c r="D133" s="63"/>
      <c r="E133" s="63"/>
      <c r="F133" s="63"/>
      <c r="G133" s="63"/>
      <c r="H133" s="63"/>
      <c r="J133" s="64" t="s">
        <v>4342</v>
      </c>
      <c r="K133" s="64" t="s">
        <v>3581</v>
      </c>
      <c r="L133" s="64" t="s">
        <v>4343</v>
      </c>
      <c r="M133" s="64" t="s">
        <v>4290</v>
      </c>
      <c r="N133" s="62" t="s">
        <v>4291</v>
      </c>
    </row>
    <row r="134" spans="4:14">
      <c r="D134" s="63"/>
      <c r="E134" s="63"/>
      <c r="F134" s="63"/>
      <c r="G134" s="63"/>
      <c r="H134" s="63"/>
      <c r="J134" s="64" t="s">
        <v>4344</v>
      </c>
      <c r="K134" s="64" t="s">
        <v>3581</v>
      </c>
      <c r="L134" s="64" t="s">
        <v>4345</v>
      </c>
      <c r="M134" s="64" t="s">
        <v>4290</v>
      </c>
      <c r="N134" s="62" t="s">
        <v>4291</v>
      </c>
    </row>
    <row r="135" spans="4:14">
      <c r="D135" s="63"/>
      <c r="E135" s="63"/>
      <c r="F135" s="63"/>
      <c r="G135" s="63"/>
      <c r="H135" s="63"/>
      <c r="J135" s="64" t="s">
        <v>4346</v>
      </c>
      <c r="K135" s="64" t="s">
        <v>3581</v>
      </c>
      <c r="L135" s="64" t="s">
        <v>4347</v>
      </c>
      <c r="M135" s="64" t="s">
        <v>4290</v>
      </c>
      <c r="N135" s="62" t="s">
        <v>4291</v>
      </c>
    </row>
    <row r="136" spans="4:14">
      <c r="D136" s="63"/>
      <c r="E136" s="63"/>
      <c r="F136" s="63"/>
      <c r="G136" s="63"/>
      <c r="H136" s="63"/>
      <c r="J136" s="64" t="s">
        <v>4348</v>
      </c>
      <c r="K136" s="64" t="s">
        <v>3581</v>
      </c>
      <c r="L136" s="64" t="s">
        <v>4349</v>
      </c>
      <c r="M136" s="64" t="s">
        <v>4290</v>
      </c>
      <c r="N136" s="62" t="s">
        <v>4291</v>
      </c>
    </row>
    <row r="137" spans="4:14">
      <c r="D137" s="63"/>
      <c r="E137" s="63"/>
      <c r="F137" s="63"/>
      <c r="G137" s="63"/>
      <c r="H137" s="63"/>
      <c r="J137" s="64" t="s">
        <v>4350</v>
      </c>
      <c r="K137" s="64" t="s">
        <v>3581</v>
      </c>
      <c r="L137" s="64" t="s">
        <v>4351</v>
      </c>
      <c r="M137" s="64" t="s">
        <v>4290</v>
      </c>
      <c r="N137" s="62" t="s">
        <v>4291</v>
      </c>
    </row>
    <row r="138" spans="4:14">
      <c r="D138" s="63"/>
      <c r="E138" s="63"/>
      <c r="F138" s="63"/>
      <c r="G138" s="63"/>
      <c r="H138" s="63"/>
      <c r="J138" s="64" t="s">
        <v>4352</v>
      </c>
      <c r="K138" s="64" t="s">
        <v>3581</v>
      </c>
      <c r="L138" s="64" t="s">
        <v>4353</v>
      </c>
      <c r="M138" s="64" t="s">
        <v>4290</v>
      </c>
      <c r="N138" s="62" t="s">
        <v>4291</v>
      </c>
    </row>
    <row r="139" spans="4:14">
      <c r="D139" s="63"/>
      <c r="E139" s="63"/>
      <c r="F139" s="63"/>
      <c r="G139" s="63"/>
      <c r="H139" s="63"/>
      <c r="J139" s="64" t="s">
        <v>4354</v>
      </c>
      <c r="K139" s="64" t="s">
        <v>3581</v>
      </c>
      <c r="L139" s="64" t="s">
        <v>4355</v>
      </c>
      <c r="M139" s="64" t="s">
        <v>4290</v>
      </c>
      <c r="N139" s="62" t="s">
        <v>4291</v>
      </c>
    </row>
    <row r="140" spans="4:14">
      <c r="D140" s="63"/>
      <c r="E140" s="63"/>
      <c r="F140" s="63"/>
      <c r="G140" s="63"/>
      <c r="H140" s="63"/>
      <c r="J140" s="64" t="s">
        <v>4356</v>
      </c>
      <c r="K140" s="64" t="s">
        <v>3581</v>
      </c>
      <c r="L140" s="64" t="s">
        <v>4357</v>
      </c>
      <c r="M140" s="64" t="s">
        <v>4290</v>
      </c>
      <c r="N140" s="62" t="s">
        <v>4291</v>
      </c>
    </row>
    <row r="141" spans="4:14">
      <c r="D141" s="63"/>
      <c r="E141" s="63"/>
      <c r="F141" s="63"/>
      <c r="G141" s="63"/>
      <c r="H141" s="63"/>
      <c r="J141" s="64" t="s">
        <v>4358</v>
      </c>
      <c r="K141" s="64" t="s">
        <v>3581</v>
      </c>
      <c r="L141" s="64" t="s">
        <v>4359</v>
      </c>
      <c r="M141" s="64" t="s">
        <v>4290</v>
      </c>
      <c r="N141" s="62" t="s">
        <v>4291</v>
      </c>
    </row>
    <row r="142" spans="4:14">
      <c r="D142" s="63"/>
      <c r="E142" s="63"/>
      <c r="F142" s="63"/>
      <c r="G142" s="63"/>
      <c r="H142" s="63"/>
      <c r="J142" s="64" t="s">
        <v>4360</v>
      </c>
      <c r="K142" s="64" t="s">
        <v>3581</v>
      </c>
      <c r="L142" s="64" t="s">
        <v>4361</v>
      </c>
      <c r="M142" s="64" t="s">
        <v>4290</v>
      </c>
      <c r="N142" s="62" t="s">
        <v>4291</v>
      </c>
    </row>
    <row r="143" spans="4:14">
      <c r="D143" s="63"/>
      <c r="E143" s="63"/>
      <c r="F143" s="63"/>
      <c r="G143" s="63"/>
      <c r="H143" s="63"/>
      <c r="J143" s="64" t="s">
        <v>4362</v>
      </c>
      <c r="K143" s="64" t="s">
        <v>3581</v>
      </c>
      <c r="L143" s="64" t="s">
        <v>4363</v>
      </c>
      <c r="M143" s="64" t="s">
        <v>4364</v>
      </c>
      <c r="N143" s="62" t="s">
        <v>4365</v>
      </c>
    </row>
    <row r="144" spans="4:14">
      <c r="D144" s="63"/>
      <c r="E144" s="63"/>
      <c r="F144" s="63"/>
      <c r="G144" s="63"/>
      <c r="H144" s="63"/>
      <c r="J144" s="64" t="s">
        <v>4366</v>
      </c>
      <c r="K144" s="64" t="s">
        <v>3581</v>
      </c>
      <c r="L144" s="64" t="s">
        <v>4367</v>
      </c>
      <c r="M144" s="64" t="s">
        <v>3975</v>
      </c>
      <c r="N144" s="62" t="s">
        <v>3976</v>
      </c>
    </row>
    <row r="145" spans="4:14">
      <c r="D145" s="63"/>
      <c r="E145" s="63"/>
      <c r="F145" s="63"/>
      <c r="G145" s="63"/>
      <c r="H145" s="63"/>
      <c r="J145" s="64" t="s">
        <v>4368</v>
      </c>
      <c r="K145" s="64" t="s">
        <v>3581</v>
      </c>
      <c r="L145" s="64" t="s">
        <v>4369</v>
      </c>
      <c r="M145" s="64" t="s">
        <v>4370</v>
      </c>
      <c r="N145" s="62" t="s">
        <v>4371</v>
      </c>
    </row>
    <row r="146" spans="4:14">
      <c r="D146" s="63"/>
      <c r="E146" s="63"/>
      <c r="F146" s="63"/>
      <c r="G146" s="63"/>
      <c r="H146" s="63"/>
      <c r="J146" s="64" t="s">
        <v>4372</v>
      </c>
      <c r="K146" s="64" t="s">
        <v>3581</v>
      </c>
      <c r="L146" s="64" t="s">
        <v>4373</v>
      </c>
      <c r="M146" s="64" t="s">
        <v>4193</v>
      </c>
      <c r="N146" s="62" t="s">
        <v>4194</v>
      </c>
    </row>
    <row r="147" spans="4:14">
      <c r="D147" s="63"/>
      <c r="E147" s="63"/>
      <c r="F147" s="63"/>
      <c r="G147" s="63"/>
      <c r="H147" s="63"/>
      <c r="J147" s="64" t="s">
        <v>4374</v>
      </c>
      <c r="K147" s="64" t="s">
        <v>3581</v>
      </c>
      <c r="L147" s="64" t="s">
        <v>4375</v>
      </c>
      <c r="M147" s="64" t="s">
        <v>4376</v>
      </c>
      <c r="N147" s="62" t="s">
        <v>4377</v>
      </c>
    </row>
    <row r="148" spans="4:14">
      <c r="D148" s="63"/>
      <c r="E148" s="63"/>
      <c r="F148" s="63"/>
      <c r="G148" s="63"/>
      <c r="H148" s="63"/>
      <c r="J148" s="64" t="s">
        <v>4378</v>
      </c>
      <c r="K148" s="64" t="s">
        <v>3581</v>
      </c>
      <c r="L148" s="64" t="s">
        <v>4379</v>
      </c>
      <c r="M148" s="64" t="s">
        <v>3975</v>
      </c>
      <c r="N148" s="62" t="s">
        <v>3976</v>
      </c>
    </row>
    <row r="149" spans="4:14">
      <c r="D149" s="63"/>
      <c r="E149" s="63"/>
      <c r="F149" s="63"/>
      <c r="G149" s="63"/>
      <c r="H149" s="63"/>
      <c r="J149" s="64" t="s">
        <v>4378</v>
      </c>
      <c r="K149" s="64" t="s">
        <v>3581</v>
      </c>
      <c r="L149" s="64" t="s">
        <v>4380</v>
      </c>
      <c r="M149" s="64" t="s">
        <v>3975</v>
      </c>
      <c r="N149" s="62" t="s">
        <v>3976</v>
      </c>
    </row>
    <row r="150" spans="4:14">
      <c r="D150" s="63"/>
      <c r="E150" s="63"/>
      <c r="F150" s="63"/>
      <c r="G150" s="63"/>
      <c r="H150" s="63"/>
      <c r="J150" s="64" t="s">
        <v>4381</v>
      </c>
      <c r="K150" s="64" t="s">
        <v>3581</v>
      </c>
      <c r="L150" s="64" t="s">
        <v>4382</v>
      </c>
      <c r="M150" s="64" t="s">
        <v>4370</v>
      </c>
      <c r="N150" s="62" t="s">
        <v>4371</v>
      </c>
    </row>
    <row r="151" spans="4:14">
      <c r="D151" s="63"/>
      <c r="E151" s="63"/>
      <c r="F151" s="63"/>
      <c r="G151" s="63"/>
      <c r="H151" s="63"/>
      <c r="J151" s="64" t="s">
        <v>4383</v>
      </c>
      <c r="K151" s="64" t="s">
        <v>3581</v>
      </c>
      <c r="L151" s="64" t="s">
        <v>4379</v>
      </c>
      <c r="M151" s="64" t="s">
        <v>4376</v>
      </c>
      <c r="N151" s="62" t="s">
        <v>4377</v>
      </c>
    </row>
    <row r="152" spans="4:14">
      <c r="D152" s="63"/>
      <c r="E152" s="63"/>
      <c r="F152" s="63"/>
      <c r="G152" s="63"/>
      <c r="H152" s="63"/>
      <c r="J152" s="64" t="s">
        <v>4383</v>
      </c>
      <c r="K152" s="64" t="s">
        <v>3581</v>
      </c>
      <c r="L152" s="64" t="s">
        <v>4384</v>
      </c>
      <c r="M152" s="64" t="s">
        <v>4376</v>
      </c>
      <c r="N152" s="62" t="s">
        <v>4377</v>
      </c>
    </row>
    <row r="153" spans="4:14">
      <c r="D153" s="63"/>
      <c r="E153" s="63"/>
      <c r="F153" s="63"/>
      <c r="G153" s="63"/>
      <c r="H153" s="63"/>
      <c r="J153" s="64" t="s">
        <v>4385</v>
      </c>
      <c r="K153" s="64" t="s">
        <v>3581</v>
      </c>
      <c r="L153" s="64" t="s">
        <v>4386</v>
      </c>
      <c r="M153" s="64" t="s">
        <v>4387</v>
      </c>
      <c r="N153" s="62" t="s">
        <v>4388</v>
      </c>
    </row>
    <row r="154" spans="4:14">
      <c r="D154" s="63"/>
      <c r="E154" s="63"/>
      <c r="F154" s="63"/>
      <c r="G154" s="63"/>
      <c r="H154" s="63"/>
      <c r="J154" s="64" t="s">
        <v>4389</v>
      </c>
      <c r="K154" s="64" t="s">
        <v>3581</v>
      </c>
      <c r="L154" s="64" t="s">
        <v>4390</v>
      </c>
      <c r="M154" s="64" t="s">
        <v>4391</v>
      </c>
      <c r="N154" s="62" t="s">
        <v>4392</v>
      </c>
    </row>
    <row r="155" spans="4:14">
      <c r="D155" s="63"/>
      <c r="E155" s="63"/>
      <c r="F155" s="63"/>
      <c r="G155" s="63"/>
      <c r="H155" s="63"/>
      <c r="J155" s="64" t="s">
        <v>4393</v>
      </c>
      <c r="K155" s="64" t="s">
        <v>3581</v>
      </c>
      <c r="L155" s="64" t="s">
        <v>4394</v>
      </c>
      <c r="M155" s="64" t="s">
        <v>4395</v>
      </c>
      <c r="N155" s="62" t="e">
        <v>#N/A</v>
      </c>
    </row>
    <row r="156" spans="4:14">
      <c r="D156" s="63"/>
      <c r="E156" s="63"/>
      <c r="F156" s="63"/>
      <c r="G156" s="63"/>
      <c r="H156" s="63"/>
      <c r="J156" s="64" t="s">
        <v>4396</v>
      </c>
      <c r="K156" s="64" t="s">
        <v>3581</v>
      </c>
      <c r="L156" s="64" t="s">
        <v>4397</v>
      </c>
      <c r="M156" s="64" t="s">
        <v>4398</v>
      </c>
      <c r="N156" s="62" t="s">
        <v>4397</v>
      </c>
    </row>
    <row r="157" spans="4:14" ht="25.5">
      <c r="D157" s="63"/>
      <c r="E157" s="63"/>
      <c r="F157" s="63"/>
      <c r="G157" s="63"/>
      <c r="H157" s="63"/>
      <c r="J157" s="64" t="s">
        <v>4399</v>
      </c>
      <c r="K157" s="64" t="s">
        <v>3581</v>
      </c>
      <c r="L157" s="64" t="s">
        <v>4400</v>
      </c>
      <c r="M157" s="64" t="s">
        <v>4401</v>
      </c>
      <c r="N157" s="62" t="s">
        <v>4400</v>
      </c>
    </row>
    <row r="158" spans="4:14" ht="25.5">
      <c r="D158" s="63"/>
      <c r="E158" s="63"/>
      <c r="F158" s="63"/>
      <c r="G158" s="63"/>
      <c r="H158" s="63"/>
      <c r="J158" s="64" t="s">
        <v>4402</v>
      </c>
      <c r="K158" s="64" t="s">
        <v>3581</v>
      </c>
      <c r="L158" s="64" t="s">
        <v>4403</v>
      </c>
      <c r="M158" s="64" t="s">
        <v>4404</v>
      </c>
      <c r="N158" s="62" t="s">
        <v>4403</v>
      </c>
    </row>
    <row r="159" spans="4:14">
      <c r="D159" s="63"/>
      <c r="E159" s="63"/>
      <c r="F159" s="63"/>
      <c r="G159" s="63"/>
      <c r="H159" s="63"/>
      <c r="J159" s="64" t="s">
        <v>4179</v>
      </c>
      <c r="K159" s="64" t="s">
        <v>3581</v>
      </c>
      <c r="L159" s="64" t="s">
        <v>4405</v>
      </c>
      <c r="M159" s="64" t="s">
        <v>4406</v>
      </c>
      <c r="N159" s="62" t="s">
        <v>4405</v>
      </c>
    </row>
    <row r="160" spans="4:14" ht="25.5">
      <c r="D160" s="63"/>
      <c r="E160" s="63"/>
      <c r="F160" s="63"/>
      <c r="G160" s="63"/>
      <c r="H160" s="63"/>
      <c r="J160" s="64" t="s">
        <v>4407</v>
      </c>
      <c r="K160" s="64" t="s">
        <v>3581</v>
      </c>
      <c r="L160" s="64" t="s">
        <v>4408</v>
      </c>
      <c r="M160" s="64" t="s">
        <v>4409</v>
      </c>
      <c r="N160" s="62" t="s">
        <v>4408</v>
      </c>
    </row>
    <row r="161" spans="4:14" ht="25.5">
      <c r="D161" s="63"/>
      <c r="E161" s="63"/>
      <c r="F161" s="63"/>
      <c r="G161" s="63"/>
      <c r="H161" s="63"/>
      <c r="J161" s="64" t="s">
        <v>4410</v>
      </c>
      <c r="K161" s="64" t="s">
        <v>3581</v>
      </c>
      <c r="L161" s="64" t="s">
        <v>4411</v>
      </c>
      <c r="M161" s="64" t="s">
        <v>4412</v>
      </c>
      <c r="N161" s="62" t="s">
        <v>4411</v>
      </c>
    </row>
    <row r="162" spans="4:14" ht="25.5">
      <c r="D162" s="63"/>
      <c r="E162" s="63"/>
      <c r="F162" s="63"/>
      <c r="G162" s="63"/>
      <c r="H162" s="63"/>
      <c r="J162" s="64" t="s">
        <v>4207</v>
      </c>
      <c r="K162" s="64" t="s">
        <v>3581</v>
      </c>
      <c r="L162" s="64" t="s">
        <v>4210</v>
      </c>
      <c r="M162" s="64" t="s">
        <v>4209</v>
      </c>
      <c r="N162" s="62" t="s">
        <v>4210</v>
      </c>
    </row>
    <row r="163" spans="4:14">
      <c r="D163" s="63"/>
      <c r="E163" s="63"/>
      <c r="F163" s="63"/>
      <c r="G163" s="63"/>
      <c r="H163" s="63"/>
      <c r="J163" s="64" t="s">
        <v>4217</v>
      </c>
      <c r="K163" s="64" t="s">
        <v>3581</v>
      </c>
      <c r="L163" s="64" t="s">
        <v>4221</v>
      </c>
      <c r="M163" s="64" t="s">
        <v>4220</v>
      </c>
      <c r="N163" s="62" t="s">
        <v>4221</v>
      </c>
    </row>
    <row r="164" spans="4:14" ht="25.5">
      <c r="D164" s="63"/>
      <c r="E164" s="63"/>
      <c r="F164" s="63"/>
      <c r="G164" s="63"/>
      <c r="H164" s="63"/>
      <c r="J164" s="64" t="s">
        <v>4413</v>
      </c>
      <c r="K164" s="64" t="s">
        <v>3581</v>
      </c>
      <c r="L164" s="64" t="s">
        <v>4414</v>
      </c>
      <c r="M164" s="64" t="s">
        <v>4415</v>
      </c>
      <c r="N164" s="62" t="s">
        <v>4414</v>
      </c>
    </row>
    <row r="165" spans="4:14" ht="25.5">
      <c r="D165" s="63"/>
      <c r="E165" s="63"/>
      <c r="F165" s="63"/>
      <c r="G165" s="63"/>
      <c r="H165" s="63"/>
      <c r="J165" s="64" t="s">
        <v>4274</v>
      </c>
      <c r="K165" s="64" t="s">
        <v>3581</v>
      </c>
      <c r="L165" s="64" t="s">
        <v>4277</v>
      </c>
      <c r="M165" s="64" t="s">
        <v>4276</v>
      </c>
      <c r="N165" s="62" t="s">
        <v>4277</v>
      </c>
    </row>
    <row r="166" spans="4:14" ht="25.5">
      <c r="D166" s="63"/>
      <c r="E166" s="63"/>
      <c r="F166" s="63"/>
      <c r="G166" s="63"/>
      <c r="H166" s="63"/>
      <c r="J166" s="64" t="s">
        <v>4393</v>
      </c>
      <c r="K166" s="64" t="s">
        <v>3581</v>
      </c>
      <c r="L166" s="64" t="s">
        <v>4416</v>
      </c>
      <c r="M166" s="64" t="s">
        <v>4417</v>
      </c>
      <c r="N166" s="62" t="s">
        <v>4416</v>
      </c>
    </row>
    <row r="167" spans="4:14">
      <c r="D167" s="63"/>
      <c r="E167" s="63"/>
      <c r="F167" s="63"/>
      <c r="G167" s="63"/>
      <c r="H167" s="63"/>
      <c r="J167" s="64" t="s">
        <v>4372</v>
      </c>
      <c r="K167" s="64" t="s">
        <v>3581</v>
      </c>
      <c r="L167" s="64" t="s">
        <v>4418</v>
      </c>
      <c r="M167" s="64" t="s">
        <v>4419</v>
      </c>
      <c r="N167" s="62" t="s">
        <v>4418</v>
      </c>
    </row>
    <row r="168" spans="4:14">
      <c r="D168" s="63"/>
      <c r="E168" s="63"/>
      <c r="F168" s="63"/>
      <c r="G168" s="63"/>
      <c r="H168" s="63"/>
      <c r="J168" s="64" t="s">
        <v>4420</v>
      </c>
      <c r="K168" s="64" t="s">
        <v>3581</v>
      </c>
      <c r="L168" s="64" t="s">
        <v>4421</v>
      </c>
      <c r="M168" s="64" t="s">
        <v>4422</v>
      </c>
      <c r="N168" s="62" t="s">
        <v>4421</v>
      </c>
    </row>
    <row r="169" spans="4:14" ht="25.5">
      <c r="D169" s="63"/>
      <c r="E169" s="63"/>
      <c r="F169" s="63"/>
      <c r="G169" s="63"/>
      <c r="H169" s="63"/>
      <c r="J169" s="64" t="s">
        <v>4423</v>
      </c>
      <c r="K169" s="64" t="s">
        <v>3581</v>
      </c>
      <c r="L169" s="64" t="s">
        <v>4295</v>
      </c>
      <c r="M169" s="64" t="s">
        <v>4294</v>
      </c>
      <c r="N169" s="62" t="s">
        <v>4295</v>
      </c>
    </row>
    <row r="170" spans="4:14">
      <c r="D170" s="63"/>
      <c r="E170" s="63"/>
      <c r="F170" s="63"/>
      <c r="G170" s="63"/>
      <c r="H170" s="63"/>
    </row>
    <row r="171" spans="4:14">
      <c r="D171" s="63"/>
      <c r="E171" s="63"/>
      <c r="F171" s="63"/>
      <c r="G171" s="63"/>
      <c r="H171" s="63"/>
    </row>
    <row r="172" spans="4:14">
      <c r="D172" s="63"/>
      <c r="E172" s="63"/>
      <c r="F172" s="63"/>
      <c r="G172" s="63"/>
      <c r="H172" s="63"/>
    </row>
    <row r="173" spans="4:14">
      <c r="D173" s="63"/>
      <c r="E173" s="63"/>
      <c r="F173" s="63"/>
      <c r="G173" s="63"/>
      <c r="H173" s="63"/>
    </row>
    <row r="174" spans="4:14">
      <c r="D174" s="63"/>
      <c r="E174" s="63"/>
      <c r="F174" s="63"/>
      <c r="G174" s="63"/>
      <c r="H174" s="63"/>
    </row>
    <row r="175" spans="4:14">
      <c r="D175" s="63"/>
      <c r="E175" s="63"/>
      <c r="F175" s="63"/>
      <c r="G175" s="63"/>
      <c r="H175" s="63"/>
    </row>
    <row r="176" spans="4:14">
      <c r="D176" s="63"/>
      <c r="E176" s="63"/>
      <c r="F176" s="63"/>
      <c r="G176" s="63"/>
      <c r="H176" s="63"/>
    </row>
    <row r="177" spans="4:8">
      <c r="D177" s="63"/>
      <c r="E177" s="63"/>
      <c r="F177" s="63"/>
      <c r="G177" s="63"/>
      <c r="H177" s="63"/>
    </row>
    <row r="178" spans="4:8">
      <c r="D178" s="63"/>
      <c r="E178" s="63"/>
      <c r="F178" s="63"/>
      <c r="G178" s="63"/>
      <c r="H178" s="63"/>
    </row>
    <row r="179" spans="4:8">
      <c r="D179" s="63"/>
      <c r="E179" s="63"/>
      <c r="F179" s="63"/>
      <c r="G179" s="63"/>
      <c r="H179" s="63"/>
    </row>
    <row r="180" spans="4:8">
      <c r="D180" s="63"/>
      <c r="E180" s="63"/>
      <c r="F180" s="63"/>
      <c r="G180" s="63"/>
      <c r="H180" s="63"/>
    </row>
    <row r="181" spans="4:8">
      <c r="D181" s="63"/>
      <c r="E181" s="63"/>
      <c r="F181" s="63"/>
      <c r="G181" s="63"/>
      <c r="H181" s="63"/>
    </row>
    <row r="182" spans="4:8">
      <c r="D182" s="63"/>
      <c r="E182" s="63"/>
      <c r="F182" s="63"/>
      <c r="G182" s="63"/>
      <c r="H182" s="63"/>
    </row>
    <row r="183" spans="4:8">
      <c r="D183" s="63"/>
      <c r="E183" s="63"/>
      <c r="F183" s="63"/>
      <c r="G183" s="63"/>
      <c r="H183" s="63"/>
    </row>
    <row r="184" spans="4:8">
      <c r="D184" s="63"/>
      <c r="E184" s="63"/>
      <c r="F184" s="63"/>
      <c r="G184" s="63"/>
      <c r="H184" s="63"/>
    </row>
    <row r="185" spans="4:8">
      <c r="D185" s="63"/>
      <c r="E185" s="63"/>
      <c r="F185" s="63"/>
      <c r="G185" s="63"/>
      <c r="H185" s="63"/>
    </row>
    <row r="186" spans="4:8">
      <c r="D186" s="63"/>
      <c r="E186" s="63"/>
      <c r="F186" s="63"/>
      <c r="G186" s="63"/>
      <c r="H186" s="63"/>
    </row>
    <row r="187" spans="4:8">
      <c r="D187" s="63"/>
      <c r="E187" s="63"/>
      <c r="F187" s="63"/>
      <c r="G187" s="63"/>
      <c r="H187" s="63"/>
    </row>
    <row r="188" spans="4:8">
      <c r="D188" s="63"/>
      <c r="E188" s="63"/>
      <c r="F188" s="63"/>
      <c r="G188" s="63"/>
      <c r="H188" s="63"/>
    </row>
    <row r="189" spans="4:8">
      <c r="D189" s="63"/>
      <c r="E189" s="63"/>
      <c r="F189" s="63"/>
      <c r="G189" s="63"/>
      <c r="H189" s="63"/>
    </row>
    <row r="190" spans="4:8">
      <c r="D190" s="63"/>
      <c r="E190" s="63"/>
      <c r="F190" s="63"/>
      <c r="G190" s="63"/>
      <c r="H190" s="63"/>
    </row>
    <row r="191" spans="4:8">
      <c r="D191" s="63"/>
      <c r="E191" s="63"/>
      <c r="F191" s="63"/>
      <c r="G191" s="63"/>
      <c r="H191" s="63"/>
    </row>
    <row r="192" spans="4:8">
      <c r="D192" s="63"/>
      <c r="E192" s="63"/>
      <c r="F192" s="63"/>
      <c r="G192" s="63"/>
      <c r="H192" s="63"/>
    </row>
    <row r="193" spans="4:8">
      <c r="D193" s="63"/>
      <c r="E193" s="63"/>
      <c r="F193" s="63"/>
      <c r="G193" s="63"/>
      <c r="H193" s="63"/>
    </row>
    <row r="194" spans="4:8">
      <c r="D194" s="63"/>
      <c r="E194" s="63"/>
      <c r="F194" s="63"/>
      <c r="G194" s="63"/>
      <c r="H194" s="63"/>
    </row>
    <row r="195" spans="4:8">
      <c r="D195" s="63"/>
      <c r="E195" s="63"/>
      <c r="F195" s="63"/>
      <c r="G195" s="63"/>
      <c r="H195" s="63"/>
    </row>
    <row r="196" spans="4:8">
      <c r="D196" s="63"/>
      <c r="E196" s="63"/>
      <c r="F196" s="63"/>
      <c r="G196" s="63"/>
      <c r="H196" s="63"/>
    </row>
    <row r="197" spans="4:8">
      <c r="D197" s="63"/>
      <c r="E197" s="63"/>
      <c r="F197" s="63"/>
      <c r="G197" s="63"/>
      <c r="H197" s="63"/>
    </row>
    <row r="198" spans="4:8">
      <c r="D198" s="63"/>
      <c r="E198" s="63"/>
      <c r="F198" s="63"/>
      <c r="G198" s="63"/>
      <c r="H198" s="63"/>
    </row>
    <row r="199" spans="4:8">
      <c r="D199" s="63"/>
      <c r="E199" s="63"/>
      <c r="F199" s="63"/>
      <c r="G199" s="63"/>
      <c r="H199" s="63"/>
    </row>
    <row r="200" spans="4:8">
      <c r="D200" s="63"/>
      <c r="E200" s="63"/>
      <c r="F200" s="63"/>
      <c r="G200" s="63"/>
      <c r="H200" s="63"/>
    </row>
    <row r="201" spans="4:8">
      <c r="D201" s="63"/>
      <c r="E201" s="63"/>
      <c r="F201" s="63"/>
      <c r="G201" s="63"/>
      <c r="H201" s="63"/>
    </row>
    <row r="202" spans="4:8">
      <c r="D202" s="63"/>
      <c r="E202" s="63"/>
      <c r="F202" s="63"/>
      <c r="G202" s="63"/>
      <c r="H202" s="63"/>
    </row>
    <row r="203" spans="4:8">
      <c r="D203" s="63"/>
      <c r="E203" s="63"/>
      <c r="F203" s="63"/>
      <c r="G203" s="63"/>
      <c r="H203" s="63"/>
    </row>
    <row r="204" spans="4:8">
      <c r="D204" s="63"/>
      <c r="E204" s="63"/>
      <c r="F204" s="63"/>
      <c r="G204" s="63"/>
      <c r="H204" s="63"/>
    </row>
    <row r="205" spans="4:8">
      <c r="D205" s="63"/>
      <c r="E205" s="63"/>
      <c r="F205" s="63"/>
      <c r="G205" s="63"/>
      <c r="H205" s="63"/>
    </row>
    <row r="206" spans="4:8">
      <c r="D206" s="63"/>
      <c r="E206" s="63"/>
      <c r="F206" s="63"/>
      <c r="G206" s="63"/>
      <c r="H206" s="63"/>
    </row>
    <row r="207" spans="4:8">
      <c r="D207" s="63"/>
      <c r="E207" s="63"/>
      <c r="F207" s="63"/>
      <c r="G207" s="63"/>
      <c r="H207" s="63"/>
    </row>
    <row r="208" spans="4:8">
      <c r="D208" s="63"/>
      <c r="E208" s="63"/>
      <c r="F208" s="63"/>
      <c r="G208" s="63"/>
      <c r="H208" s="63"/>
    </row>
    <row r="209" spans="4:8">
      <c r="D209" s="63"/>
      <c r="E209" s="63"/>
      <c r="F209" s="63"/>
      <c r="G209" s="63"/>
      <c r="H209" s="63"/>
    </row>
    <row r="210" spans="4:8">
      <c r="D210" s="63"/>
      <c r="E210" s="63"/>
      <c r="F210" s="63"/>
      <c r="G210" s="63"/>
      <c r="H210" s="63"/>
    </row>
    <row r="211" spans="4:8">
      <c r="D211" s="63"/>
      <c r="E211" s="63"/>
      <c r="F211" s="63"/>
      <c r="G211" s="63"/>
      <c r="H211" s="63"/>
    </row>
    <row r="212" spans="4:8">
      <c r="D212" s="63"/>
      <c r="E212" s="63"/>
      <c r="F212" s="63"/>
      <c r="G212" s="63"/>
      <c r="H212" s="63"/>
    </row>
    <row r="213" spans="4:8">
      <c r="D213" s="63"/>
      <c r="E213" s="63"/>
      <c r="F213" s="63"/>
      <c r="G213" s="63"/>
      <c r="H213" s="63"/>
    </row>
    <row r="214" spans="4:8">
      <c r="D214" s="63"/>
      <c r="E214" s="63"/>
      <c r="F214" s="63"/>
      <c r="G214" s="63"/>
      <c r="H214" s="63"/>
    </row>
    <row r="215" spans="4:8">
      <c r="D215" s="63"/>
      <c r="E215" s="63"/>
      <c r="F215" s="63"/>
      <c r="G215" s="63"/>
      <c r="H215" s="63"/>
    </row>
    <row r="216" spans="4:8">
      <c r="D216" s="63"/>
      <c r="E216" s="63"/>
      <c r="F216" s="63"/>
      <c r="G216" s="63"/>
      <c r="H216" s="63"/>
    </row>
    <row r="217" spans="4:8">
      <c r="D217" s="63"/>
      <c r="E217" s="63"/>
      <c r="F217" s="63"/>
      <c r="G217" s="63"/>
      <c r="H217" s="63"/>
    </row>
    <row r="218" spans="4:8">
      <c r="D218" s="63"/>
      <c r="E218" s="63"/>
      <c r="F218" s="63"/>
      <c r="G218" s="63"/>
      <c r="H218" s="63"/>
    </row>
    <row r="219" spans="4:8">
      <c r="D219" s="63"/>
      <c r="E219" s="63"/>
      <c r="F219" s="63"/>
      <c r="G219" s="63"/>
      <c r="H219" s="63"/>
    </row>
    <row r="220" spans="4:8">
      <c r="D220" s="63"/>
      <c r="E220" s="63"/>
      <c r="F220" s="63"/>
      <c r="G220" s="63"/>
      <c r="H220" s="63"/>
    </row>
    <row r="221" spans="4:8">
      <c r="D221" s="63"/>
      <c r="E221" s="63"/>
      <c r="F221" s="63"/>
      <c r="G221" s="63"/>
      <c r="H221" s="63"/>
    </row>
    <row r="222" spans="4:8">
      <c r="D222" s="63"/>
      <c r="E222" s="63"/>
      <c r="F222" s="63"/>
      <c r="G222" s="63"/>
      <c r="H222" s="63"/>
    </row>
    <row r="223" spans="4:8">
      <c r="D223" s="63"/>
      <c r="E223" s="63"/>
      <c r="F223" s="63"/>
      <c r="G223" s="63"/>
      <c r="H223" s="63"/>
    </row>
    <row r="224" spans="4:8">
      <c r="D224" s="63"/>
      <c r="E224" s="63"/>
      <c r="F224" s="63"/>
      <c r="G224" s="63"/>
      <c r="H224" s="63"/>
    </row>
    <row r="225" spans="4:8">
      <c r="D225" s="63"/>
      <c r="E225" s="63"/>
      <c r="F225" s="63"/>
      <c r="G225" s="63"/>
      <c r="H225" s="63"/>
    </row>
    <row r="226" spans="4:8">
      <c r="D226" s="63"/>
      <c r="E226" s="63"/>
      <c r="F226" s="63"/>
      <c r="G226" s="63"/>
      <c r="H226" s="63"/>
    </row>
    <row r="227" spans="4:8">
      <c r="D227" s="63"/>
      <c r="E227" s="63"/>
      <c r="F227" s="63"/>
      <c r="G227" s="63"/>
      <c r="H227" s="63"/>
    </row>
    <row r="228" spans="4:8">
      <c r="D228" s="63"/>
      <c r="E228" s="63"/>
      <c r="F228" s="63"/>
      <c r="G228" s="63"/>
      <c r="H228" s="63"/>
    </row>
    <row r="229" spans="4:8">
      <c r="D229" s="63"/>
      <c r="E229" s="63"/>
      <c r="F229" s="63"/>
      <c r="G229" s="63"/>
      <c r="H229" s="63"/>
    </row>
    <row r="230" spans="4:8">
      <c r="D230" s="63"/>
      <c r="E230" s="63"/>
      <c r="F230" s="63"/>
      <c r="G230" s="63"/>
      <c r="H230" s="63"/>
    </row>
    <row r="231" spans="4:8">
      <c r="D231" s="63"/>
      <c r="E231" s="63"/>
      <c r="F231" s="63"/>
      <c r="G231" s="63"/>
      <c r="H231" s="63"/>
    </row>
    <row r="232" spans="4:8">
      <c r="D232" s="63"/>
      <c r="E232" s="63"/>
      <c r="F232" s="63"/>
      <c r="G232" s="63"/>
      <c r="H232" s="63"/>
    </row>
    <row r="233" spans="4:8">
      <c r="D233" s="63"/>
      <c r="E233" s="63"/>
      <c r="F233" s="63"/>
      <c r="G233" s="63"/>
      <c r="H233" s="63"/>
    </row>
    <row r="234" spans="4:8">
      <c r="D234" s="63"/>
      <c r="E234" s="63"/>
      <c r="F234" s="63"/>
      <c r="G234" s="63"/>
      <c r="H234" s="63"/>
    </row>
    <row r="235" spans="4:8">
      <c r="D235" s="63"/>
      <c r="E235" s="63"/>
      <c r="F235" s="63"/>
      <c r="G235" s="63"/>
      <c r="H235" s="63"/>
    </row>
    <row r="236" spans="4:8">
      <c r="D236" s="63"/>
      <c r="E236" s="63"/>
      <c r="F236" s="63"/>
      <c r="G236" s="63"/>
      <c r="H236" s="63"/>
    </row>
    <row r="237" spans="4:8">
      <c r="D237" s="63"/>
      <c r="E237" s="63"/>
      <c r="F237" s="63"/>
      <c r="G237" s="63"/>
      <c r="H237" s="63"/>
    </row>
    <row r="238" spans="4:8">
      <c r="D238" s="63"/>
      <c r="E238" s="63"/>
      <c r="F238" s="63"/>
      <c r="G238" s="63"/>
      <c r="H238" s="63"/>
    </row>
    <row r="239" spans="4:8">
      <c r="D239" s="63"/>
      <c r="E239" s="63"/>
      <c r="F239" s="63"/>
      <c r="G239" s="63"/>
      <c r="H239" s="63"/>
    </row>
    <row r="240" spans="4:8">
      <c r="D240" s="63"/>
      <c r="E240" s="63"/>
      <c r="F240" s="63"/>
      <c r="G240" s="63"/>
      <c r="H240" s="63"/>
    </row>
    <row r="241" spans="4:8">
      <c r="D241" s="63"/>
      <c r="E241" s="63"/>
      <c r="F241" s="63"/>
      <c r="G241" s="63"/>
      <c r="H241" s="63"/>
    </row>
    <row r="242" spans="4:8">
      <c r="D242" s="63"/>
      <c r="E242" s="63"/>
      <c r="F242" s="63"/>
      <c r="G242" s="63"/>
      <c r="H242" s="63"/>
    </row>
    <row r="243" spans="4:8">
      <c r="D243" s="63"/>
      <c r="E243" s="63"/>
      <c r="F243" s="63"/>
      <c r="G243" s="63"/>
      <c r="H243" s="63"/>
    </row>
    <row r="244" spans="4:8">
      <c r="D244" s="63"/>
      <c r="E244" s="63"/>
      <c r="F244" s="63"/>
      <c r="G244" s="63"/>
      <c r="H244" s="63"/>
    </row>
    <row r="245" spans="4:8">
      <c r="D245" s="63"/>
      <c r="E245" s="63"/>
      <c r="F245" s="63"/>
      <c r="G245" s="63"/>
      <c r="H245" s="63"/>
    </row>
    <row r="246" spans="4:8">
      <c r="D246" s="63"/>
      <c r="E246" s="63"/>
      <c r="F246" s="63"/>
      <c r="G246" s="63"/>
      <c r="H246" s="63"/>
    </row>
    <row r="247" spans="4:8">
      <c r="D247" s="63"/>
      <c r="E247" s="63"/>
      <c r="F247" s="63"/>
      <c r="G247" s="63"/>
      <c r="H247" s="63"/>
    </row>
    <row r="248" spans="4:8">
      <c r="D248" s="63"/>
      <c r="E248" s="63"/>
      <c r="F248" s="63"/>
      <c r="G248" s="63"/>
      <c r="H248" s="63"/>
    </row>
    <row r="249" spans="4:8">
      <c r="D249" s="63"/>
      <c r="E249" s="63"/>
      <c r="F249" s="63"/>
      <c r="G249" s="63"/>
      <c r="H249" s="63"/>
    </row>
    <row r="250" spans="4:8">
      <c r="D250" s="63"/>
      <c r="E250" s="63"/>
      <c r="F250" s="63"/>
      <c r="G250" s="63"/>
      <c r="H250" s="63"/>
    </row>
    <row r="251" spans="4:8">
      <c r="D251" s="63"/>
      <c r="E251" s="63"/>
      <c r="F251" s="63"/>
      <c r="G251" s="63"/>
      <c r="H251" s="63"/>
    </row>
    <row r="252" spans="4:8">
      <c r="D252" s="63"/>
      <c r="E252" s="63"/>
      <c r="F252" s="63"/>
      <c r="G252" s="63"/>
      <c r="H252" s="63"/>
    </row>
    <row r="253" spans="4:8">
      <c r="D253" s="63"/>
      <c r="E253" s="63"/>
      <c r="F253" s="63"/>
      <c r="G253" s="63"/>
      <c r="H253" s="63"/>
    </row>
    <row r="254" spans="4:8">
      <c r="D254" s="63"/>
      <c r="E254" s="63"/>
      <c r="F254" s="63"/>
      <c r="G254" s="63"/>
      <c r="H254" s="63"/>
    </row>
    <row r="255" spans="4:8">
      <c r="D255" s="63"/>
      <c r="E255" s="63"/>
      <c r="F255" s="63"/>
      <c r="G255" s="63"/>
      <c r="H255" s="63"/>
    </row>
    <row r="256" spans="4:8">
      <c r="D256" s="63"/>
      <c r="E256" s="63"/>
      <c r="F256" s="63"/>
      <c r="G256" s="63"/>
      <c r="H256" s="63"/>
    </row>
    <row r="257" spans="4:8">
      <c r="D257" s="63"/>
      <c r="E257" s="63"/>
      <c r="F257" s="63"/>
      <c r="G257" s="63"/>
      <c r="H257" s="63"/>
    </row>
    <row r="258" spans="4:8">
      <c r="D258" s="63"/>
      <c r="E258" s="63"/>
      <c r="F258" s="63"/>
      <c r="G258" s="63"/>
      <c r="H258" s="63"/>
    </row>
    <row r="259" spans="4:8">
      <c r="D259" s="63"/>
      <c r="E259" s="63"/>
      <c r="F259" s="63"/>
      <c r="G259" s="63"/>
      <c r="H259" s="63"/>
    </row>
    <row r="260" spans="4:8">
      <c r="D260" s="63"/>
      <c r="E260" s="63"/>
      <c r="F260" s="63"/>
      <c r="G260" s="63"/>
      <c r="H260" s="63"/>
    </row>
    <row r="261" spans="4:8">
      <c r="D261" s="63"/>
      <c r="E261" s="63"/>
      <c r="F261" s="63"/>
      <c r="G261" s="63"/>
      <c r="H261" s="63"/>
    </row>
    <row r="262" spans="4:8">
      <c r="D262" s="63"/>
      <c r="E262" s="63"/>
      <c r="F262" s="63"/>
      <c r="G262" s="63"/>
      <c r="H262" s="63"/>
    </row>
    <row r="263" spans="4:8">
      <c r="D263" s="63"/>
      <c r="E263" s="63"/>
      <c r="F263" s="63"/>
      <c r="G263" s="63"/>
      <c r="H263" s="63"/>
    </row>
    <row r="264" spans="4:8">
      <c r="D264" s="63"/>
      <c r="E264" s="63"/>
      <c r="F264" s="63"/>
      <c r="G264" s="63"/>
      <c r="H264" s="63"/>
    </row>
    <row r="265" spans="4:8">
      <c r="D265" s="63"/>
      <c r="E265" s="63"/>
      <c r="F265" s="63"/>
      <c r="G265" s="63"/>
      <c r="H265" s="63"/>
    </row>
    <row r="266" spans="4:8">
      <c r="D266" s="63"/>
      <c r="E266" s="63"/>
      <c r="F266" s="63"/>
      <c r="G266" s="63"/>
      <c r="H266" s="63"/>
    </row>
    <row r="267" spans="4:8">
      <c r="D267" s="63"/>
      <c r="E267" s="63"/>
      <c r="F267" s="63"/>
      <c r="G267" s="63"/>
      <c r="H267" s="63"/>
    </row>
    <row r="268" spans="4:8">
      <c r="D268" s="63"/>
      <c r="E268" s="63"/>
      <c r="F268" s="63"/>
      <c r="G268" s="63"/>
      <c r="H268" s="63"/>
    </row>
    <row r="269" spans="4:8">
      <c r="D269" s="63"/>
      <c r="E269" s="63"/>
      <c r="F269" s="63"/>
      <c r="G269" s="63"/>
      <c r="H269" s="63"/>
    </row>
    <row r="270" spans="4:8">
      <c r="D270" s="63"/>
      <c r="E270" s="63"/>
      <c r="F270" s="63"/>
      <c r="G270" s="63"/>
      <c r="H270" s="63"/>
    </row>
    <row r="271" spans="4:8">
      <c r="D271" s="63"/>
      <c r="E271" s="63"/>
      <c r="F271" s="63"/>
      <c r="G271" s="63"/>
      <c r="H271" s="63"/>
    </row>
    <row r="272" spans="4:8">
      <c r="D272" s="63"/>
      <c r="E272" s="63"/>
      <c r="F272" s="63"/>
      <c r="G272" s="63"/>
      <c r="H272" s="63"/>
    </row>
    <row r="273" spans="4:8">
      <c r="D273" s="63"/>
      <c r="E273" s="63"/>
      <c r="F273" s="63"/>
      <c r="G273" s="63"/>
      <c r="H273" s="63"/>
    </row>
    <row r="274" spans="4:8">
      <c r="D274" s="63"/>
      <c r="E274" s="63"/>
      <c r="F274" s="63"/>
      <c r="G274" s="63"/>
      <c r="H274" s="63"/>
    </row>
    <row r="275" spans="4:8">
      <c r="D275" s="63"/>
      <c r="E275" s="63"/>
      <c r="F275" s="63"/>
      <c r="G275" s="63"/>
      <c r="H275" s="63"/>
    </row>
    <row r="276" spans="4:8">
      <c r="D276" s="63"/>
      <c r="E276" s="63"/>
      <c r="F276" s="63"/>
      <c r="G276" s="63"/>
      <c r="H276" s="63"/>
    </row>
    <row r="277" spans="4:8">
      <c r="D277" s="63"/>
      <c r="E277" s="63"/>
      <c r="F277" s="63"/>
      <c r="G277" s="63"/>
      <c r="H277" s="63"/>
    </row>
    <row r="278" spans="4:8">
      <c r="D278" s="63"/>
      <c r="E278" s="63"/>
      <c r="F278" s="63"/>
      <c r="G278" s="63"/>
      <c r="H278" s="63"/>
    </row>
    <row r="279" spans="4:8">
      <c r="D279" s="63"/>
      <c r="E279" s="63"/>
      <c r="F279" s="63"/>
      <c r="G279" s="63"/>
      <c r="H279" s="63"/>
    </row>
    <row r="280" spans="4:8">
      <c r="D280" s="63"/>
      <c r="E280" s="63"/>
      <c r="F280" s="63"/>
      <c r="G280" s="63"/>
      <c r="H280" s="63"/>
    </row>
    <row r="281" spans="4:8">
      <c r="D281" s="63"/>
      <c r="E281" s="63"/>
      <c r="F281" s="63"/>
      <c r="G281" s="63"/>
      <c r="H281" s="63"/>
    </row>
    <row r="282" spans="4:8">
      <c r="D282" s="63"/>
      <c r="E282" s="63"/>
      <c r="F282" s="63"/>
      <c r="G282" s="63"/>
      <c r="H282" s="63"/>
    </row>
    <row r="283" spans="4:8">
      <c r="D283" s="63"/>
      <c r="E283" s="63"/>
      <c r="F283" s="63"/>
      <c r="G283" s="63"/>
      <c r="H283" s="63"/>
    </row>
    <row r="284" spans="4:8">
      <c r="D284" s="63"/>
      <c r="E284" s="63"/>
      <c r="F284" s="63"/>
      <c r="G284" s="63"/>
      <c r="H284" s="63"/>
    </row>
    <row r="285" spans="4:8">
      <c r="D285" s="63"/>
      <c r="E285" s="63"/>
      <c r="F285" s="63"/>
      <c r="G285" s="63"/>
      <c r="H285" s="63"/>
    </row>
    <row r="286" spans="4:8">
      <c r="D286" s="63"/>
      <c r="E286" s="63"/>
      <c r="F286" s="63"/>
      <c r="G286" s="63"/>
      <c r="H286" s="63"/>
    </row>
    <row r="287" spans="4:8">
      <c r="D287" s="63"/>
      <c r="E287" s="63"/>
      <c r="F287" s="63"/>
      <c r="G287" s="63"/>
      <c r="H287" s="63"/>
    </row>
    <row r="288" spans="4:8">
      <c r="D288" s="63"/>
      <c r="E288" s="63"/>
      <c r="F288" s="63"/>
      <c r="G288" s="63"/>
      <c r="H288" s="63"/>
    </row>
    <row r="289" spans="4:8">
      <c r="D289" s="63"/>
      <c r="E289" s="63"/>
      <c r="F289" s="63"/>
      <c r="G289" s="63"/>
      <c r="H289" s="63"/>
    </row>
    <row r="290" spans="4:8">
      <c r="D290" s="63"/>
      <c r="E290" s="63"/>
      <c r="F290" s="63"/>
      <c r="G290" s="63"/>
      <c r="H290" s="63"/>
    </row>
    <row r="291" spans="4:8">
      <c r="D291" s="63"/>
      <c r="E291" s="63"/>
      <c r="F291" s="63"/>
      <c r="G291" s="63"/>
      <c r="H291" s="63"/>
    </row>
    <row r="292" spans="4:8">
      <c r="D292" s="63"/>
      <c r="E292" s="63"/>
      <c r="F292" s="63"/>
      <c r="G292" s="63"/>
      <c r="H292" s="63"/>
    </row>
    <row r="293" spans="4:8">
      <c r="D293" s="63"/>
      <c r="E293" s="63"/>
      <c r="F293" s="63"/>
      <c r="G293" s="63"/>
      <c r="H293" s="63"/>
    </row>
    <row r="294" spans="4:8">
      <c r="D294" s="63"/>
      <c r="E294" s="63"/>
      <c r="F294" s="63"/>
      <c r="G294" s="63"/>
      <c r="H294" s="63"/>
    </row>
    <row r="295" spans="4:8">
      <c r="D295" s="63"/>
      <c r="E295" s="63"/>
      <c r="F295" s="63"/>
      <c r="G295" s="63"/>
      <c r="H295" s="63"/>
    </row>
    <row r="296" spans="4:8">
      <c r="D296" s="63"/>
      <c r="E296" s="63"/>
      <c r="F296" s="63"/>
      <c r="G296" s="63"/>
      <c r="H296" s="63"/>
    </row>
    <row r="297" spans="4:8">
      <c r="D297" s="63"/>
      <c r="E297" s="63"/>
      <c r="F297" s="63"/>
      <c r="G297" s="63"/>
      <c r="H297" s="63"/>
    </row>
    <row r="298" spans="4:8">
      <c r="D298" s="63"/>
      <c r="E298" s="63"/>
      <c r="F298" s="63"/>
      <c r="G298" s="63"/>
      <c r="H298" s="63"/>
    </row>
    <row r="299" spans="4:8">
      <c r="D299" s="63"/>
      <c r="E299" s="63"/>
      <c r="F299" s="63"/>
      <c r="G299" s="63"/>
      <c r="H299" s="63"/>
    </row>
    <row r="300" spans="4:8">
      <c r="D300" s="63"/>
      <c r="E300" s="63"/>
      <c r="F300" s="63"/>
      <c r="G300" s="63"/>
      <c r="H300" s="63"/>
    </row>
    <row r="301" spans="4:8">
      <c r="D301" s="63"/>
      <c r="E301" s="63"/>
      <c r="F301" s="63"/>
      <c r="G301" s="63"/>
      <c r="H301" s="63"/>
    </row>
    <row r="302" spans="4:8">
      <c r="D302" s="63"/>
      <c r="E302" s="63"/>
      <c r="F302" s="63"/>
      <c r="G302" s="63"/>
      <c r="H302" s="63"/>
    </row>
    <row r="303" spans="4:8">
      <c r="D303" s="63"/>
      <c r="E303" s="63"/>
      <c r="F303" s="63"/>
      <c r="G303" s="63"/>
      <c r="H303" s="63"/>
    </row>
    <row r="304" spans="4:8">
      <c r="D304" s="63"/>
      <c r="E304" s="63"/>
      <c r="F304" s="63"/>
      <c r="G304" s="63"/>
      <c r="H304" s="63"/>
    </row>
    <row r="305" spans="4:8">
      <c r="D305" s="63"/>
      <c r="E305" s="63"/>
      <c r="F305" s="63"/>
      <c r="G305" s="63"/>
      <c r="H305" s="63"/>
    </row>
    <row r="306" spans="4:8">
      <c r="D306" s="63"/>
      <c r="E306" s="63"/>
      <c r="F306" s="63"/>
      <c r="G306" s="63"/>
      <c r="H306" s="63"/>
    </row>
    <row r="307" spans="4:8">
      <c r="D307" s="63"/>
      <c r="E307" s="63"/>
      <c r="F307" s="63"/>
      <c r="G307" s="63"/>
      <c r="H307" s="63"/>
    </row>
    <row r="308" spans="4:8">
      <c r="D308" s="63"/>
      <c r="E308" s="63"/>
      <c r="F308" s="63"/>
      <c r="G308" s="63"/>
      <c r="H308" s="63"/>
    </row>
    <row r="309" spans="4:8">
      <c r="D309" s="63"/>
      <c r="E309" s="63"/>
      <c r="F309" s="63"/>
      <c r="G309" s="63"/>
      <c r="H309" s="63"/>
    </row>
    <row r="310" spans="4:8">
      <c r="D310" s="63"/>
      <c r="E310" s="63"/>
      <c r="F310" s="63"/>
      <c r="G310" s="63"/>
      <c r="H310" s="63"/>
    </row>
    <row r="311" spans="4:8">
      <c r="D311" s="63"/>
      <c r="E311" s="63"/>
      <c r="F311" s="63"/>
      <c r="G311" s="63"/>
      <c r="H311" s="63"/>
    </row>
    <row r="312" spans="4:8">
      <c r="D312" s="63"/>
      <c r="E312" s="63"/>
      <c r="F312" s="63"/>
      <c r="G312" s="63"/>
      <c r="H312" s="63"/>
    </row>
    <row r="313" spans="4:8">
      <c r="D313" s="63"/>
      <c r="E313" s="63"/>
      <c r="F313" s="63"/>
      <c r="G313" s="63"/>
      <c r="H313" s="63"/>
    </row>
    <row r="314" spans="4:8">
      <c r="D314" s="63"/>
      <c r="E314" s="63"/>
      <c r="F314" s="63"/>
      <c r="G314" s="63"/>
      <c r="H314" s="63"/>
    </row>
    <row r="315" spans="4:8">
      <c r="D315" s="63"/>
      <c r="E315" s="63"/>
      <c r="F315" s="63"/>
      <c r="G315" s="63"/>
      <c r="H315" s="63"/>
    </row>
    <row r="316" spans="4:8">
      <c r="D316" s="63"/>
      <c r="E316" s="63"/>
      <c r="F316" s="63"/>
      <c r="G316" s="63"/>
      <c r="H316" s="63"/>
    </row>
    <row r="317" spans="4:8">
      <c r="D317" s="63"/>
      <c r="E317" s="63"/>
      <c r="F317" s="63"/>
      <c r="G317" s="63"/>
      <c r="H317" s="63"/>
    </row>
    <row r="318" spans="4:8">
      <c r="D318" s="63"/>
      <c r="E318" s="63"/>
      <c r="F318" s="63"/>
      <c r="G318" s="63"/>
      <c r="H318" s="63"/>
    </row>
    <row r="319" spans="4:8">
      <c r="D319" s="63"/>
      <c r="E319" s="63"/>
      <c r="F319" s="63"/>
      <c r="G319" s="63"/>
      <c r="H319" s="63"/>
    </row>
    <row r="320" spans="4:8">
      <c r="D320" s="63"/>
      <c r="E320" s="63"/>
      <c r="F320" s="63"/>
      <c r="G320" s="63"/>
      <c r="H320" s="63"/>
    </row>
    <row r="321" spans="4:8">
      <c r="D321" s="63"/>
      <c r="E321" s="63"/>
      <c r="F321" s="63"/>
      <c r="G321" s="63"/>
      <c r="H321" s="63"/>
    </row>
    <row r="322" spans="4:8">
      <c r="D322" s="63"/>
      <c r="E322" s="63"/>
      <c r="F322" s="63"/>
      <c r="G322" s="63"/>
      <c r="H322" s="63"/>
    </row>
    <row r="323" spans="4:8">
      <c r="D323" s="63"/>
      <c r="E323" s="63"/>
      <c r="F323" s="63"/>
      <c r="G323" s="63"/>
      <c r="H323" s="63"/>
    </row>
    <row r="324" spans="4:8">
      <c r="D324" s="63"/>
      <c r="E324" s="63"/>
      <c r="F324" s="63"/>
      <c r="G324" s="63"/>
      <c r="H324" s="63"/>
    </row>
    <row r="325" spans="4:8">
      <c r="D325" s="63"/>
      <c r="E325" s="63"/>
      <c r="F325" s="63"/>
      <c r="G325" s="63"/>
      <c r="H325" s="63"/>
    </row>
    <row r="326" spans="4:8">
      <c r="D326" s="63"/>
      <c r="E326" s="63"/>
      <c r="F326" s="63"/>
      <c r="G326" s="63"/>
      <c r="H326" s="63"/>
    </row>
    <row r="327" spans="4:8">
      <c r="D327" s="63"/>
      <c r="E327" s="63"/>
      <c r="F327" s="63"/>
      <c r="G327" s="63"/>
      <c r="H327" s="63"/>
    </row>
    <row r="328" spans="4:8">
      <c r="D328" s="63"/>
      <c r="E328" s="63"/>
      <c r="F328" s="63"/>
      <c r="G328" s="63"/>
      <c r="H328" s="63"/>
    </row>
    <row r="329" spans="4:8">
      <c r="D329" s="63"/>
      <c r="E329" s="63"/>
      <c r="F329" s="63"/>
      <c r="G329" s="63"/>
      <c r="H329" s="63"/>
    </row>
    <row r="330" spans="4:8">
      <c r="D330" s="63"/>
      <c r="E330" s="63"/>
      <c r="F330" s="63"/>
      <c r="G330" s="63"/>
      <c r="H330" s="63"/>
    </row>
    <row r="331" spans="4:8">
      <c r="D331" s="63"/>
      <c r="E331" s="63"/>
      <c r="F331" s="63"/>
      <c r="G331" s="63"/>
      <c r="H331" s="63"/>
    </row>
    <row r="332" spans="4:8">
      <c r="D332" s="63"/>
      <c r="E332" s="63"/>
      <c r="F332" s="63"/>
      <c r="G332" s="63"/>
      <c r="H332" s="63"/>
    </row>
    <row r="333" spans="4:8">
      <c r="D333" s="63"/>
      <c r="E333" s="63"/>
      <c r="F333" s="63"/>
      <c r="G333" s="63"/>
      <c r="H333" s="63"/>
    </row>
    <row r="334" spans="4:8">
      <c r="D334" s="63"/>
      <c r="E334" s="63"/>
      <c r="F334" s="63"/>
      <c r="G334" s="63"/>
      <c r="H334" s="63"/>
    </row>
    <row r="335" spans="4:8">
      <c r="D335" s="63"/>
      <c r="E335" s="63"/>
      <c r="F335" s="63"/>
      <c r="G335" s="63"/>
      <c r="H335" s="63"/>
    </row>
    <row r="336" spans="4:8">
      <c r="D336" s="63"/>
      <c r="E336" s="63"/>
      <c r="F336" s="63"/>
      <c r="G336" s="63"/>
      <c r="H336" s="63"/>
    </row>
    <row r="337" spans="4:8">
      <c r="D337" s="63"/>
      <c r="E337" s="63"/>
      <c r="F337" s="63"/>
      <c r="G337" s="63"/>
      <c r="H337" s="63"/>
    </row>
    <row r="338" spans="4:8">
      <c r="D338" s="63"/>
      <c r="E338" s="63"/>
      <c r="F338" s="63"/>
      <c r="G338" s="63"/>
      <c r="H338" s="63"/>
    </row>
    <row r="339" spans="4:8">
      <c r="D339" s="63"/>
      <c r="E339" s="63"/>
      <c r="F339" s="63"/>
      <c r="G339" s="63"/>
      <c r="H339" s="63"/>
    </row>
    <row r="340" spans="4:8">
      <c r="D340" s="63"/>
      <c r="E340" s="63"/>
      <c r="F340" s="63"/>
      <c r="G340" s="63"/>
      <c r="H340" s="63"/>
    </row>
    <row r="341" spans="4:8">
      <c r="D341" s="63"/>
      <c r="E341" s="63"/>
      <c r="F341" s="63"/>
      <c r="G341" s="63"/>
      <c r="H341" s="63"/>
    </row>
    <row r="342" spans="4:8">
      <c r="D342" s="63"/>
      <c r="E342" s="63"/>
      <c r="F342" s="63"/>
      <c r="G342" s="63"/>
      <c r="H342" s="63"/>
    </row>
    <row r="343" spans="4:8">
      <c r="D343" s="63"/>
      <c r="E343" s="63"/>
      <c r="F343" s="63"/>
      <c r="G343" s="63"/>
      <c r="H343" s="63"/>
    </row>
    <row r="344" spans="4:8">
      <c r="D344" s="63"/>
      <c r="E344" s="63"/>
      <c r="F344" s="63"/>
      <c r="G344" s="63"/>
      <c r="H344" s="63"/>
    </row>
    <row r="345" spans="4:8">
      <c r="D345" s="63"/>
      <c r="E345" s="63"/>
      <c r="F345" s="63"/>
      <c r="G345" s="63"/>
      <c r="H345" s="63"/>
    </row>
    <row r="346" spans="4:8">
      <c r="D346" s="63"/>
      <c r="E346" s="63"/>
      <c r="F346" s="63"/>
      <c r="G346" s="63"/>
      <c r="H346" s="63"/>
    </row>
    <row r="347" spans="4:8">
      <c r="D347" s="63"/>
      <c r="E347" s="63"/>
      <c r="F347" s="63"/>
      <c r="G347" s="63"/>
      <c r="H347" s="63"/>
    </row>
    <row r="348" spans="4:8">
      <c r="D348" s="63"/>
      <c r="E348" s="63"/>
      <c r="F348" s="63"/>
      <c r="G348" s="63"/>
      <c r="H348" s="63"/>
    </row>
    <row r="349" spans="4:8">
      <c r="D349" s="63"/>
      <c r="E349" s="63"/>
      <c r="F349" s="63"/>
      <c r="G349" s="63"/>
      <c r="H349" s="63"/>
    </row>
    <row r="350" spans="4:8">
      <c r="D350" s="63"/>
      <c r="E350" s="63"/>
      <c r="F350" s="63"/>
      <c r="G350" s="63"/>
      <c r="H350" s="63"/>
    </row>
    <row r="351" spans="4:8">
      <c r="D351" s="63"/>
      <c r="E351" s="63"/>
      <c r="F351" s="63"/>
      <c r="G351" s="63"/>
      <c r="H351" s="63"/>
    </row>
    <row r="352" spans="4:8">
      <c r="D352" s="63"/>
      <c r="E352" s="63"/>
      <c r="F352" s="63"/>
      <c r="G352" s="63"/>
      <c r="H352" s="63"/>
    </row>
    <row r="353" spans="4:8">
      <c r="D353" s="63"/>
      <c r="E353" s="63"/>
      <c r="F353" s="63"/>
      <c r="G353" s="63"/>
      <c r="H353" s="63"/>
    </row>
    <row r="354" spans="4:8">
      <c r="D354" s="63"/>
      <c r="E354" s="63"/>
      <c r="F354" s="63"/>
      <c r="G354" s="63"/>
      <c r="H354" s="63"/>
    </row>
    <row r="355" spans="4:8">
      <c r="D355" s="63"/>
      <c r="E355" s="63"/>
      <c r="F355" s="63"/>
      <c r="G355" s="63"/>
      <c r="H355" s="63"/>
    </row>
    <row r="356" spans="4:8">
      <c r="D356" s="63"/>
      <c r="E356" s="63"/>
      <c r="F356" s="63"/>
      <c r="G356" s="63"/>
      <c r="H356" s="63"/>
    </row>
    <row r="357" spans="4:8">
      <c r="D357" s="63"/>
      <c r="E357" s="63"/>
      <c r="F357" s="63"/>
      <c r="G357" s="63"/>
      <c r="H357" s="63"/>
    </row>
    <row r="358" spans="4:8">
      <c r="D358" s="63"/>
      <c r="E358" s="63"/>
      <c r="F358" s="63"/>
      <c r="G358" s="63"/>
      <c r="H358" s="63"/>
    </row>
    <row r="359" spans="4:8">
      <c r="D359" s="63"/>
      <c r="E359" s="63"/>
      <c r="F359" s="63"/>
      <c r="G359" s="63"/>
      <c r="H359" s="63"/>
    </row>
    <row r="360" spans="4:8">
      <c r="D360" s="63"/>
      <c r="E360" s="63"/>
      <c r="F360" s="63"/>
      <c r="G360" s="63"/>
      <c r="H360" s="63"/>
    </row>
    <row r="361" spans="4:8">
      <c r="D361" s="63"/>
      <c r="E361" s="63"/>
      <c r="F361" s="63"/>
      <c r="G361" s="63"/>
      <c r="H361" s="63"/>
    </row>
    <row r="362" spans="4:8">
      <c r="D362" s="63"/>
      <c r="E362" s="63"/>
      <c r="F362" s="63"/>
      <c r="G362" s="63"/>
      <c r="H362" s="63"/>
    </row>
    <row r="363" spans="4:8">
      <c r="D363" s="63"/>
      <c r="E363" s="63"/>
      <c r="F363" s="63"/>
      <c r="G363" s="63"/>
      <c r="H363" s="63"/>
    </row>
    <row r="364" spans="4:8">
      <c r="D364" s="63"/>
      <c r="E364" s="63"/>
      <c r="F364" s="63"/>
      <c r="G364" s="63"/>
      <c r="H364" s="63"/>
    </row>
    <row r="365" spans="4:8">
      <c r="D365" s="63"/>
      <c r="E365" s="63"/>
      <c r="F365" s="63"/>
      <c r="G365" s="63"/>
      <c r="H365" s="63"/>
    </row>
    <row r="366" spans="4:8">
      <c r="D366" s="63"/>
      <c r="E366" s="63"/>
      <c r="F366" s="63"/>
      <c r="G366" s="63"/>
      <c r="H366" s="63"/>
    </row>
    <row r="367" spans="4:8">
      <c r="D367" s="63"/>
      <c r="E367" s="63"/>
      <c r="F367" s="63"/>
      <c r="G367" s="63"/>
      <c r="H367" s="63"/>
    </row>
    <row r="368" spans="4:8">
      <c r="D368" s="63"/>
      <c r="E368" s="63"/>
      <c r="F368" s="63"/>
      <c r="G368" s="63"/>
      <c r="H368" s="63"/>
    </row>
    <row r="369" spans="4:8">
      <c r="D369" s="63"/>
      <c r="E369" s="63"/>
      <c r="F369" s="63"/>
      <c r="G369" s="63"/>
      <c r="H369" s="63"/>
    </row>
    <row r="370" spans="4:8">
      <c r="D370" s="63"/>
      <c r="E370" s="63"/>
      <c r="F370" s="63"/>
      <c r="G370" s="63"/>
      <c r="H370" s="63"/>
    </row>
    <row r="371" spans="4:8">
      <c r="D371" s="63"/>
      <c r="E371" s="63"/>
      <c r="F371" s="63"/>
      <c r="G371" s="63"/>
      <c r="H371" s="63"/>
    </row>
    <row r="372" spans="4:8">
      <c r="D372" s="63"/>
      <c r="E372" s="63"/>
      <c r="F372" s="63"/>
      <c r="G372" s="63"/>
      <c r="H372" s="63"/>
    </row>
    <row r="373" spans="4:8">
      <c r="D373" s="63"/>
      <c r="E373" s="63"/>
      <c r="F373" s="63"/>
      <c r="G373" s="63"/>
      <c r="H373" s="63"/>
    </row>
    <row r="374" spans="4:8">
      <c r="D374" s="63"/>
      <c r="E374" s="63"/>
      <c r="F374" s="63"/>
      <c r="G374" s="63"/>
      <c r="H374" s="63"/>
    </row>
    <row r="375" spans="4:8">
      <c r="D375" s="63"/>
      <c r="E375" s="63"/>
      <c r="F375" s="63"/>
      <c r="G375" s="63"/>
      <c r="H375" s="63"/>
    </row>
    <row r="376" spans="4:8">
      <c r="D376" s="63"/>
      <c r="E376" s="63"/>
      <c r="F376" s="63"/>
      <c r="G376" s="63"/>
      <c r="H376" s="63"/>
    </row>
    <row r="377" spans="4:8">
      <c r="D377" s="63"/>
      <c r="E377" s="63"/>
      <c r="F377" s="63"/>
      <c r="G377" s="63"/>
      <c r="H377" s="63"/>
    </row>
    <row r="378" spans="4:8">
      <c r="D378" s="63"/>
      <c r="E378" s="63"/>
      <c r="F378" s="63"/>
      <c r="G378" s="63"/>
      <c r="H378" s="63"/>
    </row>
    <row r="379" spans="4:8">
      <c r="D379" s="63"/>
      <c r="E379" s="63"/>
      <c r="F379" s="63"/>
      <c r="G379" s="63"/>
      <c r="H379" s="63"/>
    </row>
    <row r="380" spans="4:8">
      <c r="D380" s="63"/>
      <c r="E380" s="63"/>
      <c r="F380" s="63"/>
      <c r="G380" s="63"/>
      <c r="H380" s="63"/>
    </row>
    <row r="381" spans="4:8">
      <c r="D381" s="63"/>
      <c r="E381" s="63"/>
      <c r="F381" s="63"/>
      <c r="G381" s="63"/>
      <c r="H381" s="63"/>
    </row>
    <row r="382" spans="4:8">
      <c r="D382" s="63"/>
      <c r="E382" s="63"/>
      <c r="F382" s="63"/>
      <c r="G382" s="63"/>
      <c r="H382" s="63"/>
    </row>
    <row r="383" spans="4:8">
      <c r="D383" s="63"/>
      <c r="E383" s="63"/>
      <c r="F383" s="63"/>
      <c r="G383" s="63"/>
      <c r="H383" s="63"/>
    </row>
    <row r="384" spans="4:8">
      <c r="D384" s="63"/>
      <c r="E384" s="63"/>
      <c r="F384" s="63"/>
      <c r="G384" s="63"/>
      <c r="H384" s="63"/>
    </row>
    <row r="385" spans="4:8">
      <c r="D385" s="63"/>
      <c r="E385" s="63"/>
      <c r="F385" s="63"/>
      <c r="G385" s="63"/>
      <c r="H385" s="63"/>
    </row>
    <row r="386" spans="4:8">
      <c r="D386" s="63"/>
      <c r="E386" s="63"/>
      <c r="F386" s="63"/>
      <c r="G386" s="63"/>
      <c r="H386" s="63"/>
    </row>
    <row r="387" spans="4:8">
      <c r="D387" s="63"/>
      <c r="E387" s="63"/>
      <c r="F387" s="63"/>
      <c r="G387" s="63"/>
      <c r="H387" s="63"/>
    </row>
    <row r="388" spans="4:8">
      <c r="D388" s="63"/>
      <c r="E388" s="63"/>
      <c r="F388" s="63"/>
      <c r="G388" s="63"/>
      <c r="H388" s="63"/>
    </row>
    <row r="389" spans="4:8">
      <c r="D389" s="63"/>
      <c r="E389" s="63"/>
      <c r="F389" s="63"/>
      <c r="G389" s="63"/>
      <c r="H389" s="63"/>
    </row>
    <row r="390" spans="4:8">
      <c r="D390" s="63"/>
      <c r="E390" s="63"/>
      <c r="F390" s="63"/>
      <c r="G390" s="63"/>
      <c r="H390" s="63"/>
    </row>
    <row r="391" spans="4:8">
      <c r="D391" s="63"/>
      <c r="E391" s="63"/>
      <c r="F391" s="63"/>
      <c r="G391" s="63"/>
      <c r="H391" s="63"/>
    </row>
    <row r="392" spans="4:8">
      <c r="D392" s="63"/>
      <c r="E392" s="63"/>
      <c r="F392" s="63"/>
      <c r="G392" s="63"/>
      <c r="H392" s="63"/>
    </row>
    <row r="393" spans="4:8">
      <c r="D393" s="63"/>
      <c r="E393" s="63"/>
      <c r="F393" s="63"/>
      <c r="G393" s="63"/>
      <c r="H393" s="63"/>
    </row>
    <row r="394" spans="4:8">
      <c r="D394" s="63"/>
      <c r="E394" s="63"/>
      <c r="F394" s="63"/>
      <c r="G394" s="63"/>
      <c r="H394" s="63"/>
    </row>
    <row r="395" spans="4:8">
      <c r="D395" s="63"/>
      <c r="E395" s="63"/>
      <c r="F395" s="63"/>
      <c r="G395" s="63"/>
      <c r="H395" s="63"/>
    </row>
    <row r="396" spans="4:8">
      <c r="D396" s="63"/>
      <c r="E396" s="63"/>
      <c r="F396" s="63"/>
      <c r="G396" s="63"/>
      <c r="H396" s="63"/>
    </row>
    <row r="397" spans="4:8">
      <c r="D397" s="63"/>
      <c r="E397" s="63"/>
      <c r="F397" s="63"/>
      <c r="G397" s="63"/>
      <c r="H397" s="63"/>
    </row>
    <row r="398" spans="4:8">
      <c r="D398" s="63"/>
      <c r="E398" s="63"/>
      <c r="F398" s="63"/>
      <c r="G398" s="63"/>
      <c r="H398" s="63"/>
    </row>
    <row r="399" spans="4:8">
      <c r="D399" s="63"/>
      <c r="E399" s="63"/>
      <c r="F399" s="63"/>
      <c r="G399" s="63"/>
      <c r="H399" s="63"/>
    </row>
    <row r="400" spans="4:8">
      <c r="D400" s="63"/>
      <c r="E400" s="63"/>
      <c r="F400" s="63"/>
      <c r="G400" s="63"/>
      <c r="H400" s="63"/>
    </row>
    <row r="401" spans="4:8">
      <c r="D401" s="63"/>
      <c r="E401" s="63"/>
      <c r="F401" s="63"/>
      <c r="G401" s="63"/>
      <c r="H401" s="63"/>
    </row>
    <row r="402" spans="4:8">
      <c r="D402" s="63"/>
      <c r="E402" s="63"/>
      <c r="F402" s="63"/>
      <c r="G402" s="63"/>
      <c r="H402" s="63"/>
    </row>
    <row r="403" spans="4:8">
      <c r="D403" s="63"/>
      <c r="E403" s="63"/>
      <c r="F403" s="63"/>
      <c r="G403" s="63"/>
      <c r="H403" s="63"/>
    </row>
    <row r="404" spans="4:8">
      <c r="D404" s="63"/>
      <c r="E404" s="63"/>
      <c r="F404" s="63"/>
      <c r="G404" s="63"/>
      <c r="H404" s="63"/>
    </row>
    <row r="405" spans="4:8">
      <c r="D405" s="63"/>
      <c r="E405" s="63"/>
      <c r="F405" s="63"/>
      <c r="G405" s="63"/>
      <c r="H405" s="63"/>
    </row>
    <row r="406" spans="4:8">
      <c r="D406" s="63"/>
      <c r="E406" s="63"/>
      <c r="F406" s="63"/>
      <c r="G406" s="63"/>
      <c r="H406" s="63"/>
    </row>
    <row r="407" spans="4:8">
      <c r="D407" s="63"/>
      <c r="E407" s="63"/>
      <c r="F407" s="63"/>
      <c r="G407" s="63"/>
      <c r="H407" s="63"/>
    </row>
    <row r="408" spans="4:8">
      <c r="D408" s="63"/>
      <c r="E408" s="63"/>
      <c r="F408" s="63"/>
      <c r="G408" s="63"/>
      <c r="H408" s="63"/>
    </row>
    <row r="409" spans="4:8">
      <c r="D409" s="63"/>
      <c r="E409" s="63"/>
      <c r="F409" s="63"/>
      <c r="G409" s="63"/>
      <c r="H409" s="63"/>
    </row>
    <row r="410" spans="4:8">
      <c r="D410" s="63"/>
      <c r="E410" s="63"/>
      <c r="F410" s="63"/>
      <c r="G410" s="63"/>
      <c r="H410" s="63"/>
    </row>
    <row r="411" spans="4:8">
      <c r="D411" s="63"/>
      <c r="E411" s="63"/>
      <c r="F411" s="63"/>
      <c r="G411" s="63"/>
      <c r="H411" s="63"/>
    </row>
    <row r="412" spans="4:8">
      <c r="D412" s="63"/>
      <c r="E412" s="63"/>
      <c r="F412" s="63"/>
      <c r="G412" s="63"/>
      <c r="H412" s="63"/>
    </row>
    <row r="413" spans="4:8">
      <c r="D413" s="63"/>
      <c r="E413" s="63"/>
      <c r="F413" s="63"/>
      <c r="G413" s="63"/>
      <c r="H413" s="63"/>
    </row>
    <row r="414" spans="4:8">
      <c r="D414" s="63"/>
      <c r="E414" s="63"/>
      <c r="F414" s="63"/>
      <c r="G414" s="63"/>
      <c r="H414" s="63"/>
    </row>
    <row r="415" spans="4:8">
      <c r="D415" s="63"/>
      <c r="E415" s="63"/>
      <c r="F415" s="63"/>
      <c r="G415" s="63"/>
      <c r="H415" s="63"/>
    </row>
    <row r="416" spans="4:8">
      <c r="D416" s="63"/>
      <c r="E416" s="63"/>
      <c r="F416" s="63"/>
      <c r="G416" s="63"/>
      <c r="H416" s="63"/>
    </row>
    <row r="417" spans="4:8">
      <c r="D417" s="63"/>
      <c r="E417" s="63"/>
      <c r="F417" s="63"/>
      <c r="G417" s="63"/>
      <c r="H417" s="63"/>
    </row>
    <row r="418" spans="4:8">
      <c r="D418" s="63"/>
      <c r="E418" s="63"/>
      <c r="F418" s="63"/>
      <c r="G418" s="63"/>
      <c r="H418" s="63"/>
    </row>
  </sheetData>
  <phoneticPr fontId="4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1"/>
  </sheetPr>
  <dimension ref="A1:I2208"/>
  <sheetViews>
    <sheetView workbookViewId="0">
      <pane xSplit="1" ySplit="6" topLeftCell="B1292" activePane="bottomRight" state="frozen"/>
      <selection activeCell="I944" sqref="I944"/>
      <selection pane="topRight" activeCell="I944" sqref="I944"/>
      <selection pane="bottomLeft" activeCell="I944" sqref="I944"/>
      <selection pane="bottomRight" activeCell="A1313" sqref="A1313"/>
    </sheetView>
  </sheetViews>
  <sheetFormatPr defaultRowHeight="12"/>
  <cols>
    <col min="1" max="1" width="13.375" style="38" customWidth="1"/>
    <col min="2" max="2" width="10" style="33" customWidth="1"/>
    <col min="3" max="3" width="26.5" style="28" bestFit="1" customWidth="1"/>
    <col min="4" max="5" width="9" style="28"/>
    <col min="6" max="6" width="12.5" style="28" bestFit="1" customWidth="1"/>
    <col min="7" max="7" width="22.375" style="28" customWidth="1"/>
    <col min="8" max="9" width="19" style="28" bestFit="1" customWidth="1"/>
    <col min="10" max="16384" width="9" style="28"/>
  </cols>
  <sheetData>
    <row r="1" spans="1:9">
      <c r="A1" s="11"/>
      <c r="B1" s="11"/>
      <c r="F1" s="2" t="s">
        <v>1437</v>
      </c>
      <c r="G1" s="1" t="s">
        <v>0</v>
      </c>
      <c r="H1" s="28" t="s">
        <v>3394</v>
      </c>
      <c r="I1" s="28" t="s">
        <v>3395</v>
      </c>
    </row>
    <row r="2" spans="1:9">
      <c r="A2" s="11"/>
      <c r="F2" s="3">
        <v>11030101</v>
      </c>
      <c r="G2" s="3">
        <v>2850010000</v>
      </c>
      <c r="H2" s="34" t="e">
        <f ca="1">[2]!a_eb("CDT,{P1},,2017013,,YA,,,","K=Acc_Code,F={P2},O=B",H$1,$F2)</f>
        <v>#NAME?</v>
      </c>
      <c r="I2" s="34" t="e">
        <f ca="1">[2]!a_eb("CDT,{P1},,2017013,,YA,,,","K=Acc_Code,F={P2},O=B",I$1,$F2)</f>
        <v>#NAME?</v>
      </c>
    </row>
    <row r="3" spans="1:9">
      <c r="A3" s="11"/>
      <c r="F3" s="3">
        <v>12010101</v>
      </c>
      <c r="G3" s="3">
        <v>1430001010</v>
      </c>
      <c r="H3" s="34" t="e">
        <f ca="1">[2]!a_eb("CDT,{P1},,2017013,,YA,,,","K=Acc_Code,F={P2},O=B",H$1,$F3)</f>
        <v>#NAME?</v>
      </c>
      <c r="I3" s="34" t="e">
        <f ca="1">[2]!a_eb("CDT,{P1},,2017013,,YA,,,","K=Acc_Code,F={P2},O=B",I$1,$F3)</f>
        <v>#NAME?</v>
      </c>
    </row>
    <row r="4" spans="1:9">
      <c r="A4" s="14"/>
      <c r="B4" s="35"/>
      <c r="F4" s="3">
        <v>12010101</v>
      </c>
      <c r="G4" s="3">
        <v>1030001010</v>
      </c>
      <c r="H4" s="34" t="e">
        <f ca="1">[2]!a_eb("CDT,{P1},,2017013,,YA,,,","K=Acc_Code,F={P2},O=B",H$1,$F4)</f>
        <v>#NAME?</v>
      </c>
      <c r="I4" s="34" t="e">
        <f ca="1">[2]!a_eb("CDT,{P1},,2017013,,YA,,,","K=Acc_Code,F={P2},O=B",I$1,$F4)</f>
        <v>#NAME?</v>
      </c>
    </row>
    <row r="5" spans="1:9">
      <c r="A5" s="14"/>
      <c r="B5" s="35"/>
      <c r="F5" s="3">
        <v>12010101</v>
      </c>
      <c r="G5" s="3">
        <v>1433001010</v>
      </c>
      <c r="H5" s="34" t="e">
        <f ca="1">[2]!a_eb("CDT,{P1},,2017013,,YA,,,","K=Acc_Code,F={P2},O=B",H$1,$F5)</f>
        <v>#NAME?</v>
      </c>
      <c r="I5" s="34" t="e">
        <f ca="1">[2]!a_eb("CDT,{P1},,2017013,,YA,,,","K=Acc_Code,F={P2},O=B",I$1,$F5)</f>
        <v>#NAME?</v>
      </c>
    </row>
    <row r="6" spans="1:9">
      <c r="A6" s="15" t="s">
        <v>0</v>
      </c>
      <c r="B6" s="19" t="s">
        <v>1548</v>
      </c>
      <c r="F6" s="3">
        <v>12010101</v>
      </c>
      <c r="G6" s="3">
        <v>1444101500</v>
      </c>
      <c r="H6" s="34" t="e">
        <f ca="1">[2]!a_eb("CDT,{P1},,2017013,,YA,,,","K=Acc_Code,F={P2},O=B",H$1,$F6)</f>
        <v>#NAME?</v>
      </c>
      <c r="I6" s="34" t="e">
        <f ca="1">[2]!a_eb("CDT,{P1},,2017013,,YA,,,","K=Acc_Code,F={P2},O=B",I$1,$F6)</f>
        <v>#NAME?</v>
      </c>
    </row>
    <row r="7" spans="1:9">
      <c r="A7" s="11">
        <v>2800020000</v>
      </c>
      <c r="B7" s="20" t="s">
        <v>1549</v>
      </c>
      <c r="C7" s="28" t="e">
        <f t="shared" ref="C7:C70" ca="1" si="0">VLOOKUP(B7,F:G,2,0)</f>
        <v>#N/A</v>
      </c>
      <c r="F7" s="3">
        <v>12010102</v>
      </c>
      <c r="G7" s="3">
        <v>1430001020</v>
      </c>
      <c r="H7" s="34" t="e">
        <f ca="1">[2]!a_eb("CDT,{P1},,2017013,,YA,,,","K=Acc_Code,F={P2},O=B",H$1,$F7)</f>
        <v>#NAME?</v>
      </c>
      <c r="I7" s="34" t="e">
        <f ca="1">[2]!a_eb("CDT,{P1},,2017013,,YA,,,","K=Acc_Code,F={P2},O=B",I$1,$F7)</f>
        <v>#NAME?</v>
      </c>
    </row>
    <row r="8" spans="1:9">
      <c r="A8" s="11">
        <v>2800000000</v>
      </c>
      <c r="B8" s="20" t="s">
        <v>1550</v>
      </c>
      <c r="C8" s="28" t="e">
        <f t="shared" ca="1" si="0"/>
        <v>#N/A</v>
      </c>
      <c r="F8" s="3">
        <v>12010102</v>
      </c>
      <c r="G8" s="3">
        <v>1030001020</v>
      </c>
      <c r="H8" s="34" t="e">
        <f ca="1">[2]!a_eb("CDT,{P1},,2017013,,YA,,,","K=Acc_Code,F={P2},O=B",H$1,$F8)</f>
        <v>#NAME?</v>
      </c>
      <c r="I8" s="34" t="e">
        <f ca="1">[2]!a_eb("CDT,{P1},,2017013,,YA,,,","K=Acc_Code,F={P2},O=B",I$1,$F8)</f>
        <v>#NAME?</v>
      </c>
    </row>
    <row r="9" spans="1:9">
      <c r="A9" s="11">
        <v>2800011500</v>
      </c>
      <c r="B9" s="20" t="s">
        <v>1551</v>
      </c>
      <c r="C9" s="28" t="e">
        <f t="shared" ca="1" si="0"/>
        <v>#N/A</v>
      </c>
      <c r="F9" s="3">
        <v>12010102</v>
      </c>
      <c r="G9" s="3">
        <v>1433001020</v>
      </c>
      <c r="H9" s="34" t="e">
        <f ca="1">[2]!a_eb("CDT,{P1},,2017013,,YA,,,","K=Acc_Code,F={P2},O=B",H$1,$F9)</f>
        <v>#NAME?</v>
      </c>
      <c r="I9" s="34" t="e">
        <f ca="1">[2]!a_eb("CDT,{P1},,2017013,,YA,,,","K=Acc_Code,F={P2},O=B",I$1,$F9)</f>
        <v>#NAME?</v>
      </c>
    </row>
    <row r="10" spans="1:9">
      <c r="A10" s="11" t="s">
        <v>1486</v>
      </c>
      <c r="B10" s="20" t="s">
        <v>1552</v>
      </c>
      <c r="C10" s="28" t="e">
        <f t="shared" ca="1" si="0"/>
        <v>#N/A</v>
      </c>
      <c r="F10" s="3">
        <v>12010301</v>
      </c>
      <c r="G10" s="3">
        <v>1300000000</v>
      </c>
      <c r="H10" s="34" t="e">
        <f ca="1">[2]!a_eb("CDT,{P1},,2017013,,YA,,,","K=Acc_Code,F={P2},O=B",H$1,$F10)</f>
        <v>#NAME?</v>
      </c>
      <c r="I10" s="34" t="e">
        <f ca="1">[2]!a_eb("CDT,{P1},,2017013,,YA,,,","K=Acc_Code,F={P2},O=B",I$1,$F10)</f>
        <v>#NAME?</v>
      </c>
    </row>
    <row r="11" spans="1:9">
      <c r="A11" s="11">
        <v>2820050200</v>
      </c>
      <c r="B11" s="20" t="s">
        <v>1553</v>
      </c>
      <c r="C11" s="28" t="e">
        <f t="shared" ca="1" si="0"/>
        <v>#N/A</v>
      </c>
      <c r="F11" s="3">
        <v>12030101</v>
      </c>
      <c r="G11" s="3">
        <v>2860011000</v>
      </c>
      <c r="H11" s="34" t="e">
        <f ca="1">[2]!a_eb("CDT,{P1},,2017013,,YA,,,","K=Acc_Code,F={P2},O=B",H$1,$F11)</f>
        <v>#NAME?</v>
      </c>
      <c r="I11" s="34" t="e">
        <f ca="1">[2]!a_eb("CDT,{P1},,2017013,,YA,,,","K=Acc_Code,F={P2},O=B",I$1,$F11)</f>
        <v>#NAME?</v>
      </c>
    </row>
    <row r="12" spans="1:9">
      <c r="A12" s="11" t="s">
        <v>1487</v>
      </c>
      <c r="B12" s="20" t="s">
        <v>1554</v>
      </c>
      <c r="C12" s="28" t="e">
        <f t="shared" ca="1" si="0"/>
        <v>#N/A</v>
      </c>
      <c r="F12" s="3">
        <v>12030101</v>
      </c>
      <c r="G12" s="3">
        <v>1143111000</v>
      </c>
      <c r="H12" s="34" t="e">
        <f ca="1">[2]!a_eb("CDT,{P1},,2017013,,YA,,,","K=Acc_Code,F={P2},O=B",H$1,$F12)</f>
        <v>#NAME?</v>
      </c>
      <c r="I12" s="34" t="e">
        <f ca="1">[2]!a_eb("CDT,{P1},,2017013,,YA,,,","K=Acc_Code,F={P2},O=B",I$1,$F12)</f>
        <v>#NAME?</v>
      </c>
    </row>
    <row r="13" spans="1:9">
      <c r="A13" s="11" t="s">
        <v>1488</v>
      </c>
      <c r="B13" s="20" t="s">
        <v>1555</v>
      </c>
      <c r="C13" s="28" t="e">
        <f t="shared" ca="1" si="0"/>
        <v>#N/A</v>
      </c>
      <c r="F13" s="3">
        <v>12030101</v>
      </c>
      <c r="G13" s="3">
        <v>1143011000</v>
      </c>
      <c r="H13" s="34" t="e">
        <f ca="1">[2]!a_eb("CDT,{P1},,2017013,,YA,,,","K=Acc_Code,F={P2},O=B",H$1,$F13)</f>
        <v>#NAME?</v>
      </c>
      <c r="I13" s="34" t="e">
        <f ca="1">[2]!a_eb("CDT,{P1},,2017013,,YA,,,","K=Acc_Code,F={P2},O=B",I$1,$F13)</f>
        <v>#NAME?</v>
      </c>
    </row>
    <row r="14" spans="1:9">
      <c r="A14" s="11" t="s">
        <v>1489</v>
      </c>
      <c r="B14" s="20" t="s">
        <v>1556</v>
      </c>
      <c r="C14" s="28" t="e">
        <f t="shared" ca="1" si="0"/>
        <v>#N/A</v>
      </c>
      <c r="F14" s="3">
        <v>12030101</v>
      </c>
      <c r="G14" s="3">
        <v>2860010000</v>
      </c>
      <c r="H14" s="34" t="e">
        <f ca="1">[2]!a_eb("CDT,{P1},,2017013,,YA,,,","K=Acc_Code,F={P2},O=B",H$1,$F14)</f>
        <v>#NAME?</v>
      </c>
      <c r="I14" s="34" t="e">
        <f ca="1">[2]!a_eb("CDT,{P1},,2017013,,YA,,,","K=Acc_Code,F={P2},O=B",I$1,$F14)</f>
        <v>#NAME?</v>
      </c>
    </row>
    <row r="15" spans="1:9">
      <c r="A15" s="11" t="s">
        <v>1490</v>
      </c>
      <c r="B15" s="20" t="s">
        <v>1557</v>
      </c>
      <c r="C15" s="28" t="e">
        <f t="shared" ca="1" si="0"/>
        <v>#N/A</v>
      </c>
      <c r="F15" s="3">
        <v>12030101</v>
      </c>
      <c r="G15" s="3">
        <v>1143110000</v>
      </c>
      <c r="H15" s="34" t="e">
        <f ca="1">[2]!a_eb("CDT,{P1},,2017013,,YA,,,","K=Acc_Code,F={P2},O=B",H$1,$F15)</f>
        <v>#NAME?</v>
      </c>
      <c r="I15" s="34" t="e">
        <f ca="1">[2]!a_eb("CDT,{P1},,2017013,,YA,,,","K=Acc_Code,F={P2},O=B",I$1,$F15)</f>
        <v>#NAME?</v>
      </c>
    </row>
    <row r="16" spans="1:9">
      <c r="A16" s="11">
        <v>2820050000</v>
      </c>
      <c r="B16" s="20" t="s">
        <v>1558</v>
      </c>
      <c r="C16" s="28" t="e">
        <f t="shared" ca="1" si="0"/>
        <v>#N/A</v>
      </c>
      <c r="F16" s="3">
        <v>12030101</v>
      </c>
      <c r="G16" s="3">
        <v>1143010000</v>
      </c>
      <c r="H16" s="34" t="e">
        <f ca="1">[2]!a_eb("CDT,{P1},,2017013,,YA,,,","K=Acc_Code,F={P2},O=B",H$1,$F16)</f>
        <v>#NAME?</v>
      </c>
      <c r="I16" s="34" t="e">
        <f ca="1">[2]!a_eb("CDT,{P1},,2017013,,YA,,,","K=Acc_Code,F={P2},O=B",I$1,$F16)</f>
        <v>#NAME?</v>
      </c>
    </row>
    <row r="17" spans="1:9">
      <c r="A17" s="11">
        <v>2820050000</v>
      </c>
      <c r="B17" s="20" t="s">
        <v>1559</v>
      </c>
      <c r="C17" s="28" t="e">
        <f t="shared" ca="1" si="0"/>
        <v>#N/A</v>
      </c>
      <c r="F17" s="3">
        <v>1204010101</v>
      </c>
      <c r="G17" s="3">
        <v>1140110000</v>
      </c>
      <c r="H17" s="34" t="e">
        <f ca="1">[2]!a_eb("CDT,{P1},,2017013,,YA,,,","K=Acc_Code,F={P2},O=B",H$1,$F17)</f>
        <v>#NAME?</v>
      </c>
      <c r="I17" s="34" t="e">
        <f ca="1">[2]!a_eb("CDT,{P1},,2017013,,YA,,,","K=Acc_Code,F={P2},O=B",I$1,$F17)</f>
        <v>#NAME?</v>
      </c>
    </row>
    <row r="18" spans="1:9">
      <c r="A18" s="11">
        <v>2820050000</v>
      </c>
      <c r="B18" s="20" t="s">
        <v>1560</v>
      </c>
      <c r="C18" s="28" t="e">
        <f t="shared" ca="1" si="0"/>
        <v>#N/A</v>
      </c>
      <c r="F18" s="3">
        <v>1204020101</v>
      </c>
      <c r="G18" s="3">
        <v>1140000000</v>
      </c>
      <c r="H18" s="34" t="e">
        <f ca="1">[2]!a_eb("CDT,{P1},,2017013,,YA,,,","K=Acc_Code,F={P2},O=B",H$1,$F18)</f>
        <v>#NAME?</v>
      </c>
      <c r="I18" s="34" t="e">
        <f ca="1">[2]!a_eb("CDT,{P1},,2017013,,YA,,,","K=Acc_Code,F={P2},O=B",I$1,$F18)</f>
        <v>#NAME?</v>
      </c>
    </row>
    <row r="19" spans="1:9">
      <c r="A19" s="11">
        <v>2820050000</v>
      </c>
      <c r="B19" s="20" t="s">
        <v>1561</v>
      </c>
      <c r="C19" s="28" t="e">
        <f t="shared" ca="1" si="0"/>
        <v>#N/A</v>
      </c>
      <c r="F19" s="3">
        <v>1204030101</v>
      </c>
      <c r="G19" s="17" t="s">
        <v>1543</v>
      </c>
      <c r="H19" s="34" t="e">
        <f ca="1">[2]!a_eb("CDT,{P1},,2017013,,YA,,,","K=Acc_Code,F={P2},O=B",H$1,$F19)</f>
        <v>#NAME?</v>
      </c>
      <c r="I19" s="34" t="e">
        <f ca="1">[2]!a_eb("CDT,{P1},,2017013,,YA,,,","K=Acc_Code,F={P2},O=B",I$1,$F19)</f>
        <v>#NAME?</v>
      </c>
    </row>
    <row r="20" spans="1:9">
      <c r="A20" s="11">
        <v>2820050000</v>
      </c>
      <c r="B20" s="20" t="s">
        <v>1562</v>
      </c>
      <c r="C20" s="28" t="e">
        <f t="shared" ca="1" si="0"/>
        <v>#N/A</v>
      </c>
      <c r="F20" s="3">
        <v>120501</v>
      </c>
      <c r="G20" s="6" t="s">
        <v>1410</v>
      </c>
      <c r="H20" s="34" t="e">
        <f ca="1">[2]!a_eb("CDT,{P1},,2017013,,YA,,,","K=Acc_Code,F={P2},O=B",H$1,$F20)</f>
        <v>#NAME?</v>
      </c>
      <c r="I20" s="34" t="e">
        <f ca="1">[2]!a_eb("CDT,{P1},,2017013,,YA,,,","K=Acc_Code,F={P2},O=B",I$1,$F20)</f>
        <v>#NAME?</v>
      </c>
    </row>
    <row r="21" spans="1:9">
      <c r="A21" s="11">
        <v>2820050000</v>
      </c>
      <c r="B21" s="20" t="s">
        <v>1563</v>
      </c>
      <c r="C21" s="28" t="e">
        <f t="shared" ca="1" si="0"/>
        <v>#N/A</v>
      </c>
      <c r="F21" s="3">
        <v>120501</v>
      </c>
      <c r="G21" s="6" t="s">
        <v>1411</v>
      </c>
      <c r="H21" s="34" t="e">
        <f ca="1">[2]!a_eb("CDT,{P1},,2017013,,YA,,,","K=Acc_Code,F={P2},O=B",H$1,$F21)</f>
        <v>#NAME?</v>
      </c>
      <c r="I21" s="34" t="e">
        <f ca="1">[2]!a_eb("CDT,{P1},,2017013,,YA,,,","K=Acc_Code,F={P2},O=B",I$1,$F21)</f>
        <v>#NAME?</v>
      </c>
    </row>
    <row r="22" spans="1:9">
      <c r="A22" s="11">
        <v>2820050000</v>
      </c>
      <c r="B22" s="20" t="s">
        <v>1564</v>
      </c>
      <c r="C22" s="28" t="e">
        <f t="shared" ca="1" si="0"/>
        <v>#N/A</v>
      </c>
      <c r="F22" s="3">
        <v>120501</v>
      </c>
      <c r="G22" s="6" t="s">
        <v>1412</v>
      </c>
      <c r="H22" s="34" t="e">
        <f ca="1">[2]!a_eb("CDT,{P1},,2017013,,YA,,,","K=Acc_Code,F={P2},O=B",H$1,$F22)</f>
        <v>#NAME?</v>
      </c>
      <c r="I22" s="34" t="e">
        <f ca="1">[2]!a_eb("CDT,{P1},,2017013,,YA,,,","K=Acc_Code,F={P2},O=B",I$1,$F22)</f>
        <v>#NAME?</v>
      </c>
    </row>
    <row r="23" spans="1:9">
      <c r="A23" s="11" t="s">
        <v>1491</v>
      </c>
      <c r="B23" s="20" t="s">
        <v>1565</v>
      </c>
      <c r="C23" s="28" t="e">
        <f t="shared" ca="1" si="0"/>
        <v>#N/A</v>
      </c>
      <c r="F23" s="3">
        <v>120501</v>
      </c>
      <c r="G23" s="6" t="s">
        <v>1413</v>
      </c>
      <c r="H23" s="34" t="e">
        <f ca="1">[2]!a_eb("CDT,{P1},,2017013,,YA,,,","K=Acc_Code,F={P2},O=B",H$1,$F23)</f>
        <v>#NAME?</v>
      </c>
      <c r="I23" s="34" t="e">
        <f ca="1">[2]!a_eb("CDT,{P1},,2017013,,YA,,,","K=Acc_Code,F={P2},O=B",I$1,$F23)</f>
        <v>#NAME?</v>
      </c>
    </row>
    <row r="24" spans="1:9">
      <c r="A24" s="11" t="s">
        <v>1491</v>
      </c>
      <c r="B24" s="20" t="s">
        <v>1566</v>
      </c>
      <c r="C24" s="28" t="e">
        <f t="shared" ca="1" si="0"/>
        <v>#N/A</v>
      </c>
      <c r="F24" s="3">
        <v>120501</v>
      </c>
      <c r="G24" s="3">
        <v>1010002000</v>
      </c>
      <c r="H24" s="34" t="e">
        <f ca="1">[2]!a_eb("CDT,{P1},,2017013,,YA,,,","K=Acc_Code,F={P2},O=B",H$1,$F24)</f>
        <v>#NAME?</v>
      </c>
      <c r="I24" s="34" t="e">
        <f ca="1">[2]!a_eb("CDT,{P1},,2017013,,YA,,,","K=Acc_Code,F={P2},O=B",I$1,$F24)</f>
        <v>#NAME?</v>
      </c>
    </row>
    <row r="25" spans="1:9">
      <c r="A25" s="11" t="s">
        <v>1491</v>
      </c>
      <c r="B25" s="20" t="s">
        <v>1567</v>
      </c>
      <c r="C25" s="28" t="e">
        <f t="shared" ca="1" si="0"/>
        <v>#N/A</v>
      </c>
      <c r="F25" s="3">
        <v>120501</v>
      </c>
      <c r="G25" s="6">
        <v>1444100000</v>
      </c>
      <c r="H25" s="34" t="e">
        <f ca="1">[2]!a_eb("CDT,{P1},,2017013,,YA,,,","K=Acc_Code,F={P2},O=B",H$1,$F25)</f>
        <v>#NAME?</v>
      </c>
      <c r="I25" s="34" t="e">
        <f ca="1">[2]!a_eb("CDT,{P1},,2017013,,YA,,,","K=Acc_Code,F={P2},O=B",I$1,$F25)</f>
        <v>#NAME?</v>
      </c>
    </row>
    <row r="26" spans="1:9">
      <c r="A26" s="11">
        <v>2820050000</v>
      </c>
      <c r="B26" s="20" t="s">
        <v>1568</v>
      </c>
      <c r="C26" s="28" t="e">
        <f t="shared" ca="1" si="0"/>
        <v>#N/A</v>
      </c>
      <c r="F26" s="3">
        <v>120501</v>
      </c>
      <c r="G26" s="6">
        <v>1444000000</v>
      </c>
      <c r="H26" s="34" t="e">
        <f ca="1">[2]!a_eb("CDT,{P1},,2017013,,YA,,,","K=Acc_Code,F={P2},O=B",H$1,$F26)</f>
        <v>#NAME?</v>
      </c>
      <c r="I26" s="34" t="e">
        <f ca="1">[2]!a_eb("CDT,{P1},,2017013,,YA,,,","K=Acc_Code,F={P2},O=B",I$1,$F26)</f>
        <v>#NAME?</v>
      </c>
    </row>
    <row r="27" spans="1:9">
      <c r="A27" s="11" t="s">
        <v>1492</v>
      </c>
      <c r="B27" s="20" t="s">
        <v>1569</v>
      </c>
      <c r="C27" s="28" t="e">
        <f t="shared" ca="1" si="0"/>
        <v>#N/A</v>
      </c>
      <c r="F27" s="3">
        <v>120502</v>
      </c>
      <c r="G27" s="3">
        <v>1010002010</v>
      </c>
      <c r="H27" s="34" t="e">
        <f ca="1">[2]!a_eb("CDT,{P1},,2017013,,YA,,,","K=Acc_Code,F={P2},O=B",H$1,$F27)</f>
        <v>#NAME?</v>
      </c>
      <c r="I27" s="34" t="e">
        <f ca="1">[2]!a_eb("CDT,{P1},,2017013,,YA,,,","K=Acc_Code,F={P2},O=B",I$1,$F27)</f>
        <v>#NAME?</v>
      </c>
    </row>
    <row r="28" spans="1:9">
      <c r="A28" s="11">
        <v>2820050000</v>
      </c>
      <c r="B28" s="20" t="s">
        <v>1570</v>
      </c>
      <c r="C28" s="28" t="e">
        <f t="shared" ca="1" si="0"/>
        <v>#N/A</v>
      </c>
      <c r="F28" s="3">
        <v>120504</v>
      </c>
      <c r="G28" s="3">
        <v>1010002020</v>
      </c>
      <c r="H28" s="34" t="e">
        <f ca="1">[2]!a_eb("CDT,{P1},,2017013,,YA,,,","K=Acc_Code,F={P2},O=B",H$1,$F28)</f>
        <v>#NAME?</v>
      </c>
      <c r="I28" s="34" t="e">
        <f ca="1">[2]!a_eb("CDT,{P1},,2017013,,YA,,,","K=Acc_Code,F={P2},O=B",I$1,$F28)</f>
        <v>#NAME?</v>
      </c>
    </row>
    <row r="29" spans="1:9">
      <c r="A29" s="11">
        <v>2820050000</v>
      </c>
      <c r="B29" s="20" t="s">
        <v>1571</v>
      </c>
      <c r="C29" s="28" t="e">
        <f t="shared" ca="1" si="0"/>
        <v>#N/A</v>
      </c>
      <c r="F29" s="3">
        <v>120505</v>
      </c>
      <c r="G29" s="3">
        <v>1010002030</v>
      </c>
      <c r="H29" s="34" t="e">
        <f ca="1">[2]!a_eb("CDT,{P1},,2017013,,YA,,,","K=Acc_Code,F={P2},O=B",H$1,$F29)</f>
        <v>#NAME?</v>
      </c>
      <c r="I29" s="34" t="e">
        <f ca="1">[2]!a_eb("CDT,{P1},,2017013,,YA,,,","K=Acc_Code,F={P2},O=B",I$1,$F29)</f>
        <v>#NAME?</v>
      </c>
    </row>
    <row r="30" spans="1:9">
      <c r="A30" s="11">
        <v>2820050000</v>
      </c>
      <c r="B30" s="20" t="s">
        <v>1572</v>
      </c>
      <c r="C30" s="28" t="e">
        <f t="shared" ca="1" si="0"/>
        <v>#N/A</v>
      </c>
      <c r="F30" s="3">
        <v>120506</v>
      </c>
      <c r="G30" s="6">
        <v>1010000000</v>
      </c>
      <c r="H30" s="34" t="e">
        <f ca="1">[2]!a_eb("CDT,{P1},,2017013,,YA,,,","K=Acc_Code,F={P2},O=B",H$1,$F30)</f>
        <v>#NAME?</v>
      </c>
      <c r="I30" s="34" t="e">
        <f ca="1">[2]!a_eb("CDT,{P1},,2017013,,YA,,,","K=Acc_Code,F={P2},O=B",I$1,$F30)</f>
        <v>#NAME?</v>
      </c>
    </row>
    <row r="31" spans="1:9">
      <c r="A31" s="11">
        <v>2820050000</v>
      </c>
      <c r="B31" s="20" t="s">
        <v>1573</v>
      </c>
      <c r="C31" s="28" t="e">
        <f t="shared" ca="1" si="0"/>
        <v>#N/A</v>
      </c>
      <c r="F31" s="3">
        <v>120601</v>
      </c>
      <c r="G31" s="3">
        <v>1000002000</v>
      </c>
      <c r="H31" s="34" t="e">
        <f ca="1">[2]!a_eb("CDT,{P1},,2017013,,YA,,,","K=Acc_Code,F={P2},O=B",H$1,$F31)</f>
        <v>#NAME?</v>
      </c>
      <c r="I31" s="34" t="e">
        <f ca="1">[2]!a_eb("CDT,{P1},,2017013,,YA,,,","K=Acc_Code,F={P2},O=B",I$1,$F31)</f>
        <v>#NAME?</v>
      </c>
    </row>
    <row r="32" spans="1:9">
      <c r="A32" s="11">
        <v>2820050000</v>
      </c>
      <c r="B32" s="20" t="s">
        <v>1574</v>
      </c>
      <c r="C32" s="28" t="e">
        <f t="shared" ca="1" si="0"/>
        <v>#N/A</v>
      </c>
      <c r="F32" s="3">
        <v>120602</v>
      </c>
      <c r="G32" s="3">
        <v>1000002010</v>
      </c>
      <c r="H32" s="34" t="e">
        <f ca="1">[2]!a_eb("CDT,{P1},,2017013,,YA,,,","K=Acc_Code,F={P2},O=B",H$1,$F32)</f>
        <v>#NAME?</v>
      </c>
      <c r="I32" s="34" t="e">
        <f ca="1">[2]!a_eb("CDT,{P1},,2017013,,YA,,,","K=Acc_Code,F={P2},O=B",I$1,$F32)</f>
        <v>#NAME?</v>
      </c>
    </row>
    <row r="33" spans="1:9">
      <c r="A33" s="11">
        <v>2820050000</v>
      </c>
      <c r="B33" s="20" t="s">
        <v>1575</v>
      </c>
      <c r="C33" s="28" t="e">
        <f t="shared" ca="1" si="0"/>
        <v>#N/A</v>
      </c>
      <c r="F33" s="3">
        <v>120604</v>
      </c>
      <c r="G33" s="3">
        <v>1000002020</v>
      </c>
      <c r="H33" s="34" t="e">
        <f ca="1">[2]!a_eb("CDT,{P1},,2017013,,YA,,,","K=Acc_Code,F={P2},O=B",H$1,$F33)</f>
        <v>#NAME?</v>
      </c>
      <c r="I33" s="34" t="e">
        <f ca="1">[2]!a_eb("CDT,{P1},,2017013,,YA,,,","K=Acc_Code,F={P2},O=B",I$1,$F33)</f>
        <v>#NAME?</v>
      </c>
    </row>
    <row r="34" spans="1:9">
      <c r="A34" s="11" t="s">
        <v>1486</v>
      </c>
      <c r="B34" s="20" t="s">
        <v>1576</v>
      </c>
      <c r="C34" s="28" t="e">
        <f t="shared" ca="1" si="0"/>
        <v>#N/A</v>
      </c>
      <c r="F34" s="3">
        <v>120701</v>
      </c>
      <c r="G34" s="3">
        <v>1243000000</v>
      </c>
      <c r="H34" s="34" t="e">
        <f ca="1">[2]!a_eb("CDT,{P1},,2017013,,YA,,,","K=Acc_Code,F={P2},O=B",H$1,$F34)</f>
        <v>#NAME?</v>
      </c>
      <c r="I34" s="34" t="e">
        <f ca="1">[2]!a_eb("CDT,{P1},,2017013,,YA,,,","K=Acc_Code,F={P2},O=B",I$1,$F34)</f>
        <v>#NAME?</v>
      </c>
    </row>
    <row r="35" spans="1:9">
      <c r="A35" s="11" t="s">
        <v>1488</v>
      </c>
      <c r="B35" s="20" t="s">
        <v>1577</v>
      </c>
      <c r="C35" s="28" t="e">
        <f t="shared" ca="1" si="0"/>
        <v>#N/A</v>
      </c>
      <c r="F35" s="3">
        <v>120801</v>
      </c>
      <c r="G35" s="6">
        <v>1240000000</v>
      </c>
      <c r="H35" s="34" t="e">
        <f ca="1">[2]!a_eb("CDT,{P1},,2017013,,YA,,,","K=Acc_Code,F={P2},O=B",H$1,$F35)</f>
        <v>#NAME?</v>
      </c>
      <c r="I35" s="34" t="e">
        <f ca="1">[2]!a_eb("CDT,{P1},,2017013,,YA,,,","K=Acc_Code,F={P2},O=B",I$1,$F35)</f>
        <v>#NAME?</v>
      </c>
    </row>
    <row r="36" spans="1:9">
      <c r="A36" s="11" t="s">
        <v>1486</v>
      </c>
      <c r="B36" s="20" t="s">
        <v>1578</v>
      </c>
      <c r="C36" s="28" t="e">
        <f t="shared" ca="1" si="0"/>
        <v>#N/A</v>
      </c>
      <c r="F36" s="3">
        <v>120801</v>
      </c>
      <c r="G36" s="6">
        <v>1245002000</v>
      </c>
      <c r="H36" s="34" t="e">
        <f ca="1">[2]!a_eb("CDT,{P1},,2017013,,YA,,,","K=Acc_Code,F={P2},O=B",H$1,$F36)</f>
        <v>#NAME?</v>
      </c>
      <c r="I36" s="34" t="e">
        <f ca="1">[2]!a_eb("CDT,{P1},,2017013,,YA,,,","K=Acc_Code,F={P2},O=B",I$1,$F36)</f>
        <v>#NAME?</v>
      </c>
    </row>
    <row r="37" spans="1:9">
      <c r="A37" s="11">
        <v>2820050000</v>
      </c>
      <c r="B37" s="20" t="s">
        <v>1579</v>
      </c>
      <c r="C37" s="28" t="e">
        <f t="shared" ca="1" si="0"/>
        <v>#N/A</v>
      </c>
      <c r="F37" s="3">
        <v>121001</v>
      </c>
      <c r="G37" s="6">
        <v>1430000000</v>
      </c>
      <c r="H37" s="34" t="e">
        <f ca="1">[2]!a_eb("CDT,{P1},,2017013,,YA,,,","K=Acc_Code,F={P2},O=B",H$1,$F37)</f>
        <v>#NAME?</v>
      </c>
      <c r="I37" s="34" t="e">
        <f ca="1">[2]!a_eb("CDT,{P1},,2017013,,YA,,,","K=Acc_Code,F={P2},O=B",I$1,$F37)</f>
        <v>#NAME?</v>
      </c>
    </row>
    <row r="38" spans="1:9">
      <c r="A38" s="11">
        <v>2820050000</v>
      </c>
      <c r="B38" s="20" t="s">
        <v>1580</v>
      </c>
      <c r="C38" s="28" t="e">
        <f t="shared" ca="1" si="0"/>
        <v>#N/A</v>
      </c>
      <c r="F38" s="3">
        <v>121001</v>
      </c>
      <c r="G38" s="6">
        <v>1433000000</v>
      </c>
      <c r="H38" s="34" t="e">
        <f ca="1">[2]!a_eb("CDT,{P1},,2017013,,YA,,,","K=Acc_Code,F={P2},O=B",H$1,$F38)</f>
        <v>#NAME?</v>
      </c>
      <c r="I38" s="34" t="e">
        <f ca="1">[2]!a_eb("CDT,{P1},,2017013,,YA,,,","K=Acc_Code,F={P2},O=B",I$1,$F38)</f>
        <v>#NAME?</v>
      </c>
    </row>
    <row r="39" spans="1:9">
      <c r="A39" s="11" t="s">
        <v>1493</v>
      </c>
      <c r="B39" s="20" t="s">
        <v>1581</v>
      </c>
      <c r="C39" s="28" t="e">
        <f t="shared" ca="1" si="0"/>
        <v>#N/A</v>
      </c>
      <c r="F39" s="3">
        <v>121001</v>
      </c>
      <c r="G39" s="6">
        <v>1030000000</v>
      </c>
      <c r="H39" s="34" t="e">
        <f ca="1">[2]!a_eb("CDT,{P1},,2017013,,YA,,,","K=Acc_Code,F={P2},O=B",H$1,$F39)</f>
        <v>#NAME?</v>
      </c>
      <c r="I39" s="34" t="e">
        <f ca="1">[2]!a_eb("CDT,{P1},,2017013,,YA,,,","K=Acc_Code,F={P2},O=B",I$1,$F39)</f>
        <v>#NAME?</v>
      </c>
    </row>
    <row r="40" spans="1:9">
      <c r="A40" s="11" t="s">
        <v>1491</v>
      </c>
      <c r="B40" s="20" t="s">
        <v>1582</v>
      </c>
      <c r="C40" s="28" t="e">
        <f t="shared" ca="1" si="0"/>
        <v>#N/A</v>
      </c>
      <c r="F40" s="3">
        <v>130101</v>
      </c>
      <c r="G40" s="6">
        <v>2610000000</v>
      </c>
      <c r="H40" s="34" t="e">
        <f ca="1">[2]!a_eb("CDT,{P1},,2017013,,YA,,,","K=Acc_Code,F={P2},O=B",H$1,$F40)</f>
        <v>#NAME?</v>
      </c>
      <c r="I40" s="34" t="e">
        <f ca="1">[2]!a_eb("CDT,{P1},,2017013,,YA,,,","K=Acc_Code,F={P2},O=B",I$1,$F40)</f>
        <v>#NAME?</v>
      </c>
    </row>
    <row r="41" spans="1:9">
      <c r="A41" s="11" t="s">
        <v>1486</v>
      </c>
      <c r="B41" s="20" t="s">
        <v>1583</v>
      </c>
      <c r="C41" s="28" t="e">
        <f t="shared" ca="1" si="0"/>
        <v>#N/A</v>
      </c>
      <c r="F41" s="3">
        <v>130101</v>
      </c>
      <c r="G41" s="6">
        <v>2610000010</v>
      </c>
      <c r="H41" s="34" t="e">
        <f ca="1">[2]!a_eb("CDT,{P1},,2017013,,YA,,,","K=Acc_Code,F={P2},O=B",H$1,$F41)</f>
        <v>#NAME?</v>
      </c>
      <c r="I41" s="34" t="e">
        <f ca="1">[2]!a_eb("CDT,{P1},,2017013,,YA,,,","K=Acc_Code,F={P2},O=B",I$1,$F41)</f>
        <v>#NAME?</v>
      </c>
    </row>
    <row r="42" spans="1:9">
      <c r="A42" s="11" t="s">
        <v>1492</v>
      </c>
      <c r="B42" s="20" t="s">
        <v>1584</v>
      </c>
      <c r="C42" s="28" t="e">
        <f t="shared" ca="1" si="0"/>
        <v>#N/A</v>
      </c>
      <c r="F42" s="3">
        <v>130301</v>
      </c>
      <c r="G42" s="6" t="s">
        <v>1414</v>
      </c>
      <c r="H42" s="34" t="e">
        <f ca="1">[2]!a_eb("CDT,{P1},,2017013,,YA,,,","K=Acc_Code,F={P2},O=B",H$1,$F42)</f>
        <v>#NAME?</v>
      </c>
      <c r="I42" s="34" t="e">
        <f ca="1">[2]!a_eb("CDT,{P1},,2017013,,YA,,,","K=Acc_Code,F={P2},O=B",I$1,$F42)</f>
        <v>#NAME?</v>
      </c>
    </row>
    <row r="43" spans="1:9">
      <c r="A43" s="11" t="s">
        <v>1488</v>
      </c>
      <c r="B43" s="20" t="s">
        <v>1585</v>
      </c>
      <c r="C43" s="28" t="e">
        <f t="shared" ca="1" si="0"/>
        <v>#N/A</v>
      </c>
      <c r="F43" s="3">
        <v>130301</v>
      </c>
      <c r="G43" s="6">
        <v>2600000020</v>
      </c>
      <c r="H43" s="34" t="e">
        <f ca="1">[2]!a_eb("CDT,{P1},,2017013,,YA,,,","K=Acc_Code,F={P2},O=B",H$1,$F43)</f>
        <v>#NAME?</v>
      </c>
      <c r="I43" s="34" t="e">
        <f ca="1">[2]!a_eb("CDT,{P1},,2017013,,YA,,,","K=Acc_Code,F={P2},O=B",I$1,$F43)</f>
        <v>#NAME?</v>
      </c>
    </row>
    <row r="44" spans="1:9">
      <c r="A44" s="11" t="s">
        <v>1494</v>
      </c>
      <c r="B44" s="20" t="s">
        <v>1586</v>
      </c>
      <c r="C44" s="28" t="e">
        <f t="shared" ca="1" si="0"/>
        <v>#N/A</v>
      </c>
      <c r="F44" s="3">
        <v>130302</v>
      </c>
      <c r="G44" s="6">
        <v>2600001500</v>
      </c>
      <c r="H44" s="34" t="e">
        <f ca="1">[2]!a_eb("CDT,{P1},,2017013,,YA,,,","K=Acc_Code,F={P2},O=B",H$1,$F44)</f>
        <v>#NAME?</v>
      </c>
      <c r="I44" s="34" t="e">
        <f ca="1">[2]!a_eb("CDT,{P1},,2017013,,YA,,,","K=Acc_Code,F={P2},O=B",I$1,$F44)</f>
        <v>#NAME?</v>
      </c>
    </row>
    <row r="45" spans="1:9">
      <c r="A45" s="11" t="s">
        <v>1487</v>
      </c>
      <c r="B45" s="20" t="s">
        <v>1587</v>
      </c>
      <c r="C45" s="28" t="e">
        <f t="shared" ca="1" si="0"/>
        <v>#N/A</v>
      </c>
      <c r="F45" s="3">
        <v>130304</v>
      </c>
      <c r="G45" s="6">
        <v>2600002040</v>
      </c>
      <c r="H45" s="34" t="e">
        <f ca="1">[2]!a_eb("CDT,{P1},,2017013,,YA,,,","K=Acc_Code,F={P2},O=B",H$1,$F45)</f>
        <v>#NAME?</v>
      </c>
      <c r="I45" s="34" t="e">
        <f ca="1">[2]!a_eb("CDT,{P1},,2017013,,YA,,,","K=Acc_Code,F={P2},O=B",I$1,$F45)</f>
        <v>#NAME?</v>
      </c>
    </row>
    <row r="46" spans="1:9">
      <c r="A46" s="11" t="s">
        <v>1494</v>
      </c>
      <c r="B46" s="20" t="s">
        <v>1588</v>
      </c>
      <c r="C46" s="28" t="e">
        <f t="shared" ca="1" si="0"/>
        <v>#N/A</v>
      </c>
      <c r="F46" s="3">
        <v>130304</v>
      </c>
      <c r="G46" s="6">
        <v>2600002041</v>
      </c>
      <c r="H46" s="34" t="e">
        <f ca="1">[2]!a_eb("CDT,{P1},,2017013,,YA,,,","K=Acc_Code,F={P2},O=B",H$1,$F46)</f>
        <v>#NAME?</v>
      </c>
      <c r="I46" s="34" t="e">
        <f ca="1">[2]!a_eb("CDT,{P1},,2017013,,YA,,,","K=Acc_Code,F={P2},O=B",I$1,$F46)</f>
        <v>#NAME?</v>
      </c>
    </row>
    <row r="47" spans="1:9">
      <c r="A47" s="11" t="s">
        <v>1495</v>
      </c>
      <c r="B47" s="20" t="s">
        <v>1589</v>
      </c>
      <c r="C47" s="28" t="e">
        <f t="shared" ca="1" si="0"/>
        <v>#N/A</v>
      </c>
      <c r="F47" s="3">
        <v>130305</v>
      </c>
      <c r="G47" s="6">
        <v>2600002050</v>
      </c>
      <c r="H47" s="34" t="e">
        <f ca="1">[2]!a_eb("CDT,{P1},,2017013,,YA,,,","K=Acc_Code,F={P2},O=B",H$1,$F47)</f>
        <v>#NAME?</v>
      </c>
      <c r="I47" s="34" t="e">
        <f ca="1">[2]!a_eb("CDT,{P1},,2017013,,YA,,,","K=Acc_Code,F={P2},O=B",I$1,$F47)</f>
        <v>#NAME?</v>
      </c>
    </row>
    <row r="48" spans="1:9">
      <c r="A48" s="11" t="s">
        <v>1486</v>
      </c>
      <c r="B48" s="20" t="s">
        <v>1590</v>
      </c>
      <c r="C48" s="28" t="e">
        <f t="shared" ca="1" si="0"/>
        <v>#N/A</v>
      </c>
      <c r="F48" s="3">
        <v>130305</v>
      </c>
      <c r="G48" s="6">
        <v>2600002051</v>
      </c>
      <c r="H48" s="34" t="e">
        <f ca="1">[2]!a_eb("CDT,{P1},,2017013,,YA,,,","K=Acc_Code,F={P2},O=B",H$1,$F48)</f>
        <v>#NAME?</v>
      </c>
      <c r="I48" s="34" t="e">
        <f ca="1">[2]!a_eb("CDT,{P1},,2017013,,YA,,,","K=Acc_Code,F={P2},O=B",I$1,$F48)</f>
        <v>#NAME?</v>
      </c>
    </row>
    <row r="49" spans="1:9">
      <c r="A49" s="11" t="s">
        <v>1492</v>
      </c>
      <c r="B49" s="20" t="s">
        <v>1591</v>
      </c>
      <c r="C49" s="28" t="e">
        <f t="shared" ca="1" si="0"/>
        <v>#N/A</v>
      </c>
      <c r="F49" s="3">
        <v>130308</v>
      </c>
      <c r="G49" s="6">
        <v>2600002060</v>
      </c>
      <c r="H49" s="34" t="e">
        <f ca="1">[2]!a_eb("CDT,{P1},,2017013,,YA,,,","K=Acc_Code,F={P2},O=B",H$1,$F49)</f>
        <v>#NAME?</v>
      </c>
      <c r="I49" s="34" t="e">
        <f ca="1">[2]!a_eb("CDT,{P1},,2017013,,YA,,,","K=Acc_Code,F={P2},O=B",I$1,$F49)</f>
        <v>#NAME?</v>
      </c>
    </row>
    <row r="50" spans="1:9">
      <c r="A50" s="11" t="s">
        <v>1496</v>
      </c>
      <c r="B50" s="20" t="s">
        <v>1592</v>
      </c>
      <c r="C50" s="28" t="e">
        <f t="shared" ca="1" si="0"/>
        <v>#N/A</v>
      </c>
      <c r="F50" s="3">
        <v>130309</v>
      </c>
      <c r="G50" s="6">
        <v>2600002070</v>
      </c>
      <c r="H50" s="34" t="e">
        <f ca="1">[2]!a_eb("CDT,{P1},,2017013,,YA,,,","K=Acc_Code,F={P2},O=B",H$1,$F50)</f>
        <v>#NAME?</v>
      </c>
      <c r="I50" s="34" t="e">
        <f ca="1">[2]!a_eb("CDT,{P1},,2017013,,YA,,,","K=Acc_Code,F={P2},O=B",I$1,$F50)</f>
        <v>#NAME?</v>
      </c>
    </row>
    <row r="51" spans="1:9">
      <c r="A51" s="11" t="s">
        <v>1494</v>
      </c>
      <c r="B51" s="20" t="s">
        <v>1593</v>
      </c>
      <c r="C51" s="28" t="e">
        <f t="shared" ca="1" si="0"/>
        <v>#N/A</v>
      </c>
      <c r="F51" s="3">
        <v>130310</v>
      </c>
      <c r="G51" s="6">
        <v>2600000030</v>
      </c>
      <c r="H51" s="34" t="e">
        <f ca="1">[2]!a_eb("CDT,{P1},,2017013,,YA,,,","K=Acc_Code,F={P2},O=B",H$1,$F51)</f>
        <v>#NAME?</v>
      </c>
      <c r="I51" s="34" t="e">
        <f ca="1">[2]!a_eb("CDT,{P1},,2017013,,YA,,,","K=Acc_Code,F={P2},O=B",I$1,$F51)</f>
        <v>#NAME?</v>
      </c>
    </row>
    <row r="52" spans="1:9">
      <c r="A52" s="11" t="s">
        <v>1492</v>
      </c>
      <c r="B52" s="20" t="s">
        <v>1594</v>
      </c>
      <c r="C52" s="28" t="e">
        <f t="shared" ca="1" si="0"/>
        <v>#N/A</v>
      </c>
      <c r="F52" s="3">
        <v>130311</v>
      </c>
      <c r="G52" s="6">
        <v>2600002100</v>
      </c>
      <c r="H52" s="34" t="e">
        <f ca="1">[2]!a_eb("CDT,{P1},,2017013,,YA,,,","K=Acc_Code,F={P2},O=B",H$1,$F52)</f>
        <v>#NAME?</v>
      </c>
      <c r="I52" s="34" t="e">
        <f ca="1">[2]!a_eb("CDT,{P1},,2017013,,YA,,,","K=Acc_Code,F={P2},O=B",I$1,$F52)</f>
        <v>#NAME?</v>
      </c>
    </row>
    <row r="53" spans="1:9">
      <c r="A53" s="11" t="s">
        <v>1486</v>
      </c>
      <c r="B53" s="20" t="s">
        <v>1595</v>
      </c>
      <c r="C53" s="28" t="e">
        <f t="shared" ca="1" si="0"/>
        <v>#N/A</v>
      </c>
      <c r="F53" s="3">
        <v>130313</v>
      </c>
      <c r="G53" s="6">
        <v>2600000100</v>
      </c>
      <c r="H53" s="34" t="e">
        <f ca="1">[2]!a_eb("CDT,{P1},,2017013,,YA,,,","K=Acc_Code,F={P2},O=B",H$1,$F53)</f>
        <v>#NAME?</v>
      </c>
      <c r="I53" s="34" t="e">
        <f ca="1">[2]!a_eb("CDT,{P1},,2017013,,YA,,,","K=Acc_Code,F={P2},O=B",I$1,$F53)</f>
        <v>#NAME?</v>
      </c>
    </row>
    <row r="54" spans="1:9">
      <c r="A54" s="11" t="s">
        <v>1488</v>
      </c>
      <c r="B54" s="20" t="s">
        <v>1596</v>
      </c>
      <c r="C54" s="28" t="e">
        <f t="shared" ca="1" si="0"/>
        <v>#N/A</v>
      </c>
      <c r="F54" s="3">
        <v>130315</v>
      </c>
      <c r="G54" s="6">
        <v>2600000000</v>
      </c>
      <c r="H54" s="34" t="e">
        <f ca="1">[2]!a_eb("CDT,{P1},,2017013,,YA,,,","K=Acc_Code,F={P2},O=B",H$1,$F54)</f>
        <v>#NAME?</v>
      </c>
      <c r="I54" s="34" t="e">
        <f ca="1">[2]!a_eb("CDT,{P1},,2017013,,YA,,,","K=Acc_Code,F={P2},O=B",I$1,$F54)</f>
        <v>#NAME?</v>
      </c>
    </row>
    <row r="55" spans="1:9">
      <c r="A55" s="11" t="s">
        <v>1497</v>
      </c>
      <c r="B55" s="20" t="s">
        <v>1597</v>
      </c>
      <c r="C55" s="28" t="e">
        <f t="shared" ca="1" si="0"/>
        <v>#N/A</v>
      </c>
      <c r="F55" s="3">
        <v>13040101</v>
      </c>
      <c r="G55" s="3">
        <v>2500000000</v>
      </c>
      <c r="H55" s="34" t="e">
        <f ca="1">[2]!a_eb("CDT,{P1},,2017013,,YA,,,","K=Acc_Code,F={P2},O=B",H$1,$F55)</f>
        <v>#NAME?</v>
      </c>
      <c r="I55" s="34" t="e">
        <f ca="1">[2]!a_eb("CDT,{P1},,2017013,,YA,,,","K=Acc_Code,F={P2},O=B",I$1,$F55)</f>
        <v>#NAME?</v>
      </c>
    </row>
    <row r="56" spans="1:9">
      <c r="A56" s="11">
        <v>2820050200</v>
      </c>
      <c r="B56" s="20" t="s">
        <v>1598</v>
      </c>
      <c r="C56" s="28" t="e">
        <f t="shared" ca="1" si="0"/>
        <v>#N/A</v>
      </c>
      <c r="F56" s="3">
        <v>13040101</v>
      </c>
      <c r="G56" s="3">
        <v>2500000010</v>
      </c>
      <c r="H56" s="34" t="e">
        <f ca="1">[2]!a_eb("CDT,{P1},,2017013,,YA,,,","K=Acc_Code,F={P2},O=B",H$1,$F56)</f>
        <v>#NAME?</v>
      </c>
      <c r="I56" s="34" t="e">
        <f ca="1">[2]!a_eb("CDT,{P1},,2017013,,YA,,,","K=Acc_Code,F={P2},O=B",I$1,$F56)</f>
        <v>#NAME?</v>
      </c>
    </row>
    <row r="57" spans="1:9">
      <c r="A57" s="11">
        <v>2820050200</v>
      </c>
      <c r="B57" s="20" t="s">
        <v>1599</v>
      </c>
      <c r="C57" s="28" t="e">
        <f t="shared" ca="1" si="0"/>
        <v>#N/A</v>
      </c>
      <c r="F57" s="3">
        <v>13040102</v>
      </c>
      <c r="G57" s="3">
        <v>2500000020</v>
      </c>
      <c r="H57" s="34" t="e">
        <f ca="1">[2]!a_eb("CDT,{P1},,2017013,,YA,,,","K=Acc_Code,F={P2},O=B",H$1,$F57)</f>
        <v>#NAME?</v>
      </c>
      <c r="I57" s="34" t="e">
        <f ca="1">[2]!a_eb("CDT,{P1},,2017013,,YA,,,","K=Acc_Code,F={P2},O=B",I$1,$F57)</f>
        <v>#NAME?</v>
      </c>
    </row>
    <row r="58" spans="1:9">
      <c r="A58" s="11">
        <v>2820050200</v>
      </c>
      <c r="B58" s="20" t="s">
        <v>1600</v>
      </c>
      <c r="C58" s="28" t="e">
        <f t="shared" ca="1" si="0"/>
        <v>#N/A</v>
      </c>
      <c r="F58" s="3">
        <v>13040104</v>
      </c>
      <c r="G58" s="3">
        <v>2500000030</v>
      </c>
      <c r="H58" s="34" t="e">
        <f ca="1">[2]!a_eb("CDT,{P1},,2017013,,YA,,,","K=Acc_Code,F={P2},O=B",H$1,$F58)</f>
        <v>#NAME?</v>
      </c>
      <c r="I58" s="34" t="e">
        <f ca="1">[2]!a_eb("CDT,{P1},,2017013,,YA,,,","K=Acc_Code,F={P2},O=B",I$1,$F58)</f>
        <v>#NAME?</v>
      </c>
    </row>
    <row r="59" spans="1:9">
      <c r="A59" s="11">
        <v>2820050200</v>
      </c>
      <c r="B59" s="20" t="s">
        <v>1601</v>
      </c>
      <c r="C59" s="28" t="e">
        <f t="shared" ca="1" si="0"/>
        <v>#N/A</v>
      </c>
      <c r="F59" s="3">
        <v>13040103</v>
      </c>
      <c r="G59" s="3">
        <v>2500000040</v>
      </c>
      <c r="H59" s="34" t="e">
        <f ca="1">[2]!a_eb("CDT,{P1},,2017013,,YA,,,","K=Acc_Code,F={P2},O=B",H$1,$F59)</f>
        <v>#NAME?</v>
      </c>
      <c r="I59" s="34" t="e">
        <f ca="1">[2]!a_eb("CDT,{P1},,2017013,,YA,,,","K=Acc_Code,F={P2},O=B",I$1,$F59)</f>
        <v>#NAME?</v>
      </c>
    </row>
    <row r="60" spans="1:9">
      <c r="A60" s="11">
        <v>2820050200</v>
      </c>
      <c r="B60" s="20" t="s">
        <v>1602</v>
      </c>
      <c r="C60" s="28" t="e">
        <f t="shared" ca="1" si="0"/>
        <v>#N/A</v>
      </c>
      <c r="F60" s="3">
        <v>130402</v>
      </c>
      <c r="G60" s="3">
        <v>2500000006</v>
      </c>
      <c r="H60" s="34" t="e">
        <f ca="1">[2]!a_eb("CDT,{P1},,2017013,,YA,,,","K=Acc_Code,F={P2},O=B",H$1,$F60)</f>
        <v>#NAME?</v>
      </c>
      <c r="I60" s="34" t="e">
        <f ca="1">[2]!a_eb("CDT,{P1},,2017013,,YA,,,","K=Acc_Code,F={P2},O=B",I$1,$F60)</f>
        <v>#NAME?</v>
      </c>
    </row>
    <row r="61" spans="1:9">
      <c r="A61" s="11">
        <v>2820050200</v>
      </c>
      <c r="B61" s="20" t="s">
        <v>1603</v>
      </c>
      <c r="C61" s="28" t="e">
        <f t="shared" ca="1" si="0"/>
        <v>#N/A</v>
      </c>
      <c r="F61" s="3">
        <v>130404</v>
      </c>
      <c r="G61" s="3">
        <v>2500000060</v>
      </c>
      <c r="H61" s="34" t="e">
        <f ca="1">[2]!a_eb("CDT,{P1},,2017013,,YA,,,","K=Acc_Code,F={P2},O=B",H$1,$F61)</f>
        <v>#NAME?</v>
      </c>
      <c r="I61" s="34" t="e">
        <f ca="1">[2]!a_eb("CDT,{P1},,2017013,,YA,,,","K=Acc_Code,F={P2},O=B",I$1,$F61)</f>
        <v>#NAME?</v>
      </c>
    </row>
    <row r="62" spans="1:9">
      <c r="A62" s="11">
        <v>2820050200</v>
      </c>
      <c r="B62" s="20" t="s">
        <v>1604</v>
      </c>
      <c r="C62" s="28" t="e">
        <f t="shared" ca="1" si="0"/>
        <v>#N/A</v>
      </c>
      <c r="F62" s="3">
        <v>130502</v>
      </c>
      <c r="G62" s="3">
        <v>2511001500</v>
      </c>
      <c r="H62" s="34" t="e">
        <f ca="1">[2]!a_eb("CDT,{P1},,2017013,,YA,,,","K=Acc_Code,F={P2},O=B",H$1,$F62)</f>
        <v>#NAME?</v>
      </c>
      <c r="I62" s="34" t="e">
        <f ca="1">[2]!a_eb("CDT,{P1},,2017013,,YA,,,","K=Acc_Code,F={P2},O=B",I$1,$F62)</f>
        <v>#NAME?</v>
      </c>
    </row>
    <row r="63" spans="1:9">
      <c r="A63" s="11">
        <v>2820050200</v>
      </c>
      <c r="B63" s="20" t="s">
        <v>1605</v>
      </c>
      <c r="C63" s="28" t="e">
        <f t="shared" ca="1" si="0"/>
        <v>#N/A</v>
      </c>
      <c r="F63" s="3">
        <v>130503</v>
      </c>
      <c r="G63" s="3">
        <v>2511001501</v>
      </c>
      <c r="H63" s="34" t="e">
        <f ca="1">[2]!a_eb("CDT,{P1},,2017013,,YA,,,","K=Acc_Code,F={P2},O=B",H$1,$F63)</f>
        <v>#NAME?</v>
      </c>
      <c r="I63" s="34" t="e">
        <f ca="1">[2]!a_eb("CDT,{P1},,2017013,,YA,,,","K=Acc_Code,F={P2},O=B",I$1,$F63)</f>
        <v>#NAME?</v>
      </c>
    </row>
    <row r="64" spans="1:9">
      <c r="A64" s="11" t="s">
        <v>1488</v>
      </c>
      <c r="B64" s="20" t="s">
        <v>1606</v>
      </c>
      <c r="C64" s="28" t="e">
        <f t="shared" ca="1" si="0"/>
        <v>#N/A</v>
      </c>
      <c r="F64" s="3">
        <v>130504</v>
      </c>
      <c r="G64" s="3">
        <v>2511001502</v>
      </c>
      <c r="H64" s="34" t="e">
        <f ca="1">[2]!a_eb("CDT,{P1},,2017013,,YA,,,","K=Acc_Code,F={P2},O=B",H$1,$F64)</f>
        <v>#NAME?</v>
      </c>
      <c r="I64" s="34" t="e">
        <f ca="1">[2]!a_eb("CDT,{P1},,2017013,,YA,,,","K=Acc_Code,F={P2},O=B",I$1,$F64)</f>
        <v>#NAME?</v>
      </c>
    </row>
    <row r="65" spans="1:9">
      <c r="A65" s="11" t="s">
        <v>1494</v>
      </c>
      <c r="B65" s="20" t="s">
        <v>1607</v>
      </c>
      <c r="C65" s="28" t="e">
        <f t="shared" ca="1" si="0"/>
        <v>#N/A</v>
      </c>
      <c r="F65" s="3">
        <v>13060101</v>
      </c>
      <c r="G65" s="3">
        <v>2501000000</v>
      </c>
      <c r="H65" s="34" t="e">
        <f ca="1">[2]!a_eb("CDT,{P1},,2017013,,YA,,,","K=Acc_Code,F={P2},O=B",H$1,$F65)</f>
        <v>#NAME?</v>
      </c>
      <c r="I65" s="34" t="e">
        <f ca="1">[2]!a_eb("CDT,{P1},,2017013,,YA,,,","K=Acc_Code,F={P2},O=B",I$1,$F65)</f>
        <v>#NAME?</v>
      </c>
    </row>
    <row r="66" spans="1:9">
      <c r="A66" s="11" t="s">
        <v>1498</v>
      </c>
      <c r="B66" s="20" t="s">
        <v>1608</v>
      </c>
      <c r="C66" s="28" t="e">
        <f t="shared" ca="1" si="0"/>
        <v>#N/A</v>
      </c>
      <c r="F66" s="3">
        <v>13060102</v>
      </c>
      <c r="G66" s="3">
        <v>2501000001</v>
      </c>
      <c r="H66" s="34" t="e">
        <f ca="1">[2]!a_eb("CDT,{P1},,2017013,,YA,,,","K=Acc_Code,F={P2},O=B",H$1,$F66)</f>
        <v>#NAME?</v>
      </c>
      <c r="I66" s="34" t="e">
        <f ca="1">[2]!a_eb("CDT,{P1},,2017013,,YA,,,","K=Acc_Code,F={P2},O=B",I$1,$F66)</f>
        <v>#NAME?</v>
      </c>
    </row>
    <row r="67" spans="1:9">
      <c r="A67" s="11">
        <v>2820050200</v>
      </c>
      <c r="B67" s="20" t="s">
        <v>1609</v>
      </c>
      <c r="C67" s="28" t="e">
        <f t="shared" ca="1" si="0"/>
        <v>#N/A</v>
      </c>
      <c r="F67" s="3">
        <v>13060103</v>
      </c>
      <c r="G67" s="3">
        <v>2501000002</v>
      </c>
      <c r="H67" s="34" t="e">
        <f ca="1">[2]!a_eb("CDT,{P1},,2017013,,YA,,,","K=Acc_Code,F={P2},O=B",H$1,$F67)</f>
        <v>#NAME?</v>
      </c>
      <c r="I67" s="34" t="e">
        <f ca="1">[2]!a_eb("CDT,{P1},,2017013,,YA,,,","K=Acc_Code,F={P2},O=B",I$1,$F67)</f>
        <v>#NAME?</v>
      </c>
    </row>
    <row r="68" spans="1:9">
      <c r="A68" s="11">
        <v>2820050000</v>
      </c>
      <c r="B68" s="20" t="s">
        <v>1610</v>
      </c>
      <c r="C68" s="28" t="e">
        <f t="shared" ca="1" si="0"/>
        <v>#N/A</v>
      </c>
      <c r="F68" s="3">
        <v>13060105</v>
      </c>
      <c r="G68" s="3">
        <v>2530400050</v>
      </c>
      <c r="H68" s="34" t="e">
        <f ca="1">[2]!a_eb("CDT,{P1},,2017013,,YA,,,","K=Acc_Code,F={P2},O=B",H$1,$F68)</f>
        <v>#NAME?</v>
      </c>
      <c r="I68" s="34" t="e">
        <f ca="1">[2]!a_eb("CDT,{P1},,2017013,,YA,,,","K=Acc_Code,F={P2},O=B",I$1,$F68)</f>
        <v>#NAME?</v>
      </c>
    </row>
    <row r="69" spans="1:9">
      <c r="A69" s="11">
        <v>2820050200</v>
      </c>
      <c r="B69" s="20" t="s">
        <v>1611</v>
      </c>
      <c r="C69" s="28" t="e">
        <f t="shared" ca="1" si="0"/>
        <v>#N/A</v>
      </c>
      <c r="F69" s="3">
        <v>13060106</v>
      </c>
      <c r="G69" s="3">
        <v>2530401501</v>
      </c>
      <c r="H69" s="34" t="e">
        <f ca="1">[2]!a_eb("CDT,{P1},,2017013,,YA,,,","K=Acc_Code,F={P2},O=B",H$1,$F69)</f>
        <v>#NAME?</v>
      </c>
      <c r="I69" s="34" t="e">
        <f ca="1">[2]!a_eb("CDT,{P1},,2017013,,YA,,,","K=Acc_Code,F={P2},O=B",I$1,$F69)</f>
        <v>#NAME?</v>
      </c>
    </row>
    <row r="70" spans="1:9">
      <c r="A70" s="11">
        <v>2820050000</v>
      </c>
      <c r="B70" s="20" t="s">
        <v>1612</v>
      </c>
      <c r="C70" s="28" t="e">
        <f t="shared" ca="1" si="0"/>
        <v>#N/A</v>
      </c>
      <c r="F70" s="3">
        <v>13060108</v>
      </c>
      <c r="G70" s="3">
        <v>2530401502</v>
      </c>
      <c r="H70" s="34" t="e">
        <f ca="1">[2]!a_eb("CDT,{P1},,2017013,,YA,,,","K=Acc_Code,F={P2},O=B",H$1,$F70)</f>
        <v>#NAME?</v>
      </c>
      <c r="I70" s="34" t="e">
        <f ca="1">[2]!a_eb("CDT,{P1},,2017013,,YA,,,","K=Acc_Code,F={P2},O=B",I$1,$F70)</f>
        <v>#NAME?</v>
      </c>
    </row>
    <row r="71" spans="1:9">
      <c r="A71" s="11" t="s">
        <v>1491</v>
      </c>
      <c r="B71" s="20" t="s">
        <v>1613</v>
      </c>
      <c r="C71" s="28" t="e">
        <f t="shared" ref="C71:C134" ca="1" si="1">VLOOKUP(B71,F:G,2,0)</f>
        <v>#N/A</v>
      </c>
      <c r="F71" s="3">
        <v>13060110</v>
      </c>
      <c r="G71" s="3">
        <v>2530401500</v>
      </c>
      <c r="H71" s="34" t="e">
        <f ca="1">[2]!a_eb("CDT,{P1},,2017013,,YA,,,","K=Acc_Code,F={P2},O=B",H$1,$F71)</f>
        <v>#NAME?</v>
      </c>
      <c r="I71" s="34" t="e">
        <f ca="1">[2]!a_eb("CDT,{P1},,2017013,,YA,,,","K=Acc_Code,F={P2},O=B",I$1,$F71)</f>
        <v>#NAME?</v>
      </c>
    </row>
    <row r="72" spans="1:9">
      <c r="A72" s="11">
        <v>2820050000</v>
      </c>
      <c r="B72" s="20" t="s">
        <v>1614</v>
      </c>
      <c r="C72" s="28" t="e">
        <f t="shared" ca="1" si="1"/>
        <v>#N/A</v>
      </c>
      <c r="F72" s="3">
        <v>13060111</v>
      </c>
      <c r="G72" s="3">
        <v>2530600010</v>
      </c>
      <c r="H72" s="34" t="e">
        <f ca="1">[2]!a_eb("CDT,{P1},,2017013,,YA,,,","K=Acc_Code,F={P2},O=B",H$1,$F72)</f>
        <v>#NAME?</v>
      </c>
      <c r="I72" s="34" t="e">
        <f ca="1">[2]!a_eb("CDT,{P1},,2017013,,YA,,,","K=Acc_Code,F={P2},O=B",I$1,$F72)</f>
        <v>#NAME?</v>
      </c>
    </row>
    <row r="73" spans="1:9">
      <c r="A73" s="11" t="s">
        <v>1492</v>
      </c>
      <c r="B73" s="20" t="s">
        <v>1615</v>
      </c>
      <c r="C73" s="28" t="e">
        <f t="shared" ca="1" si="1"/>
        <v>#N/A</v>
      </c>
      <c r="F73" s="3">
        <v>13060301</v>
      </c>
      <c r="G73" s="3">
        <v>2711001500</v>
      </c>
      <c r="H73" s="34" t="e">
        <f ca="1">[2]!a_eb("CDT,{P1},,2017013,,YA,,,","K=Acc_Code,F={P2},O=B",H$1,$F73)</f>
        <v>#NAME?</v>
      </c>
      <c r="I73" s="34" t="e">
        <f ca="1">[2]!a_eb("CDT,{P1},,2017013,,YA,,,","K=Acc_Code,F={P2},O=B",I$1,$F73)</f>
        <v>#NAME?</v>
      </c>
    </row>
    <row r="74" spans="1:9">
      <c r="A74" s="11">
        <v>2820050000</v>
      </c>
      <c r="B74" s="20" t="s">
        <v>1616</v>
      </c>
      <c r="C74" s="28" t="e">
        <f t="shared" ca="1" si="1"/>
        <v>#N/A</v>
      </c>
      <c r="F74" s="3">
        <v>13060302</v>
      </c>
      <c r="G74" s="3">
        <v>2530401503</v>
      </c>
      <c r="H74" s="34" t="e">
        <f ca="1">[2]!a_eb("CDT,{P1},,2017013,,YA,,,","K=Acc_Code,F={P2},O=B",H$1,$F74)</f>
        <v>#NAME?</v>
      </c>
      <c r="I74" s="34" t="e">
        <f ca="1">[2]!a_eb("CDT,{P1},,2017013,,YA,,,","K=Acc_Code,F={P2},O=B",I$1,$F74)</f>
        <v>#NAME?</v>
      </c>
    </row>
    <row r="75" spans="1:9">
      <c r="A75" s="11" t="s">
        <v>1491</v>
      </c>
      <c r="B75" s="20" t="s">
        <v>1440</v>
      </c>
      <c r="C75" s="28" t="e">
        <f t="shared" ca="1" si="1"/>
        <v>#N/A</v>
      </c>
      <c r="F75" s="3">
        <v>13060304</v>
      </c>
      <c r="G75" s="3">
        <v>2530400040</v>
      </c>
      <c r="H75" s="34" t="e">
        <f ca="1">[2]!a_eb("CDT,{P1},,2017013,,YA,,,","K=Acc_Code,F={P2},O=B",H$1,$F75)</f>
        <v>#NAME?</v>
      </c>
      <c r="I75" s="34" t="e">
        <f ca="1">[2]!a_eb("CDT,{P1},,2017013,,YA,,,","K=Acc_Code,F={P2},O=B",I$1,$F75)</f>
        <v>#NAME?</v>
      </c>
    </row>
    <row r="76" spans="1:9">
      <c r="A76" s="11">
        <v>2820050200</v>
      </c>
      <c r="B76" s="20" t="s">
        <v>1441</v>
      </c>
      <c r="C76" s="28" t="e">
        <f t="shared" ca="1" si="1"/>
        <v>#N/A</v>
      </c>
      <c r="F76" s="3">
        <v>13060307</v>
      </c>
      <c r="G76" s="3">
        <v>2712001500</v>
      </c>
      <c r="H76" s="34" t="e">
        <f ca="1">[2]!a_eb("CDT,{P1},,2017013,,YA,,,","K=Acc_Code,F={P2},O=B",H$1,$F76)</f>
        <v>#NAME?</v>
      </c>
      <c r="I76" s="34" t="e">
        <f ca="1">[2]!a_eb("CDT,{P1},,2017013,,YA,,,","K=Acc_Code,F={P2},O=B",I$1,$F76)</f>
        <v>#NAME?</v>
      </c>
    </row>
    <row r="77" spans="1:9">
      <c r="A77" s="11" t="s">
        <v>1491</v>
      </c>
      <c r="B77" s="20" t="s">
        <v>1442</v>
      </c>
      <c r="C77" s="28" t="e">
        <f t="shared" ca="1" si="1"/>
        <v>#N/A</v>
      </c>
      <c r="F77" s="3">
        <v>13060309</v>
      </c>
      <c r="G77" s="3">
        <v>2530401504</v>
      </c>
      <c r="H77" s="34" t="e">
        <f ca="1">[2]!a_eb("CDT,{P1},,2017013,,YA,,,","K=Acc_Code,F={P2},O=B",H$1,$F77)</f>
        <v>#NAME?</v>
      </c>
      <c r="I77" s="34" t="e">
        <f ca="1">[2]!a_eb("CDT,{P1},,2017013,,YA,,,","K=Acc_Code,F={P2},O=B",I$1,$F77)</f>
        <v>#NAME?</v>
      </c>
    </row>
    <row r="78" spans="1:9">
      <c r="A78" s="11">
        <v>2820050200</v>
      </c>
      <c r="B78" s="20" t="s">
        <v>1443</v>
      </c>
      <c r="C78" s="28" t="e">
        <f t="shared" ca="1" si="1"/>
        <v>#N/A</v>
      </c>
      <c r="F78" s="3">
        <v>13060401</v>
      </c>
      <c r="G78" s="3">
        <v>2530301500</v>
      </c>
      <c r="H78" s="34" t="e">
        <f ca="1">[2]!a_eb("CDT,{P1},,2017013,,YA,,,","K=Acc_Code,F={P2},O=B",H$1,$F78)</f>
        <v>#NAME?</v>
      </c>
      <c r="I78" s="34" t="e">
        <f ca="1">[2]!a_eb("CDT,{P1},,2017013,,YA,,,","K=Acc_Code,F={P2},O=B",I$1,$F78)</f>
        <v>#NAME?</v>
      </c>
    </row>
    <row r="79" spans="1:9">
      <c r="A79" s="11">
        <v>2820050200</v>
      </c>
      <c r="B79" s="20" t="s">
        <v>1444</v>
      </c>
      <c r="C79" s="28" t="e">
        <f t="shared" ca="1" si="1"/>
        <v>#N/A</v>
      </c>
      <c r="F79" s="3">
        <v>13060402</v>
      </c>
      <c r="G79" s="3">
        <v>2530401505</v>
      </c>
      <c r="H79" s="34" t="e">
        <f ca="1">[2]!a_eb("CDT,{P1},,2017013,,YA,,,","K=Acc_Code,F={P2},O=B",H$1,$F79)</f>
        <v>#NAME?</v>
      </c>
      <c r="I79" s="34" t="e">
        <f ca="1">[2]!a_eb("CDT,{P1},,2017013,,YA,,,","K=Acc_Code,F={P2},O=B",I$1,$F79)</f>
        <v>#NAME?</v>
      </c>
    </row>
    <row r="80" spans="1:9">
      <c r="A80" s="11">
        <v>2820050200</v>
      </c>
      <c r="B80" s="20" t="s">
        <v>1445</v>
      </c>
      <c r="C80" s="28" t="e">
        <f t="shared" ca="1" si="1"/>
        <v>#N/A</v>
      </c>
      <c r="F80" s="3">
        <v>13060404</v>
      </c>
      <c r="G80" s="3">
        <v>4221000030</v>
      </c>
      <c r="H80" s="34" t="e">
        <f ca="1">[2]!a_eb("CDT,{P1},,2017013,,YA,,,","K=Acc_Code,F={P2},O=B",H$1,$F80)</f>
        <v>#NAME?</v>
      </c>
      <c r="I80" s="34" t="e">
        <f ca="1">[2]!a_eb("CDT,{P1},,2017013,,YA,,,","K=Acc_Code,F={P2},O=B",I$1,$F80)</f>
        <v>#NAME?</v>
      </c>
    </row>
    <row r="81" spans="1:9">
      <c r="A81" s="11">
        <v>2820050000</v>
      </c>
      <c r="B81" s="20" t="s">
        <v>1446</v>
      </c>
      <c r="C81" s="28" t="e">
        <f t="shared" ca="1" si="1"/>
        <v>#N/A</v>
      </c>
      <c r="F81" s="3">
        <v>13060405</v>
      </c>
      <c r="G81" s="6">
        <v>4221001000</v>
      </c>
      <c r="H81" s="34" t="e">
        <f ca="1">[2]!a_eb("CDT,{P1},,2017013,,YA,,,","K=Acc_Code,F={P2},O=B",H$1,$F81)</f>
        <v>#NAME?</v>
      </c>
      <c r="I81" s="34" t="e">
        <f ca="1">[2]!a_eb("CDT,{P1},,2017013,,YA,,,","K=Acc_Code,F={P2},O=B",I$1,$F81)</f>
        <v>#NAME?</v>
      </c>
    </row>
    <row r="82" spans="1:9">
      <c r="A82" s="11">
        <v>2820050200</v>
      </c>
      <c r="B82" s="20" t="s">
        <v>1447</v>
      </c>
      <c r="C82" s="28" t="e">
        <f t="shared" ca="1" si="1"/>
        <v>#N/A</v>
      </c>
      <c r="F82" s="3">
        <v>13060405</v>
      </c>
      <c r="G82" s="6">
        <v>4221000100</v>
      </c>
      <c r="H82" s="34" t="e">
        <f ca="1">[2]!a_eb("CDT,{P1},,2017013,,YA,,,","K=Acc_Code,F={P2},O=B",H$1,$F82)</f>
        <v>#NAME?</v>
      </c>
      <c r="I82" s="34" t="e">
        <f ca="1">[2]!a_eb("CDT,{P1},,2017013,,YA,,,","K=Acc_Code,F={P2},O=B",I$1,$F82)</f>
        <v>#NAME?</v>
      </c>
    </row>
    <row r="83" spans="1:9">
      <c r="A83" s="11">
        <v>2820050000</v>
      </c>
      <c r="B83" s="20" t="s">
        <v>1448</v>
      </c>
      <c r="C83" s="28" t="e">
        <f t="shared" ca="1" si="1"/>
        <v>#N/A</v>
      </c>
      <c r="F83" s="3">
        <v>13060501</v>
      </c>
      <c r="G83" s="3">
        <v>2530401508</v>
      </c>
      <c r="H83" s="34" t="e">
        <f ca="1">[2]!a_eb("CDT,{P1},,2017013,,YA,,,","K=Acc_Code,F={P2},O=B",H$1,$F83)</f>
        <v>#NAME?</v>
      </c>
      <c r="I83" s="34" t="e">
        <f ca="1">[2]!a_eb("CDT,{P1},,2017013,,YA,,,","K=Acc_Code,F={P2},O=B",I$1,$F83)</f>
        <v>#NAME?</v>
      </c>
    </row>
    <row r="84" spans="1:9">
      <c r="A84" s="11">
        <v>2820050200</v>
      </c>
      <c r="B84" s="20" t="s">
        <v>1449</v>
      </c>
      <c r="C84" s="28" t="e">
        <f t="shared" ca="1" si="1"/>
        <v>#N/A</v>
      </c>
      <c r="F84" s="3">
        <v>13070101</v>
      </c>
      <c r="G84" s="3">
        <v>2750010000</v>
      </c>
      <c r="H84" s="34" t="e">
        <f ca="1">[2]!a_eb("CDT,{P1},,2017013,,YA,,,","K=Acc_Code,F={P2},O=B",H$1,$F84)</f>
        <v>#NAME?</v>
      </c>
      <c r="I84" s="34" t="e">
        <f ca="1">[2]!a_eb("CDT,{P1},,2017013,,YA,,,","K=Acc_Code,F={P2},O=B",I$1,$F84)</f>
        <v>#NAME?</v>
      </c>
    </row>
    <row r="85" spans="1:9">
      <c r="A85" s="11">
        <v>2820050000</v>
      </c>
      <c r="B85" s="20" t="s">
        <v>1450</v>
      </c>
      <c r="C85" s="28" t="e">
        <f t="shared" ca="1" si="1"/>
        <v>#N/A</v>
      </c>
      <c r="F85" s="3">
        <v>13070106</v>
      </c>
      <c r="G85" s="3">
        <v>2700010010</v>
      </c>
      <c r="H85" s="34" t="e">
        <f ca="1">[2]!a_eb("CDT,{P1},,2017013,,YA,,,","K=Acc_Code,F={P2},O=B",H$1,$F85)</f>
        <v>#NAME?</v>
      </c>
      <c r="I85" s="34" t="e">
        <f ca="1">[2]!a_eb("CDT,{P1},,2017013,,YA,,,","K=Acc_Code,F={P2},O=B",I$1,$F85)</f>
        <v>#NAME?</v>
      </c>
    </row>
    <row r="86" spans="1:9">
      <c r="A86" s="11">
        <v>2820050000</v>
      </c>
      <c r="B86" s="20" t="s">
        <v>1451</v>
      </c>
      <c r="C86" s="28" t="e">
        <f t="shared" ca="1" si="1"/>
        <v>#N/A</v>
      </c>
      <c r="F86" s="3">
        <v>13070100</v>
      </c>
      <c r="G86" s="3">
        <v>2700001500</v>
      </c>
      <c r="H86" s="34" t="e">
        <f ca="1">[2]!a_eb("CDT,{P1},,2017013,,YA,,,","K=Acc_Code,F={P2},O=B",H$1,$F86)</f>
        <v>#NAME?</v>
      </c>
      <c r="I86" s="34" t="e">
        <f ca="1">[2]!a_eb("CDT,{P1},,2017013,,YA,,,","K=Acc_Code,F={P2},O=B",I$1,$F86)</f>
        <v>#NAME?</v>
      </c>
    </row>
    <row r="87" spans="1:9">
      <c r="A87" s="11">
        <v>2820050000</v>
      </c>
      <c r="B87" s="20" t="s">
        <v>1452</v>
      </c>
      <c r="C87" s="28" t="e">
        <f t="shared" ca="1" si="1"/>
        <v>#N/A</v>
      </c>
      <c r="F87" s="3">
        <v>13070201</v>
      </c>
      <c r="G87" s="3">
        <v>2700000001</v>
      </c>
      <c r="H87" s="34" t="e">
        <f ca="1">[2]!a_eb("CDT,{P1},,2017013,,YA,,,","K=Acc_Code,F={P2},O=B",H$1,$F87)</f>
        <v>#NAME?</v>
      </c>
      <c r="I87" s="34" t="e">
        <f ca="1">[2]!a_eb("CDT,{P1},,2017013,,YA,,,","K=Acc_Code,F={P2},O=B",I$1,$F87)</f>
        <v>#NAME?</v>
      </c>
    </row>
    <row r="88" spans="1:9">
      <c r="A88" s="11" t="s">
        <v>1499</v>
      </c>
      <c r="B88" s="20" t="s">
        <v>1617</v>
      </c>
      <c r="C88" s="28" t="e">
        <f t="shared" ca="1" si="1"/>
        <v>#N/A</v>
      </c>
      <c r="F88" s="3">
        <v>13070200</v>
      </c>
      <c r="G88" s="3">
        <v>2700000002</v>
      </c>
      <c r="H88" s="34" t="e">
        <f ca="1">[2]!a_eb("CDT,{P1},,2017013,,YA,,,","K=Acc_Code,F={P2},O=B",H$1,$F88)</f>
        <v>#NAME?</v>
      </c>
      <c r="I88" s="34" t="e">
        <f ca="1">[2]!a_eb("CDT,{P1},,2017013,,YA,,,","K=Acc_Code,F={P2},O=B",I$1,$F88)</f>
        <v>#NAME?</v>
      </c>
    </row>
    <row r="89" spans="1:9">
      <c r="A89" s="11" t="s">
        <v>1499</v>
      </c>
      <c r="B89" s="20" t="s">
        <v>1618</v>
      </c>
      <c r="C89" s="28" t="e">
        <f t="shared" ca="1" si="1"/>
        <v>#N/A</v>
      </c>
      <c r="F89" s="3">
        <v>140101</v>
      </c>
      <c r="G89" s="3">
        <v>3102100000</v>
      </c>
      <c r="H89" s="34" t="e">
        <f ca="1">[2]!a_eb("CDT,{P1},,2017013,,YA,,,","K=Acc_Code,F={P2},O=B",H$1,$F89)</f>
        <v>#NAME?</v>
      </c>
      <c r="I89" s="34" t="e">
        <f ca="1">[2]!a_eb("CDT,{P1},,2017013,,YA,,,","K=Acc_Code,F={P2},O=B",I$1,$F89)</f>
        <v>#NAME?</v>
      </c>
    </row>
    <row r="90" spans="1:9">
      <c r="A90" s="11" t="s">
        <v>1500</v>
      </c>
      <c r="B90" s="20" t="s">
        <v>1619</v>
      </c>
      <c r="C90" s="28" t="e">
        <f t="shared" ca="1" si="1"/>
        <v>#N/A</v>
      </c>
      <c r="F90" s="3">
        <v>14020101</v>
      </c>
      <c r="G90" s="3">
        <v>3012000000</v>
      </c>
      <c r="H90" s="34" t="e">
        <f ca="1">[2]!a_eb("CDT,{P1},,2017013,,YA,,,","K=Acc_Code,F={P2},O=B",H$1,$F90)</f>
        <v>#NAME?</v>
      </c>
      <c r="I90" s="34" t="e">
        <f ca="1">[2]!a_eb("CDT,{P1},,2017013,,YA,,,","K=Acc_Code,F={P2},O=B",I$1,$F90)</f>
        <v>#NAME?</v>
      </c>
    </row>
    <row r="91" spans="1:9">
      <c r="A91" s="11" t="s">
        <v>1499</v>
      </c>
      <c r="B91" s="20" t="s">
        <v>1620</v>
      </c>
      <c r="C91" s="28" t="e">
        <f t="shared" ca="1" si="1"/>
        <v>#N/A</v>
      </c>
      <c r="F91" s="3">
        <v>14020201</v>
      </c>
      <c r="G91" s="3">
        <v>3032000000</v>
      </c>
      <c r="H91" s="34" t="e">
        <f ca="1">[2]!a_eb("CDT,{P1},,2017013,,YA,,,","K=Acc_Code,F={P2},O=B",H$1,$F91)</f>
        <v>#NAME?</v>
      </c>
      <c r="I91" s="34" t="e">
        <f ca="1">[2]!a_eb("CDT,{P1},,2017013,,YA,,,","K=Acc_Code,F={P2},O=B",I$1,$F91)</f>
        <v>#NAME?</v>
      </c>
    </row>
    <row r="92" spans="1:9">
      <c r="A92" s="11" t="s">
        <v>1501</v>
      </c>
      <c r="B92" s="20" t="s">
        <v>1621</v>
      </c>
      <c r="C92" s="28" t="e">
        <f t="shared" ca="1" si="1"/>
        <v>#N/A</v>
      </c>
      <c r="F92" s="3">
        <v>140302</v>
      </c>
      <c r="G92" s="3">
        <v>3102000000</v>
      </c>
      <c r="H92" s="34" t="e">
        <f ca="1">[2]!a_eb("CDT,{P1},,2017013,,YA,,,","K=Acc_Code,F={P2},O=B",H$1,$F92)</f>
        <v>#NAME?</v>
      </c>
      <c r="I92" s="34" t="e">
        <f ca="1">[2]!a_eb("CDT,{P1},,2017013,,YA,,,","K=Acc_Code,F={P2},O=B",I$1,$F92)</f>
        <v>#NAME?</v>
      </c>
    </row>
    <row r="93" spans="1:9">
      <c r="A93" s="11" t="s">
        <v>1501</v>
      </c>
      <c r="B93" s="20" t="s">
        <v>1622</v>
      </c>
      <c r="C93" s="28" t="e">
        <f t="shared" ca="1" si="1"/>
        <v>#N/A</v>
      </c>
      <c r="F93" s="3">
        <v>140402</v>
      </c>
      <c r="G93" s="3">
        <v>3102000010</v>
      </c>
      <c r="H93" s="34" t="e">
        <f ca="1">[2]!a_eb("CDT,{P1},,2017013,,YA,,,","K=Acc_Code,F={P2},O=B",H$1,$F93)</f>
        <v>#NAME?</v>
      </c>
      <c r="I93" s="34" t="e">
        <f ca="1">[2]!a_eb("CDT,{P1},,2017013,,YA,,,","K=Acc_Code,F={P2},O=B",I$1,$F93)</f>
        <v>#NAME?</v>
      </c>
    </row>
    <row r="94" spans="1:9">
      <c r="A94" s="11" t="s">
        <v>1499</v>
      </c>
      <c r="B94" s="20" t="s">
        <v>1623</v>
      </c>
      <c r="C94" s="28" t="e">
        <f t="shared" ca="1" si="1"/>
        <v>#N/A</v>
      </c>
      <c r="F94" s="3">
        <v>150101</v>
      </c>
      <c r="G94" s="3">
        <v>2520001500</v>
      </c>
      <c r="H94" s="34" t="e">
        <f ca="1">[2]!a_eb("CDT,{P1},,2017013,,YA,,,","K=Acc_Code,F={P2},O=B",H$1,$F94)</f>
        <v>#NAME?</v>
      </c>
      <c r="I94" s="34" t="e">
        <f ca="1">[2]!a_eb("CDT,{P1},,2017013,,YA,,,","K=Acc_Code,F={P2},O=B",I$1,$F94)</f>
        <v>#NAME?</v>
      </c>
    </row>
    <row r="95" spans="1:9">
      <c r="A95" s="11" t="s">
        <v>1501</v>
      </c>
      <c r="B95" s="20" t="s">
        <v>1624</v>
      </c>
      <c r="C95" s="28" t="e">
        <f t="shared" ca="1" si="1"/>
        <v>#N/A</v>
      </c>
      <c r="F95" s="3">
        <v>150301</v>
      </c>
      <c r="G95" s="3">
        <v>2520001501</v>
      </c>
      <c r="H95" s="34" t="e">
        <f ca="1">[2]!a_eb("CDT,{P1},,2017013,,YA,,,","K=Acc_Code,F={P2},O=B",H$1,$F95)</f>
        <v>#NAME?</v>
      </c>
      <c r="I95" s="34" t="e">
        <f ca="1">[2]!a_eb("CDT,{P1},,2017013,,YA,,,","K=Acc_Code,F={P2},O=B",I$1,$F95)</f>
        <v>#NAME?</v>
      </c>
    </row>
    <row r="96" spans="1:9">
      <c r="A96" s="11" t="s">
        <v>1501</v>
      </c>
      <c r="B96" s="20" t="s">
        <v>1625</v>
      </c>
      <c r="C96" s="28" t="e">
        <f t="shared" ca="1" si="1"/>
        <v>#N/A</v>
      </c>
      <c r="F96" s="3">
        <v>150501</v>
      </c>
      <c r="G96" s="3">
        <v>2520001502</v>
      </c>
      <c r="H96" s="34" t="e">
        <f ca="1">[2]!a_eb("CDT,{P1},,2017013,,YA,,,","K=Acc_Code,F={P2},O=B",H$1,$F96)</f>
        <v>#NAME?</v>
      </c>
      <c r="I96" s="34" t="e">
        <f ca="1">[2]!a_eb("CDT,{P1},,2017013,,YA,,,","K=Acc_Code,F={P2},O=B",I$1,$F96)</f>
        <v>#NAME?</v>
      </c>
    </row>
    <row r="97" spans="1:9">
      <c r="A97" s="11" t="s">
        <v>1501</v>
      </c>
      <c r="B97" s="20" t="s">
        <v>1626</v>
      </c>
      <c r="C97" s="28" t="e">
        <f t="shared" ca="1" si="1"/>
        <v>#N/A</v>
      </c>
      <c r="F97" s="3">
        <v>16020201</v>
      </c>
      <c r="G97" s="3">
        <v>2014100000</v>
      </c>
      <c r="H97" s="34" t="e">
        <f ca="1">[2]!a_eb("CDT,{P1},,2017013,,YA,,,","K=Acc_Code,F={P2},O=B",H$1,$F97)</f>
        <v>#NAME?</v>
      </c>
      <c r="I97" s="34" t="e">
        <f ca="1">[2]!a_eb("CDT,{P1},,2017013,,YA,,,","K=Acc_Code,F={P2},O=B",I$1,$F97)</f>
        <v>#NAME?</v>
      </c>
    </row>
    <row r="98" spans="1:9">
      <c r="A98" s="11" t="s">
        <v>1501</v>
      </c>
      <c r="B98" s="20" t="s">
        <v>1627</v>
      </c>
      <c r="C98" s="28" t="e">
        <f t="shared" ca="1" si="1"/>
        <v>#N/A</v>
      </c>
      <c r="F98" s="3">
        <v>16020202</v>
      </c>
      <c r="G98" s="3">
        <v>2014200000</v>
      </c>
      <c r="H98" s="34" t="e">
        <f ca="1">[2]!a_eb("CDT,{P1},,2017013,,YA,,,","K=Acc_Code,F={P2},O=B",H$1,$F98)</f>
        <v>#NAME?</v>
      </c>
      <c r="I98" s="34" t="e">
        <f ca="1">[2]!a_eb("CDT,{P1},,2017013,,YA,,,","K=Acc_Code,F={P2},O=B",I$1,$F98)</f>
        <v>#NAME?</v>
      </c>
    </row>
    <row r="99" spans="1:9">
      <c r="A99" s="11" t="s">
        <v>1501</v>
      </c>
      <c r="B99" s="20" t="s">
        <v>1628</v>
      </c>
      <c r="C99" s="28" t="e">
        <f t="shared" ca="1" si="1"/>
        <v>#N/A</v>
      </c>
      <c r="F99" s="3">
        <v>16020301</v>
      </c>
      <c r="G99" s="3">
        <v>2013100000</v>
      </c>
      <c r="H99" s="34" t="e">
        <f ca="1">[2]!a_eb("CDT,{P1},,2017013,,YA,,,","K=Acc_Code,F={P2},O=B",H$1,$F99)</f>
        <v>#NAME?</v>
      </c>
      <c r="I99" s="34" t="e">
        <f ca="1">[2]!a_eb("CDT,{P1},,2017013,,YA,,,","K=Acc_Code,F={P2},O=B",I$1,$F99)</f>
        <v>#NAME?</v>
      </c>
    </row>
    <row r="100" spans="1:9">
      <c r="A100" s="11" t="s">
        <v>1501</v>
      </c>
      <c r="B100" s="20" t="s">
        <v>1629</v>
      </c>
      <c r="C100" s="28" t="e">
        <f t="shared" ca="1" si="1"/>
        <v>#N/A</v>
      </c>
      <c r="F100" s="3">
        <v>16020302</v>
      </c>
      <c r="G100" s="3">
        <v>2013200000</v>
      </c>
      <c r="H100" s="34" t="e">
        <f ca="1">[2]!a_eb("CDT,{P1},,2017013,,YA,,,","K=Acc_Code,F={P2},O=B",H$1,$F100)</f>
        <v>#NAME?</v>
      </c>
      <c r="I100" s="34" t="e">
        <f ca="1">[2]!a_eb("CDT,{P1},,2017013,,YA,,,","K=Acc_Code,F={P2},O=B",I$1,$F100)</f>
        <v>#NAME?</v>
      </c>
    </row>
    <row r="101" spans="1:9">
      <c r="A101" s="11" t="s">
        <v>1501</v>
      </c>
      <c r="B101" s="20" t="s">
        <v>1630</v>
      </c>
      <c r="C101" s="28" t="e">
        <f t="shared" ca="1" si="1"/>
        <v>#N/A</v>
      </c>
      <c r="F101" s="3">
        <v>16020401</v>
      </c>
      <c r="G101" s="3">
        <v>2011100000</v>
      </c>
      <c r="H101" s="34" t="e">
        <f ca="1">[2]!a_eb("CDT,{P1},,2017013,,YA,,,","K=Acc_Code,F={P2},O=B",H$1,$F101)</f>
        <v>#NAME?</v>
      </c>
      <c r="I101" s="34" t="e">
        <f ca="1">[2]!a_eb("CDT,{P1},,2017013,,YA,,,","K=Acc_Code,F={P2},O=B",I$1,$F101)</f>
        <v>#NAME?</v>
      </c>
    </row>
    <row r="102" spans="1:9">
      <c r="A102" s="11" t="s">
        <v>1502</v>
      </c>
      <c r="B102" s="20" t="s">
        <v>1631</v>
      </c>
      <c r="C102" s="28" t="e">
        <f t="shared" ca="1" si="1"/>
        <v>#N/A</v>
      </c>
      <c r="F102" s="3">
        <v>16020402</v>
      </c>
      <c r="G102" s="3">
        <v>2011200000</v>
      </c>
      <c r="H102" s="34" t="e">
        <f ca="1">[2]!a_eb("CDT,{P1},,2017013,,YA,,,","K=Acc_Code,F={P2},O=B",H$1,$F102)</f>
        <v>#NAME?</v>
      </c>
      <c r="I102" s="34" t="e">
        <f ca="1">[2]!a_eb("CDT,{P1},,2017013,,YA,,,","K=Acc_Code,F={P2},O=B",I$1,$F102)</f>
        <v>#NAME?</v>
      </c>
    </row>
    <row r="103" spans="1:9">
      <c r="A103" s="11" t="s">
        <v>1503</v>
      </c>
      <c r="B103" s="20" t="s">
        <v>1632</v>
      </c>
      <c r="C103" s="28" t="e">
        <f t="shared" ca="1" si="1"/>
        <v>#N/A</v>
      </c>
      <c r="F103" s="3">
        <v>16020501</v>
      </c>
      <c r="G103" s="3">
        <v>2014100030</v>
      </c>
      <c r="H103" s="34" t="e">
        <f ca="1">[2]!a_eb("CDT,{P1},,2017013,,YA,,,","K=Acc_Code,F={P2},O=B",H$1,$F103)</f>
        <v>#NAME?</v>
      </c>
      <c r="I103" s="34" t="e">
        <f ca="1">[2]!a_eb("CDT,{P1},,2017013,,YA,,,","K=Acc_Code,F={P2},O=B",I$1,$F103)</f>
        <v>#NAME?</v>
      </c>
    </row>
    <row r="104" spans="1:9">
      <c r="A104" s="11" t="s">
        <v>1504</v>
      </c>
      <c r="B104" s="20" t="s">
        <v>1633</v>
      </c>
      <c r="C104" s="28" t="e">
        <f t="shared" ca="1" si="1"/>
        <v>#N/A</v>
      </c>
      <c r="F104" s="3">
        <v>16020502</v>
      </c>
      <c r="G104" s="3">
        <v>2014200030</v>
      </c>
      <c r="H104" s="34" t="e">
        <f ca="1">[2]!a_eb("CDT,{P1},,2017013,,YA,,,","K=Acc_Code,F={P2},O=B",H$1,$F104)</f>
        <v>#NAME?</v>
      </c>
      <c r="I104" s="34" t="e">
        <f ca="1">[2]!a_eb("CDT,{P1},,2017013,,YA,,,","K=Acc_Code,F={P2},O=B",I$1,$F104)</f>
        <v>#NAME?</v>
      </c>
    </row>
    <row r="105" spans="1:9">
      <c r="A105" s="11">
        <v>2820042050</v>
      </c>
      <c r="B105" s="20" t="s">
        <v>1634</v>
      </c>
      <c r="C105" s="28" t="e">
        <f t="shared" ca="1" si="1"/>
        <v>#N/A</v>
      </c>
      <c r="F105" s="3">
        <v>16020701</v>
      </c>
      <c r="G105" s="3">
        <v>2011100030</v>
      </c>
      <c r="H105" s="34" t="e">
        <f ca="1">[2]!a_eb("CDT,{P1},,2017013,,YA,,,","K=Acc_Code,F={P2},O=B",H$1,$F105)</f>
        <v>#NAME?</v>
      </c>
      <c r="I105" s="34" t="e">
        <f ca="1">[2]!a_eb("CDT,{P1},,2017013,,YA,,,","K=Acc_Code,F={P2},O=B",I$1,$F105)</f>
        <v>#NAME?</v>
      </c>
    </row>
    <row r="106" spans="1:9">
      <c r="A106" s="11">
        <v>2820042010</v>
      </c>
      <c r="B106" s="20" t="s">
        <v>1635</v>
      </c>
      <c r="C106" s="28" t="e">
        <f t="shared" ca="1" si="1"/>
        <v>#N/A</v>
      </c>
      <c r="F106" s="3">
        <v>16020702</v>
      </c>
      <c r="G106" s="3">
        <v>2011200030</v>
      </c>
      <c r="H106" s="34" t="e">
        <f ca="1">[2]!a_eb("CDT,{P1},,2017013,,YA,,,","K=Acc_Code,F={P2},O=B",H$1,$F106)</f>
        <v>#NAME?</v>
      </c>
      <c r="I106" s="34" t="e">
        <f ca="1">[2]!a_eb("CDT,{P1},,2017013,,YA,,,","K=Acc_Code,F={P2},O=B",I$1,$F106)</f>
        <v>#NAME?</v>
      </c>
    </row>
    <row r="107" spans="1:9">
      <c r="A107" s="11">
        <v>2820042070</v>
      </c>
      <c r="B107" s="20" t="s">
        <v>1636</v>
      </c>
      <c r="C107" s="28" t="e">
        <f t="shared" ca="1" si="1"/>
        <v>#N/A</v>
      </c>
      <c r="F107" s="3">
        <v>16030101</v>
      </c>
      <c r="G107" s="3">
        <v>2019100000</v>
      </c>
      <c r="H107" s="34" t="e">
        <f ca="1">[2]!a_eb("CDT,{P1},,2017013,,YA,,,","K=Acc_Code,F={P2},O=B",H$1,$F107)</f>
        <v>#NAME?</v>
      </c>
      <c r="I107" s="34" t="e">
        <f ca="1">[2]!a_eb("CDT,{P1},,2017013,,YA,,,","K=Acc_Code,F={P2},O=B",I$1,$F107)</f>
        <v>#NAME?</v>
      </c>
    </row>
    <row r="108" spans="1:9">
      <c r="A108" s="11">
        <v>2820042110</v>
      </c>
      <c r="B108" s="20" t="s">
        <v>1637</v>
      </c>
      <c r="C108" s="28" t="e">
        <f t="shared" ca="1" si="1"/>
        <v>#N/A</v>
      </c>
      <c r="F108" s="3">
        <v>16040201</v>
      </c>
      <c r="G108" s="3">
        <v>2212100000</v>
      </c>
      <c r="H108" s="34" t="e">
        <f ca="1">[2]!a_eb("CDT,{P1},,2017013,,YA,,,","K=Acc_Code,F={P2},O=B",H$1,$F108)</f>
        <v>#NAME?</v>
      </c>
      <c r="I108" s="34" t="e">
        <f ca="1">[2]!a_eb("CDT,{P1},,2017013,,YA,,,","K=Acc_Code,F={P2},O=B",I$1,$F108)</f>
        <v>#NAME?</v>
      </c>
    </row>
    <row r="109" spans="1:9">
      <c r="A109" s="11">
        <v>2820042060</v>
      </c>
      <c r="B109" s="20" t="s">
        <v>1638</v>
      </c>
      <c r="C109" s="28" t="e">
        <f t="shared" ca="1" si="1"/>
        <v>#N/A</v>
      </c>
      <c r="F109" s="3">
        <v>16040202</v>
      </c>
      <c r="G109" s="3">
        <v>2212200000</v>
      </c>
      <c r="H109" s="34" t="e">
        <f ca="1">[2]!a_eb("CDT,{P1},,2017013,,YA,,,","K=Acc_Code,F={P2},O=B",H$1,$F109)</f>
        <v>#NAME?</v>
      </c>
      <c r="I109" s="34" t="e">
        <f ca="1">[2]!a_eb("CDT,{P1},,2017013,,YA,,,","K=Acc_Code,F={P2},O=B",I$1,$F109)</f>
        <v>#NAME?</v>
      </c>
    </row>
    <row r="110" spans="1:9">
      <c r="A110" s="11" t="s">
        <v>1505</v>
      </c>
      <c r="B110" s="20" t="s">
        <v>1639</v>
      </c>
      <c r="C110" s="28" t="e">
        <f t="shared" ca="1" si="1"/>
        <v>#N/A</v>
      </c>
      <c r="F110" s="3">
        <v>16040401</v>
      </c>
      <c r="G110" s="3">
        <v>2212310000</v>
      </c>
      <c r="H110" s="34" t="e">
        <f ca="1">[2]!a_eb("CDT,{P1},,2017013,,YA,,,","K=Acc_Code,F={P2},O=B",H$1,$F110)</f>
        <v>#NAME?</v>
      </c>
      <c r="I110" s="34" t="e">
        <f ca="1">[2]!a_eb("CDT,{P1},,2017013,,YA,,,","K=Acc_Code,F={P2},O=B",I$1,$F110)</f>
        <v>#NAME?</v>
      </c>
    </row>
    <row r="111" spans="1:9">
      <c r="A111" s="11" t="s">
        <v>1506</v>
      </c>
      <c r="B111" s="20" t="s">
        <v>1640</v>
      </c>
      <c r="C111" s="28" t="e">
        <f t="shared" ca="1" si="1"/>
        <v>#N/A</v>
      </c>
      <c r="F111" s="3">
        <v>16040501</v>
      </c>
      <c r="G111" s="3">
        <v>2230010000</v>
      </c>
      <c r="H111" s="34" t="e">
        <f ca="1">[2]!a_eb("CDT,{P1},,2017013,,YA,,,","K=Acc_Code,F={P2},O=B",H$1,$F111)</f>
        <v>#NAME?</v>
      </c>
      <c r="I111" s="34" t="e">
        <f ca="1">[2]!a_eb("CDT,{P1},,2017013,,YA,,,","K=Acc_Code,F={P2},O=B",I$1,$F111)</f>
        <v>#NAME?</v>
      </c>
    </row>
    <row r="112" spans="1:9">
      <c r="A112" s="11" t="s">
        <v>1507</v>
      </c>
      <c r="B112" s="20" t="s">
        <v>1641</v>
      </c>
      <c r="C112" s="28" t="e">
        <f t="shared" ca="1" si="1"/>
        <v>#N/A</v>
      </c>
      <c r="F112" s="3">
        <v>16040502</v>
      </c>
      <c r="G112" s="3">
        <v>2231010000</v>
      </c>
      <c r="H112" s="34" t="e">
        <f ca="1">[2]!a_eb("CDT,{P1},,2017013,,YA,,,","K=Acc_Code,F={P2},O=B",H$1,$F112)</f>
        <v>#NAME?</v>
      </c>
      <c r="I112" s="34" t="e">
        <f ca="1">[2]!a_eb("CDT,{P1},,2017013,,YA,,,","K=Acc_Code,F={P2},O=B",I$1,$F112)</f>
        <v>#NAME?</v>
      </c>
    </row>
    <row r="113" spans="1:9">
      <c r="A113" s="11" t="s">
        <v>1508</v>
      </c>
      <c r="B113" s="20" t="s">
        <v>1642</v>
      </c>
      <c r="C113" s="28" t="e">
        <f t="shared" ca="1" si="1"/>
        <v>#N/A</v>
      </c>
      <c r="F113" s="3">
        <v>16050101</v>
      </c>
      <c r="G113" s="3">
        <v>2016100000</v>
      </c>
      <c r="H113" s="34" t="e">
        <f ca="1">[2]!a_eb("CDT,{P1},,2017013,,YA,,,","K=Acc_Code,F={P2},O=B",H$1,$F113)</f>
        <v>#NAME?</v>
      </c>
      <c r="I113" s="34" t="e">
        <f ca="1">[2]!a_eb("CDT,{P1},,2017013,,YA,,,","K=Acc_Code,F={P2},O=B",I$1,$F113)</f>
        <v>#NAME?</v>
      </c>
    </row>
    <row r="114" spans="1:9">
      <c r="A114" s="11">
        <v>2820042400</v>
      </c>
      <c r="B114" s="20" t="s">
        <v>1643</v>
      </c>
      <c r="C114" s="28" t="e">
        <f t="shared" ca="1" si="1"/>
        <v>#N/A</v>
      </c>
      <c r="F114" s="3">
        <v>16050102</v>
      </c>
      <c r="G114" s="3">
        <v>2016200000</v>
      </c>
      <c r="H114" s="34" t="e">
        <f ca="1">[2]!a_eb("CDT,{P1},,2017013,,YA,,,","K=Acc_Code,F={P2},O=B",H$1,$F114)</f>
        <v>#NAME?</v>
      </c>
      <c r="I114" s="34" t="e">
        <f ca="1">[2]!a_eb("CDT,{P1},,2017013,,YA,,,","K=Acc_Code,F={P2},O=B",I$1,$F114)</f>
        <v>#NAME?</v>
      </c>
    </row>
    <row r="115" spans="1:9">
      <c r="A115" s="11">
        <v>2820042410</v>
      </c>
      <c r="B115" s="20" t="s">
        <v>1644</v>
      </c>
      <c r="C115" s="28" t="e">
        <f t="shared" ca="1" si="1"/>
        <v>#N/A</v>
      </c>
      <c r="F115" s="3">
        <v>16050201</v>
      </c>
      <c r="G115" s="3">
        <v>2230010010</v>
      </c>
      <c r="H115" s="34" t="e">
        <f ca="1">[2]!a_eb("CDT,{P1},,2017013,,YA,,,","K=Acc_Code,F={P2},O=B",H$1,$F115)</f>
        <v>#NAME?</v>
      </c>
      <c r="I115" s="34" t="e">
        <f ca="1">[2]!a_eb("CDT,{P1},,2017013,,YA,,,","K=Acc_Code,F={P2},O=B",I$1,$F115)</f>
        <v>#NAME?</v>
      </c>
    </row>
    <row r="116" spans="1:9">
      <c r="A116" s="11">
        <v>2820042430</v>
      </c>
      <c r="B116" s="20" t="s">
        <v>1645</v>
      </c>
      <c r="C116" s="28" t="e">
        <f t="shared" ca="1" si="1"/>
        <v>#N/A</v>
      </c>
      <c r="F116" s="3">
        <v>16050202</v>
      </c>
      <c r="G116" s="3">
        <v>2231010010</v>
      </c>
      <c r="H116" s="34" t="e">
        <f ca="1">[2]!a_eb("CDT,{P1},,2017013,,YA,,,","K=Acc_Code,F={P2},O=B",H$1,$F116)</f>
        <v>#NAME?</v>
      </c>
      <c r="I116" s="34" t="e">
        <f ca="1">[2]!a_eb("CDT,{P1},,2017013,,YA,,,","K=Acc_Code,F={P2},O=B",I$1,$F116)</f>
        <v>#NAME?</v>
      </c>
    </row>
    <row r="117" spans="1:9">
      <c r="A117" s="11">
        <v>2820042470</v>
      </c>
      <c r="B117" s="20" t="s">
        <v>1646</v>
      </c>
      <c r="C117" s="28" t="e">
        <f t="shared" ca="1" si="1"/>
        <v>#N/A</v>
      </c>
      <c r="F117" s="3">
        <v>16050301</v>
      </c>
      <c r="G117" s="3">
        <v>2700004000</v>
      </c>
      <c r="H117" s="34" t="e">
        <f ca="1">[2]!a_eb("CDT,{P1},,2017013,,YA,,,","K=Acc_Code,F={P2},O=B",H$1,$F117)</f>
        <v>#NAME?</v>
      </c>
      <c r="I117" s="34" t="e">
        <f ca="1">[2]!a_eb("CDT,{P1},,2017013,,YA,,,","K=Acc_Code,F={P2},O=B",I$1,$F117)</f>
        <v>#NAME?</v>
      </c>
    </row>
    <row r="118" spans="1:9">
      <c r="A118" s="11">
        <v>2820042460</v>
      </c>
      <c r="B118" s="20" t="s">
        <v>1647</v>
      </c>
      <c r="C118" s="28" t="e">
        <f t="shared" ca="1" si="1"/>
        <v>#N/A</v>
      </c>
      <c r="F118" s="3">
        <v>16050302</v>
      </c>
      <c r="G118" s="3">
        <v>2700005000</v>
      </c>
      <c r="H118" s="34" t="e">
        <f ca="1">[2]!a_eb("CDT,{P1},,2017013,,YA,,,","K=Acc_Code,F={P2},O=B",H$1,$F118)</f>
        <v>#NAME?</v>
      </c>
      <c r="I118" s="34" t="e">
        <f ca="1">[2]!a_eb("CDT,{P1},,2017013,,YA,,,","K=Acc_Code,F={P2},O=B",I$1,$F118)</f>
        <v>#NAME?</v>
      </c>
    </row>
    <row r="119" spans="1:9">
      <c r="A119" s="11" t="s">
        <v>1505</v>
      </c>
      <c r="B119" s="20" t="s">
        <v>1648</v>
      </c>
      <c r="C119" s="28" t="e">
        <f t="shared" ca="1" si="1"/>
        <v>#N/A</v>
      </c>
      <c r="F119" s="3">
        <v>16050501</v>
      </c>
      <c r="G119" s="3">
        <v>2230110010</v>
      </c>
      <c r="H119" s="34" t="e">
        <f ca="1">[2]!a_eb("CDT,{P1},,2017013,,YA,,,","K=Acc_Code,F={P2},O=B",H$1,$F119)</f>
        <v>#NAME?</v>
      </c>
      <c r="I119" s="34" t="e">
        <f ca="1">[2]!a_eb("CDT,{P1},,2017013,,YA,,,","K=Acc_Code,F={P2},O=B",I$1,$F119)</f>
        <v>#NAME?</v>
      </c>
    </row>
    <row r="120" spans="1:9">
      <c r="A120" s="11" t="s">
        <v>1506</v>
      </c>
      <c r="B120" s="20" t="s">
        <v>1649</v>
      </c>
      <c r="C120" s="28" t="e">
        <f t="shared" ca="1" si="1"/>
        <v>#N/A</v>
      </c>
      <c r="F120" s="3">
        <v>16050502</v>
      </c>
      <c r="G120" s="3">
        <v>2231110010</v>
      </c>
      <c r="H120" s="34" t="e">
        <f ca="1">[2]!a_eb("CDT,{P1},,2017013,,YA,,,","K=Acc_Code,F={P2},O=B",H$1,$F120)</f>
        <v>#NAME?</v>
      </c>
      <c r="I120" s="34" t="e">
        <f ca="1">[2]!a_eb("CDT,{P1},,2017013,,YA,,,","K=Acc_Code,F={P2},O=B",I$1,$F120)</f>
        <v>#NAME?</v>
      </c>
    </row>
    <row r="121" spans="1:9">
      <c r="A121" s="11" t="s">
        <v>1507</v>
      </c>
      <c r="B121" s="20" t="s">
        <v>1650</v>
      </c>
      <c r="C121" s="28" t="e">
        <f t="shared" ca="1" si="1"/>
        <v>#N/A</v>
      </c>
      <c r="F121" s="3">
        <v>160601</v>
      </c>
      <c r="G121" s="3">
        <v>2700000005</v>
      </c>
      <c r="H121" s="34" t="e">
        <f ca="1">[2]!a_eb("CDT,{P1},,2017013,,YA,,,","K=Acc_Code,F={P2},O=B",H$1,$F121)</f>
        <v>#NAME?</v>
      </c>
      <c r="I121" s="34" t="e">
        <f ca="1">[2]!a_eb("CDT,{P1},,2017013,,YA,,,","K=Acc_Code,F={P2},O=B",I$1,$F121)</f>
        <v>#NAME?</v>
      </c>
    </row>
    <row r="122" spans="1:9">
      <c r="A122" s="11" t="s">
        <v>1508</v>
      </c>
      <c r="B122" s="20" t="s">
        <v>1651</v>
      </c>
      <c r="C122" s="28" t="e">
        <f t="shared" ca="1" si="1"/>
        <v>#N/A</v>
      </c>
      <c r="F122" s="3">
        <v>16070101</v>
      </c>
      <c r="G122" s="3">
        <v>2760000001</v>
      </c>
      <c r="H122" s="34" t="e">
        <f ca="1">[2]!a_eb("CDT,{P1},,2017013,,YA,,,","K=Acc_Code,F={P2},O=B",H$1,$F122)</f>
        <v>#NAME?</v>
      </c>
      <c r="I122" s="34" t="e">
        <f ca="1">[2]!a_eb("CDT,{P1},,2017013,,YA,,,","K=Acc_Code,F={P2},O=B",I$1,$F122)</f>
        <v>#NAME?</v>
      </c>
    </row>
    <row r="123" spans="1:9">
      <c r="A123" s="11">
        <v>2820042190</v>
      </c>
      <c r="B123" s="20" t="s">
        <v>1652</v>
      </c>
      <c r="C123" s="28" t="e">
        <f t="shared" ca="1" si="1"/>
        <v>#N/A</v>
      </c>
      <c r="F123" s="3">
        <v>160702</v>
      </c>
      <c r="G123" s="3">
        <v>2760000000</v>
      </c>
      <c r="H123" s="34" t="e">
        <f ca="1">[2]!a_eb("CDT,{P1},,2017013,,YA,,,","K=Acc_Code,F={P2},O=B",H$1,$F123)</f>
        <v>#NAME?</v>
      </c>
      <c r="I123" s="34" t="e">
        <f ca="1">[2]!a_eb("CDT,{P1},,2017013,,YA,,,","K=Acc_Code,F={P2},O=B",I$1,$F123)</f>
        <v>#NAME?</v>
      </c>
    </row>
    <row r="124" spans="1:9">
      <c r="A124" s="11">
        <v>2820042160</v>
      </c>
      <c r="B124" s="20" t="s">
        <v>1653</v>
      </c>
      <c r="C124" s="28" t="e">
        <f t="shared" ca="1" si="1"/>
        <v>#N/A</v>
      </c>
      <c r="F124" s="3">
        <v>16070302</v>
      </c>
      <c r="G124" s="3">
        <v>2761001500</v>
      </c>
      <c r="H124" s="34" t="e">
        <f ca="1">[2]!a_eb("CDT,{P1},,2017013,,YA,,,","K=Acc_Code,F={P2},O=B",H$1,$F124)</f>
        <v>#NAME?</v>
      </c>
      <c r="I124" s="34" t="e">
        <f ca="1">[2]!a_eb("CDT,{P1},,2017013,,YA,,,","K=Acc_Code,F={P2},O=B",I$1,$F124)</f>
        <v>#NAME?</v>
      </c>
    </row>
    <row r="125" spans="1:9">
      <c r="A125" s="11">
        <v>2820042220</v>
      </c>
      <c r="B125" s="20" t="s">
        <v>1654</v>
      </c>
      <c r="C125" s="28" t="e">
        <f t="shared" ca="1" si="1"/>
        <v>#N/A</v>
      </c>
      <c r="F125" s="3">
        <v>16070501</v>
      </c>
      <c r="G125" s="3">
        <v>4111001500</v>
      </c>
      <c r="H125" s="34" t="e">
        <f ca="1">[2]!a_eb("CDT,{P1},,2017013,,YA,,,","K=Acc_Code,F={P2},O=B",H$1,$F125)</f>
        <v>#NAME?</v>
      </c>
      <c r="I125" s="34" t="e">
        <f ca="1">[2]!a_eb("CDT,{P1},,2017013,,YA,,,","K=Acc_Code,F={P2},O=B",I$1,$F125)</f>
        <v>#NAME?</v>
      </c>
    </row>
    <row r="126" spans="1:9">
      <c r="A126" s="11">
        <v>2820042230</v>
      </c>
      <c r="B126" s="20" t="s">
        <v>1655</v>
      </c>
      <c r="C126" s="28" t="e">
        <f t="shared" ca="1" si="1"/>
        <v>#N/A</v>
      </c>
      <c r="F126" s="3">
        <v>160001</v>
      </c>
      <c r="G126" s="3">
        <v>2201000000</v>
      </c>
      <c r="H126" s="34" t="e">
        <f ca="1">[2]!a_eb("CDT,{P1},,2017013,,YA,,,","K=Acc_Code,F={P2},O=B",H$1,$F126)</f>
        <v>#NAME?</v>
      </c>
      <c r="I126" s="34" t="e">
        <f ca="1">[2]!a_eb("CDT,{P1},,2017013,,YA,,,","K=Acc_Code,F={P2},O=B",I$1,$F126)</f>
        <v>#NAME?</v>
      </c>
    </row>
    <row r="127" spans="1:9">
      <c r="A127" s="11">
        <v>2820042170</v>
      </c>
      <c r="B127" s="20" t="s">
        <v>1656</v>
      </c>
      <c r="C127" s="28" t="e">
        <f t="shared" ca="1" si="1"/>
        <v>#N/A</v>
      </c>
      <c r="F127" s="3">
        <v>160002</v>
      </c>
      <c r="G127" s="3">
        <v>2203000000</v>
      </c>
      <c r="H127" s="34" t="e">
        <f ca="1">[2]!a_eb("CDT,{P1},,2017013,,YA,,,","K=Acc_Code,F={P2},O=B",H$1,$F127)</f>
        <v>#NAME?</v>
      </c>
      <c r="I127" s="34" t="e">
        <f ca="1">[2]!a_eb("CDT,{P1},,2017013,,YA,,,","K=Acc_Code,F={P2},O=B",I$1,$F127)</f>
        <v>#NAME?</v>
      </c>
    </row>
    <row r="128" spans="1:9">
      <c r="A128" s="11">
        <v>2820042120</v>
      </c>
      <c r="B128" s="20" t="s">
        <v>1657</v>
      </c>
      <c r="C128" s="28" t="e">
        <f t="shared" ca="1" si="1"/>
        <v>#N/A</v>
      </c>
      <c r="F128" s="3">
        <v>160003</v>
      </c>
      <c r="G128" s="3">
        <v>2201000030</v>
      </c>
      <c r="H128" s="34" t="e">
        <f ca="1">[2]!a_eb("CDT,{P1},,2017013,,YA,,,","K=Acc_Code,F={P2},O=B",H$1,$F128)</f>
        <v>#NAME?</v>
      </c>
      <c r="I128" s="34" t="e">
        <f ca="1">[2]!a_eb("CDT,{P1},,2017013,,YA,,,","K=Acc_Code,F={P2},O=B",I$1,$F128)</f>
        <v>#NAME?</v>
      </c>
    </row>
    <row r="129" spans="1:9">
      <c r="A129" s="11">
        <v>2820042360</v>
      </c>
      <c r="B129" s="20" t="s">
        <v>1658</v>
      </c>
      <c r="C129" s="28" t="e">
        <f t="shared" ca="1" si="1"/>
        <v>#N/A</v>
      </c>
      <c r="F129" s="3">
        <v>160004</v>
      </c>
      <c r="G129" s="3">
        <v>2201200030</v>
      </c>
      <c r="H129" s="34" t="e">
        <f ca="1">[2]!a_eb("CDT,{P1},,2017013,,YA,,,","K=Acc_Code,F={P2},O=B",H$1,$F129)</f>
        <v>#NAME?</v>
      </c>
      <c r="I129" s="34" t="e">
        <f ca="1">[2]!a_eb("CDT,{P1},,2017013,,YA,,,","K=Acc_Code,F={P2},O=B",I$1,$F129)</f>
        <v>#NAME?</v>
      </c>
    </row>
    <row r="130" spans="1:9">
      <c r="A130" s="11" t="s">
        <v>1505</v>
      </c>
      <c r="B130" s="20" t="s">
        <v>1659</v>
      </c>
      <c r="C130" s="28" t="e">
        <f t="shared" ca="1" si="1"/>
        <v>#N/A</v>
      </c>
      <c r="F130" s="3">
        <v>160005</v>
      </c>
      <c r="G130" s="3">
        <v>2201000010</v>
      </c>
      <c r="H130" s="34" t="e">
        <f ca="1">[2]!a_eb("CDT,{P1},,2017013,,YA,,,","K=Acc_Code,F={P2},O=B",H$1,$F130)</f>
        <v>#NAME?</v>
      </c>
      <c r="I130" s="34" t="e">
        <f ca="1">[2]!a_eb("CDT,{P1},,2017013,,YA,,,","K=Acc_Code,F={P2},O=B",I$1,$F130)</f>
        <v>#NAME?</v>
      </c>
    </row>
    <row r="131" spans="1:9">
      <c r="A131" s="11" t="s">
        <v>1507</v>
      </c>
      <c r="B131" s="20" t="s">
        <v>1660</v>
      </c>
      <c r="C131" s="28" t="e">
        <f t="shared" ca="1" si="1"/>
        <v>#N/A</v>
      </c>
      <c r="F131" s="3">
        <v>160006</v>
      </c>
      <c r="G131" s="3">
        <v>2203000010</v>
      </c>
      <c r="H131" s="34" t="e">
        <f ca="1">[2]!a_eb("CDT,{P1},,2017013,,YA,,,","K=Acc_Code,F={P2},O=B",H$1,$F131)</f>
        <v>#NAME?</v>
      </c>
      <c r="I131" s="34" t="e">
        <f ca="1">[2]!a_eb("CDT,{P1},,2017013,,YA,,,","K=Acc_Code,F={P2},O=B",I$1,$F131)</f>
        <v>#NAME?</v>
      </c>
    </row>
    <row r="132" spans="1:9">
      <c r="A132" s="11">
        <v>2820042660</v>
      </c>
      <c r="B132" s="20" t="s">
        <v>1661</v>
      </c>
      <c r="C132" s="28" t="e">
        <f t="shared" ca="1" si="1"/>
        <v>#N/A</v>
      </c>
      <c r="F132" s="3">
        <v>160007</v>
      </c>
      <c r="G132" s="3">
        <v>2201300000</v>
      </c>
      <c r="H132" s="34" t="e">
        <f ca="1">[2]!a_eb("CDT,{P1},,2017013,,YA,,,","K=Acc_Code,F={P2},O=B",H$1,$F132)</f>
        <v>#NAME?</v>
      </c>
      <c r="I132" s="34" t="e">
        <f ca="1">[2]!a_eb("CDT,{P1},,2017013,,YA,,,","K=Acc_Code,F={P2},O=B",I$1,$F132)</f>
        <v>#NAME?</v>
      </c>
    </row>
    <row r="133" spans="1:9">
      <c r="A133" s="11" t="s">
        <v>1506</v>
      </c>
      <c r="B133" s="20" t="s">
        <v>1662</v>
      </c>
      <c r="C133" s="28" t="e">
        <f t="shared" ca="1" si="1"/>
        <v>#N/A</v>
      </c>
      <c r="F133" s="3">
        <v>160008</v>
      </c>
      <c r="G133" s="3">
        <v>2201400000</v>
      </c>
      <c r="H133" s="34" t="e">
        <f ca="1">[2]!a_eb("CDT,{P1},,2017013,,YA,,,","K=Acc_Code,F={P2},O=B",H$1,$F133)</f>
        <v>#NAME?</v>
      </c>
      <c r="I133" s="34" t="e">
        <f ca="1">[2]!a_eb("CDT,{P1},,2017013,,YA,,,","K=Acc_Code,F={P2},O=B",I$1,$F133)</f>
        <v>#NAME?</v>
      </c>
    </row>
    <row r="134" spans="1:9">
      <c r="A134" s="11">
        <v>2820042620</v>
      </c>
      <c r="B134" s="20" t="s">
        <v>1663</v>
      </c>
      <c r="C134" s="28" t="e">
        <f t="shared" ca="1" si="1"/>
        <v>#N/A</v>
      </c>
      <c r="F134" s="3">
        <v>160009</v>
      </c>
      <c r="G134" s="3">
        <v>2700000310</v>
      </c>
      <c r="H134" s="34" t="e">
        <f ca="1">[2]!a_eb("CDT,{P1},,2017013,,YA,,,","K=Acc_Code,F={P2},O=B",H$1,$F134)</f>
        <v>#NAME?</v>
      </c>
      <c r="I134" s="34" t="e">
        <f ca="1">[2]!a_eb("CDT,{P1},,2017013,,YA,,,","K=Acc_Code,F={P2},O=B",I$1,$F134)</f>
        <v>#NAME?</v>
      </c>
    </row>
    <row r="135" spans="1:9">
      <c r="A135" s="11">
        <v>2820042710</v>
      </c>
      <c r="B135" s="20" t="s">
        <v>1664</v>
      </c>
      <c r="C135" s="28" t="e">
        <f t="shared" ref="C135:C198" ca="1" si="2">VLOOKUP(B135,F:G,2,0)</f>
        <v>#N/A</v>
      </c>
      <c r="F135" s="3">
        <v>21010103</v>
      </c>
      <c r="G135" s="3">
        <v>4020000000</v>
      </c>
      <c r="H135" s="34" t="e">
        <f ca="1">[2]!a_eb("CDT,{P1},,2017013,,YA,,,","K=Acc_Code,F={P2},O=B",H$1,$F135)</f>
        <v>#NAME?</v>
      </c>
      <c r="I135" s="34" t="e">
        <f ca="1">[2]!a_eb("CDT,{P1},,2017013,,YA,,,","K=Acc_Code,F={P2},O=B",I$1,$F135)</f>
        <v>#NAME?</v>
      </c>
    </row>
    <row r="136" spans="1:9">
      <c r="A136" s="11">
        <v>2820042700</v>
      </c>
      <c r="B136" s="20" t="s">
        <v>1665</v>
      </c>
      <c r="C136" s="28" t="e">
        <f t="shared" ca="1" si="2"/>
        <v>#N/A</v>
      </c>
      <c r="F136" s="3">
        <v>21020101</v>
      </c>
      <c r="G136" s="6">
        <v>4032002000</v>
      </c>
      <c r="H136" s="34" t="e">
        <f ca="1">[2]!a_eb("CDT,{P1},,2017013,,YA,,,","K=Acc_Code,F={P2},O=B",H$1,$F136)</f>
        <v>#NAME?</v>
      </c>
      <c r="I136" s="34" t="e">
        <f ca="1">[2]!a_eb("CDT,{P1},,2017013,,YA,,,","K=Acc_Code,F={P2},O=B",I$1,$F136)</f>
        <v>#NAME?</v>
      </c>
    </row>
    <row r="137" spans="1:9">
      <c r="A137" s="11">
        <v>2820042630</v>
      </c>
      <c r="B137" s="20" t="s">
        <v>1666</v>
      </c>
      <c r="C137" s="28" t="e">
        <f t="shared" ca="1" si="2"/>
        <v>#N/A</v>
      </c>
      <c r="F137" s="3">
        <v>21020101</v>
      </c>
      <c r="G137" s="6">
        <v>4032001500</v>
      </c>
      <c r="H137" s="34" t="e">
        <f ca="1">[2]!a_eb("CDT,{P1},,2017013,,YA,,,","K=Acc_Code,F={P2},O=B",H$1,$F137)</f>
        <v>#NAME?</v>
      </c>
      <c r="I137" s="34" t="e">
        <f ca="1">[2]!a_eb("CDT,{P1},,2017013,,YA,,,","K=Acc_Code,F={P2},O=B",I$1,$F137)</f>
        <v>#NAME?</v>
      </c>
    </row>
    <row r="138" spans="1:9">
      <c r="A138" s="11">
        <v>2820040080</v>
      </c>
      <c r="B138" s="20" t="s">
        <v>1667</v>
      </c>
      <c r="C138" s="28" t="e">
        <f t="shared" ca="1" si="2"/>
        <v>#N/A</v>
      </c>
      <c r="F138" s="3">
        <v>220101</v>
      </c>
      <c r="G138" s="3">
        <v>3100100000</v>
      </c>
      <c r="H138" s="34" t="e">
        <f ca="1">[2]!a_eb("CDT,{P1},,2017013,,YA,,,","K=Acc_Code,F={P2},O=B",H$1,$F138)</f>
        <v>#NAME?</v>
      </c>
      <c r="I138" s="34" t="e">
        <f ca="1">[2]!a_eb("CDT,{P1},,2017013,,YA,,,","K=Acc_Code,F={P2},O=B",I$1,$F138)</f>
        <v>#NAME?</v>
      </c>
    </row>
    <row r="139" spans="1:9">
      <c r="A139" s="11">
        <v>2820040080</v>
      </c>
      <c r="B139" s="20" t="s">
        <v>1668</v>
      </c>
      <c r="C139" s="28" t="e">
        <f t="shared" ca="1" si="2"/>
        <v>#N/A</v>
      </c>
      <c r="F139" s="3">
        <v>22020101</v>
      </c>
      <c r="G139" s="3">
        <v>3010000000</v>
      </c>
      <c r="H139" s="34" t="e">
        <f ca="1">[2]!a_eb("CDT,{P1},,2017013,,YA,,,","K=Acc_Code,F={P2},O=B",H$1,$F139)</f>
        <v>#NAME?</v>
      </c>
      <c r="I139" s="34" t="e">
        <f ca="1">[2]!a_eb("CDT,{P1},,2017013,,YA,,,","K=Acc_Code,F={P2},O=B",I$1,$F139)</f>
        <v>#NAME?</v>
      </c>
    </row>
    <row r="140" spans="1:9">
      <c r="A140" s="11">
        <v>2820040080</v>
      </c>
      <c r="B140" s="20" t="s">
        <v>1669</v>
      </c>
      <c r="C140" s="28" t="e">
        <f t="shared" ca="1" si="2"/>
        <v>#N/A</v>
      </c>
      <c r="F140" s="3">
        <v>22020109</v>
      </c>
      <c r="G140" s="3">
        <v>3010000006</v>
      </c>
      <c r="H140" s="34" t="e">
        <f ca="1">[2]!a_eb("CDT,{P1},,2017013,,YA,,,","K=Acc_Code,F={P2},O=B",H$1,$F140)</f>
        <v>#NAME?</v>
      </c>
      <c r="I140" s="34" t="e">
        <f ca="1">[2]!a_eb("CDT,{P1},,2017013,,YA,,,","K=Acc_Code,F={P2},O=B",I$1,$F140)</f>
        <v>#NAME?</v>
      </c>
    </row>
    <row r="141" spans="1:9">
      <c r="A141" s="11">
        <v>2820040080</v>
      </c>
      <c r="B141" s="20" t="s">
        <v>1670</v>
      </c>
      <c r="C141" s="28" t="e">
        <f t="shared" ca="1" si="2"/>
        <v>#N/A</v>
      </c>
      <c r="F141" s="3">
        <v>22020201</v>
      </c>
      <c r="G141" s="3">
        <v>3030000000</v>
      </c>
      <c r="H141" s="34" t="e">
        <f ca="1">[2]!a_eb("CDT,{P1},,2017013,,YA,,,","K=Acc_Code,F={P2},O=B",H$1,$F141)</f>
        <v>#NAME?</v>
      </c>
      <c r="I141" s="34" t="e">
        <f ca="1">[2]!a_eb("CDT,{P1},,2017013,,YA,,,","K=Acc_Code,F={P2},O=B",I$1,$F141)</f>
        <v>#NAME?</v>
      </c>
    </row>
    <row r="142" spans="1:9">
      <c r="A142" s="11">
        <v>2820040080</v>
      </c>
      <c r="B142" s="20" t="s">
        <v>1671</v>
      </c>
      <c r="C142" s="28" t="e">
        <f t="shared" ca="1" si="2"/>
        <v>#N/A</v>
      </c>
      <c r="F142" s="3">
        <v>22020203</v>
      </c>
      <c r="G142" s="3">
        <v>3030000010</v>
      </c>
      <c r="H142" s="34" t="e">
        <f ca="1">[2]!a_eb("CDT,{P1},,2017013,,YA,,,","K=Acc_Code,F={P2},O=B",H$1,$F142)</f>
        <v>#NAME?</v>
      </c>
      <c r="I142" s="34" t="e">
        <f ca="1">[2]!a_eb("CDT,{P1},,2017013,,YA,,,","K=Acc_Code,F={P2},O=B",I$1,$F142)</f>
        <v>#NAME?</v>
      </c>
    </row>
    <row r="143" spans="1:9">
      <c r="A143" s="11">
        <v>2820042280</v>
      </c>
      <c r="B143" s="20" t="s">
        <v>1672</v>
      </c>
      <c r="C143" s="28" t="e">
        <f t="shared" ca="1" si="2"/>
        <v>#N/A</v>
      </c>
      <c r="F143" s="3">
        <v>22020301</v>
      </c>
      <c r="G143" s="3">
        <v>3020000000</v>
      </c>
      <c r="H143" s="34" t="e">
        <f ca="1">[2]!a_eb("CDT,{P1},,2017013,,YA,,,","K=Acc_Code,F={P2},O=B",H$1,$F143)</f>
        <v>#NAME?</v>
      </c>
      <c r="I143" s="34" t="e">
        <f ca="1">[2]!a_eb("CDT,{P1},,2017013,,YA,,,","K=Acc_Code,F={P2},O=B",I$1,$F143)</f>
        <v>#NAME?</v>
      </c>
    </row>
    <row r="144" spans="1:9">
      <c r="A144" s="11">
        <v>2820042350</v>
      </c>
      <c r="B144" s="20" t="s">
        <v>1673</v>
      </c>
      <c r="C144" s="28" t="e">
        <f t="shared" ca="1" si="2"/>
        <v>#N/A</v>
      </c>
      <c r="F144" s="3">
        <v>22030501</v>
      </c>
      <c r="G144" s="3">
        <v>3540009011</v>
      </c>
      <c r="H144" s="34" t="e">
        <f ca="1">[2]!a_eb("CDT,{P1},,2017013,,YA,,,","K=Acc_Code,F={P2},O=B",H$1,$F144)</f>
        <v>#NAME?</v>
      </c>
      <c r="I144" s="34" t="e">
        <f ca="1">[2]!a_eb("CDT,{P1},,2017013,,YA,,,","K=Acc_Code,F={P2},O=B",I$1,$F144)</f>
        <v>#NAME?</v>
      </c>
    </row>
    <row r="145" spans="1:9">
      <c r="A145" s="11">
        <v>2820042340</v>
      </c>
      <c r="B145" s="20" t="s">
        <v>1674</v>
      </c>
      <c r="C145" s="28" t="e">
        <f t="shared" ca="1" si="2"/>
        <v>#N/A</v>
      </c>
      <c r="F145" s="3">
        <v>22030502</v>
      </c>
      <c r="G145" s="3">
        <v>3540009012</v>
      </c>
      <c r="H145" s="34" t="e">
        <f ca="1">[2]!a_eb("CDT,{P1},,2017013,,YA,,,","K=Acc_Code,F={P2},O=B",H$1,$F145)</f>
        <v>#NAME?</v>
      </c>
      <c r="I145" s="34" t="e">
        <f ca="1">[2]!a_eb("CDT,{P1},,2017013,,YA,,,","K=Acc_Code,F={P2},O=B",I$1,$F145)</f>
        <v>#NAME?</v>
      </c>
    </row>
    <row r="146" spans="1:9">
      <c r="A146" s="11" t="s">
        <v>1505</v>
      </c>
      <c r="B146" s="20" t="s">
        <v>1675</v>
      </c>
      <c r="C146" s="28" t="e">
        <f t="shared" ca="1" si="2"/>
        <v>#N/A</v>
      </c>
      <c r="F146" s="3">
        <v>22030503</v>
      </c>
      <c r="G146" s="3">
        <v>3540009013</v>
      </c>
      <c r="H146" s="34" t="e">
        <f ca="1">[2]!a_eb("CDT,{P1},,2017013,,YA,,,","K=Acc_Code,F={P2},O=B",H$1,$F146)</f>
        <v>#NAME?</v>
      </c>
      <c r="I146" s="34" t="e">
        <f ca="1">[2]!a_eb("CDT,{P1},,2017013,,YA,,,","K=Acc_Code,F={P2},O=B",I$1,$F146)</f>
        <v>#NAME?</v>
      </c>
    </row>
    <row r="147" spans="1:9">
      <c r="A147" s="11" t="s">
        <v>1506</v>
      </c>
      <c r="B147" s="20" t="s">
        <v>1676</v>
      </c>
      <c r="C147" s="28" t="e">
        <f t="shared" ca="1" si="2"/>
        <v>#N/A</v>
      </c>
      <c r="F147" s="3">
        <v>22030504</v>
      </c>
      <c r="G147" s="3">
        <v>3540009014</v>
      </c>
      <c r="H147" s="34" t="e">
        <f ca="1">[2]!a_eb("CDT,{P1},,2017013,,YA,,,","K=Acc_Code,F={P2},O=B",H$1,$F147)</f>
        <v>#NAME?</v>
      </c>
      <c r="I147" s="34" t="e">
        <f ca="1">[2]!a_eb("CDT,{P1},,2017013,,YA,,,","K=Acc_Code,F={P2},O=B",I$1,$F147)</f>
        <v>#NAME?</v>
      </c>
    </row>
    <row r="148" spans="1:9">
      <c r="A148" s="11" t="s">
        <v>1507</v>
      </c>
      <c r="B148" s="20" t="s">
        <v>1677</v>
      </c>
      <c r="C148" s="28" t="e">
        <f t="shared" ca="1" si="2"/>
        <v>#N/A</v>
      </c>
      <c r="F148" s="3">
        <v>22030505</v>
      </c>
      <c r="G148" s="3">
        <v>3540009015</v>
      </c>
      <c r="H148" s="34" t="e">
        <f ca="1">[2]!a_eb("CDT,{P1},,2017013,,YA,,,","K=Acc_Code,F={P2},O=B",H$1,$F148)</f>
        <v>#NAME?</v>
      </c>
      <c r="I148" s="34" t="e">
        <f ca="1">[2]!a_eb("CDT,{P1},,2017013,,YA,,,","K=Acc_Code,F={P2},O=B",I$1,$F148)</f>
        <v>#NAME?</v>
      </c>
    </row>
    <row r="149" spans="1:9">
      <c r="A149" s="11" t="s">
        <v>1508</v>
      </c>
      <c r="B149" s="20" t="s">
        <v>1678</v>
      </c>
      <c r="C149" s="28" t="e">
        <f t="shared" ca="1" si="2"/>
        <v>#N/A</v>
      </c>
      <c r="F149" s="3">
        <v>22030506</v>
      </c>
      <c r="G149" s="3">
        <v>3540009016</v>
      </c>
      <c r="H149" s="34" t="e">
        <f ca="1">[2]!a_eb("CDT,{P1},,2017013,,YA,,,","K=Acc_Code,F={P2},O=B",H$1,$F149)</f>
        <v>#NAME?</v>
      </c>
      <c r="I149" s="34" t="e">
        <f ca="1">[2]!a_eb("CDT,{P1},,2017013,,YA,,,","K=Acc_Code,F={P2},O=B",I$1,$F149)</f>
        <v>#NAME?</v>
      </c>
    </row>
    <row r="150" spans="1:9">
      <c r="A150" s="11">
        <v>2820042550</v>
      </c>
      <c r="B150" s="20" t="s">
        <v>1679</v>
      </c>
      <c r="C150" s="28" t="e">
        <f t="shared" ca="1" si="2"/>
        <v>#N/A</v>
      </c>
      <c r="F150" s="3">
        <v>22030508</v>
      </c>
      <c r="G150" s="3">
        <v>3540009017</v>
      </c>
      <c r="H150" s="34" t="e">
        <f ca="1">[2]!a_eb("CDT,{P1},,2017013,,YA,,,","K=Acc_Code,F={P2},O=B",H$1,$F150)</f>
        <v>#NAME?</v>
      </c>
      <c r="I150" s="34" t="e">
        <f ca="1">[2]!a_eb("CDT,{P1},,2017013,,YA,,,","K=Acc_Code,F={P2},O=B",I$1,$F150)</f>
        <v>#NAME?</v>
      </c>
    </row>
    <row r="151" spans="1:9">
      <c r="A151" s="11">
        <v>2820042560</v>
      </c>
      <c r="B151" s="20" t="s">
        <v>1680</v>
      </c>
      <c r="C151" s="28" t="e">
        <f t="shared" ca="1" si="2"/>
        <v>#N/A</v>
      </c>
      <c r="F151" s="3">
        <v>22030507</v>
      </c>
      <c r="G151" s="3">
        <v>3540009018</v>
      </c>
      <c r="H151" s="34" t="e">
        <f ca="1">[2]!a_eb("CDT,{P1},,2017013,,YA,,,","K=Acc_Code,F={P2},O=B",H$1,$F151)</f>
        <v>#NAME?</v>
      </c>
      <c r="I151" s="34" t="e">
        <f ca="1">[2]!a_eb("CDT,{P1},,2017013,,YA,,,","K=Acc_Code,F={P2},O=B",I$1,$F151)</f>
        <v>#NAME?</v>
      </c>
    </row>
    <row r="152" spans="1:9">
      <c r="A152" s="11" t="s">
        <v>1505</v>
      </c>
      <c r="B152" s="20" t="s">
        <v>1681</v>
      </c>
      <c r="C152" s="28" t="e">
        <f t="shared" ca="1" si="2"/>
        <v>#N/A</v>
      </c>
      <c r="F152" s="3">
        <v>220306</v>
      </c>
      <c r="G152" s="6">
        <v>3100000000</v>
      </c>
      <c r="H152" s="34" t="e">
        <f ca="1">[2]!a_eb("CDT,{P1},,2017013,,YA,,,","K=Acc_Code,F={P2},O=B",H$1,$F152)</f>
        <v>#NAME?</v>
      </c>
      <c r="I152" s="34" t="e">
        <f ca="1">[2]!a_eb("CDT,{P1},,2017013,,YA,,,","K=Acc_Code,F={P2},O=B",I$1,$F152)</f>
        <v>#NAME?</v>
      </c>
    </row>
    <row r="153" spans="1:9">
      <c r="A153" s="11" t="s">
        <v>1506</v>
      </c>
      <c r="B153" s="20" t="s">
        <v>1682</v>
      </c>
      <c r="C153" s="28" t="e">
        <f t="shared" ca="1" si="2"/>
        <v>#N/A</v>
      </c>
      <c r="F153" s="3">
        <v>220307</v>
      </c>
      <c r="G153" s="6">
        <v>3800000000</v>
      </c>
      <c r="H153" s="34" t="e">
        <f ca="1">[2]!a_eb("CDT,{P1},,2017013,,YA,,,","K=Acc_Code,F={P2},O=B",H$1,$F153)</f>
        <v>#NAME?</v>
      </c>
      <c r="I153" s="34" t="e">
        <f ca="1">[2]!a_eb("CDT,{P1},,2017013,,YA,,,","K=Acc_Code,F={P2},O=B",I$1,$F153)</f>
        <v>#NAME?</v>
      </c>
    </row>
    <row r="154" spans="1:9">
      <c r="A154" s="11" t="s">
        <v>1507</v>
      </c>
      <c r="B154" s="20" t="s">
        <v>1683</v>
      </c>
      <c r="C154" s="28" t="e">
        <f t="shared" ca="1" si="2"/>
        <v>#N/A</v>
      </c>
      <c r="F154" s="3">
        <v>220308</v>
      </c>
      <c r="G154" s="6">
        <v>3800000010</v>
      </c>
      <c r="H154" s="34" t="e">
        <f ca="1">[2]!a_eb("CDT,{P1},,2017013,,YA,,,","K=Acc_Code,F={P2},O=B",H$1,$F154)</f>
        <v>#NAME?</v>
      </c>
      <c r="I154" s="34" t="e">
        <f ca="1">[2]!a_eb("CDT,{P1},,2017013,,YA,,,","K=Acc_Code,F={P2},O=B",I$1,$F154)</f>
        <v>#NAME?</v>
      </c>
    </row>
    <row r="155" spans="1:9">
      <c r="A155" s="11" t="s">
        <v>1508</v>
      </c>
      <c r="B155" s="20" t="s">
        <v>1684</v>
      </c>
      <c r="C155" s="28" t="e">
        <f t="shared" ca="1" si="2"/>
        <v>#N/A</v>
      </c>
      <c r="F155" s="3">
        <v>220309</v>
      </c>
      <c r="G155" s="6">
        <v>3810000000</v>
      </c>
      <c r="H155" s="34" t="e">
        <f ca="1">[2]!a_eb("CDT,{P1},,2017013,,YA,,,","K=Acc_Code,F={P2},O=B",H$1,$F155)</f>
        <v>#NAME?</v>
      </c>
      <c r="I155" s="34" t="e">
        <f ca="1">[2]!a_eb("CDT,{P1},,2017013,,YA,,,","K=Acc_Code,F={P2},O=B",I$1,$F155)</f>
        <v>#NAME?</v>
      </c>
    </row>
    <row r="156" spans="1:9">
      <c r="A156" s="11">
        <v>2820042500</v>
      </c>
      <c r="B156" s="20" t="s">
        <v>1685</v>
      </c>
      <c r="C156" s="28" t="e">
        <f t="shared" ca="1" si="2"/>
        <v>#N/A</v>
      </c>
      <c r="F156" s="3">
        <v>220312</v>
      </c>
      <c r="G156" s="6">
        <v>3130001500</v>
      </c>
      <c r="H156" s="34" t="e">
        <f ca="1">[2]!a_eb("CDT,{P1},,2017013,,YA,,,","K=Acc_Code,F={P2},O=B",H$1,$F156)</f>
        <v>#NAME?</v>
      </c>
      <c r="I156" s="34" t="e">
        <f ca="1">[2]!a_eb("CDT,{P1},,2017013,,YA,,,","K=Acc_Code,F={P2},O=B",I$1,$F156)</f>
        <v>#NAME?</v>
      </c>
    </row>
    <row r="157" spans="1:9">
      <c r="A157" s="11">
        <v>2820042520</v>
      </c>
      <c r="B157" s="20" t="s">
        <v>1686</v>
      </c>
      <c r="C157" s="28" t="e">
        <f t="shared" ca="1" si="2"/>
        <v>#N/A</v>
      </c>
      <c r="F157" s="3">
        <v>220314</v>
      </c>
      <c r="G157" s="6">
        <v>4010000000</v>
      </c>
      <c r="H157" s="34" t="e">
        <f ca="1">[2]!a_eb("CDT,{P1},,2017013,,YA,,,","K=Acc_Code,F={P2},O=B",H$1,$F157)</f>
        <v>#NAME?</v>
      </c>
      <c r="I157" s="34" t="e">
        <f ca="1">[2]!a_eb("CDT,{P1},,2017013,,YA,,,","K=Acc_Code,F={P2},O=B",I$1,$F157)</f>
        <v>#NAME?</v>
      </c>
    </row>
    <row r="158" spans="1:9">
      <c r="A158" s="11">
        <v>2820042510</v>
      </c>
      <c r="B158" s="20" t="s">
        <v>1687</v>
      </c>
      <c r="C158" s="28" t="e">
        <f t="shared" ca="1" si="2"/>
        <v>#N/A</v>
      </c>
      <c r="F158" s="3">
        <v>220315</v>
      </c>
      <c r="G158" s="6">
        <v>4010100000</v>
      </c>
      <c r="H158" s="34" t="e">
        <f ca="1">[2]!a_eb("CDT,{P1},,2017013,,YA,,,","K=Acc_Code,F={P2},O=B",H$1,$F158)</f>
        <v>#NAME?</v>
      </c>
      <c r="I158" s="34" t="e">
        <f ca="1">[2]!a_eb("CDT,{P1},,2017013,,YA,,,","K=Acc_Code,F={P2},O=B",I$1,$F158)</f>
        <v>#NAME?</v>
      </c>
    </row>
    <row r="159" spans="1:9">
      <c r="A159" s="11" t="s">
        <v>1506</v>
      </c>
      <c r="B159" s="20" t="s">
        <v>1688</v>
      </c>
      <c r="C159" s="28" t="e">
        <f t="shared" ca="1" si="2"/>
        <v>#N/A</v>
      </c>
      <c r="F159" s="3">
        <v>220317</v>
      </c>
      <c r="G159" s="6">
        <v>3540009080</v>
      </c>
      <c r="H159" s="34" t="e">
        <f ca="1">[2]!a_eb("CDT,{P1},,2017013,,YA,,,","K=Acc_Code,F={P2},O=B",H$1,$F159)</f>
        <v>#NAME?</v>
      </c>
      <c r="I159" s="34" t="e">
        <f ca="1">[2]!a_eb("CDT,{P1},,2017013,,YA,,,","K=Acc_Code,F={P2},O=B",I$1,$F159)</f>
        <v>#NAME?</v>
      </c>
    </row>
    <row r="160" spans="1:9">
      <c r="A160" s="11" t="s">
        <v>1505</v>
      </c>
      <c r="B160" s="20" t="s">
        <v>1689</v>
      </c>
      <c r="C160" s="28" t="e">
        <f t="shared" ca="1" si="2"/>
        <v>#N/A</v>
      </c>
      <c r="F160" s="3">
        <v>220318</v>
      </c>
      <c r="G160" s="6">
        <v>3103000000</v>
      </c>
      <c r="H160" s="34" t="e">
        <f ca="1">[2]!a_eb("CDT,{P1},,2017013,,YA,,,","K=Acc_Code,F={P2},O=B",H$1,$F160)</f>
        <v>#NAME?</v>
      </c>
      <c r="I160" s="34" t="e">
        <f ca="1">[2]!a_eb("CDT,{P1},,2017013,,YA,,,","K=Acc_Code,F={P2},O=B",I$1,$F160)</f>
        <v>#NAME?</v>
      </c>
    </row>
    <row r="161" spans="1:9">
      <c r="A161" s="11">
        <v>2820042760</v>
      </c>
      <c r="B161" s="20" t="s">
        <v>1690</v>
      </c>
      <c r="C161" s="28" t="e">
        <f t="shared" ca="1" si="2"/>
        <v>#N/A</v>
      </c>
      <c r="F161" s="3">
        <v>220319</v>
      </c>
      <c r="G161" s="6">
        <v>3103001000</v>
      </c>
      <c r="H161" s="34" t="e">
        <f ca="1">[2]!a_eb("CDT,{P1},,2017013,,YA,,,","K=Acc_Code,F={P2},O=B",H$1,$F161)</f>
        <v>#NAME?</v>
      </c>
      <c r="I161" s="34" t="e">
        <f ca="1">[2]!a_eb("CDT,{P1},,2017013,,YA,,,","K=Acc_Code,F={P2},O=B",I$1,$F161)</f>
        <v>#NAME?</v>
      </c>
    </row>
    <row r="162" spans="1:9">
      <c r="A162" s="11">
        <v>2820042770</v>
      </c>
      <c r="B162" s="20" t="s">
        <v>1691</v>
      </c>
      <c r="C162" s="28" t="e">
        <f t="shared" ca="1" si="2"/>
        <v>#N/A</v>
      </c>
      <c r="F162" s="3">
        <v>220320</v>
      </c>
      <c r="G162" s="6">
        <v>4011000000</v>
      </c>
      <c r="H162" s="34" t="e">
        <f ca="1">[2]!a_eb("CDT,{P1},,2017013,,YA,,,","K=Acc_Code,F={P2},O=B",H$1,$F162)</f>
        <v>#NAME?</v>
      </c>
      <c r="I162" s="34" t="e">
        <f ca="1">[2]!a_eb("CDT,{P1},,2017013,,YA,,,","K=Acc_Code,F={P2},O=B",I$1,$F162)</f>
        <v>#NAME?</v>
      </c>
    </row>
    <row r="163" spans="1:9">
      <c r="A163" s="11">
        <v>2820042790</v>
      </c>
      <c r="B163" s="20" t="s">
        <v>1453</v>
      </c>
      <c r="C163" s="28" t="e">
        <f t="shared" ca="1" si="2"/>
        <v>#N/A</v>
      </c>
      <c r="F163" s="3">
        <v>220321</v>
      </c>
      <c r="G163" s="6">
        <v>3500000010</v>
      </c>
      <c r="H163" s="34" t="e">
        <f ca="1">[2]!a_eb("CDT,{P1},,2017013,,YA,,,","K=Acc_Code,F={P2},O=B",H$1,$F163)</f>
        <v>#NAME?</v>
      </c>
      <c r="I163" s="34" t="e">
        <f ca="1">[2]!a_eb("CDT,{P1},,2017013,,YA,,,","K=Acc_Code,F={P2},O=B",I$1,$F163)</f>
        <v>#NAME?</v>
      </c>
    </row>
    <row r="164" spans="1:9">
      <c r="A164" s="11" t="s">
        <v>1507</v>
      </c>
      <c r="B164" s="20" t="s">
        <v>1454</v>
      </c>
      <c r="C164" s="28" t="e">
        <f t="shared" ca="1" si="2"/>
        <v>#N/A</v>
      </c>
      <c r="F164" s="3">
        <v>220402</v>
      </c>
      <c r="G164" s="6">
        <v>3100000050</v>
      </c>
      <c r="H164" s="34" t="e">
        <f ca="1">[2]!a_eb("CDT,{P1},,2017013,,YA,,,","K=Acc_Code,F={P2},O=B",H$1,$F164)</f>
        <v>#NAME?</v>
      </c>
      <c r="I164" s="34" t="e">
        <f ca="1">[2]!a_eb("CDT,{P1},,2017013,,YA,,,","K=Acc_Code,F={P2},O=B",I$1,$F164)</f>
        <v>#NAME?</v>
      </c>
    </row>
    <row r="165" spans="1:9">
      <c r="A165" s="11" t="s">
        <v>1508</v>
      </c>
      <c r="B165" s="20" t="s">
        <v>1455</v>
      </c>
      <c r="C165" s="28" t="e">
        <f t="shared" ca="1" si="2"/>
        <v>#N/A</v>
      </c>
      <c r="F165" s="3">
        <v>23010101</v>
      </c>
      <c r="G165" s="3">
        <v>3710000001</v>
      </c>
      <c r="H165" s="34" t="e">
        <f ca="1">[2]!a_eb("CDT,{P1},,2017013,,YA,,,","K=Acc_Code,F={P2},O=B",H$1,$F165)</f>
        <v>#NAME?</v>
      </c>
      <c r="I165" s="34" t="e">
        <f ca="1">[2]!a_eb("CDT,{P1},,2017013,,YA,,,","K=Acc_Code,F={P2},O=B",I$1,$F165)</f>
        <v>#NAME?</v>
      </c>
    </row>
    <row r="166" spans="1:9">
      <c r="A166" s="11">
        <v>2820042820</v>
      </c>
      <c r="B166" s="20" t="s">
        <v>1456</v>
      </c>
      <c r="C166" s="28" t="e">
        <f t="shared" ca="1" si="2"/>
        <v>#N/A</v>
      </c>
      <c r="F166" s="3">
        <v>23010102</v>
      </c>
      <c r="G166" s="3">
        <v>3710000002</v>
      </c>
      <c r="H166" s="34" t="e">
        <f ca="1">[2]!a_eb("CDT,{P1},,2017013,,YA,,,","K=Acc_Code,F={P2},O=B",H$1,$F166)</f>
        <v>#NAME?</v>
      </c>
      <c r="I166" s="34" t="e">
        <f ca="1">[2]!a_eb("CDT,{P1},,2017013,,YA,,,","K=Acc_Code,F={P2},O=B",I$1,$F166)</f>
        <v>#NAME?</v>
      </c>
    </row>
    <row r="167" spans="1:9">
      <c r="A167" s="11">
        <v>2820042830</v>
      </c>
      <c r="B167" s="20" t="s">
        <v>1457</v>
      </c>
      <c r="C167" s="28" t="e">
        <f t="shared" ca="1" si="2"/>
        <v>#N/A</v>
      </c>
      <c r="F167" s="3">
        <v>23010104</v>
      </c>
      <c r="G167" s="3">
        <v>3710000003</v>
      </c>
      <c r="H167" s="34" t="e">
        <f ca="1">[2]!a_eb("CDT,{P1},,2017013,,YA,,,","K=Acc_Code,F={P2},O=B",H$1,$F167)</f>
        <v>#NAME?</v>
      </c>
      <c r="I167" s="34" t="e">
        <f ca="1">[2]!a_eb("CDT,{P1},,2017013,,YA,,,","K=Acc_Code,F={P2},O=B",I$1,$F167)</f>
        <v>#NAME?</v>
      </c>
    </row>
    <row r="168" spans="1:9">
      <c r="A168" s="11">
        <v>2820042720</v>
      </c>
      <c r="B168" s="20" t="s">
        <v>1458</v>
      </c>
      <c r="C168" s="28" t="e">
        <f t="shared" ca="1" si="2"/>
        <v>#N/A</v>
      </c>
      <c r="F168" s="3">
        <v>230102</v>
      </c>
      <c r="G168" s="3">
        <v>3710000000</v>
      </c>
      <c r="H168" s="34" t="e">
        <f ca="1">[2]!a_eb("CDT,{P1},,2017013,,YA,,,","K=Acc_Code,F={P2},O=B",H$1,$F168)</f>
        <v>#NAME?</v>
      </c>
      <c r="I168" s="34" t="e">
        <f ca="1">[2]!a_eb("CDT,{P1},,2017013,,YA,,,","K=Acc_Code,F={P2},O=B",I$1,$F168)</f>
        <v>#NAME?</v>
      </c>
    </row>
    <row r="169" spans="1:9">
      <c r="A169" s="11" t="s">
        <v>1505</v>
      </c>
      <c r="B169" s="20" t="s">
        <v>1459</v>
      </c>
      <c r="C169" s="28" t="e">
        <f t="shared" ca="1" si="2"/>
        <v>#N/A</v>
      </c>
      <c r="F169" s="3">
        <v>230103</v>
      </c>
      <c r="G169" s="3">
        <v>3710000100</v>
      </c>
      <c r="H169" s="34" t="e">
        <f ca="1">[2]!a_eb("CDT,{P1},,2017013,,YA,,,","K=Acc_Code,F={P2},O=B",H$1,$F169)</f>
        <v>#NAME?</v>
      </c>
      <c r="I169" s="34" t="e">
        <f ca="1">[2]!a_eb("CDT,{P1},,2017013,,YA,,,","K=Acc_Code,F={P2},O=B",I$1,$F169)</f>
        <v>#NAME?</v>
      </c>
    </row>
    <row r="170" spans="1:9">
      <c r="A170" s="11" t="s">
        <v>1507</v>
      </c>
      <c r="B170" s="20" t="s">
        <v>1460</v>
      </c>
      <c r="C170" s="28" t="e">
        <f t="shared" ca="1" si="2"/>
        <v>#N/A</v>
      </c>
      <c r="F170" s="3">
        <v>23020101</v>
      </c>
      <c r="G170" s="3">
        <v>4232100011</v>
      </c>
      <c r="H170" s="34" t="e">
        <f ca="1">[2]!a_eb("CDT,{P1},,2017013,,YA,,,","K=Acc_Code,F={P2},O=B",H$1,$F170)</f>
        <v>#NAME?</v>
      </c>
      <c r="I170" s="34" t="e">
        <f ca="1">[2]!a_eb("CDT,{P1},,2017013,,YA,,,","K=Acc_Code,F={P2},O=B",I$1,$F170)</f>
        <v>#NAME?</v>
      </c>
    </row>
    <row r="171" spans="1:9">
      <c r="A171" s="11" t="s">
        <v>1506</v>
      </c>
      <c r="B171" s="20" t="s">
        <v>1461</v>
      </c>
      <c r="C171" s="28" t="e">
        <f t="shared" ca="1" si="2"/>
        <v>#N/A</v>
      </c>
      <c r="F171" s="3">
        <v>23020104</v>
      </c>
      <c r="G171" s="3">
        <v>4200000160</v>
      </c>
      <c r="H171" s="34" t="e">
        <f ca="1">[2]!a_eb("CDT,{P1},,2017013,,YA,,,","K=Acc_Code,F={P2},O=B",H$1,$F171)</f>
        <v>#NAME?</v>
      </c>
      <c r="I171" s="34" t="e">
        <f ca="1">[2]!a_eb("CDT,{P1},,2017013,,YA,,,","K=Acc_Code,F={P2},O=B",I$1,$F171)</f>
        <v>#NAME?</v>
      </c>
    </row>
    <row r="172" spans="1:9">
      <c r="A172" s="11" t="s">
        <v>1508</v>
      </c>
      <c r="B172" s="20" t="s">
        <v>1462</v>
      </c>
      <c r="C172" s="28" t="e">
        <f t="shared" ca="1" si="2"/>
        <v>#N/A</v>
      </c>
      <c r="F172" s="3">
        <v>23020105</v>
      </c>
      <c r="G172" s="3">
        <v>4200000161</v>
      </c>
      <c r="H172" s="34" t="e">
        <f ca="1">[2]!a_eb("CDT,{P1},,2017013,,YA,,,","K=Acc_Code,F={P2},O=B",H$1,$F172)</f>
        <v>#NAME?</v>
      </c>
      <c r="I172" s="34" t="e">
        <f ca="1">[2]!a_eb("CDT,{P1},,2017013,,YA,,,","K=Acc_Code,F={P2},O=B",I$1,$F172)</f>
        <v>#NAME?</v>
      </c>
    </row>
    <row r="173" spans="1:9">
      <c r="A173" s="11">
        <v>2820042080</v>
      </c>
      <c r="B173" s="20" t="s">
        <v>1463</v>
      </c>
      <c r="C173" s="28" t="e">
        <f t="shared" ca="1" si="2"/>
        <v>#N/A</v>
      </c>
      <c r="F173" s="3">
        <v>23020107</v>
      </c>
      <c r="G173" s="3">
        <v>4200000140</v>
      </c>
      <c r="H173" s="34" t="e">
        <f ca="1">[2]!a_eb("CDT,{P1},,2017013,,YA,,,","K=Acc_Code,F={P2},O=B",H$1,$F173)</f>
        <v>#NAME?</v>
      </c>
      <c r="I173" s="34" t="e">
        <f ca="1">[2]!a_eb("CDT,{P1},,2017013,,YA,,,","K=Acc_Code,F={P2},O=B",I$1,$F173)</f>
        <v>#NAME?</v>
      </c>
    </row>
    <row r="174" spans="1:9">
      <c r="A174" s="11" t="s">
        <v>1508</v>
      </c>
      <c r="B174" s="20" t="s">
        <v>1464</v>
      </c>
      <c r="C174" s="28" t="e">
        <f t="shared" ca="1" si="2"/>
        <v>#N/A</v>
      </c>
      <c r="F174" s="3">
        <v>23020109</v>
      </c>
      <c r="G174" s="3">
        <v>4200000162</v>
      </c>
      <c r="H174" s="34" t="e">
        <f ca="1">[2]!a_eb("CDT,{P1},,2017013,,YA,,,","K=Acc_Code,F={P2},O=B",H$1,$F174)</f>
        <v>#NAME?</v>
      </c>
      <c r="I174" s="34" t="e">
        <f ca="1">[2]!a_eb("CDT,{P1},,2017013,,YA,,,","K=Acc_Code,F={P2},O=B",I$1,$F174)</f>
        <v>#NAME?</v>
      </c>
    </row>
    <row r="175" spans="1:9">
      <c r="A175" s="11">
        <v>2820042310</v>
      </c>
      <c r="B175" s="20" t="s">
        <v>1465</v>
      </c>
      <c r="C175" s="28" t="e">
        <f t="shared" ca="1" si="2"/>
        <v>#N/A</v>
      </c>
      <c r="F175" s="3">
        <v>2302020101</v>
      </c>
      <c r="G175" s="3">
        <v>4200000150</v>
      </c>
      <c r="H175" s="34" t="e">
        <f ca="1">[2]!a_eb("CDT,{P1},,2017013,,YA,,,","K=Acc_Code,F={P2},O=B",H$1,$F175)</f>
        <v>#NAME?</v>
      </c>
      <c r="I175" s="34" t="e">
        <f ca="1">[2]!a_eb("CDT,{P1},,2017013,,YA,,,","K=Acc_Code,F={P2},O=B",I$1,$F175)</f>
        <v>#NAME?</v>
      </c>
    </row>
    <row r="176" spans="1:9">
      <c r="A176" s="11">
        <v>2820042290</v>
      </c>
      <c r="B176" s="20" t="s">
        <v>1466</v>
      </c>
      <c r="C176" s="28" t="e">
        <f t="shared" ca="1" si="2"/>
        <v>#N/A</v>
      </c>
      <c r="F176" s="3">
        <v>2302020102</v>
      </c>
      <c r="G176" s="3">
        <v>4200000151</v>
      </c>
      <c r="H176" s="34" t="e">
        <f ca="1">[2]!a_eb("CDT,{P1},,2017013,,YA,,,","K=Acc_Code,F={P2},O=B",H$1,$F176)</f>
        <v>#NAME?</v>
      </c>
      <c r="I176" s="34" t="e">
        <f ca="1">[2]!a_eb("CDT,{P1},,2017013,,YA,,,","K=Acc_Code,F={P2},O=B",I$1,$F176)</f>
        <v>#NAME?</v>
      </c>
    </row>
    <row r="177" spans="1:9">
      <c r="A177" s="11">
        <v>2820042240</v>
      </c>
      <c r="B177" s="20" t="s">
        <v>1467</v>
      </c>
      <c r="C177" s="28" t="e">
        <f t="shared" ca="1" si="2"/>
        <v>#N/A</v>
      </c>
      <c r="F177" s="3">
        <v>23020202</v>
      </c>
      <c r="G177" s="3">
        <v>4200000152</v>
      </c>
      <c r="H177" s="34" t="e">
        <f ca="1">[2]!a_eb("CDT,{P1},,2017013,,YA,,,","K=Acc_Code,F={P2},O=B",H$1,$F177)</f>
        <v>#NAME?</v>
      </c>
      <c r="I177" s="34" t="e">
        <f ca="1">[2]!a_eb("CDT,{P1},,2017013,,YA,,,","K=Acc_Code,F={P2},O=B",I$1,$F177)</f>
        <v>#NAME?</v>
      </c>
    </row>
    <row r="178" spans="1:9">
      <c r="A178" s="11" t="s">
        <v>1497</v>
      </c>
      <c r="B178" s="20" t="s">
        <v>1468</v>
      </c>
      <c r="C178" s="28" t="e">
        <f t="shared" ca="1" si="2"/>
        <v>#N/A</v>
      </c>
      <c r="F178" s="3">
        <v>23020203</v>
      </c>
      <c r="G178" s="3">
        <v>4200000153</v>
      </c>
      <c r="H178" s="34" t="e">
        <f ca="1">[2]!a_eb("CDT,{P1},,2017013,,YA,,,","K=Acc_Code,F={P2},O=B",H$1,$F178)</f>
        <v>#NAME?</v>
      </c>
      <c r="I178" s="34" t="e">
        <f ca="1">[2]!a_eb("CDT,{P1},,2017013,,YA,,,","K=Acc_Code,F={P2},O=B",I$1,$F178)</f>
        <v>#NAME?</v>
      </c>
    </row>
    <row r="179" spans="1:9">
      <c r="A179" s="11">
        <v>2820042490</v>
      </c>
      <c r="B179" s="20" t="s">
        <v>1469</v>
      </c>
      <c r="C179" s="28" t="e">
        <f t="shared" ca="1" si="2"/>
        <v>#N/A</v>
      </c>
      <c r="F179" s="3">
        <v>23020205</v>
      </c>
      <c r="G179" s="3">
        <v>4200000154</v>
      </c>
      <c r="H179" s="34" t="e">
        <f ca="1">[2]!a_eb("CDT,{P1},,2017013,,YA,,,","K=Acc_Code,F={P2},O=B",H$1,$F179)</f>
        <v>#NAME?</v>
      </c>
      <c r="I179" s="34" t="e">
        <f ca="1">[2]!a_eb("CDT,{P1},,2017013,,YA,,,","K=Acc_Code,F={P2},O=B",I$1,$F179)</f>
        <v>#NAME?</v>
      </c>
    </row>
    <row r="180" spans="1:9">
      <c r="A180" s="11" t="s">
        <v>1497</v>
      </c>
      <c r="B180" s="20" t="s">
        <v>1470</v>
      </c>
      <c r="C180" s="28" t="e">
        <f t="shared" ca="1" si="2"/>
        <v>#N/A</v>
      </c>
      <c r="F180" s="3">
        <v>23020206</v>
      </c>
      <c r="G180" s="3">
        <v>4200000155</v>
      </c>
      <c r="H180" s="34" t="e">
        <f ca="1">[2]!a_eb("CDT,{P1},,2017013,,YA,,,","K=Acc_Code,F={P2},O=B",H$1,$F180)</f>
        <v>#NAME?</v>
      </c>
      <c r="I180" s="34" t="e">
        <f ca="1">[2]!a_eb("CDT,{P1},,2017013,,YA,,,","K=Acc_Code,F={P2},O=B",I$1,$F180)</f>
        <v>#NAME?</v>
      </c>
    </row>
    <row r="181" spans="1:9">
      <c r="A181" s="11">
        <v>2820040080</v>
      </c>
      <c r="B181" s="20" t="s">
        <v>1471</v>
      </c>
      <c r="C181" s="28" t="e">
        <f t="shared" ca="1" si="2"/>
        <v>#N/A</v>
      </c>
      <c r="F181" s="3">
        <v>23020207</v>
      </c>
      <c r="G181" s="3">
        <v>4200000156</v>
      </c>
      <c r="H181" s="34" t="e">
        <f ca="1">[2]!a_eb("CDT,{P1},,2017013,,YA,,,","K=Acc_Code,F={P2},O=B",H$1,$F181)</f>
        <v>#NAME?</v>
      </c>
      <c r="I181" s="34" t="e">
        <f ca="1">[2]!a_eb("CDT,{P1},,2017013,,YA,,,","K=Acc_Code,F={P2},O=B",I$1,$F181)</f>
        <v>#NAME?</v>
      </c>
    </row>
    <row r="182" spans="1:9">
      <c r="A182" s="11" t="s">
        <v>1509</v>
      </c>
      <c r="B182" s="20" t="s">
        <v>1472</v>
      </c>
      <c r="C182" s="28" t="e">
        <f t="shared" ca="1" si="2"/>
        <v>#N/A</v>
      </c>
      <c r="F182" s="3">
        <v>23020208</v>
      </c>
      <c r="G182" s="3">
        <v>4203000000</v>
      </c>
      <c r="H182" s="34" t="e">
        <f ca="1">[2]!a_eb("CDT,{P1},,2017013,,YA,,,","K=Acc_Code,F={P2},O=B",H$1,$F182)</f>
        <v>#NAME?</v>
      </c>
      <c r="I182" s="34" t="e">
        <f ca="1">[2]!a_eb("CDT,{P1},,2017013,,YA,,,","K=Acc_Code,F={P2},O=B",I$1,$F182)</f>
        <v>#NAME?</v>
      </c>
    </row>
    <row r="183" spans="1:9">
      <c r="A183" s="11" t="s">
        <v>1509</v>
      </c>
      <c r="B183" s="20" t="s">
        <v>1473</v>
      </c>
      <c r="C183" s="28" t="e">
        <f t="shared" ca="1" si="2"/>
        <v>#N/A</v>
      </c>
      <c r="F183" s="3">
        <v>230301</v>
      </c>
      <c r="G183" s="3">
        <v>4210001500</v>
      </c>
      <c r="H183" s="34" t="e">
        <f ca="1">[2]!a_eb("CDT,{P1},,2017013,,YA,,,","K=Acc_Code,F={P2},O=B",H$1,$F183)</f>
        <v>#NAME?</v>
      </c>
      <c r="I183" s="34" t="e">
        <f ca="1">[2]!a_eb("CDT,{P1},,2017013,,YA,,,","K=Acc_Code,F={P2},O=B",I$1,$F183)</f>
        <v>#NAME?</v>
      </c>
    </row>
    <row r="184" spans="1:9">
      <c r="A184" s="11" t="s">
        <v>1509</v>
      </c>
      <c r="B184" s="20" t="s">
        <v>1474</v>
      </c>
      <c r="C184" s="28" t="e">
        <f t="shared" ca="1" si="2"/>
        <v>#N/A</v>
      </c>
      <c r="F184" s="3">
        <v>230302</v>
      </c>
      <c r="G184" s="3">
        <v>4212001500</v>
      </c>
      <c r="H184" s="34" t="e">
        <f ca="1">[2]!a_eb("CDT,{P1},,2017013,,YA,,,","K=Acc_Code,F={P2},O=B",H$1,$F184)</f>
        <v>#NAME?</v>
      </c>
      <c r="I184" s="34" t="e">
        <f ca="1">[2]!a_eb("CDT,{P1},,2017013,,YA,,,","K=Acc_Code,F={P2},O=B",I$1,$F184)</f>
        <v>#NAME?</v>
      </c>
    </row>
    <row r="185" spans="1:9">
      <c r="A185" s="11" t="s">
        <v>1509</v>
      </c>
      <c r="B185" s="20" t="s">
        <v>1475</v>
      </c>
      <c r="C185" s="28" t="e">
        <f t="shared" ca="1" si="2"/>
        <v>#N/A</v>
      </c>
      <c r="F185" s="3">
        <v>23040101</v>
      </c>
      <c r="G185" s="3">
        <v>4201001500</v>
      </c>
      <c r="H185" s="34" t="e">
        <f ca="1">[2]!a_eb("CDT,{P1},,2017013,,YA,,,","K=Acc_Code,F={P2},O=B",H$1,$F185)</f>
        <v>#NAME?</v>
      </c>
      <c r="I185" s="34" t="e">
        <f ca="1">[2]!a_eb("CDT,{P1},,2017013,,YA,,,","K=Acc_Code,F={P2},O=B",I$1,$F185)</f>
        <v>#NAME?</v>
      </c>
    </row>
    <row r="186" spans="1:9">
      <c r="A186" s="11">
        <v>2820042640</v>
      </c>
      <c r="B186" s="20" t="s">
        <v>1476</v>
      </c>
      <c r="C186" s="28" t="e">
        <f t="shared" ca="1" si="2"/>
        <v>#N/A</v>
      </c>
      <c r="F186" s="3">
        <v>23040102</v>
      </c>
      <c r="G186" s="3">
        <v>4201001501</v>
      </c>
      <c r="H186" s="34" t="e">
        <f ca="1">[2]!a_eb("CDT,{P1},,2017013,,YA,,,","K=Acc_Code,F={P2},O=B",H$1,$F186)</f>
        <v>#NAME?</v>
      </c>
      <c r="I186" s="34" t="e">
        <f ca="1">[2]!a_eb("CDT,{P1},,2017013,,YA,,,","K=Acc_Code,F={P2},O=B",I$1,$F186)</f>
        <v>#NAME?</v>
      </c>
    </row>
    <row r="187" spans="1:9">
      <c r="A187" s="11">
        <v>2820045040</v>
      </c>
      <c r="B187" s="20" t="s">
        <v>1477</v>
      </c>
      <c r="C187" s="28" t="e">
        <f t="shared" ca="1" si="2"/>
        <v>#N/A</v>
      </c>
      <c r="F187" s="3">
        <v>23040103</v>
      </c>
      <c r="G187" s="3">
        <v>4201001502</v>
      </c>
      <c r="H187" s="34" t="e">
        <f ca="1">[2]!a_eb("CDT,{P1},,2017013,,YA,,,","K=Acc_Code,F={P2},O=B",H$1,$F187)</f>
        <v>#NAME?</v>
      </c>
      <c r="I187" s="34" t="e">
        <f ca="1">[2]!a_eb("CDT,{P1},,2017013,,YA,,,","K=Acc_Code,F={P2},O=B",I$1,$F187)</f>
        <v>#NAME?</v>
      </c>
    </row>
    <row r="188" spans="1:9">
      <c r="A188" s="11">
        <v>2820040080</v>
      </c>
      <c r="B188" s="20" t="s">
        <v>1478</v>
      </c>
      <c r="C188" s="28" t="e">
        <f t="shared" ca="1" si="2"/>
        <v>#N/A</v>
      </c>
      <c r="F188" s="3">
        <v>23040104</v>
      </c>
      <c r="G188" s="3">
        <v>4230042120</v>
      </c>
      <c r="H188" s="34" t="e">
        <f ca="1">[2]!a_eb("CDT,{P1},,2017013,,YA,,,","K=Acc_Code,F={P2},O=B",H$1,$F188)</f>
        <v>#NAME?</v>
      </c>
      <c r="I188" s="34" t="e">
        <f ca="1">[2]!a_eb("CDT,{P1},,2017013,,YA,,,","K=Acc_Code,F={P2},O=B",I$1,$F188)</f>
        <v>#NAME?</v>
      </c>
    </row>
    <row r="189" spans="1:9">
      <c r="A189" s="11">
        <v>2820040080</v>
      </c>
      <c r="B189" s="20" t="s">
        <v>1479</v>
      </c>
      <c r="C189" s="28" t="e">
        <f t="shared" ca="1" si="2"/>
        <v>#N/A</v>
      </c>
      <c r="F189" s="3">
        <v>23040106</v>
      </c>
      <c r="G189" s="3">
        <v>4201001510</v>
      </c>
      <c r="H189" s="34" t="e">
        <f ca="1">[2]!a_eb("CDT,{P1},,2017013,,YA,,,","K=Acc_Code,F={P2},O=B",H$1,$F189)</f>
        <v>#NAME?</v>
      </c>
      <c r="I189" s="34" t="e">
        <f ca="1">[2]!a_eb("CDT,{P1},,2017013,,YA,,,","K=Acc_Code,F={P2},O=B",I$1,$F189)</f>
        <v>#NAME?</v>
      </c>
    </row>
    <row r="190" spans="1:9">
      <c r="A190" s="11">
        <v>2820040080</v>
      </c>
      <c r="B190" s="20" t="s">
        <v>1480</v>
      </c>
      <c r="C190" s="28" t="e">
        <f t="shared" ca="1" si="2"/>
        <v>#N/A</v>
      </c>
      <c r="F190" s="3">
        <v>23040107</v>
      </c>
      <c r="G190" s="3">
        <v>4201001511</v>
      </c>
      <c r="H190" s="34" t="e">
        <f ca="1">[2]!a_eb("CDT,{P1},,2017013,,YA,,,","K=Acc_Code,F={P2},O=B",H$1,$F190)</f>
        <v>#NAME?</v>
      </c>
      <c r="I190" s="34" t="e">
        <f ca="1">[2]!a_eb("CDT,{P1},,2017013,,YA,,,","K=Acc_Code,F={P2},O=B",I$1,$F190)</f>
        <v>#NAME?</v>
      </c>
    </row>
    <row r="191" spans="1:9">
      <c r="A191" s="11">
        <v>2820040080</v>
      </c>
      <c r="B191" s="20" t="s">
        <v>1481</v>
      </c>
      <c r="C191" s="28" t="e">
        <f t="shared" ca="1" si="2"/>
        <v>#N/A</v>
      </c>
      <c r="F191" s="3">
        <v>23040108</v>
      </c>
      <c r="G191" s="3">
        <v>4230042121</v>
      </c>
      <c r="H191" s="34" t="e">
        <f ca="1">[2]!a_eb("CDT,{P1},,2017013,,YA,,,","K=Acc_Code,F={P2},O=B",H$1,$F191)</f>
        <v>#NAME?</v>
      </c>
      <c r="I191" s="34" t="e">
        <f ca="1">[2]!a_eb("CDT,{P1},,2017013,,YA,,,","K=Acc_Code,F={P2},O=B",I$1,$F191)</f>
        <v>#NAME?</v>
      </c>
    </row>
    <row r="192" spans="1:9">
      <c r="A192" s="11">
        <v>2820040080</v>
      </c>
      <c r="B192" s="20" t="s">
        <v>1482</v>
      </c>
      <c r="C192" s="28" t="e">
        <f t="shared" ca="1" si="2"/>
        <v>#N/A</v>
      </c>
      <c r="F192" s="3">
        <v>23040201</v>
      </c>
      <c r="G192" s="3">
        <v>4201001503</v>
      </c>
      <c r="H192" s="34" t="e">
        <f ca="1">[2]!a_eb("CDT,{P1},,2017013,,YA,,,","K=Acc_Code,F={P2},O=B",H$1,$F192)</f>
        <v>#NAME?</v>
      </c>
      <c r="I192" s="34" t="e">
        <f ca="1">[2]!a_eb("CDT,{P1},,2017013,,YA,,,","K=Acc_Code,F={P2},O=B",I$1,$F192)</f>
        <v>#NAME?</v>
      </c>
    </row>
    <row r="193" spans="1:9">
      <c r="A193" s="11">
        <v>2820040080</v>
      </c>
      <c r="B193" s="20" t="s">
        <v>1483</v>
      </c>
      <c r="C193" s="28" t="e">
        <f t="shared" ca="1" si="2"/>
        <v>#N/A</v>
      </c>
      <c r="F193" s="3">
        <v>23040202</v>
      </c>
      <c r="G193" s="3">
        <v>4230042122</v>
      </c>
      <c r="H193" s="34" t="e">
        <f ca="1">[2]!a_eb("CDT,{P1},,2017013,,YA,,,","K=Acc_Code,F={P2},O=B",H$1,$F193)</f>
        <v>#NAME?</v>
      </c>
      <c r="I193" s="34" t="e">
        <f ca="1">[2]!a_eb("CDT,{P1},,2017013,,YA,,,","K=Acc_Code,F={P2},O=B",I$1,$F193)</f>
        <v>#NAME?</v>
      </c>
    </row>
    <row r="194" spans="1:9">
      <c r="A194" s="11">
        <v>2820130100</v>
      </c>
      <c r="B194" s="20" t="s">
        <v>1692</v>
      </c>
      <c r="C194" s="28" t="e">
        <f t="shared" ca="1" si="2"/>
        <v>#N/A</v>
      </c>
      <c r="F194" s="3">
        <v>23040203</v>
      </c>
      <c r="G194" s="3">
        <v>4201001504</v>
      </c>
      <c r="H194" s="34" t="e">
        <f ca="1">[2]!a_eb("CDT,{P1},,2017013,,YA,,,","K=Acc_Code,F={P2},O=B",H$1,$F194)</f>
        <v>#NAME?</v>
      </c>
      <c r="I194" s="34" t="e">
        <f ca="1">[2]!a_eb("CDT,{P1},,2017013,,YA,,,","K=Acc_Code,F={P2},O=B",I$1,$F194)</f>
        <v>#NAME?</v>
      </c>
    </row>
    <row r="195" spans="1:9">
      <c r="A195" s="11" t="s">
        <v>1497</v>
      </c>
      <c r="B195" s="20" t="s">
        <v>1693</v>
      </c>
      <c r="C195" s="28" t="e">
        <f t="shared" ca="1" si="2"/>
        <v>#N/A</v>
      </c>
      <c r="F195" s="3">
        <v>23040204</v>
      </c>
      <c r="G195" s="3">
        <v>4201001505</v>
      </c>
      <c r="H195" s="34" t="e">
        <f ca="1">[2]!a_eb("CDT,{P1},,2017013,,YA,,,","K=Acc_Code,F={P2},O=B",H$1,$F195)</f>
        <v>#NAME?</v>
      </c>
      <c r="I195" s="34" t="e">
        <f ca="1">[2]!a_eb("CDT,{P1},,2017013,,YA,,,","K=Acc_Code,F={P2},O=B",I$1,$F195)</f>
        <v>#NAME?</v>
      </c>
    </row>
    <row r="196" spans="1:9">
      <c r="A196" s="11">
        <v>2820130080</v>
      </c>
      <c r="B196" s="20" t="s">
        <v>1694</v>
      </c>
      <c r="C196" s="28" t="e">
        <f t="shared" ca="1" si="2"/>
        <v>#N/A</v>
      </c>
      <c r="F196" s="3">
        <v>23040205</v>
      </c>
      <c r="G196" s="3">
        <v>4201001506</v>
      </c>
      <c r="H196" s="34" t="e">
        <f ca="1">[2]!a_eb("CDT,{P1},,2017013,,YA,,,","K=Acc_Code,F={P2},O=B",H$1,$F196)</f>
        <v>#NAME?</v>
      </c>
      <c r="I196" s="34" t="e">
        <f ca="1">[2]!a_eb("CDT,{P1},,2017013,,YA,,,","K=Acc_Code,F={P2},O=B",I$1,$F196)</f>
        <v>#NAME?</v>
      </c>
    </row>
    <row r="197" spans="1:9">
      <c r="A197" s="11">
        <v>2820130080</v>
      </c>
      <c r="B197" s="20" t="s">
        <v>1695</v>
      </c>
      <c r="C197" s="28" t="e">
        <f t="shared" ca="1" si="2"/>
        <v>#N/A</v>
      </c>
      <c r="F197" s="3">
        <v>23040206</v>
      </c>
      <c r="G197" s="3">
        <v>4201001507</v>
      </c>
      <c r="H197" s="34" t="e">
        <f ca="1">[2]!a_eb("CDT,{P1},,2017013,,YA,,,","K=Acc_Code,F={P2},O=B",H$1,$F197)</f>
        <v>#NAME?</v>
      </c>
      <c r="I197" s="34" t="e">
        <f ca="1">[2]!a_eb("CDT,{P1},,2017013,,YA,,,","K=Acc_Code,F={P2},O=B",I$1,$F197)</f>
        <v>#NAME?</v>
      </c>
    </row>
    <row r="198" spans="1:9">
      <c r="A198" s="11">
        <v>2820130040</v>
      </c>
      <c r="B198" s="20" t="s">
        <v>1696</v>
      </c>
      <c r="C198" s="28" t="e">
        <f t="shared" ca="1" si="2"/>
        <v>#N/A</v>
      </c>
      <c r="F198" s="3">
        <v>230403</v>
      </c>
      <c r="G198" s="3">
        <v>4243000200</v>
      </c>
      <c r="H198" s="34" t="e">
        <f ca="1">[2]!a_eb("CDT,{P1},,2017013,,YA,,,","K=Acc_Code,F={P2},O=B",H$1,$F198)</f>
        <v>#NAME?</v>
      </c>
      <c r="I198" s="34" t="e">
        <f ca="1">[2]!a_eb("CDT,{P1},,2017013,,YA,,,","K=Acc_Code,F={P2},O=B",I$1,$F198)</f>
        <v>#NAME?</v>
      </c>
    </row>
    <row r="199" spans="1:9">
      <c r="A199" s="11">
        <v>2820130080</v>
      </c>
      <c r="B199" s="20" t="s">
        <v>1697</v>
      </c>
      <c r="C199" s="28" t="e">
        <f t="shared" ref="C199:C262" ca="1" si="3">VLOOKUP(B199,F:G,2,0)</f>
        <v>#N/A</v>
      </c>
      <c r="F199" s="3">
        <v>23050103</v>
      </c>
      <c r="G199" s="3">
        <v>4202001501</v>
      </c>
      <c r="H199" s="34" t="e">
        <f ca="1">[2]!a_eb("CDT,{P1},,2017013,,YA,,,","K=Acc_Code,F={P2},O=B",H$1,$F199)</f>
        <v>#NAME?</v>
      </c>
      <c r="I199" s="34" t="e">
        <f ca="1">[2]!a_eb("CDT,{P1},,2017013,,YA,,,","K=Acc_Code,F={P2},O=B",I$1,$F199)</f>
        <v>#NAME?</v>
      </c>
    </row>
    <row r="200" spans="1:9">
      <c r="A200" s="11">
        <v>2820130090</v>
      </c>
      <c r="B200" s="20" t="s">
        <v>1698</v>
      </c>
      <c r="C200" s="28" t="e">
        <f t="shared" ca="1" si="3"/>
        <v>#N/A</v>
      </c>
      <c r="F200" s="3">
        <v>23050104</v>
      </c>
      <c r="G200" s="3">
        <v>4202001509</v>
      </c>
      <c r="H200" s="34" t="e">
        <f ca="1">[2]!a_eb("CDT,{P1},,2017013,,YA,,,","K=Acc_Code,F={P2},O=B",H$1,$F200)</f>
        <v>#NAME?</v>
      </c>
      <c r="I200" s="34" t="e">
        <f ca="1">[2]!a_eb("CDT,{P1},,2017013,,YA,,,","K=Acc_Code,F={P2},O=B",I$1,$F200)</f>
        <v>#NAME?</v>
      </c>
    </row>
    <row r="201" spans="1:9">
      <c r="A201" s="11">
        <v>2820130090</v>
      </c>
      <c r="B201" s="20" t="s">
        <v>1699</v>
      </c>
      <c r="C201" s="28" t="e">
        <f t="shared" ca="1" si="3"/>
        <v>#N/A</v>
      </c>
      <c r="F201" s="3">
        <v>23050201</v>
      </c>
      <c r="G201" s="3">
        <v>4202001502</v>
      </c>
      <c r="H201" s="34" t="e">
        <f ca="1">[2]!a_eb("CDT,{P1},,2017013,,YA,,,","K=Acc_Code,F={P2},O=B",H$1,$F201)</f>
        <v>#NAME?</v>
      </c>
      <c r="I201" s="34" t="e">
        <f ca="1">[2]!a_eb("CDT,{P1},,2017013,,YA,,,","K=Acc_Code,F={P2},O=B",I$1,$F201)</f>
        <v>#NAME?</v>
      </c>
    </row>
    <row r="202" spans="1:9">
      <c r="A202" s="11">
        <v>2820130080</v>
      </c>
      <c r="B202" s="20" t="s">
        <v>1700</v>
      </c>
      <c r="C202" s="28" t="e">
        <f t="shared" ca="1" si="3"/>
        <v>#N/A</v>
      </c>
      <c r="F202" s="3">
        <v>23050203</v>
      </c>
      <c r="G202" s="3">
        <v>4202001503</v>
      </c>
      <c r="H202" s="34" t="e">
        <f ca="1">[2]!a_eb("CDT,{P1},,2017013,,YA,,,","K=Acc_Code,F={P2},O=B",H$1,$F202)</f>
        <v>#NAME?</v>
      </c>
      <c r="I202" s="34" t="e">
        <f ca="1">[2]!a_eb("CDT,{P1},,2017013,,YA,,,","K=Acc_Code,F={P2},O=B",I$1,$F202)</f>
        <v>#NAME?</v>
      </c>
    </row>
    <row r="203" spans="1:9">
      <c r="A203" s="11">
        <v>2820130090</v>
      </c>
      <c r="B203" s="20" t="s">
        <v>1701</v>
      </c>
      <c r="C203" s="28" t="e">
        <f t="shared" ca="1" si="3"/>
        <v>#N/A</v>
      </c>
      <c r="F203" s="3">
        <v>23050204</v>
      </c>
      <c r="G203" s="3">
        <v>4202001504</v>
      </c>
      <c r="H203" s="34" t="e">
        <f ca="1">[2]!a_eb("CDT,{P1},,2017013,,YA,,,","K=Acc_Code,F={P2},O=B",H$1,$F203)</f>
        <v>#NAME?</v>
      </c>
      <c r="I203" s="34" t="e">
        <f ca="1">[2]!a_eb("CDT,{P1},,2017013,,YA,,,","K=Acc_Code,F={P2},O=B",I$1,$F203)</f>
        <v>#NAME?</v>
      </c>
    </row>
    <row r="204" spans="1:9">
      <c r="A204" s="11">
        <v>2820130080</v>
      </c>
      <c r="B204" s="20" t="s">
        <v>1702</v>
      </c>
      <c r="C204" s="28" t="e">
        <f t="shared" ca="1" si="3"/>
        <v>#N/A</v>
      </c>
      <c r="F204" s="3" t="s">
        <v>1484</v>
      </c>
      <c r="G204" s="3">
        <v>4202001505</v>
      </c>
      <c r="H204" s="34" t="e">
        <f ca="1">[2]!a_eb("CDT,{P1},,2017013,,YA,,,","K=Acc_Code,F={P2},O=B",H$1,$F204)</f>
        <v>#NAME?</v>
      </c>
      <c r="I204" s="34" t="e">
        <f ca="1">[2]!a_eb("CDT,{P1},,2017013,,YA,,,","K=Acc_Code,F={P2},O=B",I$1,$F204)</f>
        <v>#NAME?</v>
      </c>
    </row>
    <row r="205" spans="1:9">
      <c r="A205" s="11">
        <v>2820130090</v>
      </c>
      <c r="B205" s="20" t="s">
        <v>1703</v>
      </c>
      <c r="C205" s="28" t="e">
        <f t="shared" ca="1" si="3"/>
        <v>#N/A</v>
      </c>
      <c r="F205" s="3">
        <v>23050301</v>
      </c>
      <c r="G205" s="3">
        <v>4202001506</v>
      </c>
      <c r="H205" s="34" t="e">
        <f ca="1">[2]!a_eb("CDT,{P1},,2017013,,YA,,,","K=Acc_Code,F={P2},O=B",H$1,$F205)</f>
        <v>#NAME?</v>
      </c>
      <c r="I205" s="34" t="e">
        <f ca="1">[2]!a_eb("CDT,{P1},,2017013,,YA,,,","K=Acc_Code,F={P2},O=B",I$1,$F205)</f>
        <v>#NAME?</v>
      </c>
    </row>
    <row r="206" spans="1:9">
      <c r="A206" s="11">
        <v>2820130110</v>
      </c>
      <c r="B206" s="20" t="s">
        <v>1704</v>
      </c>
      <c r="C206" s="28" t="e">
        <f t="shared" ca="1" si="3"/>
        <v>#N/A</v>
      </c>
      <c r="F206" s="3">
        <v>23050303</v>
      </c>
      <c r="G206" s="3">
        <v>4202001507</v>
      </c>
      <c r="H206" s="34" t="e">
        <f ca="1">[2]!a_eb("CDT,{P1},,2017013,,YA,,,","K=Acc_Code,F={P2},O=B",H$1,$F206)</f>
        <v>#NAME?</v>
      </c>
      <c r="I206" s="34" t="e">
        <f ca="1">[2]!a_eb("CDT,{P1},,2017013,,YA,,,","K=Acc_Code,F={P2},O=B",I$1,$F206)</f>
        <v>#NAME?</v>
      </c>
    </row>
    <row r="207" spans="1:9">
      <c r="A207" s="11">
        <v>2820130090</v>
      </c>
      <c r="B207" s="20" t="s">
        <v>1705</v>
      </c>
      <c r="C207" s="28" t="e">
        <f t="shared" ca="1" si="3"/>
        <v>#N/A</v>
      </c>
      <c r="F207" s="3">
        <v>23050304</v>
      </c>
      <c r="G207" s="3">
        <v>4202001508</v>
      </c>
      <c r="H207" s="34" t="e">
        <f ca="1">[2]!a_eb("CDT,{P1},,2017013,,YA,,,","K=Acc_Code,F={P2},O=B",H$1,$F207)</f>
        <v>#NAME?</v>
      </c>
      <c r="I207" s="34" t="e">
        <f ca="1">[2]!a_eb("CDT,{P1},,2017013,,YA,,,","K=Acc_Code,F={P2},O=B",I$1,$F207)</f>
        <v>#NAME?</v>
      </c>
    </row>
    <row r="208" spans="1:9">
      <c r="A208" s="11">
        <v>2820130080</v>
      </c>
      <c r="B208" s="20" t="s">
        <v>1706</v>
      </c>
      <c r="C208" s="28" t="e">
        <f t="shared" ca="1" si="3"/>
        <v>#N/A</v>
      </c>
      <c r="F208" s="3" t="s">
        <v>1484</v>
      </c>
      <c r="G208" s="3">
        <v>4202001515</v>
      </c>
      <c r="H208" s="34" t="e">
        <f ca="1">[2]!a_eb("CDT,{P1},,2017013,,YA,,,","K=Acc_Code,F={P2},O=B",H$1,$F208)</f>
        <v>#NAME?</v>
      </c>
      <c r="I208" s="34" t="e">
        <f ca="1">[2]!a_eb("CDT,{P1},,2017013,,YA,,,","K=Acc_Code,F={P2},O=B",I$1,$F208)</f>
        <v>#NAME?</v>
      </c>
    </row>
    <row r="209" spans="1:9">
      <c r="A209" s="11">
        <v>2820130100</v>
      </c>
      <c r="B209" s="20" t="s">
        <v>1707</v>
      </c>
      <c r="C209" s="28" t="e">
        <f t="shared" ca="1" si="3"/>
        <v>#N/A</v>
      </c>
      <c r="F209" s="3">
        <v>23050401</v>
      </c>
      <c r="G209" s="3">
        <v>4202001511</v>
      </c>
      <c r="H209" s="34" t="e">
        <f ca="1">[2]!a_eb("CDT,{P1},,2017013,,YA,,,","K=Acc_Code,F={P2},O=B",H$1,$F209)</f>
        <v>#NAME?</v>
      </c>
      <c r="I209" s="34" t="e">
        <f ca="1">[2]!a_eb("CDT,{P1},,2017013,,YA,,,","K=Acc_Code,F={P2},O=B",I$1,$F209)</f>
        <v>#NAME?</v>
      </c>
    </row>
    <row r="210" spans="1:9">
      <c r="A210" s="11">
        <v>2820130040</v>
      </c>
      <c r="B210" s="20" t="s">
        <v>1708</v>
      </c>
      <c r="C210" s="28" t="e">
        <f t="shared" ca="1" si="3"/>
        <v>#N/A</v>
      </c>
      <c r="F210" s="3">
        <v>23050403</v>
      </c>
      <c r="G210" s="3">
        <v>4202001512</v>
      </c>
      <c r="H210" s="34" t="e">
        <f ca="1">[2]!a_eb("CDT,{P1},,2017013,,YA,,,","K=Acc_Code,F={P2},O=B",H$1,$F210)</f>
        <v>#NAME?</v>
      </c>
      <c r="I210" s="34" t="e">
        <f ca="1">[2]!a_eb("CDT,{P1},,2017013,,YA,,,","K=Acc_Code,F={P2},O=B",I$1,$F210)</f>
        <v>#NAME?</v>
      </c>
    </row>
    <row r="211" spans="1:9">
      <c r="A211" s="11">
        <v>2820130040</v>
      </c>
      <c r="B211" s="20" t="s">
        <v>1709</v>
      </c>
      <c r="C211" s="28" t="e">
        <f t="shared" ca="1" si="3"/>
        <v>#N/A</v>
      </c>
      <c r="F211" s="3">
        <v>23050601</v>
      </c>
      <c r="G211" s="3">
        <v>4202000251</v>
      </c>
      <c r="H211" s="34" t="e">
        <f ca="1">[2]!a_eb("CDT,{P1},,2017013,,YA,,,","K=Acc_Code,F={P2},O=B",H$1,$F211)</f>
        <v>#NAME?</v>
      </c>
      <c r="I211" s="34" t="e">
        <f ca="1">[2]!a_eb("CDT,{P1},,2017013,,YA,,,","K=Acc_Code,F={P2},O=B",I$1,$F211)</f>
        <v>#NAME?</v>
      </c>
    </row>
    <row r="212" spans="1:9">
      <c r="A212" s="11">
        <v>2820130040</v>
      </c>
      <c r="B212" s="20" t="s">
        <v>1710</v>
      </c>
      <c r="C212" s="28" t="e">
        <f t="shared" ca="1" si="3"/>
        <v>#N/A</v>
      </c>
      <c r="F212" s="3">
        <v>23050602</v>
      </c>
      <c r="G212" s="3">
        <v>4202000252</v>
      </c>
      <c r="H212" s="34" t="e">
        <f ca="1">[2]!a_eb("CDT,{P1},,2017013,,YA,,,","K=Acc_Code,F={P2},O=B",H$1,$F212)</f>
        <v>#NAME?</v>
      </c>
      <c r="I212" s="34" t="e">
        <f ca="1">[2]!a_eb("CDT,{P1},,2017013,,YA,,,","K=Acc_Code,F={P2},O=B",I$1,$F212)</f>
        <v>#NAME?</v>
      </c>
    </row>
    <row r="213" spans="1:9">
      <c r="A213" s="11">
        <v>2820130090</v>
      </c>
      <c r="B213" s="20" t="s">
        <v>1711</v>
      </c>
      <c r="C213" s="28" t="e">
        <f t="shared" ca="1" si="3"/>
        <v>#N/A</v>
      </c>
      <c r="F213" s="3">
        <v>23050603</v>
      </c>
      <c r="G213" s="3">
        <v>4202000253</v>
      </c>
      <c r="H213" s="34" t="e">
        <f ca="1">[2]!a_eb("CDT,{P1},,2017013,,YA,,,","K=Acc_Code,F={P2},O=B",H$1,$F213)</f>
        <v>#NAME?</v>
      </c>
      <c r="I213" s="34" t="e">
        <f ca="1">[2]!a_eb("CDT,{P1},,2017013,,YA,,,","K=Acc_Code,F={P2},O=B",I$1,$F213)</f>
        <v>#NAME?</v>
      </c>
    </row>
    <row r="214" spans="1:9">
      <c r="A214" s="11">
        <v>2820130080</v>
      </c>
      <c r="B214" s="20" t="s">
        <v>1712</v>
      </c>
      <c r="C214" s="28" t="e">
        <f t="shared" ca="1" si="3"/>
        <v>#N/A</v>
      </c>
      <c r="F214" s="3">
        <v>23050604</v>
      </c>
      <c r="G214" s="3">
        <v>4202000254</v>
      </c>
      <c r="H214" s="34" t="e">
        <f ca="1">[2]!a_eb("CDT,{P1},,2017013,,YA,,,","K=Acc_Code,F={P2},O=B",H$1,$F214)</f>
        <v>#NAME?</v>
      </c>
      <c r="I214" s="34" t="e">
        <f ca="1">[2]!a_eb("CDT,{P1},,2017013,,YA,,,","K=Acc_Code,F={P2},O=B",I$1,$F214)</f>
        <v>#NAME?</v>
      </c>
    </row>
    <row r="215" spans="1:9">
      <c r="A215" s="11">
        <v>2820130040</v>
      </c>
      <c r="B215" s="20" t="s">
        <v>1713</v>
      </c>
      <c r="C215" s="28" t="e">
        <f t="shared" ca="1" si="3"/>
        <v>#N/A</v>
      </c>
      <c r="F215" s="3">
        <v>23050605</v>
      </c>
      <c r="G215" s="3">
        <v>4202000255</v>
      </c>
      <c r="H215" s="34" t="e">
        <f ca="1">[2]!a_eb("CDT,{P1},,2017013,,YA,,,","K=Acc_Code,F={P2},O=B",H$1,$F215)</f>
        <v>#NAME?</v>
      </c>
      <c r="I215" s="34" t="e">
        <f ca="1">[2]!a_eb("CDT,{P1},,2017013,,YA,,,","K=Acc_Code,F={P2},O=B",I$1,$F215)</f>
        <v>#NAME?</v>
      </c>
    </row>
    <row r="216" spans="1:9">
      <c r="A216" s="11">
        <v>2820130040</v>
      </c>
      <c r="B216" s="20" t="s">
        <v>1714</v>
      </c>
      <c r="C216" s="28" t="e">
        <f t="shared" ca="1" si="3"/>
        <v>#N/A</v>
      </c>
      <c r="F216" s="3">
        <v>23050606</v>
      </c>
      <c r="G216" s="3">
        <v>4202000256</v>
      </c>
      <c r="H216" s="34" t="e">
        <f ca="1">[2]!a_eb("CDT,{P1},,2017013,,YA,,,","K=Acc_Code,F={P2},O=B",H$1,$F216)</f>
        <v>#NAME?</v>
      </c>
      <c r="I216" s="34" t="e">
        <f ca="1">[2]!a_eb("CDT,{P1},,2017013,,YA,,,","K=Acc_Code,F={P2},O=B",I$1,$F216)</f>
        <v>#NAME?</v>
      </c>
    </row>
    <row r="217" spans="1:9">
      <c r="A217" s="11">
        <v>2820130040</v>
      </c>
      <c r="B217" s="20" t="s">
        <v>1715</v>
      </c>
      <c r="C217" s="28" t="e">
        <f t="shared" ca="1" si="3"/>
        <v>#N/A</v>
      </c>
      <c r="F217" s="3">
        <v>23050701</v>
      </c>
      <c r="G217" s="3">
        <v>4100000010</v>
      </c>
      <c r="H217" s="34" t="e">
        <f ca="1">[2]!a_eb("CDT,{P1},,2017013,,YA,,,","K=Acc_Code,F={P2},O=B",H$1,$F217)</f>
        <v>#NAME?</v>
      </c>
      <c r="I217" s="34" t="e">
        <f ca="1">[2]!a_eb("CDT,{P1},,2017013,,YA,,,","K=Acc_Code,F={P2},O=B",I$1,$F217)</f>
        <v>#NAME?</v>
      </c>
    </row>
    <row r="218" spans="1:9">
      <c r="A218" s="11">
        <v>2820130080</v>
      </c>
      <c r="B218" s="20" t="s">
        <v>1716</v>
      </c>
      <c r="C218" s="28" t="e">
        <f t="shared" ca="1" si="3"/>
        <v>#N/A</v>
      </c>
      <c r="F218" s="3">
        <v>23050702</v>
      </c>
      <c r="G218" s="3">
        <v>4202000257</v>
      </c>
      <c r="H218" s="34" t="e">
        <f ca="1">[2]!a_eb("CDT,{P1},,2017013,,YA,,,","K=Acc_Code,F={P2},O=B",H$1,$F218)</f>
        <v>#NAME?</v>
      </c>
      <c r="I218" s="34" t="e">
        <f ca="1">[2]!a_eb("CDT,{P1},,2017013,,YA,,,","K=Acc_Code,F={P2},O=B",I$1,$F218)</f>
        <v>#NAME?</v>
      </c>
    </row>
    <row r="219" spans="1:9">
      <c r="A219" s="11">
        <v>2820130040</v>
      </c>
      <c r="B219" s="20" t="s">
        <v>1717</v>
      </c>
      <c r="C219" s="28" t="e">
        <f t="shared" ca="1" si="3"/>
        <v>#N/A</v>
      </c>
      <c r="F219" s="3">
        <v>230509</v>
      </c>
      <c r="G219" s="3">
        <v>4202000210</v>
      </c>
      <c r="H219" s="34" t="e">
        <f ca="1">[2]!a_eb("CDT,{P1},,2017013,,YA,,,","K=Acc_Code,F={P2},O=B",H$1,$F219)</f>
        <v>#NAME?</v>
      </c>
      <c r="I219" s="34" t="e">
        <f ca="1">[2]!a_eb("CDT,{P1},,2017013,,YA,,,","K=Acc_Code,F={P2},O=B",I$1,$F219)</f>
        <v>#NAME?</v>
      </c>
    </row>
    <row r="220" spans="1:9">
      <c r="A220" s="11">
        <v>2820130090</v>
      </c>
      <c r="B220" s="20" t="s">
        <v>1718</v>
      </c>
      <c r="C220" s="28" t="e">
        <f t="shared" ca="1" si="3"/>
        <v>#N/A</v>
      </c>
      <c r="F220" s="3">
        <v>2305110101</v>
      </c>
      <c r="G220" s="3">
        <v>4202003001</v>
      </c>
      <c r="H220" s="34" t="e">
        <f ca="1">[2]!a_eb("CDT,{P1},,2017013,,YA,,,","K=Acc_Code,F={P2},O=B",H$1,$F220)</f>
        <v>#NAME?</v>
      </c>
      <c r="I220" s="34" t="e">
        <f ca="1">[2]!a_eb("CDT,{P1},,2017013,,YA,,,","K=Acc_Code,F={P2},O=B",I$1,$F220)</f>
        <v>#NAME?</v>
      </c>
    </row>
    <row r="221" spans="1:9">
      <c r="A221" s="11" t="s">
        <v>1510</v>
      </c>
      <c r="B221" s="20" t="s">
        <v>1719</v>
      </c>
      <c r="C221" s="28" t="e">
        <f t="shared" ca="1" si="3"/>
        <v>#N/A</v>
      </c>
      <c r="F221" s="3">
        <v>2305110201</v>
      </c>
      <c r="G221" s="3">
        <v>4202003002</v>
      </c>
      <c r="H221" s="34" t="e">
        <f ca="1">[2]!a_eb("CDT,{P1},,2017013,,YA,,,","K=Acc_Code,F={P2},O=B",H$1,$F221)</f>
        <v>#NAME?</v>
      </c>
      <c r="I221" s="34" t="e">
        <f ca="1">[2]!a_eb("CDT,{P1},,2017013,,YA,,,","K=Acc_Code,F={P2},O=B",I$1,$F221)</f>
        <v>#NAME?</v>
      </c>
    </row>
    <row r="222" spans="1:9">
      <c r="A222" s="11" t="s">
        <v>1510</v>
      </c>
      <c r="B222" s="20" t="s">
        <v>1720</v>
      </c>
      <c r="C222" s="28" t="e">
        <f t="shared" ca="1" si="3"/>
        <v>#N/A</v>
      </c>
      <c r="F222" s="3">
        <v>2305110202</v>
      </c>
      <c r="G222" s="3">
        <v>4202003003</v>
      </c>
      <c r="H222" s="34" t="e">
        <f ca="1">[2]!a_eb("CDT,{P1},,2017013,,YA,,,","K=Acc_Code,F={P2},O=B",H$1,$F222)</f>
        <v>#NAME?</v>
      </c>
      <c r="I222" s="34" t="e">
        <f ca="1">[2]!a_eb("CDT,{P1},,2017013,,YA,,,","K=Acc_Code,F={P2},O=B",I$1,$F222)</f>
        <v>#NAME?</v>
      </c>
    </row>
    <row r="223" spans="1:9">
      <c r="A223" s="11" t="s">
        <v>1497</v>
      </c>
      <c r="B223" s="20" t="s">
        <v>1721</v>
      </c>
      <c r="C223" s="28" t="e">
        <f t="shared" ca="1" si="3"/>
        <v>#N/A</v>
      </c>
      <c r="F223" s="3">
        <v>2305110203</v>
      </c>
      <c r="G223" s="3">
        <v>4202003004</v>
      </c>
      <c r="H223" s="34" t="e">
        <f ca="1">[2]!a_eb("CDT,{P1},,2017013,,YA,,,","K=Acc_Code,F={P2},O=B",H$1,$F223)</f>
        <v>#NAME?</v>
      </c>
      <c r="I223" s="34" t="e">
        <f ca="1">[2]!a_eb("CDT,{P1},,2017013,,YA,,,","K=Acc_Code,F={P2},O=B",I$1,$F223)</f>
        <v>#NAME?</v>
      </c>
    </row>
    <row r="224" spans="1:9">
      <c r="A224" s="11" t="s">
        <v>1497</v>
      </c>
      <c r="B224" s="20" t="s">
        <v>1722</v>
      </c>
      <c r="C224" s="28" t="e">
        <f t="shared" ca="1" si="3"/>
        <v>#N/A</v>
      </c>
      <c r="F224" s="3">
        <v>2305110204</v>
      </c>
      <c r="G224" s="3">
        <v>4202003005</v>
      </c>
      <c r="H224" s="34" t="e">
        <f ca="1">[2]!a_eb("CDT,{P1},,2017013,,YA,,,","K=Acc_Code,F={P2},O=B",H$1,$F224)</f>
        <v>#NAME?</v>
      </c>
      <c r="I224" s="34" t="e">
        <f ca="1">[2]!a_eb("CDT,{P1},,2017013,,YA,,,","K=Acc_Code,F={P2},O=B",I$1,$F224)</f>
        <v>#NAME?</v>
      </c>
    </row>
    <row r="225" spans="1:9">
      <c r="A225" s="11" t="s">
        <v>1510</v>
      </c>
      <c r="B225" s="20" t="s">
        <v>1723</v>
      </c>
      <c r="C225" s="28" t="e">
        <f t="shared" ca="1" si="3"/>
        <v>#N/A</v>
      </c>
      <c r="F225" s="3">
        <v>2305110205</v>
      </c>
      <c r="G225" s="3">
        <v>4202003006</v>
      </c>
      <c r="H225" s="34" t="e">
        <f ca="1">[2]!a_eb("CDT,{P1},,2017013,,YA,,,","K=Acc_Code,F={P2},O=B",H$1,$F225)</f>
        <v>#NAME?</v>
      </c>
      <c r="I225" s="34" t="e">
        <f ca="1">[2]!a_eb("CDT,{P1},,2017013,,YA,,,","K=Acc_Code,F={P2},O=B",I$1,$F225)</f>
        <v>#NAME?</v>
      </c>
    </row>
    <row r="226" spans="1:9">
      <c r="A226" s="11" t="s">
        <v>1510</v>
      </c>
      <c r="B226" s="20" t="s">
        <v>1724</v>
      </c>
      <c r="C226" s="28" t="e">
        <f t="shared" ca="1" si="3"/>
        <v>#N/A</v>
      </c>
      <c r="F226" s="3">
        <v>2305110206</v>
      </c>
      <c r="G226" s="3">
        <v>4202003007</v>
      </c>
      <c r="H226" s="34" t="e">
        <f ca="1">[2]!a_eb("CDT,{P1},,2017013,,YA,,,","K=Acc_Code,F={P2},O=B",H$1,$F226)</f>
        <v>#NAME?</v>
      </c>
      <c r="I226" s="34" t="e">
        <f ca="1">[2]!a_eb("CDT,{P1},,2017013,,YA,,,","K=Acc_Code,F={P2},O=B",I$1,$F226)</f>
        <v>#NAME?</v>
      </c>
    </row>
    <row r="227" spans="1:9">
      <c r="A227" s="11" t="s">
        <v>1511</v>
      </c>
      <c r="B227" s="20" t="s">
        <v>1725</v>
      </c>
      <c r="C227" s="28" t="e">
        <f t="shared" ca="1" si="3"/>
        <v>#N/A</v>
      </c>
      <c r="F227" s="3">
        <v>2305110207</v>
      </c>
      <c r="G227" s="3">
        <v>4202003008</v>
      </c>
      <c r="H227" s="34" t="e">
        <f ca="1">[2]!a_eb("CDT,{P1},,2017013,,YA,,,","K=Acc_Code,F={P2},O=B",H$1,$F227)</f>
        <v>#NAME?</v>
      </c>
      <c r="I227" s="34" t="e">
        <f ca="1">[2]!a_eb("CDT,{P1},,2017013,,YA,,,","K=Acc_Code,F={P2},O=B",I$1,$F227)</f>
        <v>#NAME?</v>
      </c>
    </row>
    <row r="228" spans="1:9">
      <c r="A228" s="11" t="s">
        <v>1511</v>
      </c>
      <c r="B228" s="20" t="s">
        <v>1726</v>
      </c>
      <c r="C228" s="28" t="e">
        <f t="shared" ca="1" si="3"/>
        <v>#N/A</v>
      </c>
      <c r="F228" s="3">
        <v>2305110208</v>
      </c>
      <c r="G228" s="3">
        <v>4202003009</v>
      </c>
      <c r="H228" s="34" t="e">
        <f ca="1">[2]!a_eb("CDT,{P1},,2017013,,YA,,,","K=Acc_Code,F={P2},O=B",H$1,$F228)</f>
        <v>#NAME?</v>
      </c>
      <c r="I228" s="34" t="e">
        <f ca="1">[2]!a_eb("CDT,{P1},,2017013,,YA,,,","K=Acc_Code,F={P2},O=B",I$1,$F228)</f>
        <v>#NAME?</v>
      </c>
    </row>
    <row r="229" spans="1:9">
      <c r="A229" s="11" t="s">
        <v>1512</v>
      </c>
      <c r="B229" s="20" t="s">
        <v>1727</v>
      </c>
      <c r="C229" s="28" t="e">
        <f t="shared" ca="1" si="3"/>
        <v>#N/A</v>
      </c>
      <c r="F229" s="3">
        <v>2305110209</v>
      </c>
      <c r="G229" s="3">
        <v>4202003010</v>
      </c>
      <c r="H229" s="34" t="e">
        <f ca="1">[2]!a_eb("CDT,{P1},,2017013,,YA,,,","K=Acc_Code,F={P2},O=B",H$1,$F229)</f>
        <v>#NAME?</v>
      </c>
      <c r="I229" s="34" t="e">
        <f ca="1">[2]!a_eb("CDT,{P1},,2017013,,YA,,,","K=Acc_Code,F={P2},O=B",I$1,$F229)</f>
        <v>#NAME?</v>
      </c>
    </row>
    <row r="230" spans="1:9">
      <c r="A230" s="11" t="s">
        <v>1512</v>
      </c>
      <c r="B230" s="20" t="s">
        <v>1728</v>
      </c>
      <c r="C230" s="28" t="e">
        <f t="shared" ca="1" si="3"/>
        <v>#N/A</v>
      </c>
      <c r="F230" s="3">
        <v>2305110401</v>
      </c>
      <c r="G230" s="3">
        <v>4202003013</v>
      </c>
      <c r="H230" s="34" t="e">
        <f ca="1">[2]!a_eb("CDT,{P1},,2017013,,YA,,,","K=Acc_Code,F={P2},O=B",H$1,$F230)</f>
        <v>#NAME?</v>
      </c>
      <c r="I230" s="34" t="e">
        <f ca="1">[2]!a_eb("CDT,{P1},,2017013,,YA,,,","K=Acc_Code,F={P2},O=B",I$1,$F230)</f>
        <v>#NAME?</v>
      </c>
    </row>
    <row r="231" spans="1:9">
      <c r="A231" s="11" t="s">
        <v>1512</v>
      </c>
      <c r="B231" s="20" t="s">
        <v>1729</v>
      </c>
      <c r="C231" s="28" t="e">
        <f t="shared" ca="1" si="3"/>
        <v>#N/A</v>
      </c>
      <c r="F231" s="3">
        <v>2305110501</v>
      </c>
      <c r="G231" s="3">
        <v>4202003014</v>
      </c>
      <c r="H231" s="34" t="e">
        <f ca="1">[2]!a_eb("CDT,{P1},,2017013,,YA,,,","K=Acc_Code,F={P2},O=B",H$1,$F231)</f>
        <v>#NAME?</v>
      </c>
      <c r="I231" s="34" t="e">
        <f ca="1">[2]!a_eb("CDT,{P1},,2017013,,YA,,,","K=Acc_Code,F={P2},O=B",I$1,$F231)</f>
        <v>#NAME?</v>
      </c>
    </row>
    <row r="232" spans="1:9">
      <c r="A232" s="11" t="s">
        <v>1512</v>
      </c>
      <c r="B232" s="20" t="s">
        <v>1730</v>
      </c>
      <c r="C232" s="28" t="e">
        <f t="shared" ca="1" si="3"/>
        <v>#N/A</v>
      </c>
      <c r="F232" s="3">
        <v>2305110502</v>
      </c>
      <c r="G232" s="3">
        <v>4202003015</v>
      </c>
      <c r="H232" s="34" t="e">
        <f ca="1">[2]!a_eb("CDT,{P1},,2017013,,YA,,,","K=Acc_Code,F={P2},O=B",H$1,$F232)</f>
        <v>#NAME?</v>
      </c>
      <c r="I232" s="34" t="e">
        <f ca="1">[2]!a_eb("CDT,{P1},,2017013,,YA,,,","K=Acc_Code,F={P2},O=B",I$1,$F232)</f>
        <v>#NAME?</v>
      </c>
    </row>
    <row r="233" spans="1:9">
      <c r="A233" s="11" t="s">
        <v>1512</v>
      </c>
      <c r="B233" s="20" t="s">
        <v>1731</v>
      </c>
      <c r="C233" s="28" t="e">
        <f t="shared" ca="1" si="3"/>
        <v>#N/A</v>
      </c>
      <c r="F233" s="3">
        <v>2305110601</v>
      </c>
      <c r="G233" s="3">
        <v>4202003016</v>
      </c>
      <c r="H233" s="34" t="e">
        <f ca="1">[2]!a_eb("CDT,{P1},,2017013,,YA,,,","K=Acc_Code,F={P2},O=B",H$1,$F233)</f>
        <v>#NAME?</v>
      </c>
      <c r="I233" s="34" t="e">
        <f ca="1">[2]!a_eb("CDT,{P1},,2017013,,YA,,,","K=Acc_Code,F={P2},O=B",I$1,$F233)</f>
        <v>#NAME?</v>
      </c>
    </row>
    <row r="234" spans="1:9">
      <c r="A234" s="11" t="s">
        <v>1512</v>
      </c>
      <c r="B234" s="20" t="s">
        <v>1732</v>
      </c>
      <c r="C234" s="28" t="e">
        <f t="shared" ca="1" si="3"/>
        <v>#N/A</v>
      </c>
      <c r="F234" s="3">
        <v>2305110701</v>
      </c>
      <c r="G234" s="3">
        <v>4202003100</v>
      </c>
      <c r="H234" s="34" t="e">
        <f ca="1">[2]!a_eb("CDT,{P1},,2017013,,YA,,,","K=Acc_Code,F={P2},O=B",H$1,$F234)</f>
        <v>#NAME?</v>
      </c>
      <c r="I234" s="34" t="e">
        <f ca="1">[2]!a_eb("CDT,{P1},,2017013,,YA,,,","K=Acc_Code,F={P2},O=B",I$1,$F234)</f>
        <v>#NAME?</v>
      </c>
    </row>
    <row r="235" spans="1:9">
      <c r="A235" s="11" t="s">
        <v>1512</v>
      </c>
      <c r="B235" s="20" t="s">
        <v>1733</v>
      </c>
      <c r="C235" s="28" t="e">
        <f t="shared" ca="1" si="3"/>
        <v>#N/A</v>
      </c>
      <c r="F235" s="3">
        <v>2305110801</v>
      </c>
      <c r="G235" s="3">
        <v>4202003201</v>
      </c>
      <c r="H235" s="34" t="e">
        <f ca="1">[2]!a_eb("CDT,{P1},,2017013,,YA,,,","K=Acc_Code,F={P2},O=B",H$1,$F235)</f>
        <v>#NAME?</v>
      </c>
      <c r="I235" s="34" t="e">
        <f ca="1">[2]!a_eb("CDT,{P1},,2017013,,YA,,,","K=Acc_Code,F={P2},O=B",I$1,$F235)</f>
        <v>#NAME?</v>
      </c>
    </row>
    <row r="236" spans="1:9">
      <c r="A236" s="11" t="s">
        <v>1497</v>
      </c>
      <c r="B236" s="20" t="s">
        <v>1734</v>
      </c>
      <c r="C236" s="28" t="e">
        <f t="shared" ca="1" si="3"/>
        <v>#N/A</v>
      </c>
      <c r="F236" s="3">
        <v>2305110802</v>
      </c>
      <c r="G236" s="3">
        <v>4202003202</v>
      </c>
      <c r="H236" s="34" t="e">
        <f ca="1">[2]!a_eb("CDT,{P1},,2017013,,YA,,,","K=Acc_Code,F={P2},O=B",H$1,$F236)</f>
        <v>#NAME?</v>
      </c>
      <c r="I236" s="34" t="e">
        <f ca="1">[2]!a_eb("CDT,{P1},,2017013,,YA,,,","K=Acc_Code,F={P2},O=B",I$1,$F236)</f>
        <v>#NAME?</v>
      </c>
    </row>
    <row r="237" spans="1:9">
      <c r="A237" s="11" t="s">
        <v>1513</v>
      </c>
      <c r="B237" s="20" t="s">
        <v>1735</v>
      </c>
      <c r="C237" s="28" t="e">
        <f t="shared" ca="1" si="3"/>
        <v>#N/A</v>
      </c>
      <c r="F237" s="3">
        <v>2305110901</v>
      </c>
      <c r="G237" s="3">
        <v>4202003301</v>
      </c>
      <c r="H237" s="34" t="e">
        <f ca="1">[2]!a_eb("CDT,{P1},,2017013,,YA,,,","K=Acc_Code,F={P2},O=B",H$1,$F237)</f>
        <v>#NAME?</v>
      </c>
      <c r="I237" s="34" t="e">
        <f ca="1">[2]!a_eb("CDT,{P1},,2017013,,YA,,,","K=Acc_Code,F={P2},O=B",I$1,$F237)</f>
        <v>#NAME?</v>
      </c>
    </row>
    <row r="238" spans="1:9">
      <c r="A238" s="11" t="s">
        <v>1514</v>
      </c>
      <c r="B238" s="20" t="s">
        <v>1736</v>
      </c>
      <c r="C238" s="28" t="e">
        <f t="shared" ca="1" si="3"/>
        <v>#N/A</v>
      </c>
      <c r="F238" s="3">
        <v>2305110902</v>
      </c>
      <c r="G238" s="3">
        <v>4202003302</v>
      </c>
      <c r="H238" s="34" t="e">
        <f ca="1">[2]!a_eb("CDT,{P1},,2017013,,YA,,,","K=Acc_Code,F={P2},O=B",H$1,$F238)</f>
        <v>#NAME?</v>
      </c>
      <c r="I238" s="34" t="e">
        <f ca="1">[2]!a_eb("CDT,{P1},,2017013,,YA,,,","K=Acc_Code,F={P2},O=B",I$1,$F238)</f>
        <v>#NAME?</v>
      </c>
    </row>
    <row r="239" spans="1:9">
      <c r="A239" s="11" t="s">
        <v>1515</v>
      </c>
      <c r="B239" s="20" t="s">
        <v>1737</v>
      </c>
      <c r="C239" s="28" t="e">
        <f t="shared" ca="1" si="3"/>
        <v>#N/A</v>
      </c>
      <c r="F239" s="3">
        <v>2305110903</v>
      </c>
      <c r="G239" s="3">
        <v>4202003303</v>
      </c>
      <c r="H239" s="34" t="e">
        <f ca="1">[2]!a_eb("CDT,{P1},,2017013,,YA,,,","K=Acc_Code,F={P2},O=B",H$1,$F239)</f>
        <v>#NAME?</v>
      </c>
      <c r="I239" s="34" t="e">
        <f ca="1">[2]!a_eb("CDT,{P1},,2017013,,YA,,,","K=Acc_Code,F={P2},O=B",I$1,$F239)</f>
        <v>#NAME?</v>
      </c>
    </row>
    <row r="240" spans="1:9">
      <c r="A240" s="11" t="s">
        <v>1515</v>
      </c>
      <c r="B240" s="20" t="s">
        <v>1738</v>
      </c>
      <c r="C240" s="28" t="e">
        <f t="shared" ca="1" si="3"/>
        <v>#N/A</v>
      </c>
      <c r="F240" s="3">
        <v>2305110904</v>
      </c>
      <c r="G240" s="3">
        <v>4202003304</v>
      </c>
      <c r="H240" s="34" t="e">
        <f ca="1">[2]!a_eb("CDT,{P1},,2017013,,YA,,,","K=Acc_Code,F={P2},O=B",H$1,$F240)</f>
        <v>#NAME?</v>
      </c>
      <c r="I240" s="34" t="e">
        <f ca="1">[2]!a_eb("CDT,{P1},,2017013,,YA,,,","K=Acc_Code,F={P2},O=B",I$1,$F240)</f>
        <v>#NAME?</v>
      </c>
    </row>
    <row r="241" spans="1:9">
      <c r="A241" s="11" t="s">
        <v>1515</v>
      </c>
      <c r="B241" s="20" t="s">
        <v>1739</v>
      </c>
      <c r="C241" s="28" t="e">
        <f t="shared" ca="1" si="3"/>
        <v>#N/A</v>
      </c>
      <c r="F241" s="3">
        <v>2305110905</v>
      </c>
      <c r="G241" s="3">
        <v>4202003305</v>
      </c>
      <c r="H241" s="34" t="e">
        <f ca="1">[2]!a_eb("CDT,{P1},,2017013,,YA,,,","K=Acc_Code,F={P2},O=B",H$1,$F241)</f>
        <v>#NAME?</v>
      </c>
      <c r="I241" s="34" t="e">
        <f ca="1">[2]!a_eb("CDT,{P1},,2017013,,YA,,,","K=Acc_Code,F={P2},O=B",I$1,$F241)</f>
        <v>#NAME?</v>
      </c>
    </row>
    <row r="242" spans="1:9">
      <c r="A242" s="11" t="s">
        <v>1515</v>
      </c>
      <c r="B242" s="20" t="s">
        <v>1740</v>
      </c>
      <c r="C242" s="28" t="e">
        <f t="shared" ca="1" si="3"/>
        <v>#N/A</v>
      </c>
      <c r="F242" s="3">
        <v>2305110906</v>
      </c>
      <c r="G242" s="3">
        <v>4202003306</v>
      </c>
      <c r="H242" s="34" t="e">
        <f ca="1">[2]!a_eb("CDT,{P1},,2017013,,YA,,,","K=Acc_Code,F={P2},O=B",H$1,$F242)</f>
        <v>#NAME?</v>
      </c>
      <c r="I242" s="34" t="e">
        <f ca="1">[2]!a_eb("CDT,{P1},,2017013,,YA,,,","K=Acc_Code,F={P2},O=B",I$1,$F242)</f>
        <v>#NAME?</v>
      </c>
    </row>
    <row r="243" spans="1:9">
      <c r="A243" s="11" t="s">
        <v>1515</v>
      </c>
      <c r="B243" s="20" t="s">
        <v>1741</v>
      </c>
      <c r="C243" s="28" t="e">
        <f t="shared" ca="1" si="3"/>
        <v>#N/A</v>
      </c>
      <c r="F243" s="3">
        <v>2305110907</v>
      </c>
      <c r="G243" s="3">
        <v>4202003307</v>
      </c>
      <c r="H243" s="34" t="e">
        <f ca="1">[2]!a_eb("CDT,{P1},,2017013,,YA,,,","K=Acc_Code,F={P2},O=B",H$1,$F243)</f>
        <v>#NAME?</v>
      </c>
      <c r="I243" s="34" t="e">
        <f ca="1">[2]!a_eb("CDT,{P1},,2017013,,YA,,,","K=Acc_Code,F={P2},O=B",I$1,$F243)</f>
        <v>#NAME?</v>
      </c>
    </row>
    <row r="244" spans="1:9">
      <c r="A244" s="11" t="s">
        <v>1514</v>
      </c>
      <c r="B244" s="20" t="s">
        <v>1742</v>
      </c>
      <c r="C244" s="28" t="e">
        <f t="shared" ca="1" si="3"/>
        <v>#N/A</v>
      </c>
      <c r="F244" s="3">
        <v>2305110908</v>
      </c>
      <c r="G244" s="3">
        <v>4202003308</v>
      </c>
      <c r="H244" s="34" t="e">
        <f ca="1">[2]!a_eb("CDT,{P1},,2017013,,YA,,,","K=Acc_Code,F={P2},O=B",H$1,$F244)</f>
        <v>#NAME?</v>
      </c>
      <c r="I244" s="34" t="e">
        <f ca="1">[2]!a_eb("CDT,{P1},,2017013,,YA,,,","K=Acc_Code,F={P2},O=B",I$1,$F244)</f>
        <v>#NAME?</v>
      </c>
    </row>
    <row r="245" spans="1:9">
      <c r="A245" s="11" t="s">
        <v>1514</v>
      </c>
      <c r="B245" s="20" t="s">
        <v>1743</v>
      </c>
      <c r="C245" s="28" t="e">
        <f t="shared" ca="1" si="3"/>
        <v>#N/A</v>
      </c>
      <c r="F245" s="3">
        <v>2305110909</v>
      </c>
      <c r="G245" s="3">
        <v>4202003309</v>
      </c>
      <c r="H245" s="34" t="e">
        <f ca="1">[2]!a_eb("CDT,{P1},,2017013,,YA,,,","K=Acc_Code,F={P2},O=B",H$1,$F245)</f>
        <v>#NAME?</v>
      </c>
      <c r="I245" s="34" t="e">
        <f ca="1">[2]!a_eb("CDT,{P1},,2017013,,YA,,,","K=Acc_Code,F={P2},O=B",I$1,$F245)</f>
        <v>#NAME?</v>
      </c>
    </row>
    <row r="246" spans="1:9">
      <c r="A246" s="11" t="s">
        <v>1514</v>
      </c>
      <c r="B246" s="20" t="s">
        <v>1744</v>
      </c>
      <c r="C246" s="28" t="e">
        <f t="shared" ca="1" si="3"/>
        <v>#N/A</v>
      </c>
      <c r="F246" s="3">
        <v>2305110910</v>
      </c>
      <c r="G246" s="3">
        <v>4202003310</v>
      </c>
      <c r="H246" s="34" t="e">
        <f ca="1">[2]!a_eb("CDT,{P1},,2017013,,YA,,,","K=Acc_Code,F={P2},O=B",H$1,$F246)</f>
        <v>#NAME?</v>
      </c>
      <c r="I246" s="34" t="e">
        <f ca="1">[2]!a_eb("CDT,{P1},,2017013,,YA,,,","K=Acc_Code,F={P2},O=B",I$1,$F246)</f>
        <v>#NAME?</v>
      </c>
    </row>
    <row r="247" spans="1:9">
      <c r="A247" s="11" t="s">
        <v>1514</v>
      </c>
      <c r="B247" s="20" t="s">
        <v>1745</v>
      </c>
      <c r="C247" s="28" t="e">
        <f t="shared" ca="1" si="3"/>
        <v>#N/A</v>
      </c>
      <c r="F247" s="3">
        <v>2305110911</v>
      </c>
      <c r="G247" s="3">
        <v>4202003311</v>
      </c>
      <c r="H247" s="34" t="e">
        <f ca="1">[2]!a_eb("CDT,{P1},,2017013,,YA,,,","K=Acc_Code,F={P2},O=B",H$1,$F247)</f>
        <v>#NAME?</v>
      </c>
      <c r="I247" s="34" t="e">
        <f ca="1">[2]!a_eb("CDT,{P1},,2017013,,YA,,,","K=Acc_Code,F={P2},O=B",I$1,$F247)</f>
        <v>#NAME?</v>
      </c>
    </row>
    <row r="248" spans="1:9">
      <c r="A248" s="11" t="s">
        <v>1514</v>
      </c>
      <c r="B248" s="20" t="s">
        <v>1746</v>
      </c>
      <c r="C248" s="28" t="e">
        <f t="shared" ca="1" si="3"/>
        <v>#N/A</v>
      </c>
      <c r="F248" s="3">
        <v>2305111001</v>
      </c>
      <c r="G248" s="3">
        <v>4202003312</v>
      </c>
      <c r="H248" s="34" t="e">
        <f ca="1">[2]!a_eb("CDT,{P1},,2017013,,YA,,,","K=Acc_Code,F={P2},O=B",H$1,$F248)</f>
        <v>#NAME?</v>
      </c>
      <c r="I248" s="34" t="e">
        <f ca="1">[2]!a_eb("CDT,{P1},,2017013,,YA,,,","K=Acc_Code,F={P2},O=B",I$1,$F248)</f>
        <v>#NAME?</v>
      </c>
    </row>
    <row r="249" spans="1:9">
      <c r="A249" s="11" t="s">
        <v>1514</v>
      </c>
      <c r="B249" s="20" t="s">
        <v>1747</v>
      </c>
      <c r="C249" s="28" t="e">
        <f t="shared" ca="1" si="3"/>
        <v>#N/A</v>
      </c>
      <c r="F249" s="3">
        <v>23051111</v>
      </c>
      <c r="G249" s="3">
        <v>4202003400</v>
      </c>
      <c r="H249" s="34" t="e">
        <f ca="1">[2]!a_eb("CDT,{P1},,2017013,,YA,,,","K=Acc_Code,F={P2},O=B",H$1,$F249)</f>
        <v>#NAME?</v>
      </c>
      <c r="I249" s="34" t="e">
        <f ca="1">[2]!a_eb("CDT,{P1},,2017013,,YA,,,","K=Acc_Code,F={P2},O=B",I$1,$F249)</f>
        <v>#NAME?</v>
      </c>
    </row>
    <row r="250" spans="1:9">
      <c r="A250" s="11" t="s">
        <v>1514</v>
      </c>
      <c r="B250" s="20" t="s">
        <v>1748</v>
      </c>
      <c r="C250" s="28" t="e">
        <f t="shared" ca="1" si="3"/>
        <v>#N/A</v>
      </c>
      <c r="F250" s="3">
        <v>230500</v>
      </c>
      <c r="G250" s="3">
        <v>4202000000</v>
      </c>
      <c r="H250" s="34" t="e">
        <f ca="1">[2]!a_eb("CDT,{P1},,2017013,,YA,,,","K=Acc_Code,F={P2},O=B",H$1,$F250)</f>
        <v>#NAME?</v>
      </c>
      <c r="I250" s="34" t="e">
        <f ca="1">[2]!a_eb("CDT,{P1},,2017013,,YA,,,","K=Acc_Code,F={P2},O=B",I$1,$F250)</f>
        <v>#NAME?</v>
      </c>
    </row>
    <row r="251" spans="1:9">
      <c r="A251" s="11" t="s">
        <v>1516</v>
      </c>
      <c r="B251" s="20" t="s">
        <v>1749</v>
      </c>
      <c r="C251" s="28" t="e">
        <f t="shared" ca="1" si="3"/>
        <v>#N/A</v>
      </c>
      <c r="F251" s="3">
        <v>230601</v>
      </c>
      <c r="G251" s="3">
        <v>4240000010</v>
      </c>
      <c r="H251" s="34" t="e">
        <f ca="1">[2]!a_eb("CDT,{P1},,2017013,,YA,,,","K=Acc_Code,F={P2},O=B",H$1,$F251)</f>
        <v>#NAME?</v>
      </c>
      <c r="I251" s="34" t="e">
        <f ca="1">[2]!a_eb("CDT,{P1},,2017013,,YA,,,","K=Acc_Code,F={P2},O=B",I$1,$F251)</f>
        <v>#NAME?</v>
      </c>
    </row>
    <row r="252" spans="1:9">
      <c r="A252" s="11" t="s">
        <v>1517</v>
      </c>
      <c r="B252" s="20" t="s">
        <v>1750</v>
      </c>
      <c r="C252" s="28" t="e">
        <f t="shared" ca="1" si="3"/>
        <v>#N/A</v>
      </c>
      <c r="F252" s="3">
        <v>230603</v>
      </c>
      <c r="G252" s="3">
        <v>4240000030</v>
      </c>
      <c r="H252" s="34" t="e">
        <f ca="1">[2]!a_eb("CDT,{P1},,2017013,,YA,,,","K=Acc_Code,F={P2},O=B",H$1,$F252)</f>
        <v>#NAME?</v>
      </c>
      <c r="I252" s="34" t="e">
        <f ca="1">[2]!a_eb("CDT,{P1},,2017013,,YA,,,","K=Acc_Code,F={P2},O=B",I$1,$F252)</f>
        <v>#NAME?</v>
      </c>
    </row>
    <row r="253" spans="1:9">
      <c r="A253" s="11" t="s">
        <v>1517</v>
      </c>
      <c r="B253" s="20" t="s">
        <v>1751</v>
      </c>
      <c r="C253" s="28" t="e">
        <f t="shared" ca="1" si="3"/>
        <v>#N/A</v>
      </c>
      <c r="F253" s="3">
        <v>230604</v>
      </c>
      <c r="G253" s="3">
        <v>4240001501</v>
      </c>
      <c r="H253" s="34" t="e">
        <f ca="1">[2]!a_eb("CDT,{P1},,2017013,,YA,,,","K=Acc_Code,F={P2},O=B",H$1,$F253)</f>
        <v>#NAME?</v>
      </c>
      <c r="I253" s="34" t="e">
        <f ca="1">[2]!a_eb("CDT,{P1},,2017013,,YA,,,","K=Acc_Code,F={P2},O=B",I$1,$F253)</f>
        <v>#NAME?</v>
      </c>
    </row>
    <row r="254" spans="1:9">
      <c r="A254" s="11" t="s">
        <v>1518</v>
      </c>
      <c r="B254" s="20" t="s">
        <v>1752</v>
      </c>
      <c r="C254" s="28" t="e">
        <f t="shared" ca="1" si="3"/>
        <v>#N/A</v>
      </c>
      <c r="F254" s="3">
        <v>230605</v>
      </c>
      <c r="G254" s="3">
        <v>4240000110</v>
      </c>
      <c r="H254" s="34" t="e">
        <f ca="1">[2]!a_eb("CDT,{P1},,2017013,,YA,,,","K=Acc_Code,F={P2},O=B",H$1,$F254)</f>
        <v>#NAME?</v>
      </c>
      <c r="I254" s="34" t="e">
        <f ca="1">[2]!a_eb("CDT,{P1},,2017013,,YA,,,","K=Acc_Code,F={P2},O=B",I$1,$F254)</f>
        <v>#NAME?</v>
      </c>
    </row>
    <row r="255" spans="1:9">
      <c r="A255" s="11" t="s">
        <v>1497</v>
      </c>
      <c r="B255" s="20" t="s">
        <v>1753</v>
      </c>
      <c r="C255" s="28" t="e">
        <f t="shared" ca="1" si="3"/>
        <v>#N/A</v>
      </c>
      <c r="F255" s="3">
        <v>230606</v>
      </c>
      <c r="G255" s="3">
        <v>4240001502</v>
      </c>
      <c r="H255" s="34" t="e">
        <f ca="1">[2]!a_eb("CDT,{P1},,2017013,,YA,,,","K=Acc_Code,F={P2},O=B",H$1,$F255)</f>
        <v>#NAME?</v>
      </c>
      <c r="I255" s="34" t="e">
        <f ca="1">[2]!a_eb("CDT,{P1},,2017013,,YA,,,","K=Acc_Code,F={P2},O=B",I$1,$F255)</f>
        <v>#NAME?</v>
      </c>
    </row>
    <row r="256" spans="1:9">
      <c r="A256" s="11" t="s">
        <v>1519</v>
      </c>
      <c r="B256" s="20" t="s">
        <v>1754</v>
      </c>
      <c r="C256" s="28" t="e">
        <f t="shared" ca="1" si="3"/>
        <v>#N/A</v>
      </c>
      <c r="F256" s="3">
        <v>230607</v>
      </c>
      <c r="G256" s="3">
        <v>4240000120</v>
      </c>
      <c r="H256" s="34" t="e">
        <f ca="1">[2]!a_eb("CDT,{P1},,2017013,,YA,,,","K=Acc_Code,F={P2},O=B",H$1,$F256)</f>
        <v>#NAME?</v>
      </c>
      <c r="I256" s="34" t="e">
        <f ca="1">[2]!a_eb("CDT,{P1},,2017013,,YA,,,","K=Acc_Code,F={P2},O=B",I$1,$F256)</f>
        <v>#NAME?</v>
      </c>
    </row>
    <row r="257" spans="1:9">
      <c r="A257" s="11" t="s">
        <v>1520</v>
      </c>
      <c r="B257" s="20" t="s">
        <v>1755</v>
      </c>
      <c r="C257" s="28" t="e">
        <f t="shared" ca="1" si="3"/>
        <v>#N/A</v>
      </c>
      <c r="F257" s="3">
        <v>230608</v>
      </c>
      <c r="G257" s="3">
        <v>3700000127</v>
      </c>
      <c r="H257" s="34" t="e">
        <f ca="1">[2]!a_eb("CDT,{P1},,2017013,,YA,,,","K=Acc_Code,F={P2},O=B",H$1,$F257)</f>
        <v>#NAME?</v>
      </c>
      <c r="I257" s="34" t="e">
        <f ca="1">[2]!a_eb("CDT,{P1},,2017013,,YA,,,","K=Acc_Code,F={P2},O=B",I$1,$F257)</f>
        <v>#NAME?</v>
      </c>
    </row>
    <row r="258" spans="1:9">
      <c r="A258" s="11" t="s">
        <v>1521</v>
      </c>
      <c r="B258" s="20" t="s">
        <v>1756</v>
      </c>
      <c r="C258" s="28" t="e">
        <f t="shared" ca="1" si="3"/>
        <v>#N/A</v>
      </c>
      <c r="F258" s="3">
        <v>230609</v>
      </c>
      <c r="G258" s="3">
        <v>4240000130</v>
      </c>
      <c r="H258" s="34" t="e">
        <f ca="1">[2]!a_eb("CDT,{P1},,2017013,,YA,,,","K=Acc_Code,F={P2},O=B",H$1,$F258)</f>
        <v>#NAME?</v>
      </c>
      <c r="I258" s="34" t="e">
        <f ca="1">[2]!a_eb("CDT,{P1},,2017013,,YA,,,","K=Acc_Code,F={P2},O=B",I$1,$F258)</f>
        <v>#NAME?</v>
      </c>
    </row>
    <row r="259" spans="1:9">
      <c r="A259" s="11" t="s">
        <v>1522</v>
      </c>
      <c r="B259" s="20" t="s">
        <v>1757</v>
      </c>
      <c r="C259" s="28" t="e">
        <f t="shared" ca="1" si="3"/>
        <v>#N/A</v>
      </c>
      <c r="F259" s="3">
        <v>23061003</v>
      </c>
      <c r="G259" s="3">
        <v>4240001503</v>
      </c>
      <c r="H259" s="34" t="e">
        <f ca="1">[2]!a_eb("CDT,{P1},,2017013,,YA,,,","K=Acc_Code,F={P2},O=B",H$1,$F259)</f>
        <v>#NAME?</v>
      </c>
      <c r="I259" s="34" t="e">
        <f ca="1">[2]!a_eb("CDT,{P1},,2017013,,YA,,,","K=Acc_Code,F={P2},O=B",I$1,$F259)</f>
        <v>#NAME?</v>
      </c>
    </row>
    <row r="260" spans="1:9">
      <c r="A260" s="11" t="s">
        <v>1522</v>
      </c>
      <c r="B260" s="20" t="s">
        <v>1758</v>
      </c>
      <c r="C260" s="28" t="e">
        <f t="shared" ca="1" si="3"/>
        <v>#N/A</v>
      </c>
      <c r="F260" s="3">
        <v>23061004</v>
      </c>
      <c r="G260" s="3">
        <v>4240001504</v>
      </c>
      <c r="H260" s="34" t="e">
        <f ca="1">[2]!a_eb("CDT,{P1},,2017013,,YA,,,","K=Acc_Code,F={P2},O=B",H$1,$F260)</f>
        <v>#NAME?</v>
      </c>
      <c r="I260" s="34" t="e">
        <f ca="1">[2]!a_eb("CDT,{P1},,2017013,,YA,,,","K=Acc_Code,F={P2},O=B",I$1,$F260)</f>
        <v>#NAME?</v>
      </c>
    </row>
    <row r="261" spans="1:9">
      <c r="A261" s="11" t="s">
        <v>1523</v>
      </c>
      <c r="B261" s="20" t="s">
        <v>1759</v>
      </c>
      <c r="C261" s="28" t="e">
        <f t="shared" ca="1" si="3"/>
        <v>#N/A</v>
      </c>
      <c r="F261" s="3">
        <v>230611</v>
      </c>
      <c r="G261" s="3">
        <v>3700000128</v>
      </c>
      <c r="H261" s="34" t="e">
        <f ca="1">[2]!a_eb("CDT,{P1},,2017013,,YA,,,","K=Acc_Code,F={P2},O=B",H$1,$F261)</f>
        <v>#NAME?</v>
      </c>
      <c r="I261" s="34" t="e">
        <f ca="1">[2]!a_eb("CDT,{P1},,2017013,,YA,,,","K=Acc_Code,F={P2},O=B",I$1,$F261)</f>
        <v>#NAME?</v>
      </c>
    </row>
    <row r="262" spans="1:9">
      <c r="A262" s="11" t="s">
        <v>1524</v>
      </c>
      <c r="B262" s="20" t="s">
        <v>1760</v>
      </c>
      <c r="C262" s="28" t="e">
        <f t="shared" ca="1" si="3"/>
        <v>#N/A</v>
      </c>
      <c r="F262" s="3">
        <v>230612</v>
      </c>
      <c r="G262" s="3">
        <v>4240000140</v>
      </c>
      <c r="H262" s="34" t="e">
        <f ca="1">[2]!a_eb("CDT,{P1},,2017013,,YA,,,","K=Acc_Code,F={P2},O=B",H$1,$F262)</f>
        <v>#NAME?</v>
      </c>
      <c r="I262" s="34" t="e">
        <f ca="1">[2]!a_eb("CDT,{P1},,2017013,,YA,,,","K=Acc_Code,F={P2},O=B",I$1,$F262)</f>
        <v>#NAME?</v>
      </c>
    </row>
    <row r="263" spans="1:9">
      <c r="A263" s="11" t="s">
        <v>1524</v>
      </c>
      <c r="B263" s="20" t="s">
        <v>1761</v>
      </c>
      <c r="C263" s="28" t="e">
        <f t="shared" ref="C263:C326" ca="1" si="4">VLOOKUP(B263,F:G,2,0)</f>
        <v>#N/A</v>
      </c>
      <c r="F263" s="3">
        <v>230613</v>
      </c>
      <c r="G263" s="3">
        <v>4240001500</v>
      </c>
      <c r="H263" s="34" t="e">
        <f ca="1">[2]!a_eb("CDT,{P1},,2017013,,YA,,,","K=Acc_Code,F={P2},O=B",H$1,$F263)</f>
        <v>#NAME?</v>
      </c>
      <c r="I263" s="34" t="e">
        <f ca="1">[2]!a_eb("CDT,{P1},,2017013,,YA,,,","K=Acc_Code,F={P2},O=B",I$1,$F263)</f>
        <v>#NAME?</v>
      </c>
    </row>
    <row r="264" spans="1:9">
      <c r="A264" s="11" t="s">
        <v>1525</v>
      </c>
      <c r="B264" s="20" t="s">
        <v>1762</v>
      </c>
      <c r="C264" s="28" t="e">
        <f t="shared" ca="1" si="4"/>
        <v>#N/A</v>
      </c>
      <c r="F264" s="3">
        <v>230615</v>
      </c>
      <c r="G264" s="3">
        <v>3700000126</v>
      </c>
      <c r="H264" s="34" t="e">
        <f ca="1">[2]!a_eb("CDT,{P1},,2017013,,YA,,,","K=Acc_Code,F={P2},O=B",H$1,$F264)</f>
        <v>#NAME?</v>
      </c>
      <c r="I264" s="34" t="e">
        <f ca="1">[2]!a_eb("CDT,{P1},,2017013,,YA,,,","K=Acc_Code,F={P2},O=B",I$1,$F264)</f>
        <v>#NAME?</v>
      </c>
    </row>
    <row r="265" spans="1:9">
      <c r="A265" s="11" t="s">
        <v>1524</v>
      </c>
      <c r="B265" s="20" t="s">
        <v>1763</v>
      </c>
      <c r="C265" s="28" t="e">
        <f t="shared" ca="1" si="4"/>
        <v>#N/A</v>
      </c>
      <c r="F265" s="3">
        <v>230616</v>
      </c>
      <c r="G265" s="3">
        <v>3700000124</v>
      </c>
      <c r="H265" s="34" t="e">
        <f ca="1">[2]!a_eb("CDT,{P1},,2017013,,YA,,,","K=Acc_Code,F={P2},O=B",H$1,$F265)</f>
        <v>#NAME?</v>
      </c>
      <c r="I265" s="34" t="e">
        <f ca="1">[2]!a_eb("CDT,{P1},,2017013,,YA,,,","K=Acc_Code,F={P2},O=B",I$1,$F265)</f>
        <v>#NAME?</v>
      </c>
    </row>
    <row r="266" spans="1:9">
      <c r="A266" s="11" t="s">
        <v>1524</v>
      </c>
      <c r="B266" s="20" t="s">
        <v>1764</v>
      </c>
      <c r="C266" s="28" t="e">
        <f t="shared" ca="1" si="4"/>
        <v>#N/A</v>
      </c>
      <c r="F266" s="3">
        <v>230617</v>
      </c>
      <c r="G266" s="3">
        <v>3700000125</v>
      </c>
      <c r="H266" s="34" t="e">
        <f ca="1">[2]!a_eb("CDT,{P1},,2017013,,YA,,,","K=Acc_Code,F={P2},O=B",H$1,$F266)</f>
        <v>#NAME?</v>
      </c>
      <c r="I266" s="34" t="e">
        <f ca="1">[2]!a_eb("CDT,{P1},,2017013,,YA,,,","K=Acc_Code,F={P2},O=B",I$1,$F266)</f>
        <v>#NAME?</v>
      </c>
    </row>
    <row r="267" spans="1:9">
      <c r="A267" s="11" t="s">
        <v>1525</v>
      </c>
      <c r="B267" s="20" t="s">
        <v>1765</v>
      </c>
      <c r="C267" s="28" t="e">
        <f t="shared" ca="1" si="4"/>
        <v>#N/A</v>
      </c>
      <c r="F267" s="3">
        <v>23070101</v>
      </c>
      <c r="G267" s="3">
        <v>3720000000</v>
      </c>
      <c r="H267" s="34" t="e">
        <f ca="1">[2]!a_eb("CDT,{P1},,2017013,,YA,,,","K=Acc_Code,F={P2},O=B",H$1,$F267)</f>
        <v>#NAME?</v>
      </c>
      <c r="I267" s="34" t="e">
        <f ca="1">[2]!a_eb("CDT,{P1},,2017013,,YA,,,","K=Acc_Code,F={P2},O=B",I$1,$F267)</f>
        <v>#NAME?</v>
      </c>
    </row>
    <row r="268" spans="1:9">
      <c r="A268" s="11" t="s">
        <v>1525</v>
      </c>
      <c r="B268" s="20" t="s">
        <v>1766</v>
      </c>
      <c r="C268" s="28" t="e">
        <f t="shared" ca="1" si="4"/>
        <v>#N/A</v>
      </c>
      <c r="F268" s="3">
        <v>23070302</v>
      </c>
      <c r="G268" s="6">
        <v>3720000001</v>
      </c>
      <c r="H268" s="34" t="e">
        <f ca="1">[2]!a_eb("CDT,{P1},,2017013,,YA,,,","K=Acc_Code,F={P2},O=B",H$1,$F268)</f>
        <v>#NAME?</v>
      </c>
      <c r="I268" s="34" t="e">
        <f ca="1">[2]!a_eb("CDT,{P1},,2017013,,YA,,,","K=Acc_Code,F={P2},O=B",I$1,$F268)</f>
        <v>#NAME?</v>
      </c>
    </row>
    <row r="269" spans="1:9">
      <c r="A269" s="11" t="s">
        <v>1525</v>
      </c>
      <c r="B269" s="20" t="s">
        <v>1767</v>
      </c>
      <c r="C269" s="28" t="e">
        <f t="shared" ca="1" si="4"/>
        <v>#N/A</v>
      </c>
      <c r="F269" s="3">
        <v>23070401</v>
      </c>
      <c r="G269" s="3">
        <v>3720000010</v>
      </c>
      <c r="H269" s="34" t="e">
        <f ca="1">[2]!a_eb("CDT,{P1},,2017013,,YA,,,","K=Acc_Code,F={P2},O=B",H$1,$F269)</f>
        <v>#NAME?</v>
      </c>
      <c r="I269" s="34" t="e">
        <f ca="1">[2]!a_eb("CDT,{P1},,2017013,,YA,,,","K=Acc_Code,F={P2},O=B",I$1,$F269)</f>
        <v>#NAME?</v>
      </c>
    </row>
    <row r="270" spans="1:9">
      <c r="A270" s="11" t="s">
        <v>1524</v>
      </c>
      <c r="B270" s="20" t="s">
        <v>1768</v>
      </c>
      <c r="C270" s="28" t="e">
        <f t="shared" ca="1" si="4"/>
        <v>#N/A</v>
      </c>
      <c r="F270" s="3">
        <v>230801</v>
      </c>
      <c r="G270" s="6">
        <v>4205100000</v>
      </c>
      <c r="H270" s="34" t="e">
        <f ca="1">[2]!a_eb("CDT,{P1},,2017013,,YA,,,","K=Acc_Code,F={P2},O=B",H$1,$F270)</f>
        <v>#NAME?</v>
      </c>
      <c r="I270" s="34" t="e">
        <f ca="1">[2]!a_eb("CDT,{P1},,2017013,,YA,,,","K=Acc_Code,F={P2},O=B",I$1,$F270)</f>
        <v>#NAME?</v>
      </c>
    </row>
    <row r="271" spans="1:9">
      <c r="A271" s="11" t="s">
        <v>1525</v>
      </c>
      <c r="B271" s="20" t="s">
        <v>1769</v>
      </c>
      <c r="C271" s="28" t="e">
        <f t="shared" ca="1" si="4"/>
        <v>#N/A</v>
      </c>
      <c r="F271" s="3">
        <v>230801</v>
      </c>
      <c r="G271" s="6">
        <v>4205101000</v>
      </c>
      <c r="H271" s="34" t="e">
        <f ca="1">[2]!a_eb("CDT,{P1},,2017013,,YA,,,","K=Acc_Code,F={P2},O=B",H$1,$F271)</f>
        <v>#NAME?</v>
      </c>
      <c r="I271" s="34" t="e">
        <f ca="1">[2]!a_eb("CDT,{P1},,2017013,,YA,,,","K=Acc_Code,F={P2},O=B",I$1,$F271)</f>
        <v>#NAME?</v>
      </c>
    </row>
    <row r="272" spans="1:9">
      <c r="A272" s="11" t="s">
        <v>1525</v>
      </c>
      <c r="B272" s="20" t="s">
        <v>1770</v>
      </c>
      <c r="C272" s="28" t="e">
        <f t="shared" ca="1" si="4"/>
        <v>#N/A</v>
      </c>
      <c r="F272" s="3">
        <v>230905</v>
      </c>
      <c r="G272" s="3">
        <v>4200000407</v>
      </c>
      <c r="H272" s="34" t="e">
        <f ca="1">[2]!a_eb("CDT,{P1},,2017013,,YA,,,","K=Acc_Code,F={P2},O=B",H$1,$F272)</f>
        <v>#NAME?</v>
      </c>
      <c r="I272" s="34" t="e">
        <f ca="1">[2]!a_eb("CDT,{P1},,2017013,,YA,,,","K=Acc_Code,F={P2},O=B",I$1,$F272)</f>
        <v>#NAME?</v>
      </c>
    </row>
    <row r="273" spans="1:9">
      <c r="A273" s="11" t="s">
        <v>1525</v>
      </c>
      <c r="B273" s="20" t="s">
        <v>1771</v>
      </c>
      <c r="C273" s="28" t="e">
        <f t="shared" ca="1" si="4"/>
        <v>#N/A</v>
      </c>
      <c r="F273" s="3">
        <v>230906</v>
      </c>
      <c r="G273" s="3">
        <v>4201301500</v>
      </c>
      <c r="H273" s="34" t="e">
        <f ca="1">[2]!a_eb("CDT,{P1},,2017013,,YA,,,","K=Acc_Code,F={P2},O=B",H$1,$F273)</f>
        <v>#NAME?</v>
      </c>
      <c r="I273" s="34" t="e">
        <f ca="1">[2]!a_eb("CDT,{P1},,2017013,,YA,,,","K=Acc_Code,F={P2},O=B",I$1,$F273)</f>
        <v>#NAME?</v>
      </c>
    </row>
    <row r="274" spans="1:9">
      <c r="A274" s="11">
        <v>2829961640</v>
      </c>
      <c r="B274" s="20" t="s">
        <v>1772</v>
      </c>
      <c r="C274" s="28" t="e">
        <f t="shared" ca="1" si="4"/>
        <v>#N/A</v>
      </c>
      <c r="F274" s="3">
        <v>230907</v>
      </c>
      <c r="G274" s="3">
        <v>4243000170</v>
      </c>
      <c r="H274" s="34" t="e">
        <f ca="1">[2]!a_eb("CDT,{P1},,2017013,,YA,,,","K=Acc_Code,F={P2},O=B",H$1,$F274)</f>
        <v>#NAME?</v>
      </c>
      <c r="I274" s="34" t="e">
        <f ca="1">[2]!a_eb("CDT,{P1},,2017013,,YA,,,","K=Acc_Code,F={P2},O=B",I$1,$F274)</f>
        <v>#NAME?</v>
      </c>
    </row>
    <row r="275" spans="1:9">
      <c r="A275" s="11" t="s">
        <v>1522</v>
      </c>
      <c r="B275" s="20" t="s">
        <v>1773</v>
      </c>
      <c r="C275" s="28" t="e">
        <f t="shared" ca="1" si="4"/>
        <v>#N/A</v>
      </c>
      <c r="F275" s="3">
        <v>230909</v>
      </c>
      <c r="G275" s="3">
        <v>4201300161</v>
      </c>
      <c r="H275" s="34" t="e">
        <f ca="1">[2]!a_eb("CDT,{P1},,2017013,,YA,,,","K=Acc_Code,F={P2},O=B",H$1,$F275)</f>
        <v>#NAME?</v>
      </c>
      <c r="I275" s="34" t="e">
        <f ca="1">[2]!a_eb("CDT,{P1},,2017013,,YA,,,","K=Acc_Code,F={P2},O=B",I$1,$F275)</f>
        <v>#NAME?</v>
      </c>
    </row>
    <row r="276" spans="1:9">
      <c r="A276" s="11" t="s">
        <v>1497</v>
      </c>
      <c r="B276" s="20" t="s">
        <v>1774</v>
      </c>
      <c r="C276" s="28" t="e">
        <f t="shared" ca="1" si="4"/>
        <v>#N/A</v>
      </c>
      <c r="F276" s="3">
        <v>230910</v>
      </c>
      <c r="G276" s="3">
        <v>4200000409</v>
      </c>
      <c r="H276" s="34" t="e">
        <f ca="1">[2]!a_eb("CDT,{P1},,2017013,,YA,,,","K=Acc_Code,F={P2},O=B",H$1,$F276)</f>
        <v>#NAME?</v>
      </c>
      <c r="I276" s="34" t="e">
        <f ca="1">[2]!a_eb("CDT,{P1},,2017013,,YA,,,","K=Acc_Code,F={P2},O=B",I$1,$F276)</f>
        <v>#NAME?</v>
      </c>
    </row>
    <row r="277" spans="1:9">
      <c r="A277" s="11">
        <v>2820060590</v>
      </c>
      <c r="B277" s="20" t="s">
        <v>1775</v>
      </c>
      <c r="C277" s="28" t="e">
        <f t="shared" ca="1" si="4"/>
        <v>#N/A</v>
      </c>
      <c r="F277" s="3">
        <v>2310010100</v>
      </c>
      <c r="G277" s="3">
        <v>4220000010</v>
      </c>
      <c r="H277" s="34" t="e">
        <f ca="1">[2]!a_eb("CDT,{P1},,2017013,,YA,,,","K=Acc_Code,F={P2},O=B",H$1,$F277)</f>
        <v>#NAME?</v>
      </c>
      <c r="I277" s="34" t="e">
        <f ca="1">[2]!a_eb("CDT,{P1},,2017013,,YA,,,","K=Acc_Code,F={P2},O=B",I$1,$F277)</f>
        <v>#NAME?</v>
      </c>
    </row>
    <row r="278" spans="1:9">
      <c r="A278" s="11">
        <v>2820063890</v>
      </c>
      <c r="B278" s="20" t="s">
        <v>1776</v>
      </c>
      <c r="C278" s="28" t="e">
        <f t="shared" ca="1" si="4"/>
        <v>#N/A</v>
      </c>
      <c r="F278" s="3">
        <v>2310010101</v>
      </c>
      <c r="G278" s="3">
        <v>3700000010</v>
      </c>
      <c r="H278" s="34" t="e">
        <f ca="1">[2]!a_eb("CDT,{P1},,2017013,,YA,,,","K=Acc_Code,F={P2},O=B",H$1,$F278)</f>
        <v>#NAME?</v>
      </c>
      <c r="I278" s="34" t="e">
        <f ca="1">[2]!a_eb("CDT,{P1},,2017013,,YA,,,","K=Acc_Code,F={P2},O=B",I$1,$F278)</f>
        <v>#NAME?</v>
      </c>
    </row>
    <row r="279" spans="1:9">
      <c r="A279" s="11">
        <v>2820063040</v>
      </c>
      <c r="B279" s="20" t="s">
        <v>1777</v>
      </c>
      <c r="C279" s="28" t="e">
        <f t="shared" ca="1" si="4"/>
        <v>#N/A</v>
      </c>
      <c r="F279" s="3">
        <v>2310010102</v>
      </c>
      <c r="G279" s="3">
        <v>3700000011</v>
      </c>
      <c r="H279" s="34" t="e">
        <f ca="1">[2]!a_eb("CDT,{P1},,2017013,,YA,,,","K=Acc_Code,F={P2},O=B",H$1,$F279)</f>
        <v>#NAME?</v>
      </c>
      <c r="I279" s="34" t="e">
        <f ca="1">[2]!a_eb("CDT,{P1},,2017013,,YA,,,","K=Acc_Code,F={P2},O=B",I$1,$F279)</f>
        <v>#NAME?</v>
      </c>
    </row>
    <row r="280" spans="1:9">
      <c r="A280" s="11">
        <v>2820063290</v>
      </c>
      <c r="B280" s="20" t="s">
        <v>1778</v>
      </c>
      <c r="C280" s="28" t="e">
        <f t="shared" ca="1" si="4"/>
        <v>#N/A</v>
      </c>
      <c r="F280" s="3">
        <v>2310010103</v>
      </c>
      <c r="G280" s="3">
        <v>3700000012</v>
      </c>
      <c r="H280" s="34" t="e">
        <f ca="1">[2]!a_eb("CDT,{P1},,2017013,,YA,,,","K=Acc_Code,F={P2},O=B",H$1,$F280)</f>
        <v>#NAME?</v>
      </c>
      <c r="I280" s="34" t="e">
        <f ca="1">[2]!a_eb("CDT,{P1},,2017013,,YA,,,","K=Acc_Code,F={P2},O=B",I$1,$F280)</f>
        <v>#NAME?</v>
      </c>
    </row>
    <row r="281" spans="1:9">
      <c r="A281" s="11">
        <v>2820063250</v>
      </c>
      <c r="B281" s="20" t="s">
        <v>1779</v>
      </c>
      <c r="C281" s="28" t="e">
        <f t="shared" ca="1" si="4"/>
        <v>#N/A</v>
      </c>
      <c r="F281" s="3">
        <v>2310010104</v>
      </c>
      <c r="G281" s="3">
        <v>3700000013</v>
      </c>
      <c r="H281" s="34" t="e">
        <f ca="1">[2]!a_eb("CDT,{P1},,2017013,,YA,,,","K=Acc_Code,F={P2},O=B",H$1,$F281)</f>
        <v>#NAME?</v>
      </c>
      <c r="I281" s="34" t="e">
        <f ca="1">[2]!a_eb("CDT,{P1},,2017013,,YA,,,","K=Acc_Code,F={P2},O=B",I$1,$F281)</f>
        <v>#NAME?</v>
      </c>
    </row>
    <row r="282" spans="1:9">
      <c r="A282" s="11">
        <v>2820063880</v>
      </c>
      <c r="B282" s="20" t="s">
        <v>1780</v>
      </c>
      <c r="C282" s="28" t="e">
        <f t="shared" ca="1" si="4"/>
        <v>#N/A</v>
      </c>
      <c r="F282" s="3">
        <v>2310010108</v>
      </c>
      <c r="G282" s="3">
        <v>3700000014</v>
      </c>
      <c r="H282" s="34" t="e">
        <f ca="1">[2]!a_eb("CDT,{P1},,2017013,,YA,,,","K=Acc_Code,F={P2},O=B",H$1,$F282)</f>
        <v>#NAME?</v>
      </c>
      <c r="I282" s="34" t="e">
        <f ca="1">[2]!a_eb("CDT,{P1},,2017013,,YA,,,","K=Acc_Code,F={P2},O=B",I$1,$F282)</f>
        <v>#NAME?</v>
      </c>
    </row>
    <row r="283" spans="1:9">
      <c r="A283" s="11">
        <v>2820064160</v>
      </c>
      <c r="B283" s="20" t="s">
        <v>1781</v>
      </c>
      <c r="C283" s="28" t="e">
        <f t="shared" ca="1" si="4"/>
        <v>#N/A</v>
      </c>
      <c r="F283" s="3">
        <v>2310010105</v>
      </c>
      <c r="G283" s="3">
        <v>3700000015</v>
      </c>
      <c r="H283" s="34" t="e">
        <f ca="1">[2]!a_eb("CDT,{P1},,2017013,,YA,,,","K=Acc_Code,F={P2},O=B",H$1,$F283)</f>
        <v>#NAME?</v>
      </c>
      <c r="I283" s="34" t="e">
        <f ca="1">[2]!a_eb("CDT,{P1},,2017013,,YA,,,","K=Acc_Code,F={P2},O=B",I$1,$F283)</f>
        <v>#NAME?</v>
      </c>
    </row>
    <row r="284" spans="1:9">
      <c r="A284" s="11">
        <v>2820064170</v>
      </c>
      <c r="B284" s="20" t="s">
        <v>1782</v>
      </c>
      <c r="C284" s="28" t="e">
        <f t="shared" ca="1" si="4"/>
        <v>#N/A</v>
      </c>
      <c r="F284" s="3">
        <v>2310010106</v>
      </c>
      <c r="G284" s="6">
        <v>2829970010</v>
      </c>
      <c r="H284" s="34" t="e">
        <f ca="1">[2]!a_eb("CDT,{P1},,2017013,,YA,,,","K=Acc_Code,F={P2},O=B",H$1,$F284)</f>
        <v>#NAME?</v>
      </c>
      <c r="I284" s="34" t="e">
        <f ca="1">[2]!a_eb("CDT,{P1},,2017013,,YA,,,","K=Acc_Code,F={P2},O=B",I$1,$F284)</f>
        <v>#NAME?</v>
      </c>
    </row>
    <row r="285" spans="1:9">
      <c r="A285" s="11">
        <v>2820066900</v>
      </c>
      <c r="B285" s="20" t="s">
        <v>1783</v>
      </c>
      <c r="C285" s="28" t="e">
        <f t="shared" ca="1" si="4"/>
        <v>#N/A</v>
      </c>
      <c r="F285" s="3">
        <v>2310010106</v>
      </c>
      <c r="G285" s="6">
        <v>2829970011</v>
      </c>
      <c r="H285" s="34" t="e">
        <f ca="1">[2]!a_eb("CDT,{P1},,2017013,,YA,,,","K=Acc_Code,F={P2},O=B",H$1,$F285)</f>
        <v>#NAME?</v>
      </c>
      <c r="I285" s="34" t="e">
        <f ca="1">[2]!a_eb("CDT,{P1},,2017013,,YA,,,","K=Acc_Code,F={P2},O=B",I$1,$F285)</f>
        <v>#NAME?</v>
      </c>
    </row>
    <row r="286" spans="1:9">
      <c r="A286" s="11">
        <v>2820001860</v>
      </c>
      <c r="B286" s="20" t="s">
        <v>1784</v>
      </c>
      <c r="C286" s="28" t="e">
        <f t="shared" ca="1" si="4"/>
        <v>#N/A</v>
      </c>
      <c r="F286" s="3">
        <v>2310010106</v>
      </c>
      <c r="G286" s="6">
        <v>2829970012</v>
      </c>
      <c r="H286" s="34" t="e">
        <f ca="1">[2]!a_eb("CDT,{P1},,2017013,,YA,,,","K=Acc_Code,F={P2},O=B",H$1,$F286)</f>
        <v>#NAME?</v>
      </c>
      <c r="I286" s="34" t="e">
        <f ca="1">[2]!a_eb("CDT,{P1},,2017013,,YA,,,","K=Acc_Code,F={P2},O=B",I$1,$F286)</f>
        <v>#NAME?</v>
      </c>
    </row>
    <row r="287" spans="1:9">
      <c r="A287" s="11">
        <v>2820002040</v>
      </c>
      <c r="B287" s="20" t="s">
        <v>1785</v>
      </c>
      <c r="C287" s="28" t="e">
        <f t="shared" ca="1" si="4"/>
        <v>#N/A</v>
      </c>
      <c r="F287" s="3">
        <v>2310010106</v>
      </c>
      <c r="G287" s="6">
        <v>2829970021</v>
      </c>
      <c r="H287" s="34" t="e">
        <f ca="1">[2]!a_eb("CDT,{P1},,2017013,,YA,,,","K=Acc_Code,F={P2},O=B",H$1,$F287)</f>
        <v>#NAME?</v>
      </c>
      <c r="I287" s="34" t="e">
        <f ca="1">[2]!a_eb("CDT,{P1},,2017013,,YA,,,","K=Acc_Code,F={P2},O=B",I$1,$F287)</f>
        <v>#NAME?</v>
      </c>
    </row>
    <row r="288" spans="1:9">
      <c r="A288" s="11" t="s">
        <v>1526</v>
      </c>
      <c r="B288" s="20" t="s">
        <v>1786</v>
      </c>
      <c r="C288" s="28" t="e">
        <f t="shared" ca="1" si="4"/>
        <v>#N/A</v>
      </c>
      <c r="F288" s="3">
        <v>2310010106</v>
      </c>
      <c r="G288" s="6">
        <v>2829970022</v>
      </c>
      <c r="H288" s="34" t="e">
        <f ca="1">[2]!a_eb("CDT,{P1},,2017013,,YA,,,","K=Acc_Code,F={P2},O=B",H$1,$F288)</f>
        <v>#NAME?</v>
      </c>
      <c r="I288" s="34" t="e">
        <f ca="1">[2]!a_eb("CDT,{P1},,2017013,,YA,,,","K=Acc_Code,F={P2},O=B",I$1,$F288)</f>
        <v>#NAME?</v>
      </c>
    </row>
    <row r="289" spans="1:9">
      <c r="A289" s="11" t="s">
        <v>1527</v>
      </c>
      <c r="B289" s="20" t="s">
        <v>1787</v>
      </c>
      <c r="C289" s="28" t="e">
        <f t="shared" ca="1" si="4"/>
        <v>#N/A</v>
      </c>
      <c r="F289" s="3">
        <v>2310010106</v>
      </c>
      <c r="G289" s="6">
        <v>2829970031</v>
      </c>
      <c r="H289" s="34" t="e">
        <f ca="1">[2]!a_eb("CDT,{P1},,2017013,,YA,,,","K=Acc_Code,F={P2},O=B",H$1,$F289)</f>
        <v>#NAME?</v>
      </c>
      <c r="I289" s="34" t="e">
        <f ca="1">[2]!a_eb("CDT,{P1},,2017013,,YA,,,","K=Acc_Code,F={P2},O=B",I$1,$F289)</f>
        <v>#NAME?</v>
      </c>
    </row>
    <row r="290" spans="1:9">
      <c r="A290" s="11" t="s">
        <v>1528</v>
      </c>
      <c r="B290" s="20" t="s">
        <v>1788</v>
      </c>
      <c r="C290" s="28" t="e">
        <f t="shared" ca="1" si="4"/>
        <v>#N/A</v>
      </c>
      <c r="F290" s="3">
        <v>2310010106</v>
      </c>
      <c r="G290" s="6">
        <v>2829970032</v>
      </c>
      <c r="H290" s="34" t="e">
        <f ca="1">[2]!a_eb("CDT,{P1},,2017013,,YA,,,","K=Acc_Code,F={P2},O=B",H$1,$F290)</f>
        <v>#NAME?</v>
      </c>
      <c r="I290" s="34" t="e">
        <f ca="1">[2]!a_eb("CDT,{P1},,2017013,,YA,,,","K=Acc_Code,F={P2},O=B",I$1,$F290)</f>
        <v>#NAME?</v>
      </c>
    </row>
    <row r="291" spans="1:9">
      <c r="A291" s="11" t="s">
        <v>1529</v>
      </c>
      <c r="B291" s="20" t="s">
        <v>1789</v>
      </c>
      <c r="C291" s="28" t="e">
        <f t="shared" ca="1" si="4"/>
        <v>#N/A</v>
      </c>
      <c r="F291" s="3">
        <v>2310010106</v>
      </c>
      <c r="G291" s="6">
        <v>2829970041</v>
      </c>
      <c r="H291" s="34" t="e">
        <f ca="1">[2]!a_eb("CDT,{P1},,2017013,,YA,,,","K=Acc_Code,F={P2},O=B",H$1,$F291)</f>
        <v>#NAME?</v>
      </c>
      <c r="I291" s="34" t="e">
        <f ca="1">[2]!a_eb("CDT,{P1},,2017013,,YA,,,","K=Acc_Code,F={P2},O=B",I$1,$F291)</f>
        <v>#NAME?</v>
      </c>
    </row>
    <row r="292" spans="1:9">
      <c r="A292" s="11" t="s">
        <v>1497</v>
      </c>
      <c r="B292" s="20" t="s">
        <v>1790</v>
      </c>
      <c r="C292" s="28" t="e">
        <f t="shared" ca="1" si="4"/>
        <v>#N/A</v>
      </c>
      <c r="F292" s="3">
        <v>2310010106</v>
      </c>
      <c r="G292" s="6">
        <v>2829970042</v>
      </c>
      <c r="H292" s="34" t="e">
        <f ca="1">[2]!a_eb("CDT,{P1},,2017013,,YA,,,","K=Acc_Code,F={P2},O=B",H$1,$F292)</f>
        <v>#NAME?</v>
      </c>
      <c r="I292" s="34" t="e">
        <f ca="1">[2]!a_eb("CDT,{P1},,2017013,,YA,,,","K=Acc_Code,F={P2},O=B",I$1,$F292)</f>
        <v>#NAME?</v>
      </c>
    </row>
    <row r="293" spans="1:9">
      <c r="A293" s="11" t="s">
        <v>1529</v>
      </c>
      <c r="B293" s="20" t="s">
        <v>1791</v>
      </c>
      <c r="C293" s="28" t="e">
        <f t="shared" ca="1" si="4"/>
        <v>#N/A</v>
      </c>
      <c r="F293" s="3">
        <v>2310010106</v>
      </c>
      <c r="G293" s="6">
        <v>2829970051</v>
      </c>
      <c r="H293" s="34" t="e">
        <f ca="1">[2]!a_eb("CDT,{P1},,2017013,,YA,,,","K=Acc_Code,F={P2},O=B",H$1,$F293)</f>
        <v>#NAME?</v>
      </c>
      <c r="I293" s="34" t="e">
        <f ca="1">[2]!a_eb("CDT,{P1},,2017013,,YA,,,","K=Acc_Code,F={P2},O=B",I$1,$F293)</f>
        <v>#NAME?</v>
      </c>
    </row>
    <row r="294" spans="1:9">
      <c r="A294" s="11" t="s">
        <v>1529</v>
      </c>
      <c r="B294" s="20" t="s">
        <v>1792</v>
      </c>
      <c r="C294" s="28" t="e">
        <f t="shared" ca="1" si="4"/>
        <v>#N/A</v>
      </c>
      <c r="F294" s="3">
        <v>2310010106</v>
      </c>
      <c r="G294" s="6">
        <v>2829970052</v>
      </c>
      <c r="H294" s="34" t="e">
        <f ca="1">[2]!a_eb("CDT,{P1},,2017013,,YA,,,","K=Acc_Code,F={P2},O=B",H$1,$F294)</f>
        <v>#NAME?</v>
      </c>
      <c r="I294" s="34" t="e">
        <f ca="1">[2]!a_eb("CDT,{P1},,2017013,,YA,,,","K=Acc_Code,F={P2},O=B",I$1,$F294)</f>
        <v>#NAME?</v>
      </c>
    </row>
    <row r="295" spans="1:9">
      <c r="A295" s="11" t="s">
        <v>1530</v>
      </c>
      <c r="B295" s="20" t="s">
        <v>1793</v>
      </c>
      <c r="C295" s="28" t="e">
        <f t="shared" ca="1" si="4"/>
        <v>#N/A</v>
      </c>
      <c r="F295" s="3">
        <v>2310010106</v>
      </c>
      <c r="G295" s="6">
        <v>2829970061</v>
      </c>
      <c r="H295" s="34" t="e">
        <f ca="1">[2]!a_eb("CDT,{P1},,2017013,,YA,,,","K=Acc_Code,F={P2},O=B",H$1,$F295)</f>
        <v>#NAME?</v>
      </c>
      <c r="I295" s="34" t="e">
        <f ca="1">[2]!a_eb("CDT,{P1},,2017013,,YA,,,","K=Acc_Code,F={P2},O=B",I$1,$F295)</f>
        <v>#NAME?</v>
      </c>
    </row>
    <row r="296" spans="1:9">
      <c r="A296" s="11" t="s">
        <v>1497</v>
      </c>
      <c r="B296" s="20" t="s">
        <v>1794</v>
      </c>
      <c r="C296" s="28" t="e">
        <f t="shared" ca="1" si="4"/>
        <v>#N/A</v>
      </c>
      <c r="F296" s="3">
        <v>2310010106</v>
      </c>
      <c r="G296" s="6">
        <v>2829970062</v>
      </c>
      <c r="H296" s="34" t="e">
        <f ca="1">[2]!a_eb("CDT,{P1},,2017013,,YA,,,","K=Acc_Code,F={P2},O=B",H$1,$F296)</f>
        <v>#NAME?</v>
      </c>
      <c r="I296" s="34" t="e">
        <f ca="1">[2]!a_eb("CDT,{P1},,2017013,,YA,,,","K=Acc_Code,F={P2},O=B",I$1,$F296)</f>
        <v>#NAME?</v>
      </c>
    </row>
    <row r="297" spans="1:9">
      <c r="A297" s="11" t="s">
        <v>1531</v>
      </c>
      <c r="B297" s="20" t="s">
        <v>1795</v>
      </c>
      <c r="C297" s="28" t="e">
        <f t="shared" ca="1" si="4"/>
        <v>#N/A</v>
      </c>
      <c r="F297" s="3">
        <v>2310010106</v>
      </c>
      <c r="G297" s="6">
        <v>2829970071</v>
      </c>
      <c r="H297" s="34" t="e">
        <f ca="1">[2]!a_eb("CDT,{P1},,2017013,,YA,,,","K=Acc_Code,F={P2},O=B",H$1,$F297)</f>
        <v>#NAME?</v>
      </c>
      <c r="I297" s="34" t="e">
        <f ca="1">[2]!a_eb("CDT,{P1},,2017013,,YA,,,","K=Acc_Code,F={P2},O=B",I$1,$F297)</f>
        <v>#NAME?</v>
      </c>
    </row>
    <row r="298" spans="1:9">
      <c r="A298" s="11" t="s">
        <v>1532</v>
      </c>
      <c r="B298" s="20" t="s">
        <v>1796</v>
      </c>
      <c r="C298" s="28" t="e">
        <f t="shared" ca="1" si="4"/>
        <v>#N/A</v>
      </c>
      <c r="F298" s="3">
        <v>2310010106</v>
      </c>
      <c r="G298" s="6">
        <v>2829970072</v>
      </c>
      <c r="H298" s="34" t="e">
        <f ca="1">[2]!a_eb("CDT,{P1},,2017013,,YA,,,","K=Acc_Code,F={P2},O=B",H$1,$F298)</f>
        <v>#NAME?</v>
      </c>
      <c r="I298" s="34" t="e">
        <f ca="1">[2]!a_eb("CDT,{P1},,2017013,,YA,,,","K=Acc_Code,F={P2},O=B",I$1,$F298)</f>
        <v>#NAME?</v>
      </c>
    </row>
    <row r="299" spans="1:9">
      <c r="A299" s="11" t="s">
        <v>1533</v>
      </c>
      <c r="B299" s="20" t="s">
        <v>1797</v>
      </c>
      <c r="C299" s="28" t="e">
        <f t="shared" ca="1" si="4"/>
        <v>#N/A</v>
      </c>
      <c r="F299" s="3">
        <v>2310010112</v>
      </c>
      <c r="G299" s="3">
        <v>4220000011</v>
      </c>
      <c r="H299" s="34" t="e">
        <f ca="1">[2]!a_eb("CDT,{P1},,2017013,,YA,,,","K=Acc_Code,F={P2},O=B",H$1,$F299)</f>
        <v>#NAME?</v>
      </c>
      <c r="I299" s="34" t="e">
        <f ca="1">[2]!a_eb("CDT,{P1},,2017013,,YA,,,","K=Acc_Code,F={P2},O=B",I$1,$F299)</f>
        <v>#NAME?</v>
      </c>
    </row>
    <row r="300" spans="1:9">
      <c r="A300" s="11" t="s">
        <v>1533</v>
      </c>
      <c r="B300" s="20" t="s">
        <v>1798</v>
      </c>
      <c r="C300" s="28" t="e">
        <f t="shared" ca="1" si="4"/>
        <v>#N/A</v>
      </c>
      <c r="F300" s="3">
        <v>2310010113</v>
      </c>
      <c r="G300" s="3">
        <v>4221002000</v>
      </c>
      <c r="H300" s="34" t="e">
        <f ca="1">[2]!a_eb("CDT,{P1},,2017013,,YA,,,","K=Acc_Code,F={P2},O=B",H$1,$F300)</f>
        <v>#NAME?</v>
      </c>
      <c r="I300" s="34" t="e">
        <f ca="1">[2]!a_eb("CDT,{P1},,2017013,,YA,,,","K=Acc_Code,F={P2},O=B",I$1,$F300)</f>
        <v>#NAME?</v>
      </c>
    </row>
    <row r="301" spans="1:9">
      <c r="A301" s="11" t="s">
        <v>1533</v>
      </c>
      <c r="B301" s="20" t="s">
        <v>1799</v>
      </c>
      <c r="C301" s="28" t="e">
        <f t="shared" ca="1" si="4"/>
        <v>#N/A</v>
      </c>
      <c r="F301" s="3">
        <v>2310010114</v>
      </c>
      <c r="G301" s="3">
        <v>4221002010</v>
      </c>
      <c r="H301" s="34" t="e">
        <f ca="1">[2]!a_eb("CDT,{P1},,2017013,,YA,,,","K=Acc_Code,F={P2},O=B",H$1,$F301)</f>
        <v>#NAME?</v>
      </c>
      <c r="I301" s="34" t="e">
        <f ca="1">[2]!a_eb("CDT,{P1},,2017013,,YA,,,","K=Acc_Code,F={P2},O=B",I$1,$F301)</f>
        <v>#NAME?</v>
      </c>
    </row>
    <row r="302" spans="1:9">
      <c r="A302" s="11" t="s">
        <v>1533</v>
      </c>
      <c r="B302" s="20" t="s">
        <v>1800</v>
      </c>
      <c r="C302" s="28" t="e">
        <f t="shared" ca="1" si="4"/>
        <v>#N/A</v>
      </c>
      <c r="F302" s="3">
        <v>2310010115</v>
      </c>
      <c r="G302" s="3">
        <v>4221002020</v>
      </c>
      <c r="H302" s="34" t="e">
        <f ca="1">[2]!a_eb("CDT,{P1},,2017013,,YA,,,","K=Acc_Code,F={P2},O=B",H$1,$F302)</f>
        <v>#NAME?</v>
      </c>
      <c r="I302" s="34" t="e">
        <f ca="1">[2]!a_eb("CDT,{P1},,2017013,,YA,,,","K=Acc_Code,F={P2},O=B",I$1,$F302)</f>
        <v>#NAME?</v>
      </c>
    </row>
    <row r="303" spans="1:9">
      <c r="A303" s="11" t="s">
        <v>1533</v>
      </c>
      <c r="B303" s="20" t="s">
        <v>1801</v>
      </c>
      <c r="C303" s="28" t="e">
        <f t="shared" ca="1" si="4"/>
        <v>#N/A</v>
      </c>
      <c r="F303" s="3">
        <v>2310010116</v>
      </c>
      <c r="G303" s="3">
        <v>4221002030</v>
      </c>
      <c r="H303" s="34" t="e">
        <f ca="1">[2]!a_eb("CDT,{P1},,2017013,,YA,,,","K=Acc_Code,F={P2},O=B",H$1,$F303)</f>
        <v>#NAME?</v>
      </c>
      <c r="I303" s="34" t="e">
        <f ca="1">[2]!a_eb("CDT,{P1},,2017013,,YA,,,","K=Acc_Code,F={P2},O=B",I$1,$F303)</f>
        <v>#NAME?</v>
      </c>
    </row>
    <row r="304" spans="1:9">
      <c r="A304" s="11" t="s">
        <v>1533</v>
      </c>
      <c r="B304" s="20" t="s">
        <v>1802</v>
      </c>
      <c r="C304" s="28" t="e">
        <f t="shared" ca="1" si="4"/>
        <v>#N/A</v>
      </c>
      <c r="F304" s="3">
        <v>2310010117</v>
      </c>
      <c r="G304" s="3">
        <v>4221002040</v>
      </c>
      <c r="H304" s="34" t="e">
        <f ca="1">[2]!a_eb("CDT,{P1},,2017013,,YA,,,","K=Acc_Code,F={P2},O=B",H$1,$F304)</f>
        <v>#NAME?</v>
      </c>
      <c r="I304" s="34" t="e">
        <f ca="1">[2]!a_eb("CDT,{P1},,2017013,,YA,,,","K=Acc_Code,F={P2},O=B",I$1,$F304)</f>
        <v>#NAME?</v>
      </c>
    </row>
    <row r="305" spans="1:9">
      <c r="A305" s="11" t="s">
        <v>1533</v>
      </c>
      <c r="B305" s="20" t="s">
        <v>1803</v>
      </c>
      <c r="C305" s="28" t="e">
        <f t="shared" ca="1" si="4"/>
        <v>#N/A</v>
      </c>
      <c r="F305" s="3">
        <v>2310010118</v>
      </c>
      <c r="G305" s="3">
        <v>4221002050</v>
      </c>
      <c r="H305" s="34" t="e">
        <f ca="1">[2]!a_eb("CDT,{P1},,2017013,,YA,,,","K=Acc_Code,F={P2},O=B",H$1,$F305)</f>
        <v>#NAME?</v>
      </c>
      <c r="I305" s="34" t="e">
        <f ca="1">[2]!a_eb("CDT,{P1},,2017013,,YA,,,","K=Acc_Code,F={P2},O=B",I$1,$F305)</f>
        <v>#NAME?</v>
      </c>
    </row>
    <row r="306" spans="1:9">
      <c r="A306" s="11">
        <v>2820053020</v>
      </c>
      <c r="B306" s="20" t="s">
        <v>1804</v>
      </c>
      <c r="C306" s="28" t="e">
        <f t="shared" ca="1" si="4"/>
        <v>#N/A</v>
      </c>
      <c r="F306" s="3">
        <v>2310010119</v>
      </c>
      <c r="G306" s="3">
        <v>4221002060</v>
      </c>
      <c r="H306" s="34" t="e">
        <f ca="1">[2]!a_eb("CDT,{P1},,2017013,,YA,,,","K=Acc_Code,F={P2},O=B",H$1,$F306)</f>
        <v>#NAME?</v>
      </c>
      <c r="I306" s="34" t="e">
        <f ca="1">[2]!a_eb("CDT,{P1},,2017013,,YA,,,","K=Acc_Code,F={P2},O=B",I$1,$F306)</f>
        <v>#NAME?</v>
      </c>
    </row>
    <row r="307" spans="1:9">
      <c r="A307" s="11">
        <v>2820053020</v>
      </c>
      <c r="B307" s="20" t="s">
        <v>1805</v>
      </c>
      <c r="C307" s="28" t="e">
        <f t="shared" ca="1" si="4"/>
        <v>#N/A</v>
      </c>
      <c r="F307" s="3">
        <v>23100102</v>
      </c>
      <c r="G307" s="3">
        <v>4220000030</v>
      </c>
      <c r="H307" s="34" t="e">
        <f ca="1">[2]!a_eb("CDT,{P1},,2017013,,YA,,,","K=Acc_Code,F={P2},O=B",H$1,$F307)</f>
        <v>#NAME?</v>
      </c>
      <c r="I307" s="34" t="e">
        <f ca="1">[2]!a_eb("CDT,{P1},,2017013,,YA,,,","K=Acc_Code,F={P2},O=B",I$1,$F307)</f>
        <v>#NAME?</v>
      </c>
    </row>
    <row r="308" spans="1:9">
      <c r="A308" s="11">
        <v>2820053020</v>
      </c>
      <c r="B308" s="20" t="s">
        <v>1806</v>
      </c>
      <c r="C308" s="28" t="e">
        <f t="shared" ca="1" si="4"/>
        <v>#N/A</v>
      </c>
      <c r="F308" s="3">
        <v>2310010301</v>
      </c>
      <c r="G308" s="3">
        <v>3700000430</v>
      </c>
      <c r="H308" s="34" t="e">
        <f ca="1">[2]!a_eb("CDT,{P1},,2017013,,YA,,,","K=Acc_Code,F={P2},O=B",H$1,$F308)</f>
        <v>#NAME?</v>
      </c>
      <c r="I308" s="34" t="e">
        <f ca="1">[2]!a_eb("CDT,{P1},,2017013,,YA,,,","K=Acc_Code,F={P2},O=B",I$1,$F308)</f>
        <v>#NAME?</v>
      </c>
    </row>
    <row r="309" spans="1:9">
      <c r="A309" s="11" t="s">
        <v>1534</v>
      </c>
      <c r="B309" s="20" t="s">
        <v>1807</v>
      </c>
      <c r="C309" s="28" t="e">
        <f t="shared" ca="1" si="4"/>
        <v>#N/A</v>
      </c>
      <c r="F309" s="3">
        <v>2310010303</v>
      </c>
      <c r="G309" s="3">
        <v>4220000460</v>
      </c>
      <c r="H309" s="34" t="e">
        <f ca="1">[2]!a_eb("CDT,{P1},,2017013,,YA,,,","K=Acc_Code,F={P2},O=B",H$1,$F309)</f>
        <v>#NAME?</v>
      </c>
      <c r="I309" s="34" t="e">
        <f ca="1">[2]!a_eb("CDT,{P1},,2017013,,YA,,,","K=Acc_Code,F={P2},O=B",I$1,$F309)</f>
        <v>#NAME?</v>
      </c>
    </row>
    <row r="310" spans="1:9">
      <c r="A310" s="11">
        <v>2820042090</v>
      </c>
      <c r="B310" s="20" t="s">
        <v>1808</v>
      </c>
      <c r="C310" s="28" t="e">
        <f t="shared" ca="1" si="4"/>
        <v>#N/A</v>
      </c>
      <c r="F310" s="3">
        <v>2310010304</v>
      </c>
      <c r="G310" s="3">
        <v>4220000461</v>
      </c>
      <c r="H310" s="34" t="e">
        <f ca="1">[2]!a_eb("CDT,{P1},,2017013,,YA,,,","K=Acc_Code,F={P2},O=B",H$1,$F310)</f>
        <v>#NAME?</v>
      </c>
      <c r="I310" s="34" t="e">
        <f ca="1">[2]!a_eb("CDT,{P1},,2017013,,YA,,,","K=Acc_Code,F={P2},O=B",I$1,$F310)</f>
        <v>#NAME?</v>
      </c>
    </row>
    <row r="311" spans="1:9">
      <c r="A311" s="11" t="s">
        <v>1497</v>
      </c>
      <c r="B311" s="20" t="s">
        <v>1809</v>
      </c>
      <c r="C311" s="28" t="e">
        <f t="shared" ca="1" si="4"/>
        <v>#N/A</v>
      </c>
      <c r="F311" s="3">
        <v>2310010305</v>
      </c>
      <c r="G311" s="3">
        <v>4220000520</v>
      </c>
      <c r="H311" s="34" t="e">
        <f ca="1">[2]!a_eb("CDT,{P1},,2017013,,YA,,,","K=Acc_Code,F={P2},O=B",H$1,$F311)</f>
        <v>#NAME?</v>
      </c>
      <c r="I311" s="34" t="e">
        <f ca="1">[2]!a_eb("CDT,{P1},,2017013,,YA,,,","K=Acc_Code,F={P2},O=B",I$1,$F311)</f>
        <v>#NAME?</v>
      </c>
    </row>
    <row r="312" spans="1:9">
      <c r="A312" s="11">
        <v>2820042380</v>
      </c>
      <c r="B312" s="20" t="s">
        <v>1810</v>
      </c>
      <c r="C312" s="28" t="e">
        <f t="shared" ca="1" si="4"/>
        <v>#N/A</v>
      </c>
      <c r="F312" s="3">
        <v>2310010306</v>
      </c>
      <c r="G312" s="3">
        <v>3700000100</v>
      </c>
      <c r="H312" s="34" t="e">
        <f ca="1">[2]!a_eb("CDT,{P1},,2017013,,YA,,,","K=Acc_Code,F={P2},O=B",H$1,$F312)</f>
        <v>#NAME?</v>
      </c>
      <c r="I312" s="34" t="e">
        <f ca="1">[2]!a_eb("CDT,{P1},,2017013,,YA,,,","K=Acc_Code,F={P2},O=B",I$1,$F312)</f>
        <v>#NAME?</v>
      </c>
    </row>
    <row r="313" spans="1:9">
      <c r="A313" s="11">
        <v>2820042140</v>
      </c>
      <c r="B313" s="20" t="s">
        <v>1811</v>
      </c>
      <c r="C313" s="28" t="e">
        <f t="shared" ca="1" si="4"/>
        <v>#N/A</v>
      </c>
      <c r="F313" s="3">
        <v>2310010307</v>
      </c>
      <c r="G313" s="3">
        <v>4220000150</v>
      </c>
      <c r="H313" s="34" t="e">
        <f ca="1">[2]!a_eb("CDT,{P1},,2017013,,YA,,,","K=Acc_Code,F={P2},O=B",H$1,$F313)</f>
        <v>#NAME?</v>
      </c>
      <c r="I313" s="34" t="e">
        <f ca="1">[2]!a_eb("CDT,{P1},,2017013,,YA,,,","K=Acc_Code,F={P2},O=B",I$1,$F313)</f>
        <v>#NAME?</v>
      </c>
    </row>
    <row r="314" spans="1:9">
      <c r="A314" s="11">
        <v>2820042610</v>
      </c>
      <c r="B314" s="20" t="s">
        <v>1812</v>
      </c>
      <c r="C314" s="28" t="e">
        <f t="shared" ca="1" si="4"/>
        <v>#N/A</v>
      </c>
      <c r="F314" s="3">
        <v>2310010308</v>
      </c>
      <c r="G314" s="3">
        <v>4221001010</v>
      </c>
      <c r="H314" s="34" t="e">
        <f ca="1">[2]!a_eb("CDT,{P1},,2017013,,YA,,,","K=Acc_Code,F={P2},O=B",H$1,$F314)</f>
        <v>#NAME?</v>
      </c>
      <c r="I314" s="34" t="e">
        <f ca="1">[2]!a_eb("CDT,{P1},,2017013,,YA,,,","K=Acc_Code,F={P2},O=B",I$1,$F314)</f>
        <v>#NAME?</v>
      </c>
    </row>
    <row r="315" spans="1:9">
      <c r="A315" s="11">
        <v>2820042260</v>
      </c>
      <c r="B315" s="20" t="s">
        <v>1813</v>
      </c>
      <c r="C315" s="28" t="e">
        <f t="shared" ca="1" si="4"/>
        <v>#N/A</v>
      </c>
      <c r="F315" s="3">
        <v>2310010309</v>
      </c>
      <c r="G315" s="3">
        <v>4221001001</v>
      </c>
      <c r="H315" s="34" t="e">
        <f ca="1">[2]!a_eb("CDT,{P1},,2017013,,YA,,,","K=Acc_Code,F={P2},O=B",H$1,$F315)</f>
        <v>#NAME?</v>
      </c>
      <c r="I315" s="34" t="e">
        <f ca="1">[2]!a_eb("CDT,{P1},,2017013,,YA,,,","K=Acc_Code,F={P2},O=B",I$1,$F315)</f>
        <v>#NAME?</v>
      </c>
    </row>
    <row r="316" spans="1:9">
      <c r="A316" s="11">
        <v>2820042570</v>
      </c>
      <c r="B316" s="20" t="s">
        <v>1814</v>
      </c>
      <c r="C316" s="28" t="e">
        <f t="shared" ca="1" si="4"/>
        <v>#N/A</v>
      </c>
      <c r="F316" s="3">
        <v>2310010310</v>
      </c>
      <c r="G316" s="3">
        <v>4220000210</v>
      </c>
      <c r="H316" s="34" t="e">
        <f ca="1">[2]!a_eb("CDT,{P1},,2017013,,YA,,,","K=Acc_Code,F={P2},O=B",H$1,$F316)</f>
        <v>#NAME?</v>
      </c>
      <c r="I316" s="34" t="e">
        <f ca="1">[2]!a_eb("CDT,{P1},,2017013,,YA,,,","K=Acc_Code,F={P2},O=B",I$1,$F316)</f>
        <v>#NAME?</v>
      </c>
    </row>
    <row r="317" spans="1:9">
      <c r="A317" s="11">
        <v>2820042740</v>
      </c>
      <c r="B317" s="20" t="s">
        <v>1815</v>
      </c>
      <c r="C317" s="28" t="e">
        <f t="shared" ca="1" si="4"/>
        <v>#N/A</v>
      </c>
      <c r="F317" s="3">
        <v>2310010311</v>
      </c>
      <c r="G317" s="3">
        <v>4220000012</v>
      </c>
      <c r="H317" s="34" t="e">
        <f ca="1">[2]!a_eb("CDT,{P1},,2017013,,YA,,,","K=Acc_Code,F={P2},O=B",H$1,$F317)</f>
        <v>#NAME?</v>
      </c>
      <c r="I317" s="34" t="e">
        <f ca="1">[2]!a_eb("CDT,{P1},,2017013,,YA,,,","K=Acc_Code,F={P2},O=B",I$1,$F317)</f>
        <v>#NAME?</v>
      </c>
    </row>
    <row r="318" spans="1:9">
      <c r="A318" s="11" t="s">
        <v>1497</v>
      </c>
      <c r="B318" s="20" t="s">
        <v>1816</v>
      </c>
      <c r="C318" s="28" t="e">
        <f t="shared" ca="1" si="4"/>
        <v>#N/A</v>
      </c>
      <c r="F318" s="3">
        <v>23100104</v>
      </c>
      <c r="G318" s="3">
        <v>4200000010</v>
      </c>
      <c r="H318" s="34" t="e">
        <f ca="1">[2]!a_eb("CDT,{P1},,2017013,,YA,,,","K=Acc_Code,F={P2},O=B",H$1,$F318)</f>
        <v>#NAME?</v>
      </c>
      <c r="I318" s="34" t="e">
        <f ca="1">[2]!a_eb("CDT,{P1},,2017013,,YA,,,","K=Acc_Code,F={P2},O=B",I$1,$F318)</f>
        <v>#NAME?</v>
      </c>
    </row>
    <row r="319" spans="1:9">
      <c r="A319" s="11" t="s">
        <v>1497</v>
      </c>
      <c r="B319" s="20" t="s">
        <v>1817</v>
      </c>
      <c r="C319" s="28" t="e">
        <f t="shared" ca="1" si="4"/>
        <v>#N/A</v>
      </c>
      <c r="F319" s="3">
        <v>23100105</v>
      </c>
      <c r="G319" s="3">
        <v>4243000431</v>
      </c>
      <c r="H319" s="34" t="e">
        <f ca="1">[2]!a_eb("CDT,{P1},,2017013,,YA,,,","K=Acc_Code,F={P2},O=B",H$1,$F319)</f>
        <v>#NAME?</v>
      </c>
      <c r="I319" s="34" t="e">
        <f ca="1">[2]!a_eb("CDT,{P1},,2017013,,YA,,,","K=Acc_Code,F={P2},O=B",I$1,$F319)</f>
        <v>#NAME?</v>
      </c>
    </row>
    <row r="320" spans="1:9">
      <c r="A320" s="11">
        <v>2820004200</v>
      </c>
      <c r="B320" s="20" t="s">
        <v>1818</v>
      </c>
      <c r="C320" s="28" t="e">
        <f t="shared" ca="1" si="4"/>
        <v>#N/A</v>
      </c>
      <c r="F320" s="3">
        <v>23100107</v>
      </c>
      <c r="G320" s="3">
        <v>4243000432</v>
      </c>
      <c r="H320" s="34" t="e">
        <f ca="1">[2]!a_eb("CDT,{P1},,2017013,,YA,,,","K=Acc_Code,F={P2},O=B",H$1,$F320)</f>
        <v>#NAME?</v>
      </c>
      <c r="I320" s="34" t="e">
        <f ca="1">[2]!a_eb("CDT,{P1},,2017013,,YA,,,","K=Acc_Code,F={P2},O=B",I$1,$F320)</f>
        <v>#NAME?</v>
      </c>
    </row>
    <row r="321" spans="1:9">
      <c r="A321" s="11">
        <v>2820004240</v>
      </c>
      <c r="B321" s="20" t="s">
        <v>1819</v>
      </c>
      <c r="C321" s="28" t="e">
        <f t="shared" ca="1" si="4"/>
        <v>#N/A</v>
      </c>
      <c r="F321" s="3">
        <v>23100108</v>
      </c>
      <c r="G321" s="3">
        <v>4242101500</v>
      </c>
      <c r="H321" s="34" t="e">
        <f ca="1">[2]!a_eb("CDT,{P1},,2017013,,YA,,,","K=Acc_Code,F={P2},O=B",H$1,$F321)</f>
        <v>#NAME?</v>
      </c>
      <c r="I321" s="34" t="e">
        <f ca="1">[2]!a_eb("CDT,{P1},,2017013,,YA,,,","K=Acc_Code,F={P2},O=B",I$1,$F321)</f>
        <v>#NAME?</v>
      </c>
    </row>
    <row r="322" spans="1:9">
      <c r="A322" s="11">
        <v>2820004280</v>
      </c>
      <c r="B322" s="20" t="s">
        <v>1820</v>
      </c>
      <c r="C322" s="28" t="e">
        <f t="shared" ca="1" si="4"/>
        <v>#N/A</v>
      </c>
      <c r="F322" s="3">
        <v>23100109</v>
      </c>
      <c r="G322" s="3">
        <v>4200000310</v>
      </c>
      <c r="H322" s="34" t="e">
        <f ca="1">[2]!a_eb("CDT,{P1},,2017013,,YA,,,","K=Acc_Code,F={P2},O=B",H$1,$F322)</f>
        <v>#NAME?</v>
      </c>
      <c r="I322" s="34" t="e">
        <f ca="1">[2]!a_eb("CDT,{P1},,2017013,,YA,,,","K=Acc_Code,F={P2},O=B",I$1,$F322)</f>
        <v>#NAME?</v>
      </c>
    </row>
    <row r="323" spans="1:9">
      <c r="A323" s="11">
        <v>2820004220</v>
      </c>
      <c r="B323" s="20" t="s">
        <v>1821</v>
      </c>
      <c r="C323" s="28" t="e">
        <f t="shared" ca="1" si="4"/>
        <v>#N/A</v>
      </c>
      <c r="F323" s="3">
        <v>23100110</v>
      </c>
      <c r="G323" s="3">
        <v>4243000434</v>
      </c>
      <c r="H323" s="34" t="e">
        <f ca="1">[2]!a_eb("CDT,{P1},,2017013,,YA,,,","K=Acc_Code,F={P2},O=B",H$1,$F323)</f>
        <v>#NAME?</v>
      </c>
      <c r="I323" s="34" t="e">
        <f ca="1">[2]!a_eb("CDT,{P1},,2017013,,YA,,,","K=Acc_Code,F={P2},O=B",I$1,$F323)</f>
        <v>#NAME?</v>
      </c>
    </row>
    <row r="324" spans="1:9">
      <c r="A324" s="11">
        <v>2820004260</v>
      </c>
      <c r="B324" s="20" t="s">
        <v>1822</v>
      </c>
      <c r="C324" s="28" t="e">
        <f t="shared" ca="1" si="4"/>
        <v>#N/A</v>
      </c>
      <c r="F324" s="3">
        <v>23100113</v>
      </c>
      <c r="G324" s="3">
        <v>4243000440</v>
      </c>
      <c r="H324" s="34" t="e">
        <f ca="1">[2]!a_eb("CDT,{P1},,2017013,,YA,,,","K=Acc_Code,F={P2},O=B",H$1,$F324)</f>
        <v>#NAME?</v>
      </c>
      <c r="I324" s="34" t="e">
        <f ca="1">[2]!a_eb("CDT,{P1},,2017013,,YA,,,","K=Acc_Code,F={P2},O=B",I$1,$F324)</f>
        <v>#NAME?</v>
      </c>
    </row>
    <row r="325" spans="1:9">
      <c r="A325" s="11">
        <v>2820004300</v>
      </c>
      <c r="B325" s="20" t="s">
        <v>1823</v>
      </c>
      <c r="C325" s="28" t="e">
        <f t="shared" ca="1" si="4"/>
        <v>#N/A</v>
      </c>
      <c r="F325" s="3">
        <v>23100116</v>
      </c>
      <c r="G325" s="3">
        <v>4243000436</v>
      </c>
      <c r="H325" s="34" t="e">
        <f ca="1">[2]!a_eb("CDT,{P1},,2017013,,YA,,,","K=Acc_Code,F={P2},O=B",H$1,$F325)</f>
        <v>#NAME?</v>
      </c>
      <c r="I325" s="34" t="e">
        <f ca="1">[2]!a_eb("CDT,{P1},,2017013,,YA,,,","K=Acc_Code,F={P2},O=B",I$1,$F325)</f>
        <v>#NAME?</v>
      </c>
    </row>
    <row r="326" spans="1:9">
      <c r="A326" s="11">
        <v>2820063020</v>
      </c>
      <c r="B326" s="20" t="s">
        <v>1824</v>
      </c>
      <c r="C326" s="28" t="e">
        <f t="shared" ca="1" si="4"/>
        <v>#N/A</v>
      </c>
      <c r="F326" s="3">
        <v>23100117</v>
      </c>
      <c r="G326" s="3">
        <v>4243000435</v>
      </c>
      <c r="H326" s="34" t="e">
        <f ca="1">[2]!a_eb("CDT,{P1},,2017013,,YA,,,","K=Acc_Code,F={P2},O=B",H$1,$F326)</f>
        <v>#NAME?</v>
      </c>
      <c r="I326" s="34" t="e">
        <f ca="1">[2]!a_eb("CDT,{P1},,2017013,,YA,,,","K=Acc_Code,F={P2},O=B",I$1,$F326)</f>
        <v>#NAME?</v>
      </c>
    </row>
    <row r="327" spans="1:9">
      <c r="A327" s="11">
        <v>2820063240</v>
      </c>
      <c r="B327" s="20" t="s">
        <v>1825</v>
      </c>
      <c r="C327" s="28" t="e">
        <f t="shared" ref="C327:C374" ca="1" si="5">VLOOKUP(B327,F:G,2,0)</f>
        <v>#N/A</v>
      </c>
      <c r="F327" s="3">
        <v>23100120</v>
      </c>
      <c r="G327" s="3">
        <v>4244000010</v>
      </c>
      <c r="H327" s="34" t="e">
        <f ca="1">[2]!a_eb("CDT,{P1},,2017013,,YA,,,","K=Acc_Code,F={P2},O=B",H$1,$F327)</f>
        <v>#NAME?</v>
      </c>
      <c r="I327" s="34" t="e">
        <f ca="1">[2]!a_eb("CDT,{P1},,2017013,,YA,,,","K=Acc_Code,F={P2},O=B",I$1,$F327)</f>
        <v>#NAME?</v>
      </c>
    </row>
    <row r="328" spans="1:9">
      <c r="A328" s="11">
        <v>2820063320</v>
      </c>
      <c r="B328" s="20" t="s">
        <v>1826</v>
      </c>
      <c r="C328" s="28" t="e">
        <f t="shared" ca="1" si="5"/>
        <v>#N/A</v>
      </c>
      <c r="F328" s="3">
        <v>23100122</v>
      </c>
      <c r="G328" s="3">
        <v>4034001500</v>
      </c>
      <c r="H328" s="34" t="e">
        <f ca="1">[2]!a_eb("CDT,{P1},,2017013,,YA,,,","K=Acc_Code,F={P2},O=B",H$1,$F328)</f>
        <v>#NAME?</v>
      </c>
      <c r="I328" s="34" t="e">
        <f ca="1">[2]!a_eb("CDT,{P1},,2017013,,YA,,,","K=Acc_Code,F={P2},O=B",I$1,$F328)</f>
        <v>#NAME?</v>
      </c>
    </row>
    <row r="329" spans="1:9">
      <c r="A329" s="11">
        <v>2820063360</v>
      </c>
      <c r="B329" s="20" t="s">
        <v>1827</v>
      </c>
      <c r="C329" s="28" t="e">
        <f t="shared" ca="1" si="5"/>
        <v>#N/A</v>
      </c>
      <c r="F329" s="3">
        <v>23100124</v>
      </c>
      <c r="G329" s="3">
        <v>4230042123</v>
      </c>
      <c r="H329" s="34" t="e">
        <f ca="1">[2]!a_eb("CDT,{P1},,2017013,,YA,,,","K=Acc_Code,F={P2},O=B",H$1,$F329)</f>
        <v>#NAME?</v>
      </c>
      <c r="I329" s="34" t="e">
        <f ca="1">[2]!a_eb("CDT,{P1},,2017013,,YA,,,","K=Acc_Code,F={P2},O=B",I$1,$F329)</f>
        <v>#NAME?</v>
      </c>
    </row>
    <row r="330" spans="1:9">
      <c r="A330" s="11">
        <v>2820063350</v>
      </c>
      <c r="B330" s="20" t="s">
        <v>1828</v>
      </c>
      <c r="C330" s="28" t="e">
        <f t="shared" ca="1" si="5"/>
        <v>#N/A</v>
      </c>
      <c r="F330" s="3">
        <v>23100125</v>
      </c>
      <c r="G330" s="3">
        <v>4200000312</v>
      </c>
      <c r="H330" s="34" t="e">
        <f ca="1">[2]!a_eb("CDT,{P1},,2017013,,YA,,,","K=Acc_Code,F={P2},O=B",H$1,$F330)</f>
        <v>#NAME?</v>
      </c>
      <c r="I330" s="34" t="e">
        <f ca="1">[2]!a_eb("CDT,{P1},,2017013,,YA,,,","K=Acc_Code,F={P2},O=B",I$1,$F330)</f>
        <v>#NAME?</v>
      </c>
    </row>
    <row r="331" spans="1:9">
      <c r="A331" s="11" t="s">
        <v>1497</v>
      </c>
      <c r="B331" s="20" t="s">
        <v>1829</v>
      </c>
      <c r="C331" s="28" t="e">
        <f t="shared" ca="1" si="5"/>
        <v>#N/A</v>
      </c>
      <c r="F331" s="3">
        <v>23100126</v>
      </c>
      <c r="G331" s="3">
        <v>4243000441</v>
      </c>
      <c r="H331" s="34" t="e">
        <f ca="1">[2]!a_eb("CDT,{P1},,2017013,,YA,,,","K=Acc_Code,F={P2},O=B",H$1,$F331)</f>
        <v>#NAME?</v>
      </c>
      <c r="I331" s="34" t="e">
        <f ca="1">[2]!a_eb("CDT,{P1},,2017013,,YA,,,","K=Acc_Code,F={P2},O=B",I$1,$F331)</f>
        <v>#NAME?</v>
      </c>
    </row>
    <row r="332" spans="1:9">
      <c r="A332" s="11" t="s">
        <v>1535</v>
      </c>
      <c r="B332" s="20" t="s">
        <v>1830</v>
      </c>
      <c r="C332" s="28" t="e">
        <f t="shared" ca="1" si="5"/>
        <v>#N/A</v>
      </c>
      <c r="F332" s="3">
        <v>23100201</v>
      </c>
      <c r="G332" s="6">
        <v>4232000000</v>
      </c>
      <c r="H332" s="34" t="e">
        <f ca="1">[2]!a_eb("CDT,{P1},,2017013,,YA,,,","K=Acc_Code,F={P2},O=B",H$1,$F332)</f>
        <v>#NAME?</v>
      </c>
      <c r="I332" s="34" t="e">
        <f ca="1">[2]!a_eb("CDT,{P1},,2017013,,YA,,,","K=Acc_Code,F={P2},O=B",I$1,$F332)</f>
        <v>#NAME?</v>
      </c>
    </row>
    <row r="333" spans="1:9">
      <c r="A333" s="11" t="s">
        <v>1535</v>
      </c>
      <c r="B333" s="20" t="s">
        <v>1831</v>
      </c>
      <c r="C333" s="28" t="e">
        <f t="shared" ca="1" si="5"/>
        <v>#N/A</v>
      </c>
      <c r="F333" s="3">
        <v>23100201</v>
      </c>
      <c r="G333" s="6">
        <v>4232001500</v>
      </c>
      <c r="H333" s="34" t="e">
        <f ca="1">[2]!a_eb("CDT,{P1},,2017013,,YA,,,","K=Acc_Code,F={P2},O=B",H$1,$F333)</f>
        <v>#NAME?</v>
      </c>
      <c r="I333" s="34" t="e">
        <f ca="1">[2]!a_eb("CDT,{P1},,2017013,,YA,,,","K=Acc_Code,F={P2},O=B",I$1,$F333)</f>
        <v>#NAME?</v>
      </c>
    </row>
    <row r="334" spans="1:9">
      <c r="A334" s="11" t="s">
        <v>1535</v>
      </c>
      <c r="B334" s="20" t="s">
        <v>1832</v>
      </c>
      <c r="C334" s="28" t="e">
        <f t="shared" ca="1" si="5"/>
        <v>#N/A</v>
      </c>
      <c r="F334" s="3">
        <v>23100202</v>
      </c>
      <c r="G334" s="3">
        <v>4232101000</v>
      </c>
      <c r="H334" s="34" t="e">
        <f ca="1">[2]!a_eb("CDT,{P1},,2017013,,YA,,,","K=Acc_Code,F={P2},O=B",H$1,$F334)</f>
        <v>#NAME?</v>
      </c>
      <c r="I334" s="34" t="e">
        <f ca="1">[2]!a_eb("CDT,{P1},,2017013,,YA,,,","K=Acc_Code,F={P2},O=B",I$1,$F334)</f>
        <v>#NAME?</v>
      </c>
    </row>
    <row r="335" spans="1:9">
      <c r="A335" s="11" t="s">
        <v>1535</v>
      </c>
      <c r="B335" s="20" t="s">
        <v>1833</v>
      </c>
      <c r="C335" s="28" t="e">
        <f t="shared" ca="1" si="5"/>
        <v>#N/A</v>
      </c>
      <c r="F335" s="3">
        <v>23100204</v>
      </c>
      <c r="G335" s="3">
        <v>4205000000</v>
      </c>
      <c r="H335" s="34" t="e">
        <f ca="1">[2]!a_eb("CDT,{P1},,2017013,,YA,,,","K=Acc_Code,F={P2},O=B",H$1,$F335)</f>
        <v>#NAME?</v>
      </c>
      <c r="I335" s="34" t="e">
        <f ca="1">[2]!a_eb("CDT,{P1},,2017013,,YA,,,","K=Acc_Code,F={P2},O=B",I$1,$F335)</f>
        <v>#NAME?</v>
      </c>
    </row>
    <row r="336" spans="1:9">
      <c r="A336" s="11" t="s">
        <v>1535</v>
      </c>
      <c r="B336" s="20" t="s">
        <v>1834</v>
      </c>
      <c r="C336" s="28" t="e">
        <f t="shared" ca="1" si="5"/>
        <v>#N/A</v>
      </c>
      <c r="F336" s="3">
        <v>23100205</v>
      </c>
      <c r="G336" s="3">
        <v>4232101001</v>
      </c>
      <c r="H336" s="34" t="e">
        <f ca="1">[2]!a_eb("CDT,{P1},,2017013,,YA,,,","K=Acc_Code,F={P2},O=B",H$1,$F336)</f>
        <v>#NAME?</v>
      </c>
      <c r="I336" s="34" t="e">
        <f ca="1">[2]!a_eb("CDT,{P1},,2017013,,YA,,,","K=Acc_Code,F={P2},O=B",I$1,$F336)</f>
        <v>#NAME?</v>
      </c>
    </row>
    <row r="337" spans="1:9">
      <c r="A337" s="11" t="s">
        <v>1535</v>
      </c>
      <c r="B337" s="20" t="s">
        <v>1835</v>
      </c>
      <c r="C337" s="28" t="e">
        <f t="shared" ca="1" si="5"/>
        <v>#N/A</v>
      </c>
      <c r="F337" s="3">
        <v>23100206</v>
      </c>
      <c r="G337" s="6">
        <v>4202002000</v>
      </c>
      <c r="H337" s="34" t="e">
        <f ca="1">[2]!a_eb("CDT,{P1},,2017013,,YA,,,","K=Acc_Code,F={P2},O=B",H$1,$F337)</f>
        <v>#NAME?</v>
      </c>
      <c r="I337" s="34" t="e">
        <f ca="1">[2]!a_eb("CDT,{P1},,2017013,,YA,,,","K=Acc_Code,F={P2},O=B",I$1,$F337)</f>
        <v>#NAME?</v>
      </c>
    </row>
    <row r="338" spans="1:9">
      <c r="A338" s="11" t="s">
        <v>1535</v>
      </c>
      <c r="B338" s="20" t="s">
        <v>1836</v>
      </c>
      <c r="C338" s="28" t="e">
        <f t="shared" ca="1" si="5"/>
        <v>#N/A</v>
      </c>
      <c r="F338" s="3">
        <v>23100207</v>
      </c>
      <c r="G338" s="3">
        <v>4244000000</v>
      </c>
      <c r="H338" s="34" t="e">
        <f ca="1">[2]!a_eb("CDT,{P1},,2017013,,YA,,,","K=Acc_Code,F={P2},O=B",H$1,$F338)</f>
        <v>#NAME?</v>
      </c>
      <c r="I338" s="34" t="e">
        <f ca="1">[2]!a_eb("CDT,{P1},,2017013,,YA,,,","K=Acc_Code,F={P2},O=B",I$1,$F338)</f>
        <v>#NAME?</v>
      </c>
    </row>
    <row r="339" spans="1:9">
      <c r="A339" s="14" t="s">
        <v>1536</v>
      </c>
      <c r="B339" s="20" t="s">
        <v>1837</v>
      </c>
      <c r="C339" s="28" t="e">
        <f t="shared" ca="1" si="5"/>
        <v>#N/A</v>
      </c>
      <c r="F339" s="3">
        <v>23100301</v>
      </c>
      <c r="G339" s="3">
        <v>4230001500</v>
      </c>
      <c r="H339" s="34" t="e">
        <f ca="1">[2]!a_eb("CDT,{P1},,2017013,,YA,,,","K=Acc_Code,F={P2},O=B",H$1,$F339)</f>
        <v>#NAME?</v>
      </c>
      <c r="I339" s="34" t="e">
        <f ca="1">[2]!a_eb("CDT,{P1},,2017013,,YA,,,","K=Acc_Code,F={P2},O=B",I$1,$F339)</f>
        <v>#NAME?</v>
      </c>
    </row>
    <row r="340" spans="1:9">
      <c r="A340" s="11">
        <v>2820004210</v>
      </c>
      <c r="B340" s="20" t="s">
        <v>1838</v>
      </c>
      <c r="C340" s="28" t="e">
        <f t="shared" ca="1" si="5"/>
        <v>#N/A</v>
      </c>
      <c r="F340" s="3">
        <v>23100303</v>
      </c>
      <c r="G340" s="3">
        <v>4250001500</v>
      </c>
      <c r="H340" s="34" t="e">
        <f ca="1">[2]!a_eb("CDT,{P1},,2017013,,YA,,,","K=Acc_Code,F={P2},O=B",H$1,$F340)</f>
        <v>#NAME?</v>
      </c>
      <c r="I340" s="34" t="e">
        <f ca="1">[2]!a_eb("CDT,{P1},,2017013,,YA,,,","K=Acc_Code,F={P2},O=B",I$1,$F340)</f>
        <v>#NAME?</v>
      </c>
    </row>
    <row r="341" spans="1:9">
      <c r="A341" s="11">
        <v>2820004250</v>
      </c>
      <c r="B341" s="20" t="s">
        <v>1839</v>
      </c>
      <c r="C341" s="28" t="e">
        <f t="shared" ca="1" si="5"/>
        <v>#N/A</v>
      </c>
      <c r="F341" s="3">
        <v>23100304</v>
      </c>
      <c r="G341" s="3">
        <v>4230001501</v>
      </c>
      <c r="H341" s="34" t="e">
        <f ca="1">[2]!a_eb("CDT,{P1},,2017013,,YA,,,","K=Acc_Code,F={P2},O=B",H$1,$F341)</f>
        <v>#NAME?</v>
      </c>
      <c r="I341" s="34" t="e">
        <f ca="1">[2]!a_eb("CDT,{P1},,2017013,,YA,,,","K=Acc_Code,F={P2},O=B",I$1,$F341)</f>
        <v>#NAME?</v>
      </c>
    </row>
    <row r="342" spans="1:9">
      <c r="A342" s="11">
        <v>2820004290</v>
      </c>
      <c r="B342" s="20" t="s">
        <v>1840</v>
      </c>
      <c r="C342" s="28" t="e">
        <f t="shared" ca="1" si="5"/>
        <v>#N/A</v>
      </c>
      <c r="F342" s="3">
        <v>23100305</v>
      </c>
      <c r="G342" s="3">
        <v>4230001502</v>
      </c>
      <c r="H342" s="34" t="e">
        <f ca="1">[2]!a_eb("CDT,{P1},,2017013,,YA,,,","K=Acc_Code,F={P2},O=B",H$1,$F342)</f>
        <v>#NAME?</v>
      </c>
      <c r="I342" s="34" t="e">
        <f ca="1">[2]!a_eb("CDT,{P1},,2017013,,YA,,,","K=Acc_Code,F={P2},O=B",I$1,$F342)</f>
        <v>#NAME?</v>
      </c>
    </row>
    <row r="343" spans="1:9">
      <c r="A343" s="11">
        <v>2820004230</v>
      </c>
      <c r="B343" s="20" t="s">
        <v>1841</v>
      </c>
      <c r="C343" s="28" t="e">
        <f t="shared" ca="1" si="5"/>
        <v>#N/A</v>
      </c>
      <c r="F343" s="3">
        <v>23100306</v>
      </c>
      <c r="G343" s="3">
        <v>4230001503</v>
      </c>
      <c r="H343" s="34" t="e">
        <f ca="1">[2]!a_eb("CDT,{P1},,2017013,,YA,,,","K=Acc_Code,F={P2},O=B",H$1,$F343)</f>
        <v>#NAME?</v>
      </c>
      <c r="I343" s="34" t="e">
        <f ca="1">[2]!a_eb("CDT,{P1},,2017013,,YA,,,","K=Acc_Code,F={P2},O=B",I$1,$F343)</f>
        <v>#NAME?</v>
      </c>
    </row>
    <row r="344" spans="1:9">
      <c r="A344" s="11">
        <v>2820004270</v>
      </c>
      <c r="B344" s="20" t="s">
        <v>1842</v>
      </c>
      <c r="C344" s="28" t="e">
        <f t="shared" ca="1" si="5"/>
        <v>#N/A</v>
      </c>
      <c r="F344" s="3">
        <v>23100308</v>
      </c>
      <c r="G344" s="3">
        <v>4230010000</v>
      </c>
      <c r="H344" s="34" t="e">
        <f ca="1">[2]!a_eb("CDT,{P1},,2017013,,YA,,,","K=Acc_Code,F={P2},O=B",H$1,$F344)</f>
        <v>#NAME?</v>
      </c>
      <c r="I344" s="34" t="e">
        <f ca="1">[2]!a_eb("CDT,{P1},,2017013,,YA,,,","K=Acc_Code,F={P2},O=B",I$1,$F344)</f>
        <v>#NAME?</v>
      </c>
    </row>
    <row r="345" spans="1:9">
      <c r="A345" s="11">
        <v>2820004310</v>
      </c>
      <c r="B345" s="20" t="s">
        <v>1843</v>
      </c>
      <c r="C345" s="28" t="e">
        <f t="shared" ca="1" si="5"/>
        <v>#N/A</v>
      </c>
      <c r="F345" s="3">
        <v>23100309</v>
      </c>
      <c r="G345" s="3">
        <v>4510000010</v>
      </c>
      <c r="H345" s="34" t="e">
        <f ca="1">[2]!a_eb("CDT,{P1},,2017013,,YA,,,","K=Acc_Code,F={P2},O=B",H$1,$F345)</f>
        <v>#NAME?</v>
      </c>
      <c r="I345" s="34" t="e">
        <f ca="1">[2]!a_eb("CDT,{P1},,2017013,,YA,,,","K=Acc_Code,F={P2},O=B",I$1,$F345)</f>
        <v>#NAME?</v>
      </c>
    </row>
    <row r="346" spans="1:9">
      <c r="A346" s="11">
        <v>2820063050</v>
      </c>
      <c r="B346" s="20" t="s">
        <v>1844</v>
      </c>
      <c r="C346" s="28" t="e">
        <f t="shared" ca="1" si="5"/>
        <v>#N/A</v>
      </c>
      <c r="F346" s="3">
        <v>23100402</v>
      </c>
      <c r="G346" s="3">
        <v>4240001506</v>
      </c>
      <c r="H346" s="34" t="e">
        <f ca="1">[2]!a_eb("CDT,{P1},,2017013,,YA,,,","K=Acc_Code,F={P2},O=B",H$1,$F346)</f>
        <v>#NAME?</v>
      </c>
      <c r="I346" s="34" t="e">
        <f ca="1">[2]!a_eb("CDT,{P1},,2017013,,YA,,,","K=Acc_Code,F={P2},O=B",I$1,$F346)</f>
        <v>#NAME?</v>
      </c>
    </row>
    <row r="347" spans="1:9">
      <c r="A347" s="11">
        <v>2820063230</v>
      </c>
      <c r="B347" s="20" t="s">
        <v>1845</v>
      </c>
      <c r="C347" s="28" t="e">
        <f t="shared" ca="1" si="5"/>
        <v>#N/A</v>
      </c>
      <c r="F347" s="3">
        <v>23100404</v>
      </c>
      <c r="G347" s="3">
        <v>4240001507</v>
      </c>
      <c r="H347" s="34" t="e">
        <f ca="1">[2]!a_eb("CDT,{P1},,2017013,,YA,,,","K=Acc_Code,F={P2},O=B",H$1,$F347)</f>
        <v>#NAME?</v>
      </c>
      <c r="I347" s="34" t="e">
        <f ca="1">[2]!a_eb("CDT,{P1},,2017013,,YA,,,","K=Acc_Code,F={P2},O=B",I$1,$F347)</f>
        <v>#NAME?</v>
      </c>
    </row>
    <row r="348" spans="1:9">
      <c r="A348" s="11">
        <v>2820063730</v>
      </c>
      <c r="B348" s="20" t="s">
        <v>1846</v>
      </c>
      <c r="C348" s="28" t="e">
        <f t="shared" ca="1" si="5"/>
        <v>#N/A</v>
      </c>
      <c r="F348" s="3">
        <v>23100405</v>
      </c>
      <c r="G348" s="3">
        <v>4240001508</v>
      </c>
      <c r="H348" s="34" t="e">
        <f ca="1">[2]!a_eb("CDT,{P1},,2017013,,YA,,,","K=Acc_Code,F={P2},O=B",H$1,$F348)</f>
        <v>#NAME?</v>
      </c>
      <c r="I348" s="34" t="e">
        <f ca="1">[2]!a_eb("CDT,{P1},,2017013,,YA,,,","K=Acc_Code,F={P2},O=B",I$1,$F348)</f>
        <v>#NAME?</v>
      </c>
    </row>
    <row r="349" spans="1:9">
      <c r="A349" s="11">
        <v>2820000410</v>
      </c>
      <c r="B349" s="20" t="s">
        <v>1847</v>
      </c>
      <c r="C349" s="28" t="e">
        <f t="shared" ca="1" si="5"/>
        <v>#N/A</v>
      </c>
      <c r="F349" s="3">
        <v>23100406</v>
      </c>
      <c r="G349" s="3">
        <v>3730000000</v>
      </c>
      <c r="H349" s="34" t="e">
        <f ca="1">[2]!a_eb("CDT,{P1},,2017013,,YA,,,","K=Acc_Code,F={P2},O=B",H$1,$F349)</f>
        <v>#NAME?</v>
      </c>
      <c r="I349" s="34" t="e">
        <f ca="1">[2]!a_eb("CDT,{P1},,2017013,,YA,,,","K=Acc_Code,F={P2},O=B",I$1,$F349)</f>
        <v>#NAME?</v>
      </c>
    </row>
    <row r="350" spans="1:9">
      <c r="A350" s="11">
        <v>2820001560</v>
      </c>
      <c r="B350" s="20" t="s">
        <v>1848</v>
      </c>
      <c r="C350" s="28" t="e">
        <f t="shared" ca="1" si="5"/>
        <v>#N/A</v>
      </c>
      <c r="F350" s="3">
        <v>23100407</v>
      </c>
      <c r="G350" s="3">
        <v>3510000000</v>
      </c>
      <c r="H350" s="34" t="e">
        <f ca="1">[2]!a_eb("CDT,{P1},,2017013,,YA,,,","K=Acc_Code,F={P2},O=B",H$1,$F350)</f>
        <v>#NAME?</v>
      </c>
      <c r="I350" s="34" t="e">
        <f ca="1">[2]!a_eb("CDT,{P1},,2017013,,YA,,,","K=Acc_Code,F={P2},O=B",I$1,$F350)</f>
        <v>#NAME?</v>
      </c>
    </row>
    <row r="351" spans="1:9">
      <c r="A351" s="11" t="s">
        <v>1497</v>
      </c>
      <c r="B351" s="20" t="s">
        <v>1849</v>
      </c>
      <c r="C351" s="28" t="e">
        <f t="shared" ca="1" si="5"/>
        <v>#N/A</v>
      </c>
      <c r="F351" s="3">
        <v>23100408</v>
      </c>
      <c r="G351" s="3">
        <v>4230100000</v>
      </c>
      <c r="H351" s="34" t="e">
        <f ca="1">[2]!a_eb("CDT,{P1},,2017013,,YA,,,","K=Acc_Code,F={P2},O=B",H$1,$F351)</f>
        <v>#NAME?</v>
      </c>
      <c r="I351" s="34" t="e">
        <f ca="1">[2]!a_eb("CDT,{P1},,2017013,,YA,,,","K=Acc_Code,F={P2},O=B",I$1,$F351)</f>
        <v>#NAME?</v>
      </c>
    </row>
    <row r="352" spans="1:9">
      <c r="A352" s="11" t="s">
        <v>1497</v>
      </c>
      <c r="B352" s="20" t="s">
        <v>1850</v>
      </c>
      <c r="C352" s="28" t="e">
        <f t="shared" ca="1" si="5"/>
        <v>#N/A</v>
      </c>
      <c r="F352" s="3">
        <v>23100409</v>
      </c>
      <c r="G352" s="3">
        <v>4010000020</v>
      </c>
      <c r="H352" s="34" t="e">
        <f ca="1">[2]!a_eb("CDT,{P1},,2017013,,YA,,,","K=Acc_Code,F={P2},O=B",H$1,$F352)</f>
        <v>#NAME?</v>
      </c>
      <c r="I352" s="34" t="e">
        <f ca="1">[2]!a_eb("CDT,{P1},,2017013,,YA,,,","K=Acc_Code,F={P2},O=B",I$1,$F352)</f>
        <v>#NAME?</v>
      </c>
    </row>
    <row r="353" spans="1:9">
      <c r="A353" s="11" t="s">
        <v>1497</v>
      </c>
      <c r="B353" s="20" t="s">
        <v>1851</v>
      </c>
      <c r="C353" s="28" t="e">
        <f t="shared" ca="1" si="5"/>
        <v>#N/A</v>
      </c>
      <c r="F353" s="3">
        <v>231101</v>
      </c>
      <c r="G353" s="3">
        <v>3710000004</v>
      </c>
      <c r="H353" s="34" t="e">
        <f ca="1">[2]!a_eb("CDT,{P1},,2017013,,YA,,,","K=Acc_Code,F={P2},O=B",H$1,$F353)</f>
        <v>#NAME?</v>
      </c>
      <c r="I353" s="34" t="e">
        <f ca="1">[2]!a_eb("CDT,{P1},,2017013,,YA,,,","K=Acc_Code,F={P2},O=B",I$1,$F353)</f>
        <v>#NAME?</v>
      </c>
    </row>
    <row r="354" spans="1:9">
      <c r="A354" s="11" t="s">
        <v>1497</v>
      </c>
      <c r="B354" s="20" t="s">
        <v>1852</v>
      </c>
      <c r="C354" s="28" t="e">
        <f t="shared" ca="1" si="5"/>
        <v>#N/A</v>
      </c>
      <c r="F354" s="3">
        <v>231201</v>
      </c>
      <c r="G354" s="3">
        <v>4234001500</v>
      </c>
      <c r="H354" s="34" t="e">
        <f ca="1">[2]!a_eb("CDT,{P1},,2017013,,YA,,,","K=Acc_Code,F={P2},O=B",H$1,$F354)</f>
        <v>#NAME?</v>
      </c>
      <c r="I354" s="34" t="e">
        <f ca="1">[2]!a_eb("CDT,{P1},,2017013,,YA,,,","K=Acc_Code,F={P2},O=B",I$1,$F354)</f>
        <v>#NAME?</v>
      </c>
    </row>
    <row r="355" spans="1:9">
      <c r="A355" s="11" t="s">
        <v>1497</v>
      </c>
      <c r="B355" s="20" t="s">
        <v>1853</v>
      </c>
      <c r="C355" s="28" t="e">
        <f t="shared" ca="1" si="5"/>
        <v>#N/A</v>
      </c>
      <c r="F355" s="3">
        <v>240102</v>
      </c>
      <c r="G355" s="3">
        <v>4230000210</v>
      </c>
      <c r="H355" s="34" t="e">
        <f ca="1">[2]!a_eb("CDT,{P1},,2017013,,YA,,,","K=Acc_Code,F={P2},O=B",H$1,$F355)</f>
        <v>#NAME?</v>
      </c>
      <c r="I355" s="34" t="e">
        <f ca="1">[2]!a_eb("CDT,{P1},,2017013,,YA,,,","K=Acc_Code,F={P2},O=B",I$1,$F355)</f>
        <v>#NAME?</v>
      </c>
    </row>
    <row r="356" spans="1:9">
      <c r="A356" s="11" t="s">
        <v>1497</v>
      </c>
      <c r="B356" s="20" t="s">
        <v>1854</v>
      </c>
      <c r="C356" s="28" t="e">
        <f t="shared" ca="1" si="5"/>
        <v>#N/A</v>
      </c>
      <c r="F356" s="3">
        <v>240103</v>
      </c>
      <c r="G356" s="3">
        <v>4230000211</v>
      </c>
      <c r="H356" s="34" t="e">
        <f ca="1">[2]!a_eb("CDT,{P1},,2017013,,YA,,,","K=Acc_Code,F={P2},O=B",H$1,$F356)</f>
        <v>#NAME?</v>
      </c>
      <c r="I356" s="34" t="e">
        <f ca="1">[2]!a_eb("CDT,{P1},,2017013,,YA,,,","K=Acc_Code,F={P2},O=B",I$1,$F356)</f>
        <v>#NAME?</v>
      </c>
    </row>
    <row r="357" spans="1:9">
      <c r="A357" s="11" t="s">
        <v>1497</v>
      </c>
      <c r="B357" s="20" t="s">
        <v>1855</v>
      </c>
      <c r="C357" s="28" t="e">
        <f t="shared" ca="1" si="5"/>
        <v>#N/A</v>
      </c>
      <c r="F357" s="3">
        <v>240105</v>
      </c>
      <c r="G357" s="3">
        <v>3500000040</v>
      </c>
      <c r="H357" s="34" t="e">
        <f ca="1">[2]!a_eb("CDT,{P1},,2017013,,YA,,,","K=Acc_Code,F={P2},O=B",H$1,$F357)</f>
        <v>#NAME?</v>
      </c>
      <c r="I357" s="34" t="e">
        <f ca="1">[2]!a_eb("CDT,{P1},,2017013,,YA,,,","K=Acc_Code,F={P2},O=B",I$1,$F357)</f>
        <v>#NAME?</v>
      </c>
    </row>
    <row r="358" spans="1:9">
      <c r="A358" s="11">
        <v>2820001840</v>
      </c>
      <c r="B358" s="20" t="s">
        <v>1856</v>
      </c>
      <c r="C358" s="28" t="e">
        <f t="shared" ca="1" si="5"/>
        <v>#N/A</v>
      </c>
      <c r="F358" s="3">
        <v>240106</v>
      </c>
      <c r="G358" s="3">
        <v>3500000050</v>
      </c>
      <c r="H358" s="34" t="e">
        <f ca="1">[2]!a_eb("CDT,{P1},,2017013,,YA,,,","K=Acc_Code,F={P2},O=B",H$1,$F358)</f>
        <v>#NAME?</v>
      </c>
      <c r="I358" s="34" t="e">
        <f ca="1">[2]!a_eb("CDT,{P1},,2017013,,YA,,,","K=Acc_Code,F={P2},O=B",I$1,$F358)</f>
        <v>#NAME?</v>
      </c>
    </row>
    <row r="359" spans="1:9">
      <c r="A359" s="11">
        <v>2820001850</v>
      </c>
      <c r="B359" s="20" t="s">
        <v>1857</v>
      </c>
      <c r="C359" s="28" t="e">
        <f t="shared" ca="1" si="5"/>
        <v>#N/A</v>
      </c>
      <c r="F359" s="3">
        <v>240107</v>
      </c>
      <c r="G359" s="3">
        <v>3500000051</v>
      </c>
      <c r="H359" s="34" t="e">
        <f ca="1">[2]!a_eb("CDT,{P1},,2017013,,YA,,,","K=Acc_Code,F={P2},O=B",H$1,$F359)</f>
        <v>#NAME?</v>
      </c>
      <c r="I359" s="34" t="e">
        <f ca="1">[2]!a_eb("CDT,{P1},,2017013,,YA,,,","K=Acc_Code,F={P2},O=B",I$1,$F359)</f>
        <v>#NAME?</v>
      </c>
    </row>
    <row r="360" spans="1:9">
      <c r="A360" s="11">
        <v>2810063280</v>
      </c>
      <c r="B360" s="20" t="s">
        <v>1858</v>
      </c>
      <c r="C360" s="28" t="e">
        <f t="shared" ca="1" si="5"/>
        <v>#N/A</v>
      </c>
      <c r="F360" s="3">
        <v>240108</v>
      </c>
      <c r="G360" s="3">
        <v>3510000020</v>
      </c>
      <c r="H360" s="34" t="e">
        <f ca="1">[2]!a_eb("CDT,{P1},,2017013,,YA,,,","K=Acc_Code,F={P2},O=B",H$1,$F360)</f>
        <v>#NAME?</v>
      </c>
      <c r="I360" s="34" t="e">
        <f ca="1">[2]!a_eb("CDT,{P1},,2017013,,YA,,,","K=Acc_Code,F={P2},O=B",I$1,$F360)</f>
        <v>#NAME?</v>
      </c>
    </row>
    <row r="361" spans="1:9">
      <c r="A361" s="11">
        <v>2820063310</v>
      </c>
      <c r="B361" s="20" t="s">
        <v>1859</v>
      </c>
      <c r="C361" s="28" t="e">
        <f t="shared" ca="1" si="5"/>
        <v>#N/A</v>
      </c>
      <c r="F361" s="3">
        <v>240108</v>
      </c>
      <c r="G361" s="3">
        <v>3510000010</v>
      </c>
      <c r="H361" s="34" t="e">
        <f ca="1">[2]!a_eb("CDT,{P1},,2017013,,YA,,,","K=Acc_Code,F={P2},O=B",H$1,$F361)</f>
        <v>#NAME?</v>
      </c>
      <c r="I361" s="34" t="e">
        <f ca="1">[2]!a_eb("CDT,{P1},,2017013,,YA,,,","K=Acc_Code,F={P2},O=B",I$1,$F361)</f>
        <v>#NAME?</v>
      </c>
    </row>
    <row r="362" spans="1:9">
      <c r="A362" s="11">
        <v>2820063030</v>
      </c>
      <c r="B362" s="20" t="s">
        <v>1860</v>
      </c>
      <c r="C362" s="28" t="e">
        <f t="shared" ca="1" si="5"/>
        <v>#N/A</v>
      </c>
      <c r="F362" s="3">
        <v>240109</v>
      </c>
      <c r="G362" s="3">
        <v>3500000013</v>
      </c>
      <c r="H362" s="34" t="e">
        <f ca="1">[2]!a_eb("CDT,{P1},,2017013,,YA,,,","K=Acc_Code,F={P2},O=B",H$1,$F362)</f>
        <v>#NAME?</v>
      </c>
      <c r="I362" s="34" t="e">
        <f ca="1">[2]!a_eb("CDT,{P1},,2017013,,YA,,,","K=Acc_Code,F={P2},O=B",I$1,$F362)</f>
        <v>#NAME?</v>
      </c>
    </row>
    <row r="363" spans="1:9">
      <c r="A363" s="11">
        <v>2820063660</v>
      </c>
      <c r="B363" s="20" t="s">
        <v>1861</v>
      </c>
      <c r="C363" s="28" t="e">
        <f t="shared" ca="1" si="5"/>
        <v>#N/A</v>
      </c>
      <c r="F363" s="3">
        <v>240110</v>
      </c>
      <c r="G363" s="3">
        <v>3500009040</v>
      </c>
      <c r="H363" s="34" t="e">
        <f ca="1">[2]!a_eb("CDT,{P1},,2017013,,YA,,,","K=Acc_Code,F={P2},O=B",H$1,$F363)</f>
        <v>#NAME?</v>
      </c>
      <c r="I363" s="34" t="e">
        <f ca="1">[2]!a_eb("CDT,{P1},,2017013,,YA,,,","K=Acc_Code,F={P2},O=B",I$1,$F363)</f>
        <v>#NAME?</v>
      </c>
    </row>
    <row r="364" spans="1:9">
      <c r="A364" s="11">
        <v>2820063110</v>
      </c>
      <c r="B364" s="20" t="s">
        <v>1862</v>
      </c>
      <c r="C364" s="28" t="e">
        <f t="shared" ca="1" si="5"/>
        <v>#N/A</v>
      </c>
      <c r="F364" s="3">
        <v>240111</v>
      </c>
      <c r="G364" s="3">
        <v>3500009041</v>
      </c>
      <c r="H364" s="34" t="e">
        <f ca="1">[2]!a_eb("CDT,{P1},,2017013,,YA,,,","K=Acc_Code,F={P2},O=B",H$1,$F364)</f>
        <v>#NAME?</v>
      </c>
      <c r="I364" s="34" t="e">
        <f ca="1">[2]!a_eb("CDT,{P1},,2017013,,YA,,,","K=Acc_Code,F={P2},O=B",I$1,$F364)</f>
        <v>#NAME?</v>
      </c>
    </row>
    <row r="365" spans="1:9">
      <c r="A365" s="11">
        <v>2820063270</v>
      </c>
      <c r="B365" s="20" t="s">
        <v>1863</v>
      </c>
      <c r="C365" s="28" t="e">
        <f t="shared" ca="1" si="5"/>
        <v>#N/A</v>
      </c>
      <c r="F365" s="3">
        <v>240112</v>
      </c>
      <c r="G365" s="3">
        <v>4010000010</v>
      </c>
      <c r="H365" s="34" t="e">
        <f ca="1">[2]!a_eb("CDT,{P1},,2017013,,YA,,,","K=Acc_Code,F={P2},O=B",H$1,$F365)</f>
        <v>#NAME?</v>
      </c>
      <c r="I365" s="34" t="e">
        <f ca="1">[2]!a_eb("CDT,{P1},,2017013,,YA,,,","K=Acc_Code,F={P2},O=B",I$1,$F365)</f>
        <v>#NAME?</v>
      </c>
    </row>
    <row r="366" spans="1:9">
      <c r="A366" s="11">
        <v>2820063150</v>
      </c>
      <c r="B366" s="20" t="s">
        <v>1864</v>
      </c>
      <c r="C366" s="28" t="e">
        <f t="shared" ca="1" si="5"/>
        <v>#N/A</v>
      </c>
      <c r="F366" s="3">
        <v>24020101</v>
      </c>
      <c r="G366" s="3">
        <v>4110001500</v>
      </c>
      <c r="H366" s="34" t="e">
        <f ca="1">[2]!a_eb("CDT,{P1},,2017013,,YA,,,","K=Acc_Code,F={P2},O=B",H$1,$F366)</f>
        <v>#NAME?</v>
      </c>
      <c r="I366" s="34" t="e">
        <f ca="1">[2]!a_eb("CDT,{P1},,2017013,,YA,,,","K=Acc_Code,F={P2},O=B",I$1,$F366)</f>
        <v>#NAME?</v>
      </c>
    </row>
    <row r="367" spans="1:9">
      <c r="A367" s="11">
        <v>2820063870</v>
      </c>
      <c r="B367" s="20" t="s">
        <v>1865</v>
      </c>
      <c r="C367" s="28" t="e">
        <f t="shared" ca="1" si="5"/>
        <v>#N/A</v>
      </c>
      <c r="F367" s="3">
        <v>240205</v>
      </c>
      <c r="G367" s="3">
        <v>4110001501</v>
      </c>
      <c r="H367" s="34" t="e">
        <f ca="1">[2]!a_eb("CDT,{P1},,2017013,,YA,,,","K=Acc_Code,F={P2},O=B",H$1,$F367)</f>
        <v>#NAME?</v>
      </c>
      <c r="I367" s="34" t="e">
        <f ca="1">[2]!a_eb("CDT,{P1},,2017013,,YA,,,","K=Acc_Code,F={P2},O=B",I$1,$F367)</f>
        <v>#NAME?</v>
      </c>
    </row>
    <row r="368" spans="1:9">
      <c r="A368" s="11">
        <v>2820063160</v>
      </c>
      <c r="B368" s="20" t="s">
        <v>1866</v>
      </c>
      <c r="C368" s="28" t="e">
        <f t="shared" ca="1" si="5"/>
        <v>#N/A</v>
      </c>
      <c r="F368" s="3">
        <v>240001</v>
      </c>
      <c r="G368" s="3">
        <v>4310001500</v>
      </c>
      <c r="H368" s="34" t="e">
        <f ca="1">[2]!a_eb("CDT,{P1},,2017013,,YA,,,","K=Acc_Code,F={P2},O=B",H$1,$F368)</f>
        <v>#NAME?</v>
      </c>
      <c r="I368" s="34" t="e">
        <f ca="1">[2]!a_eb("CDT,{P1},,2017013,,YA,,,","K=Acc_Code,F={P2},O=B",I$1,$F368)</f>
        <v>#NAME?</v>
      </c>
    </row>
    <row r="369" spans="1:9">
      <c r="A369" s="11">
        <v>2820063300</v>
      </c>
      <c r="B369" s="20" t="s">
        <v>1867</v>
      </c>
      <c r="C369" s="28" t="e">
        <f t="shared" ca="1" si="5"/>
        <v>#N/A</v>
      </c>
      <c r="F369" s="3">
        <v>320308</v>
      </c>
      <c r="G369" s="6">
        <v>4510000030</v>
      </c>
      <c r="H369" s="34" t="e">
        <f ca="1">[2]!a_eb("CDT,{P1},,2017013,,YA,,,","K=Acc_Code,F={P2},O=B",H$1,$F369)</f>
        <v>#NAME?</v>
      </c>
      <c r="I369" s="34" t="e">
        <f ca="1">[2]!a_eb("CDT,{P1},,2017013,,YA,,,","K=Acc_Code,F={P2},O=B",I$1,$F369)</f>
        <v>#NAME?</v>
      </c>
    </row>
    <row r="370" spans="1:9">
      <c r="A370" s="11">
        <v>2820064680</v>
      </c>
      <c r="B370" s="20" t="s">
        <v>1868</v>
      </c>
      <c r="C370" s="28" t="e">
        <f t="shared" ca="1" si="5"/>
        <v>#N/A</v>
      </c>
      <c r="F370" s="3">
        <v>320308</v>
      </c>
      <c r="G370" s="6">
        <v>4243000001</v>
      </c>
      <c r="H370" s="34" t="e">
        <f ca="1">[2]!a_eb("CDT,{P1},,2017013,,YA,,,","K=Acc_Code,F={P2},O=B",H$1,$F370)</f>
        <v>#NAME?</v>
      </c>
      <c r="I370" s="34" t="e">
        <f ca="1">[2]!a_eb("CDT,{P1},,2017013,,YA,,,","K=Acc_Code,F={P2},O=B",I$1,$F370)</f>
        <v>#NAME?</v>
      </c>
    </row>
    <row r="371" spans="1:9">
      <c r="A371" s="11">
        <v>2820063260</v>
      </c>
      <c r="B371" s="20" t="s">
        <v>1869</v>
      </c>
      <c r="C371" s="28" t="e">
        <f t="shared" ca="1" si="5"/>
        <v>#N/A</v>
      </c>
      <c r="F371" s="3">
        <v>240301</v>
      </c>
      <c r="G371" s="3">
        <v>4034001501</v>
      </c>
      <c r="H371" s="34" t="e">
        <f ca="1">[2]!a_eb("CDT,{P1},,2017013,,YA,,,","K=Acc_Code,F={P2},O=B",H$1,$F371)</f>
        <v>#NAME?</v>
      </c>
      <c r="I371" s="34" t="e">
        <f ca="1">[2]!a_eb("CDT,{P1},,2017013,,YA,,,","K=Acc_Code,F={P2},O=B",I$1,$F371)</f>
        <v>#NAME?</v>
      </c>
    </row>
    <row r="372" spans="1:9">
      <c r="A372" s="11">
        <v>2820064820</v>
      </c>
      <c r="B372" s="20" t="s">
        <v>1870</v>
      </c>
      <c r="C372" s="28" t="e">
        <f t="shared" ca="1" si="5"/>
        <v>#N/A</v>
      </c>
      <c r="F372" s="3">
        <v>240402</v>
      </c>
      <c r="G372" s="3">
        <v>4201300281</v>
      </c>
      <c r="H372" s="34" t="e">
        <f ca="1">[2]!a_eb("CDT,{P1},,2017013,,YA,,,","K=Acc_Code,F={P2},O=B",H$1,$F372)</f>
        <v>#NAME?</v>
      </c>
      <c r="I372" s="34" t="e">
        <f ca="1">[2]!a_eb("CDT,{P1},,2017013,,YA,,,","K=Acc_Code,F={P2},O=B",I$1,$F372)</f>
        <v>#NAME?</v>
      </c>
    </row>
    <row r="373" spans="1:9">
      <c r="A373" s="11">
        <v>2820064960</v>
      </c>
      <c r="B373" s="20" t="s">
        <v>1871</v>
      </c>
      <c r="C373" s="28" t="e">
        <f t="shared" ca="1" si="5"/>
        <v>#N/A</v>
      </c>
      <c r="F373" s="3">
        <v>310101</v>
      </c>
      <c r="G373" s="6">
        <v>4500000010</v>
      </c>
      <c r="H373" s="34" t="e">
        <f ca="1">[2]!a_eb("CDT,{P1},,2017013,,YA,,,","K=Acc_Code,F={P2},O=B",H$1,$F373)</f>
        <v>#NAME?</v>
      </c>
      <c r="I373" s="34" t="e">
        <f ca="1">[2]!a_eb("CDT,{P1},,2017013,,YA,,,","K=Acc_Code,F={P2},O=B",I$1,$F373)</f>
        <v>#NAME?</v>
      </c>
    </row>
    <row r="374" spans="1:9">
      <c r="A374" s="11">
        <v>2850010000</v>
      </c>
      <c r="B374" s="20" t="s">
        <v>1872</v>
      </c>
      <c r="C374" s="28" t="e">
        <f t="shared" ca="1" si="5"/>
        <v>#N/A</v>
      </c>
      <c r="F374" s="3">
        <v>310101</v>
      </c>
      <c r="G374" s="6">
        <v>4230011500</v>
      </c>
      <c r="H374" s="34" t="e">
        <f ca="1">[2]!a_eb("CDT,{P1},,2017013,,YA,,,","K=Acc_Code,F={P2},O=B",H$1,$F374)</f>
        <v>#NAME?</v>
      </c>
      <c r="I374" s="34" t="e">
        <f ca="1">[2]!a_eb("CDT,{P1},,2017013,,YA,,,","K=Acc_Code,F={P2},O=B",I$1,$F374)</f>
        <v>#NAME?</v>
      </c>
    </row>
    <row r="375" spans="1:9">
      <c r="A375" s="11">
        <v>2850010000</v>
      </c>
      <c r="B375" s="20" t="s">
        <v>1873</v>
      </c>
      <c r="C375" s="28" t="s">
        <v>1538</v>
      </c>
      <c r="F375" s="3">
        <v>310102</v>
      </c>
      <c r="G375" s="3">
        <v>4724000000</v>
      </c>
      <c r="H375" s="34" t="e">
        <f ca="1">[2]!a_eb("CDT,{P1},,2017013,,YA,,,","K=Acc_Code,F={P2},O=B",H$1,$F375)</f>
        <v>#NAME?</v>
      </c>
      <c r="I375" s="34" t="e">
        <f ca="1">[2]!a_eb("CDT,{P1},,2017013,,YA,,,","K=Acc_Code,F={P2},O=B",I$1,$F375)</f>
        <v>#NAME?</v>
      </c>
    </row>
    <row r="376" spans="1:9">
      <c r="A376" s="11">
        <v>2850010000</v>
      </c>
      <c r="B376" s="20" t="s">
        <v>1874</v>
      </c>
      <c r="C376" s="28" t="s">
        <v>1538</v>
      </c>
      <c r="F376" s="3">
        <v>320101</v>
      </c>
      <c r="G376" s="3">
        <v>4600000000</v>
      </c>
      <c r="H376" s="34" t="e">
        <f ca="1">[2]!a_eb("CDT,{P1},,2017013,,YA,,,","K=Acc_Code,F={P2},O=B",H$1,$F376)</f>
        <v>#NAME?</v>
      </c>
      <c r="I376" s="34" t="e">
        <f ca="1">[2]!a_eb("CDT,{P1},,2017013,,YA,,,","K=Acc_Code,F={P2},O=B",I$1,$F376)</f>
        <v>#NAME?</v>
      </c>
    </row>
    <row r="377" spans="1:9">
      <c r="A377" s="11">
        <v>2850010000</v>
      </c>
      <c r="B377" s="20" t="s">
        <v>1875</v>
      </c>
      <c r="C377" s="28" t="s">
        <v>1538</v>
      </c>
      <c r="F377" s="3">
        <v>320102</v>
      </c>
      <c r="G377" s="3">
        <v>4650001500</v>
      </c>
      <c r="H377" s="34" t="e">
        <f ca="1">[2]!a_eb("CDT,{P1},,2017013,,YA,,,","K=Acc_Code,F={P2},O=B",H$1,$F377)</f>
        <v>#NAME?</v>
      </c>
      <c r="I377" s="34" t="e">
        <f ca="1">[2]!a_eb("CDT,{P1},,2017013,,YA,,,","K=Acc_Code,F={P2},O=B",I$1,$F377)</f>
        <v>#NAME?</v>
      </c>
    </row>
    <row r="378" spans="1:9">
      <c r="A378" s="11">
        <v>2850010000</v>
      </c>
      <c r="B378" s="20" t="s">
        <v>1876</v>
      </c>
      <c r="C378" s="28" t="s">
        <v>1538</v>
      </c>
      <c r="F378" s="3">
        <v>320201</v>
      </c>
      <c r="G378" s="3">
        <v>4602000000</v>
      </c>
      <c r="H378" s="34" t="e">
        <f ca="1">[2]!a_eb("CDT,{P1},,2017013,,YA,,,","K=Acc_Code,F={P2},O=B",H$1,$F378)</f>
        <v>#NAME?</v>
      </c>
      <c r="I378" s="34" t="e">
        <f ca="1">[2]!a_eb("CDT,{P1},,2017013,,YA,,,","K=Acc_Code,F={P2},O=B",I$1,$F378)</f>
        <v>#NAME?</v>
      </c>
    </row>
    <row r="379" spans="1:9">
      <c r="A379" s="11">
        <v>2850010000</v>
      </c>
      <c r="B379" s="20" t="s">
        <v>1877</v>
      </c>
      <c r="C379" s="28" t="s">
        <v>1538</v>
      </c>
      <c r="F379" s="3">
        <v>320301</v>
      </c>
      <c r="G379" s="6">
        <v>4500101500</v>
      </c>
      <c r="H379" s="34" t="e">
        <f ca="1">[2]!a_eb("CDT,{P1},,2017013,,YA,,,","K=Acc_Code,F={P2},O=B",H$1,$F379)</f>
        <v>#NAME?</v>
      </c>
      <c r="I379" s="34" t="e">
        <f ca="1">[2]!a_eb("CDT,{P1},,2017013,,YA,,,","K=Acc_Code,F={P2},O=B",I$1,$F379)</f>
        <v>#NAME?</v>
      </c>
    </row>
    <row r="380" spans="1:9">
      <c r="A380" s="11">
        <v>2850010000</v>
      </c>
      <c r="B380" s="20" t="s">
        <v>1878</v>
      </c>
      <c r="C380" s="28" t="s">
        <v>1538</v>
      </c>
      <c r="F380" s="3">
        <v>320302</v>
      </c>
      <c r="G380" s="3">
        <v>4610000000</v>
      </c>
      <c r="H380" s="34" t="e">
        <f ca="1">[2]!a_eb("CDT,{P1},,2017013,,YA,,,","K=Acc_Code,F={P2},O=B",H$1,$F380)</f>
        <v>#NAME?</v>
      </c>
      <c r="I380" s="34" t="e">
        <f ca="1">[2]!a_eb("CDT,{P1},,2017013,,YA,,,","K=Acc_Code,F={P2},O=B",I$1,$F380)</f>
        <v>#NAME?</v>
      </c>
    </row>
    <row r="381" spans="1:9">
      <c r="A381" s="11">
        <v>2850010000</v>
      </c>
      <c r="B381" s="20" t="s">
        <v>1879</v>
      </c>
      <c r="C381" s="28" t="s">
        <v>1538</v>
      </c>
      <c r="F381" s="3">
        <v>320303</v>
      </c>
      <c r="G381" s="3">
        <v>4612000000</v>
      </c>
      <c r="H381" s="34" t="e">
        <f ca="1">[2]!a_eb("CDT,{P1},,2017013,,YA,,,","K=Acc_Code,F={P2},O=B",H$1,$F381)</f>
        <v>#NAME?</v>
      </c>
      <c r="I381" s="34" t="e">
        <f ca="1">[2]!a_eb("CDT,{P1},,2017013,,YA,,,","K=Acc_Code,F={P2},O=B",I$1,$F381)</f>
        <v>#NAME?</v>
      </c>
    </row>
    <row r="382" spans="1:9">
      <c r="A382" s="11">
        <v>2850010000</v>
      </c>
      <c r="B382" s="20" t="s">
        <v>1880</v>
      </c>
      <c r="C382" s="28" t="s">
        <v>1538</v>
      </c>
      <c r="F382" s="3">
        <v>320304</v>
      </c>
      <c r="G382" s="3">
        <v>4611000000</v>
      </c>
      <c r="H382" s="34" t="e">
        <f ca="1">[2]!a_eb("CDT,{P1},,2017013,,YA,,,","K=Acc_Code,F={P2},O=B",H$1,$F382)</f>
        <v>#NAME?</v>
      </c>
      <c r="I382" s="34" t="e">
        <f ca="1">[2]!a_eb("CDT,{P1},,2017013,,YA,,,","K=Acc_Code,F={P2},O=B",I$1,$F382)</f>
        <v>#NAME?</v>
      </c>
    </row>
    <row r="383" spans="1:9">
      <c r="A383" s="11">
        <v>2850010000</v>
      </c>
      <c r="B383" s="20" t="s">
        <v>1881</v>
      </c>
      <c r="C383" s="28" t="s">
        <v>1538</v>
      </c>
      <c r="F383" s="3">
        <v>320305</v>
      </c>
      <c r="G383" s="6">
        <v>4540000010</v>
      </c>
      <c r="H383" s="34" t="e">
        <f ca="1">[2]!a_eb("CDT,{P1},,2017013,,YA,,,","K=Acc_Code,F={P2},O=B",H$1,$F383)</f>
        <v>#NAME?</v>
      </c>
      <c r="I383" s="34" t="e">
        <f ca="1">[2]!a_eb("CDT,{P1},,2017013,,YA,,,","K=Acc_Code,F={P2},O=B",I$1,$F383)</f>
        <v>#NAME?</v>
      </c>
    </row>
    <row r="384" spans="1:9">
      <c r="A384" s="11">
        <v>2850010000</v>
      </c>
      <c r="B384" s="20" t="s">
        <v>1882</v>
      </c>
      <c r="C384" s="28" t="s">
        <v>1538</v>
      </c>
      <c r="F384" s="3">
        <v>320305</v>
      </c>
      <c r="G384" s="6">
        <v>4540000020</v>
      </c>
      <c r="H384" s="34" t="e">
        <f ca="1">[2]!a_eb("CDT,{P1},,2017013,,YA,,,","K=Acc_Code,F={P2},O=B",H$1,$F384)</f>
        <v>#NAME?</v>
      </c>
      <c r="I384" s="34" t="e">
        <f ca="1">[2]!a_eb("CDT,{P1},,2017013,,YA,,,","K=Acc_Code,F={P2},O=B",I$1,$F384)</f>
        <v>#NAME?</v>
      </c>
    </row>
    <row r="385" spans="1:9">
      <c r="A385" s="11">
        <v>2850010000</v>
      </c>
      <c r="B385" s="20" t="s">
        <v>1883</v>
      </c>
      <c r="C385" s="28" t="s">
        <v>1538</v>
      </c>
      <c r="F385" s="3">
        <v>320305</v>
      </c>
      <c r="G385" s="6">
        <v>4540000030</v>
      </c>
      <c r="H385" s="34" t="e">
        <f ca="1">[2]!a_eb("CDT,{P1},,2017013,,YA,,,","K=Acc_Code,F={P2},O=B",H$1,$F385)</f>
        <v>#NAME?</v>
      </c>
      <c r="I385" s="34" t="e">
        <f ca="1">[2]!a_eb("CDT,{P1},,2017013,,YA,,,","K=Acc_Code,F={P2},O=B",I$1,$F385)</f>
        <v>#NAME?</v>
      </c>
    </row>
    <row r="386" spans="1:9">
      <c r="A386" s="11">
        <v>2850010000</v>
      </c>
      <c r="B386" s="20" t="s">
        <v>1884</v>
      </c>
      <c r="C386" s="28" t="s">
        <v>1538</v>
      </c>
      <c r="F386" s="3">
        <v>320306</v>
      </c>
      <c r="G386" s="3">
        <v>4540000001</v>
      </c>
      <c r="H386" s="34" t="e">
        <f ca="1">[2]!a_eb("CDT,{P1},,2017013,,YA,,,","K=Acc_Code,F={P2},O=B",H$1,$F386)</f>
        <v>#NAME?</v>
      </c>
      <c r="I386" s="34" t="e">
        <f ca="1">[2]!a_eb("CDT,{P1},,2017013,,YA,,,","K=Acc_Code,F={P2},O=B",I$1,$F386)</f>
        <v>#NAME?</v>
      </c>
    </row>
    <row r="387" spans="1:9">
      <c r="A387" s="11">
        <v>2850010000</v>
      </c>
      <c r="B387" s="20" t="s">
        <v>1885</v>
      </c>
      <c r="C387" s="28" t="s">
        <v>1538</v>
      </c>
      <c r="F387" s="3">
        <v>330101</v>
      </c>
      <c r="G387" s="3">
        <v>4710000030</v>
      </c>
      <c r="H387" s="34" t="e">
        <f ca="1">[2]!a_eb("CDT,{P1},,2017013,,YA,,,","K=Acc_Code,F={P2},O=B",H$1,$F387)</f>
        <v>#NAME?</v>
      </c>
      <c r="I387" s="34" t="e">
        <f ca="1">[2]!a_eb("CDT,{P1},,2017013,,YA,,,","K=Acc_Code,F={P2},O=B",I$1,$F387)</f>
        <v>#NAME?</v>
      </c>
    </row>
    <row r="388" spans="1:9">
      <c r="A388" s="11">
        <v>2850010000</v>
      </c>
      <c r="B388" s="20" t="s">
        <v>1886</v>
      </c>
      <c r="C388" s="28" t="s">
        <v>1538</v>
      </c>
      <c r="F388" s="3">
        <v>340102</v>
      </c>
      <c r="G388" s="3">
        <v>8990000000</v>
      </c>
      <c r="H388" s="34" t="e">
        <f ca="1">[2]!a_eb("CDT,{P1},,2017013,,YA,,,","K=Acc_Code,F={P2},O=B",H$1,$F388)</f>
        <v>#NAME?</v>
      </c>
      <c r="I388" s="34" t="e">
        <f ca="1">[2]!a_eb("CDT,{P1},,2017013,,YA,,,","K=Acc_Code,F={P2},O=B",I$1,$F388)</f>
        <v>#NAME?</v>
      </c>
    </row>
    <row r="389" spans="1:9">
      <c r="A389" s="11">
        <v>2850010000</v>
      </c>
      <c r="B389" s="20" t="s">
        <v>1887</v>
      </c>
      <c r="C389" s="28" t="s">
        <v>1538</v>
      </c>
      <c r="F389" s="3">
        <v>350101</v>
      </c>
      <c r="G389" s="3">
        <v>4710000000</v>
      </c>
      <c r="H389" s="34" t="e">
        <f ca="1">[2]!a_eb("CDT,{P1},,2017013,,YA,,,","K=Acc_Code,F={P2},O=B",H$1,$F389)</f>
        <v>#NAME?</v>
      </c>
      <c r="I389" s="34" t="e">
        <f ca="1">[2]!a_eb("CDT,{P1},,2017013,,YA,,,","K=Acc_Code,F={P2},O=B",I$1,$F389)</f>
        <v>#NAME?</v>
      </c>
    </row>
    <row r="390" spans="1:9">
      <c r="A390" s="11">
        <v>2850010000</v>
      </c>
      <c r="B390" s="20" t="s">
        <v>1888</v>
      </c>
      <c r="C390" s="28" t="s">
        <v>1538</v>
      </c>
      <c r="F390" s="3">
        <v>360101</v>
      </c>
      <c r="G390" s="3">
        <v>4641000001</v>
      </c>
      <c r="H390" s="34" t="e">
        <f ca="1">[2]!a_eb("CDT,{P1},,2017013,,YA,,,","K=Acc_Code,F={P2},O=B",H$1,$F390)</f>
        <v>#NAME?</v>
      </c>
      <c r="I390" s="34" t="e">
        <f ca="1">[2]!a_eb("CDT,{P1},,2017013,,YA,,,","K=Acc_Code,F={P2},O=B",I$1,$F390)</f>
        <v>#NAME?</v>
      </c>
    </row>
    <row r="391" spans="1:9">
      <c r="A391" s="11">
        <v>2850010000</v>
      </c>
      <c r="B391" s="20" t="s">
        <v>1889</v>
      </c>
      <c r="C391" s="28" t="s">
        <v>1538</v>
      </c>
      <c r="F391" s="3">
        <v>410101</v>
      </c>
      <c r="G391" s="3">
        <v>5000000000</v>
      </c>
      <c r="H391" s="34" t="e">
        <f ca="1">[2]!a_eb("CDT,{P1},,2017013,,YA,,,","K=Acc_Code,F={P2},O=B",H$1,$F391)</f>
        <v>#NAME?</v>
      </c>
      <c r="I391" s="34" t="e">
        <f ca="1">[2]!a_eb("CDT,{P1},,2017013,,YA,,,","K=Acc_Code,F={P2},O=B",I$1,$F391)</f>
        <v>#NAME?</v>
      </c>
    </row>
    <row r="392" spans="1:9">
      <c r="A392" s="11">
        <v>2850010000</v>
      </c>
      <c r="B392" s="20" t="s">
        <v>1890</v>
      </c>
      <c r="C392" s="28" t="s">
        <v>1538</v>
      </c>
      <c r="F392" s="3">
        <v>410102</v>
      </c>
      <c r="G392" s="3">
        <v>5010000001</v>
      </c>
      <c r="H392" s="34" t="e">
        <f ca="1">[2]!a_eb("CDT,{P1},,2017013,,YA,,,","K=Acc_Code,F={P2},O=B",H$1,$F392)</f>
        <v>#NAME?</v>
      </c>
      <c r="I392" s="34" t="e">
        <f ca="1">[2]!a_eb("CDT,{P1},,2017013,,YA,,,","K=Acc_Code,F={P2},O=B",I$1,$F392)</f>
        <v>#NAME?</v>
      </c>
    </row>
    <row r="393" spans="1:9">
      <c r="A393" s="11">
        <v>2850010000</v>
      </c>
      <c r="B393" s="20" t="s">
        <v>1891</v>
      </c>
      <c r="C393" s="28" t="s">
        <v>1538</v>
      </c>
      <c r="F393" s="3">
        <v>410103</v>
      </c>
      <c r="G393" s="3">
        <v>5010000011</v>
      </c>
      <c r="H393" s="34" t="e">
        <f ca="1">[2]!a_eb("CDT,{P1},,2017013,,YA,,,","K=Acc_Code,F={P2},O=B",H$1,$F393)</f>
        <v>#NAME?</v>
      </c>
      <c r="I393" s="34" t="e">
        <f ca="1">[2]!a_eb("CDT,{P1},,2017013,,YA,,,","K=Acc_Code,F={P2},O=B",I$1,$F393)</f>
        <v>#NAME?</v>
      </c>
    </row>
    <row r="394" spans="1:9">
      <c r="A394" s="11">
        <v>2850010000</v>
      </c>
      <c r="B394" s="20" t="s">
        <v>1892</v>
      </c>
      <c r="C394" s="28" t="s">
        <v>1538</v>
      </c>
      <c r="F394" s="3">
        <v>410104</v>
      </c>
      <c r="G394" s="3">
        <v>5010000000</v>
      </c>
      <c r="H394" s="34" t="e">
        <f ca="1">[2]!a_eb("CDT,{P1},,2017013,,YA,,,","K=Acc_Code,F={P2},O=B",H$1,$F394)</f>
        <v>#NAME?</v>
      </c>
      <c r="I394" s="34" t="e">
        <f ca="1">[2]!a_eb("CDT,{P1},,2017013,,YA,,,","K=Acc_Code,F={P2},O=B",I$1,$F394)</f>
        <v>#NAME?</v>
      </c>
    </row>
    <row r="395" spans="1:9">
      <c r="A395" s="11">
        <v>2850010000</v>
      </c>
      <c r="B395" s="20" t="s">
        <v>1893</v>
      </c>
      <c r="C395" s="28" t="s">
        <v>1538</v>
      </c>
      <c r="F395" s="3">
        <v>410105</v>
      </c>
      <c r="G395" s="3">
        <v>5010000010</v>
      </c>
      <c r="H395" s="34" t="e">
        <f ca="1">[2]!a_eb("CDT,{P1},,2017013,,YA,,,","K=Acc_Code,F={P2},O=B",H$1,$F395)</f>
        <v>#NAME?</v>
      </c>
      <c r="I395" s="34" t="e">
        <f ca="1">[2]!a_eb("CDT,{P1},,2017013,,YA,,,","K=Acc_Code,F={P2},O=B",I$1,$F395)</f>
        <v>#NAME?</v>
      </c>
    </row>
    <row r="396" spans="1:9">
      <c r="A396" s="11">
        <v>2850010000</v>
      </c>
      <c r="B396" s="20" t="s">
        <v>1894</v>
      </c>
      <c r="C396" s="28" t="s">
        <v>1538</v>
      </c>
      <c r="F396" s="3">
        <v>410106</v>
      </c>
      <c r="G396" s="3">
        <v>5041001100</v>
      </c>
      <c r="H396" s="34" t="e">
        <f ca="1">[2]!a_eb("CDT,{P1},,2017013,,YA,,,","K=Acc_Code,F={P2},O=B",H$1,$F396)</f>
        <v>#NAME?</v>
      </c>
      <c r="I396" s="34" t="e">
        <f ca="1">[2]!a_eb("CDT,{P1},,2017013,,YA,,,","K=Acc_Code,F={P2},O=B",I$1,$F396)</f>
        <v>#NAME?</v>
      </c>
    </row>
    <row r="397" spans="1:9">
      <c r="A397" s="11">
        <v>2850010000</v>
      </c>
      <c r="B397" s="20" t="s">
        <v>1895</v>
      </c>
      <c r="C397" s="28" t="s">
        <v>1538</v>
      </c>
      <c r="F397" s="3">
        <v>410109</v>
      </c>
      <c r="G397" s="3">
        <v>5010000002</v>
      </c>
      <c r="H397" s="34" t="e">
        <f ca="1">[2]!a_eb("CDT,{P1},,2017013,,YA,,,","K=Acc_Code,F={P2},O=B",H$1,$F397)</f>
        <v>#NAME?</v>
      </c>
      <c r="I397" s="34" t="e">
        <f ca="1">[2]!a_eb("CDT,{P1},,2017013,,YA,,,","K=Acc_Code,F={P2},O=B",I$1,$F397)</f>
        <v>#NAME?</v>
      </c>
    </row>
    <row r="398" spans="1:9">
      <c r="A398" s="11">
        <v>2850010000</v>
      </c>
      <c r="B398" s="20" t="s">
        <v>1896</v>
      </c>
      <c r="C398" s="28" t="s">
        <v>1538</v>
      </c>
      <c r="F398" s="3">
        <v>410110</v>
      </c>
      <c r="G398" s="3">
        <v>5010000012</v>
      </c>
      <c r="H398" s="34" t="e">
        <f ca="1">[2]!a_eb("CDT,{P1},,2017013,,YA,,,","K=Acc_Code,F={P2},O=B",H$1,$F398)</f>
        <v>#NAME?</v>
      </c>
      <c r="I398" s="34" t="e">
        <f ca="1">[2]!a_eb("CDT,{P1},,2017013,,YA,,,","K=Acc_Code,F={P2},O=B",I$1,$F398)</f>
        <v>#NAME?</v>
      </c>
    </row>
    <row r="399" spans="1:9">
      <c r="A399" s="11">
        <v>2850010000</v>
      </c>
      <c r="B399" s="20" t="s">
        <v>1897</v>
      </c>
      <c r="C399" s="28" t="s">
        <v>1538</v>
      </c>
      <c r="F399" s="3">
        <v>410201</v>
      </c>
      <c r="G399" s="3">
        <v>5000100000</v>
      </c>
      <c r="H399" s="34" t="e">
        <f ca="1">[2]!a_eb("CDT,{P1},,2017013,,YA,,,","K=Acc_Code,F={P2},O=B",H$1,$F399)</f>
        <v>#NAME?</v>
      </c>
      <c r="I399" s="34" t="e">
        <f ca="1">[2]!a_eb("CDT,{P1},,2017013,,YA,,,","K=Acc_Code,F={P2},O=B",I$1,$F399)</f>
        <v>#NAME?</v>
      </c>
    </row>
    <row r="400" spans="1:9">
      <c r="A400" s="11">
        <v>2850010000</v>
      </c>
      <c r="B400" s="20" t="s">
        <v>1898</v>
      </c>
      <c r="C400" s="28" t="s">
        <v>1538</v>
      </c>
      <c r="F400" s="3">
        <v>410202</v>
      </c>
      <c r="G400" s="3">
        <v>5010100001</v>
      </c>
      <c r="H400" s="34" t="e">
        <f ca="1">[2]!a_eb("CDT,{P1},,2017013,,YA,,,","K=Acc_Code,F={P2},O=B",H$1,$F400)</f>
        <v>#NAME?</v>
      </c>
      <c r="I400" s="34" t="e">
        <f ca="1">[2]!a_eb("CDT,{P1},,2017013,,YA,,,","K=Acc_Code,F={P2},O=B",I$1,$F400)</f>
        <v>#NAME?</v>
      </c>
    </row>
    <row r="401" spans="1:9">
      <c r="A401" s="11">
        <v>2850010000</v>
      </c>
      <c r="B401" s="20" t="s">
        <v>1899</v>
      </c>
      <c r="C401" s="28" t="s">
        <v>1538</v>
      </c>
      <c r="F401" s="3">
        <v>410203</v>
      </c>
      <c r="G401" s="3">
        <v>5010100011</v>
      </c>
      <c r="H401" s="34" t="e">
        <f ca="1">[2]!a_eb("CDT,{P1},,2017013,,YA,,,","K=Acc_Code,F={P2},O=B",H$1,$F401)</f>
        <v>#NAME?</v>
      </c>
      <c r="I401" s="34" t="e">
        <f ca="1">[2]!a_eb("CDT,{P1},,2017013,,YA,,,","K=Acc_Code,F={P2},O=B",I$1,$F401)</f>
        <v>#NAME?</v>
      </c>
    </row>
    <row r="402" spans="1:9">
      <c r="A402" s="11">
        <v>2850010000</v>
      </c>
      <c r="B402" s="20" t="s">
        <v>1900</v>
      </c>
      <c r="C402" s="28" t="s">
        <v>1538</v>
      </c>
      <c r="F402" s="3">
        <v>410204</v>
      </c>
      <c r="G402" s="3">
        <v>5010100000</v>
      </c>
      <c r="H402" s="34" t="e">
        <f ca="1">[2]!a_eb("CDT,{P1},,2017013,,YA,,,","K=Acc_Code,F={P2},O=B",H$1,$F402)</f>
        <v>#NAME?</v>
      </c>
      <c r="I402" s="34" t="e">
        <f ca="1">[2]!a_eb("CDT,{P1},,2017013,,YA,,,","K=Acc_Code,F={P2},O=B",I$1,$F402)</f>
        <v>#NAME?</v>
      </c>
    </row>
    <row r="403" spans="1:9">
      <c r="A403" s="11">
        <v>2850010000</v>
      </c>
      <c r="B403" s="20" t="s">
        <v>1901</v>
      </c>
      <c r="C403" s="28" t="s">
        <v>1538</v>
      </c>
      <c r="F403" s="3">
        <v>410205</v>
      </c>
      <c r="G403" s="3">
        <v>5010100010</v>
      </c>
      <c r="H403" s="34" t="e">
        <f ca="1">[2]!a_eb("CDT,{P1},,2017013,,YA,,,","K=Acc_Code,F={P2},O=B",H$1,$F403)</f>
        <v>#NAME?</v>
      </c>
      <c r="I403" s="34" t="e">
        <f ca="1">[2]!a_eb("CDT,{P1},,2017013,,YA,,,","K=Acc_Code,F={P2},O=B",I$1,$F403)</f>
        <v>#NAME?</v>
      </c>
    </row>
    <row r="404" spans="1:9">
      <c r="A404" s="11">
        <v>2850010000</v>
      </c>
      <c r="B404" s="20" t="s">
        <v>1902</v>
      </c>
      <c r="C404" s="28" t="s">
        <v>1538</v>
      </c>
      <c r="F404" s="3">
        <v>410206</v>
      </c>
      <c r="G404" s="3">
        <v>5041002100</v>
      </c>
      <c r="H404" s="34" t="e">
        <f ca="1">[2]!a_eb("CDT,{P1},,2017013,,YA,,,","K=Acc_Code,F={P2},O=B",H$1,$F404)</f>
        <v>#NAME?</v>
      </c>
      <c r="I404" s="34" t="e">
        <f ca="1">[2]!a_eb("CDT,{P1},,2017013,,YA,,,","K=Acc_Code,F={P2},O=B",I$1,$F404)</f>
        <v>#NAME?</v>
      </c>
    </row>
    <row r="405" spans="1:9">
      <c r="A405" s="11">
        <v>2850010000</v>
      </c>
      <c r="B405" s="20" t="s">
        <v>1903</v>
      </c>
      <c r="C405" s="28" t="s">
        <v>1538</v>
      </c>
      <c r="F405" s="3">
        <v>410207</v>
      </c>
      <c r="G405" s="3">
        <v>5052000010</v>
      </c>
      <c r="H405" s="34" t="e">
        <f ca="1">[2]!a_eb("CDT,{P1},,2017013,,YA,,,","K=Acc_Code,F={P2},O=B",H$1,$F405)</f>
        <v>#NAME?</v>
      </c>
      <c r="I405" s="34" t="e">
        <f ca="1">[2]!a_eb("CDT,{P1},,2017013,,YA,,,","K=Acc_Code,F={P2},O=B",I$1,$F405)</f>
        <v>#NAME?</v>
      </c>
    </row>
    <row r="406" spans="1:9">
      <c r="A406" s="11">
        <v>2850010000</v>
      </c>
      <c r="B406" s="20" t="s">
        <v>1904</v>
      </c>
      <c r="C406" s="28" t="s">
        <v>1538</v>
      </c>
      <c r="F406" s="3">
        <v>410209</v>
      </c>
      <c r="G406" s="3">
        <v>5010100002</v>
      </c>
      <c r="H406" s="34" t="e">
        <f ca="1">[2]!a_eb("CDT,{P1},,2017013,,YA,,,","K=Acc_Code,F={P2},O=B",H$1,$F406)</f>
        <v>#NAME?</v>
      </c>
      <c r="I406" s="34" t="e">
        <f ca="1">[2]!a_eb("CDT,{P1},,2017013,,YA,,,","K=Acc_Code,F={P2},O=B",I$1,$F406)</f>
        <v>#NAME?</v>
      </c>
    </row>
    <row r="407" spans="1:9">
      <c r="A407" s="11">
        <v>2850010000</v>
      </c>
      <c r="B407" s="20" t="s">
        <v>1905</v>
      </c>
      <c r="C407" s="28" t="s">
        <v>1538</v>
      </c>
      <c r="F407" s="3">
        <v>410210</v>
      </c>
      <c r="G407" s="3">
        <v>5010100012</v>
      </c>
      <c r="H407" s="34" t="e">
        <f ca="1">[2]!a_eb("CDT,{P1},,2017013,,YA,,,","K=Acc_Code,F={P2},O=B",H$1,$F407)</f>
        <v>#NAME?</v>
      </c>
      <c r="I407" s="34" t="e">
        <f ca="1">[2]!a_eb("CDT,{P1},,2017013,,YA,,,","K=Acc_Code,F={P2},O=B",I$1,$F407)</f>
        <v>#NAME?</v>
      </c>
    </row>
    <row r="408" spans="1:9">
      <c r="A408" s="11">
        <v>2850010000</v>
      </c>
      <c r="B408" s="20" t="s">
        <v>1906</v>
      </c>
      <c r="C408" s="28" t="s">
        <v>1538</v>
      </c>
      <c r="F408" s="3">
        <v>410301</v>
      </c>
      <c r="G408" s="3">
        <v>5000200000</v>
      </c>
      <c r="H408" s="34" t="e">
        <f ca="1">[2]!a_eb("CDT,{P1},,2017013,,YA,,,","K=Acc_Code,F={P2},O=B",H$1,$F408)</f>
        <v>#NAME?</v>
      </c>
      <c r="I408" s="34" t="e">
        <f ca="1">[2]!a_eb("CDT,{P1},,2017013,,YA,,,","K=Acc_Code,F={P2},O=B",I$1,$F408)</f>
        <v>#NAME?</v>
      </c>
    </row>
    <row r="409" spans="1:9">
      <c r="A409" s="11">
        <v>2850010000</v>
      </c>
      <c r="B409" s="20" t="s">
        <v>1907</v>
      </c>
      <c r="C409" s="28" t="s">
        <v>1538</v>
      </c>
      <c r="F409" s="3">
        <v>410302</v>
      </c>
      <c r="G409" s="3">
        <v>5000200001</v>
      </c>
      <c r="H409" s="34" t="e">
        <f ca="1">[2]!a_eb("CDT,{P1},,2017013,,YA,,,","K=Acc_Code,F={P2},O=B",H$1,$F409)</f>
        <v>#NAME?</v>
      </c>
      <c r="I409" s="34" t="e">
        <f ca="1">[2]!a_eb("CDT,{P1},,2017013,,YA,,,","K=Acc_Code,F={P2},O=B",I$1,$F409)</f>
        <v>#NAME?</v>
      </c>
    </row>
    <row r="410" spans="1:9">
      <c r="A410" s="11">
        <v>2850010000</v>
      </c>
      <c r="B410" s="20" t="s">
        <v>1908</v>
      </c>
      <c r="C410" s="28" t="s">
        <v>1538</v>
      </c>
      <c r="F410" s="3">
        <v>410304</v>
      </c>
      <c r="G410" s="3">
        <v>5000200002</v>
      </c>
      <c r="H410" s="34" t="e">
        <f ca="1">[2]!a_eb("CDT,{P1},,2017013,,YA,,,","K=Acc_Code,F={P2},O=B",H$1,$F410)</f>
        <v>#NAME?</v>
      </c>
      <c r="I410" s="34" t="e">
        <f ca="1">[2]!a_eb("CDT,{P1},,2017013,,YA,,,","K=Acc_Code,F={P2},O=B",I$1,$F410)</f>
        <v>#NAME?</v>
      </c>
    </row>
    <row r="411" spans="1:9">
      <c r="A411" s="11">
        <v>2850010000</v>
      </c>
      <c r="B411" s="20" t="s">
        <v>1909</v>
      </c>
      <c r="C411" s="28" t="s">
        <v>1538</v>
      </c>
      <c r="F411" s="3">
        <v>410305</v>
      </c>
      <c r="G411" s="3">
        <v>5050000000</v>
      </c>
      <c r="H411" s="34" t="e">
        <f ca="1">[2]!a_eb("CDT,{P1},,2017013,,YA,,,","K=Acc_Code,F={P2},O=B",H$1,$F411)</f>
        <v>#NAME?</v>
      </c>
      <c r="I411" s="34" t="e">
        <f ca="1">[2]!a_eb("CDT,{P1},,2017013,,YA,,,","K=Acc_Code,F={P2},O=B",I$1,$F411)</f>
        <v>#NAME?</v>
      </c>
    </row>
    <row r="412" spans="1:9">
      <c r="A412" s="11">
        <v>2850010000</v>
      </c>
      <c r="B412" s="20" t="s">
        <v>1910</v>
      </c>
      <c r="C412" s="28" t="s">
        <v>1538</v>
      </c>
      <c r="F412" s="3">
        <v>410306</v>
      </c>
      <c r="G412" s="3">
        <v>5050010000</v>
      </c>
      <c r="H412" s="34" t="e">
        <f ca="1">[2]!a_eb("CDT,{P1},,2017013,,YA,,,","K=Acc_Code,F={P2},O=B",H$1,$F412)</f>
        <v>#NAME?</v>
      </c>
      <c r="I412" s="34" t="e">
        <f ca="1">[2]!a_eb("CDT,{P1},,2017013,,YA,,,","K=Acc_Code,F={P2},O=B",I$1,$F412)</f>
        <v>#NAME?</v>
      </c>
    </row>
    <row r="413" spans="1:9">
      <c r="A413" s="11">
        <v>2850010000</v>
      </c>
      <c r="B413" s="20" t="s">
        <v>1911</v>
      </c>
      <c r="C413" s="28" t="s">
        <v>1538</v>
      </c>
      <c r="F413" s="3">
        <v>410307</v>
      </c>
      <c r="G413" s="3">
        <v>5052000000</v>
      </c>
      <c r="H413" s="34" t="e">
        <f ca="1">[2]!a_eb("CDT,{P1},,2017013,,YA,,,","K=Acc_Code,F={P2},O=B",H$1,$F413)</f>
        <v>#NAME?</v>
      </c>
      <c r="I413" s="34" t="e">
        <f ca="1">[2]!a_eb("CDT,{P1},,2017013,,YA,,,","K=Acc_Code,F={P2},O=B",I$1,$F413)</f>
        <v>#NAME?</v>
      </c>
    </row>
    <row r="414" spans="1:9">
      <c r="A414" s="11">
        <v>2850010000</v>
      </c>
      <c r="B414" s="20" t="s">
        <v>1912</v>
      </c>
      <c r="C414" s="28" t="s">
        <v>1538</v>
      </c>
      <c r="F414" s="3">
        <v>410308</v>
      </c>
      <c r="G414" s="3">
        <v>5052010000</v>
      </c>
      <c r="H414" s="34" t="e">
        <f ca="1">[2]!a_eb("CDT,{P1},,2017013,,YA,,,","K=Acc_Code,F={P2},O=B",H$1,$F414)</f>
        <v>#NAME?</v>
      </c>
      <c r="I414" s="34" t="e">
        <f ca="1">[2]!a_eb("CDT,{P1},,2017013,,YA,,,","K=Acc_Code,F={P2},O=B",I$1,$F414)</f>
        <v>#NAME?</v>
      </c>
    </row>
    <row r="415" spans="1:9">
      <c r="A415" s="11">
        <v>2850010000</v>
      </c>
      <c r="B415" s="20" t="s">
        <v>1913</v>
      </c>
      <c r="C415" s="28" t="s">
        <v>1538</v>
      </c>
      <c r="F415" s="3">
        <v>410401</v>
      </c>
      <c r="G415" s="6">
        <v>5002000000</v>
      </c>
      <c r="H415" s="34" t="e">
        <f ca="1">[2]!a_eb("CDT,{P1},,2017013,,YA,,,","K=Acc_Code,F={P2},O=B",H$1,$F415)</f>
        <v>#NAME?</v>
      </c>
      <c r="I415" s="34" t="e">
        <f ca="1">[2]!a_eb("CDT,{P1},,2017013,,YA,,,","K=Acc_Code,F={P2},O=B",I$1,$F415)</f>
        <v>#NAME?</v>
      </c>
    </row>
    <row r="416" spans="1:9">
      <c r="A416" s="11">
        <v>2850010000</v>
      </c>
      <c r="B416" s="20" t="s">
        <v>1914</v>
      </c>
      <c r="C416" s="28" t="s">
        <v>1538</v>
      </c>
      <c r="F416" s="3">
        <v>410401</v>
      </c>
      <c r="G416" s="6">
        <v>5002100000</v>
      </c>
      <c r="H416" s="34" t="e">
        <f ca="1">[2]!a_eb("CDT,{P1},,2017013,,YA,,,","K=Acc_Code,F={P2},O=B",H$1,$F416)</f>
        <v>#NAME?</v>
      </c>
      <c r="I416" s="34" t="e">
        <f ca="1">[2]!a_eb("CDT,{P1},,2017013,,YA,,,","K=Acc_Code,F={P2},O=B",I$1,$F416)</f>
        <v>#NAME?</v>
      </c>
    </row>
    <row r="417" spans="1:9">
      <c r="A417" s="11">
        <v>2850010000</v>
      </c>
      <c r="B417" s="20" t="s">
        <v>1915</v>
      </c>
      <c r="C417" s="28" t="s">
        <v>1538</v>
      </c>
      <c r="F417" s="3">
        <v>410401</v>
      </c>
      <c r="G417" s="6">
        <v>5002200000</v>
      </c>
      <c r="H417" s="34" t="e">
        <f ca="1">[2]!a_eb("CDT,{P1},,2017013,,YA,,,","K=Acc_Code,F={P2},O=B",H$1,$F417)</f>
        <v>#NAME?</v>
      </c>
      <c r="I417" s="34" t="e">
        <f ca="1">[2]!a_eb("CDT,{P1},,2017013,,YA,,,","K=Acc_Code,F={P2},O=B",I$1,$F417)</f>
        <v>#NAME?</v>
      </c>
    </row>
    <row r="418" spans="1:9">
      <c r="A418" s="11">
        <v>2850010000</v>
      </c>
      <c r="B418" s="20" t="s">
        <v>1916</v>
      </c>
      <c r="C418" s="28" t="s">
        <v>1538</v>
      </c>
      <c r="F418" s="3">
        <v>410501</v>
      </c>
      <c r="G418" s="3">
        <v>6100000000</v>
      </c>
      <c r="H418" s="34" t="e">
        <f ca="1">[2]!a_eb("CDT,{P1},,2017013,,YA,,,","K=Acc_Code,F={P2},O=B",H$1,$F418)</f>
        <v>#NAME?</v>
      </c>
      <c r="I418" s="34" t="e">
        <f ca="1">[2]!a_eb("CDT,{P1},,2017013,,YA,,,","K=Acc_Code,F={P2},O=B",I$1,$F418)</f>
        <v>#NAME?</v>
      </c>
    </row>
    <row r="419" spans="1:9">
      <c r="A419" s="11">
        <v>2850010000</v>
      </c>
      <c r="B419" s="20" t="s">
        <v>1917</v>
      </c>
      <c r="C419" s="28" t="s">
        <v>1538</v>
      </c>
      <c r="F419" s="3">
        <v>410501</v>
      </c>
      <c r="G419" s="3">
        <v>6100100000</v>
      </c>
      <c r="H419" s="34" t="e">
        <f ca="1">[2]!a_eb("CDT,{P1},,2017013,,YA,,,","K=Acc_Code,F={P2},O=B",H$1,$F419)</f>
        <v>#NAME?</v>
      </c>
      <c r="I419" s="34" t="e">
        <f ca="1">[2]!a_eb("CDT,{P1},,2017013,,YA,,,","K=Acc_Code,F={P2},O=B",I$1,$F419)</f>
        <v>#NAME?</v>
      </c>
    </row>
    <row r="420" spans="1:9">
      <c r="A420" s="11">
        <v>2850010000</v>
      </c>
      <c r="B420" s="20" t="s">
        <v>1918</v>
      </c>
      <c r="C420" s="28" t="s">
        <v>1538</v>
      </c>
      <c r="F420" s="3">
        <v>410502</v>
      </c>
      <c r="G420" s="3">
        <v>6102000000</v>
      </c>
      <c r="H420" s="34" t="e">
        <f ca="1">[2]!a_eb("CDT,{P1},,2017013,,YA,,,","K=Acc_Code,F={P2},O=B",H$1,$F420)</f>
        <v>#NAME?</v>
      </c>
      <c r="I420" s="34" t="e">
        <f ca="1">[2]!a_eb("CDT,{P1},,2017013,,YA,,,","K=Acc_Code,F={P2},O=B",I$1,$F420)</f>
        <v>#NAME?</v>
      </c>
    </row>
    <row r="421" spans="1:9">
      <c r="A421" s="11">
        <v>2850010000</v>
      </c>
      <c r="B421" s="20" t="s">
        <v>1919</v>
      </c>
      <c r="C421" s="28" t="s">
        <v>1538</v>
      </c>
      <c r="F421" s="3">
        <v>410502</v>
      </c>
      <c r="G421" s="3">
        <v>6102100000</v>
      </c>
      <c r="H421" s="34" t="e">
        <f ca="1">[2]!a_eb("CDT,{P1},,2017013,,YA,,,","K=Acc_Code,F={P2},O=B",H$1,$F421)</f>
        <v>#NAME?</v>
      </c>
      <c r="I421" s="34" t="e">
        <f ca="1">[2]!a_eb("CDT,{P1},,2017013,,YA,,,","K=Acc_Code,F={P2},O=B",I$1,$F421)</f>
        <v>#NAME?</v>
      </c>
    </row>
    <row r="422" spans="1:9">
      <c r="A422" s="11">
        <v>2850010000</v>
      </c>
      <c r="B422" s="20" t="s">
        <v>1920</v>
      </c>
      <c r="C422" s="28" t="s">
        <v>1538</v>
      </c>
      <c r="F422" s="3">
        <v>420101</v>
      </c>
      <c r="G422" s="6">
        <v>7040200000</v>
      </c>
      <c r="H422" s="34" t="e">
        <f ca="1">[2]!a_eb("CDT,{P1},,2017013,,YA,,,","K=Acc_Code,F={P2},O=B",H$1,$F422)</f>
        <v>#NAME?</v>
      </c>
      <c r="I422" s="34" t="e">
        <f ca="1">[2]!a_eb("CDT,{P1},,2017013,,YA,,,","K=Acc_Code,F={P2},O=B",I$1,$F422)</f>
        <v>#NAME?</v>
      </c>
    </row>
    <row r="423" spans="1:9">
      <c r="A423" s="11">
        <v>2850010000</v>
      </c>
      <c r="B423" s="20" t="s">
        <v>1921</v>
      </c>
      <c r="C423" s="28" t="s">
        <v>1538</v>
      </c>
      <c r="F423" s="3">
        <v>420101</v>
      </c>
      <c r="G423" s="6">
        <v>7040210000</v>
      </c>
      <c r="H423" s="34" t="e">
        <f ca="1">[2]!a_eb("CDT,{P1},,2017013,,YA,,,","K=Acc_Code,F={P2},O=B",H$1,$F423)</f>
        <v>#NAME?</v>
      </c>
      <c r="I423" s="34" t="e">
        <f ca="1">[2]!a_eb("CDT,{P1},,2017013,,YA,,,","K=Acc_Code,F={P2},O=B",I$1,$F423)</f>
        <v>#NAME?</v>
      </c>
    </row>
    <row r="424" spans="1:9">
      <c r="A424" s="11">
        <v>2850010000</v>
      </c>
      <c r="B424" s="20" t="s">
        <v>1922</v>
      </c>
      <c r="C424" s="28" t="s">
        <v>1538</v>
      </c>
      <c r="F424" s="3">
        <v>420102</v>
      </c>
      <c r="G424" s="6">
        <v>7040000000</v>
      </c>
      <c r="H424" s="34" t="e">
        <f ca="1">[2]!a_eb("CDT,{P1},,2017013,,YA,,,","K=Acc_Code,F={P2},O=B",H$1,$F424)</f>
        <v>#NAME?</v>
      </c>
      <c r="I424" s="34" t="e">
        <f ca="1">[2]!a_eb("CDT,{P1},,2017013,,YA,,,","K=Acc_Code,F={P2},O=B",I$1,$F424)</f>
        <v>#NAME?</v>
      </c>
    </row>
    <row r="425" spans="1:9">
      <c r="A425" s="11">
        <v>2850010000</v>
      </c>
      <c r="B425" s="20" t="s">
        <v>1923</v>
      </c>
      <c r="C425" s="28" t="s">
        <v>1538</v>
      </c>
      <c r="F425" s="3">
        <v>420102</v>
      </c>
      <c r="G425" s="6">
        <v>7040010000</v>
      </c>
      <c r="H425" s="34" t="e">
        <f ca="1">[2]!a_eb("CDT,{P1},,2017013,,YA,,,","K=Acc_Code,F={P2},O=B",H$1,$F425)</f>
        <v>#NAME?</v>
      </c>
      <c r="I425" s="34" t="e">
        <f ca="1">[2]!a_eb("CDT,{P1},,2017013,,YA,,,","K=Acc_Code,F={P2},O=B",I$1,$F425)</f>
        <v>#NAME?</v>
      </c>
    </row>
    <row r="426" spans="1:9">
      <c r="A426" s="11">
        <v>2850010000</v>
      </c>
      <c r="B426" s="20" t="s">
        <v>1924</v>
      </c>
      <c r="C426" s="28" t="s">
        <v>1538</v>
      </c>
      <c r="F426" s="3">
        <v>420104</v>
      </c>
      <c r="G426" s="6" t="s">
        <v>1435</v>
      </c>
      <c r="H426" s="34" t="e">
        <f ca="1">[2]!a_eb("CDT,{P1},,2017013,,YA,,,","K=Acc_Code,F={P2},O=B",H$1,$F426)</f>
        <v>#NAME?</v>
      </c>
      <c r="I426" s="34" t="e">
        <f ca="1">[2]!a_eb("CDT,{P1},,2017013,,YA,,,","K=Acc_Code,F={P2},O=B",I$1,$F426)</f>
        <v>#NAME?</v>
      </c>
    </row>
    <row r="427" spans="1:9">
      <c r="A427" s="11">
        <v>2850010000</v>
      </c>
      <c r="B427" s="20" t="s">
        <v>1925</v>
      </c>
      <c r="C427" s="28" t="s">
        <v>1538</v>
      </c>
      <c r="F427" s="3">
        <v>420104</v>
      </c>
      <c r="G427" s="6" t="s">
        <v>1436</v>
      </c>
      <c r="H427" s="34" t="e">
        <f ca="1">[2]!a_eb("CDT,{P1},,2017013,,YA,,,","K=Acc_Code,F={P2},O=B",H$1,$F427)</f>
        <v>#NAME?</v>
      </c>
      <c r="I427" s="34" t="e">
        <f ca="1">[2]!a_eb("CDT,{P1},,2017013,,YA,,,","K=Acc_Code,F={P2},O=B",I$1,$F427)</f>
        <v>#NAME?</v>
      </c>
    </row>
    <row r="428" spans="1:9">
      <c r="A428" s="11">
        <v>2850010000</v>
      </c>
      <c r="B428" s="20" t="s">
        <v>1926</v>
      </c>
      <c r="C428" s="28" t="s">
        <v>1538</v>
      </c>
      <c r="F428" s="3">
        <v>420201</v>
      </c>
      <c r="G428" s="3">
        <v>7030011500</v>
      </c>
      <c r="H428" s="34" t="e">
        <f ca="1">[2]!a_eb("CDT,{P1},,2017013,,YA,,,","K=Acc_Code,F={P2},O=B",H$1,$F428)</f>
        <v>#NAME?</v>
      </c>
      <c r="I428" s="34" t="e">
        <f ca="1">[2]!a_eb("CDT,{P1},,2017013,,YA,,,","K=Acc_Code,F={P2},O=B",I$1,$F428)</f>
        <v>#NAME?</v>
      </c>
    </row>
    <row r="429" spans="1:9">
      <c r="A429" s="11">
        <v>2850010000</v>
      </c>
      <c r="B429" s="20" t="s">
        <v>1927</v>
      </c>
      <c r="C429" s="28" t="s">
        <v>1538</v>
      </c>
      <c r="F429" s="3">
        <v>420202</v>
      </c>
      <c r="G429" s="3">
        <v>7144109000</v>
      </c>
      <c r="H429" s="34" t="e">
        <f ca="1">[2]!a_eb("CDT,{P1},,2017013,,YA,,,","K=Acc_Code,F={P2},O=B",H$1,$F429)</f>
        <v>#NAME?</v>
      </c>
      <c r="I429" s="34" t="e">
        <f ca="1">[2]!a_eb("CDT,{P1},,2017013,,YA,,,","K=Acc_Code,F={P2},O=B",I$1,$F429)</f>
        <v>#NAME?</v>
      </c>
    </row>
    <row r="430" spans="1:9">
      <c r="A430" s="11">
        <v>2850010000</v>
      </c>
      <c r="B430" s="20" t="s">
        <v>1928</v>
      </c>
      <c r="C430" s="28" t="s">
        <v>1538</v>
      </c>
      <c r="F430" s="3">
        <v>420202</v>
      </c>
      <c r="G430" s="3">
        <v>7130011500</v>
      </c>
      <c r="H430" s="34" t="e">
        <f ca="1">[2]!a_eb("CDT,{P1},,2017013,,YA,,,","K=Acc_Code,F={P2},O=B",H$1,$F430)</f>
        <v>#NAME?</v>
      </c>
      <c r="I430" s="34" t="e">
        <f ca="1">[2]!a_eb("CDT,{P1},,2017013,,YA,,,","K=Acc_Code,F={P2},O=B",I$1,$F430)</f>
        <v>#NAME?</v>
      </c>
    </row>
    <row r="431" spans="1:9">
      <c r="A431" s="11">
        <v>2850010000</v>
      </c>
      <c r="B431" s="20" t="s">
        <v>1929</v>
      </c>
      <c r="C431" s="28" t="s">
        <v>1538</v>
      </c>
      <c r="F431" s="3">
        <v>420202</v>
      </c>
      <c r="G431" s="3">
        <v>7133001500</v>
      </c>
      <c r="H431" s="34" t="e">
        <f ca="1">[2]!a_eb("CDT,{P1},,2017013,,YA,,,","K=Acc_Code,F={P2},O=B",H$1,$F431)</f>
        <v>#NAME?</v>
      </c>
      <c r="I431" s="34" t="e">
        <f ca="1">[2]!a_eb("CDT,{P1},,2017013,,YA,,,","K=Acc_Code,F={P2},O=B",I$1,$F431)</f>
        <v>#NAME?</v>
      </c>
    </row>
    <row r="432" spans="1:9">
      <c r="A432" s="11">
        <v>2850010000</v>
      </c>
      <c r="B432" s="20" t="s">
        <v>1930</v>
      </c>
      <c r="C432" s="28" t="s">
        <v>1538</v>
      </c>
      <c r="F432" s="3">
        <v>420203</v>
      </c>
      <c r="G432" s="3">
        <v>7430001500</v>
      </c>
      <c r="H432" s="34" t="e">
        <f ca="1">[2]!a_eb("CDT,{P1},,2017013,,YA,,,","K=Acc_Code,F={P2},O=B",H$1,$F432)</f>
        <v>#NAME?</v>
      </c>
      <c r="I432" s="34" t="e">
        <f ca="1">[2]!a_eb("CDT,{P1},,2017013,,YA,,,","K=Acc_Code,F={P2},O=B",I$1,$F432)</f>
        <v>#NAME?</v>
      </c>
    </row>
    <row r="433" spans="1:9">
      <c r="A433" s="11">
        <v>2850010000</v>
      </c>
      <c r="B433" s="20" t="s">
        <v>1931</v>
      </c>
      <c r="C433" s="28" t="s">
        <v>1538</v>
      </c>
      <c r="F433" s="3">
        <v>420203</v>
      </c>
      <c r="G433" s="3">
        <v>7330001500</v>
      </c>
      <c r="H433" s="34" t="e">
        <f ca="1">[2]!a_eb("CDT,{P1},,2017013,,YA,,,","K=Acc_Code,F={P2},O=B",H$1,$F433)</f>
        <v>#NAME?</v>
      </c>
      <c r="I433" s="34" t="e">
        <f ca="1">[2]!a_eb("CDT,{P1},,2017013,,YA,,,","K=Acc_Code,F={P2},O=B",I$1,$F433)</f>
        <v>#NAME?</v>
      </c>
    </row>
    <row r="434" spans="1:9">
      <c r="A434" s="11">
        <v>2850010000</v>
      </c>
      <c r="B434" s="20" t="s">
        <v>1932</v>
      </c>
      <c r="C434" s="28" t="s">
        <v>1538</v>
      </c>
      <c r="F434" s="3">
        <v>420203</v>
      </c>
      <c r="G434" s="3">
        <v>7433001500</v>
      </c>
      <c r="H434" s="34" t="e">
        <f ca="1">[2]!a_eb("CDT,{P1},,2017013,,YA,,,","K=Acc_Code,F={P2},O=B",H$1,$F434)</f>
        <v>#NAME?</v>
      </c>
      <c r="I434" s="34" t="e">
        <f ca="1">[2]!a_eb("CDT,{P1},,2017013,,YA,,,","K=Acc_Code,F={P2},O=B",I$1,$F434)</f>
        <v>#NAME?</v>
      </c>
    </row>
    <row r="435" spans="1:9">
      <c r="A435" s="11">
        <v>2850010000</v>
      </c>
      <c r="B435" s="20" t="s">
        <v>1933</v>
      </c>
      <c r="C435" s="28" t="s">
        <v>1538</v>
      </c>
      <c r="F435" s="3">
        <v>420301</v>
      </c>
      <c r="G435" s="3">
        <v>7030000000</v>
      </c>
      <c r="H435" s="34" t="e">
        <f ca="1">[2]!a_eb("CDT,{P1},,2017013,,YA,,,","K=Acc_Code,F={P2},O=B",H$1,$F435)</f>
        <v>#NAME?</v>
      </c>
      <c r="I435" s="34" t="e">
        <f ca="1">[2]!a_eb("CDT,{P1},,2017013,,YA,,,","K=Acc_Code,F={P2},O=B",I$1,$F435)</f>
        <v>#NAME?</v>
      </c>
    </row>
    <row r="436" spans="1:9">
      <c r="A436" s="11">
        <v>2850010000</v>
      </c>
      <c r="B436" s="20" t="s">
        <v>1934</v>
      </c>
      <c r="C436" s="28" t="s">
        <v>1538</v>
      </c>
      <c r="F436" s="3">
        <v>420301</v>
      </c>
      <c r="G436" s="3">
        <v>7030010000</v>
      </c>
      <c r="H436" s="34" t="e">
        <f ca="1">[2]!a_eb("CDT,{P1},,2017013,,YA,,,","K=Acc_Code,F={P2},O=B",H$1,$F436)</f>
        <v>#NAME?</v>
      </c>
      <c r="I436" s="34" t="e">
        <f ca="1">[2]!a_eb("CDT,{P1},,2017013,,YA,,,","K=Acc_Code,F={P2},O=B",I$1,$F436)</f>
        <v>#NAME?</v>
      </c>
    </row>
    <row r="437" spans="1:9">
      <c r="A437" s="11">
        <v>2850010000</v>
      </c>
      <c r="B437" s="20" t="s">
        <v>1935</v>
      </c>
      <c r="C437" s="28" t="s">
        <v>1538</v>
      </c>
      <c r="F437" s="3">
        <v>420401</v>
      </c>
      <c r="G437" s="3">
        <v>7360000000</v>
      </c>
      <c r="H437" s="34" t="e">
        <f ca="1">[2]!a_eb("CDT,{P1},,2017013,,YA,,,","K=Acc_Code,F={P2},O=B",H$1,$F437)</f>
        <v>#NAME?</v>
      </c>
      <c r="I437" s="34" t="e">
        <f ca="1">[2]!a_eb("CDT,{P1},,2017013,,YA,,,","K=Acc_Code,F={P2},O=B",I$1,$F437)</f>
        <v>#NAME?</v>
      </c>
    </row>
    <row r="438" spans="1:9">
      <c r="A438" s="11">
        <v>2850010000</v>
      </c>
      <c r="B438" s="20" t="s">
        <v>1936</v>
      </c>
      <c r="C438" s="28" t="s">
        <v>1538</v>
      </c>
      <c r="F438" s="3">
        <v>420401</v>
      </c>
      <c r="G438" s="3">
        <v>7360010000</v>
      </c>
      <c r="H438" s="34" t="e">
        <f ca="1">[2]!a_eb("CDT,{P1},,2017013,,YA,,,","K=Acc_Code,F={P2},O=B",H$1,$F438)</f>
        <v>#NAME?</v>
      </c>
      <c r="I438" s="34" t="e">
        <f ca="1">[2]!a_eb("CDT,{P1},,2017013,,YA,,,","K=Acc_Code,F={P2},O=B",I$1,$F438)</f>
        <v>#NAME?</v>
      </c>
    </row>
    <row r="439" spans="1:9">
      <c r="A439" s="11">
        <v>2850010000</v>
      </c>
      <c r="B439" s="20" t="s">
        <v>1937</v>
      </c>
      <c r="C439" s="28" t="s">
        <v>1538</v>
      </c>
      <c r="F439" s="3">
        <v>420501</v>
      </c>
      <c r="G439" s="3">
        <v>7043200000</v>
      </c>
      <c r="H439" s="34" t="e">
        <f ca="1">[2]!a_eb("CDT,{P1},,2017013,,YA,,,","K=Acc_Code,F={P2},O=B",H$1,$F439)</f>
        <v>#NAME?</v>
      </c>
      <c r="I439" s="34" t="e">
        <f ca="1">[2]!a_eb("CDT,{P1},,2017013,,YA,,,","K=Acc_Code,F={P2},O=B",I$1,$F439)</f>
        <v>#NAME?</v>
      </c>
    </row>
    <row r="440" spans="1:9">
      <c r="A440" s="11">
        <v>2850010000</v>
      </c>
      <c r="B440" s="20" t="s">
        <v>1938</v>
      </c>
      <c r="C440" s="28" t="s">
        <v>1538</v>
      </c>
      <c r="F440" s="3">
        <v>420501</v>
      </c>
      <c r="G440" s="3">
        <v>7043210000</v>
      </c>
      <c r="H440" s="34" t="e">
        <f ca="1">[2]!a_eb("CDT,{P1},,2017013,,YA,,,","K=Acc_Code,F={P2},O=B",H$1,$F440)</f>
        <v>#NAME?</v>
      </c>
      <c r="I440" s="34" t="e">
        <f ca="1">[2]!a_eb("CDT,{P1},,2017013,,YA,,,","K=Acc_Code,F={P2},O=B",I$1,$F440)</f>
        <v>#NAME?</v>
      </c>
    </row>
    <row r="441" spans="1:9">
      <c r="A441" s="11">
        <v>2850010000</v>
      </c>
      <c r="B441" s="20" t="s">
        <v>1939</v>
      </c>
      <c r="C441" s="28" t="s">
        <v>1538</v>
      </c>
      <c r="F441" s="3">
        <v>420501</v>
      </c>
      <c r="G441" s="3">
        <v>7043100000</v>
      </c>
      <c r="H441" s="34" t="e">
        <f ca="1">[2]!a_eb("CDT,{P1},,2017013,,YA,,,","K=Acc_Code,F={P2},O=B",H$1,$F441)</f>
        <v>#NAME?</v>
      </c>
      <c r="I441" s="34" t="e">
        <f ca="1">[2]!a_eb("CDT,{P1},,2017013,,YA,,,","K=Acc_Code,F={P2},O=B",I$1,$F441)</f>
        <v>#NAME?</v>
      </c>
    </row>
    <row r="442" spans="1:9">
      <c r="A442" s="11">
        <v>2850010000</v>
      </c>
      <c r="B442" s="20" t="s">
        <v>1940</v>
      </c>
      <c r="C442" s="28" t="s">
        <v>1538</v>
      </c>
      <c r="F442" s="3">
        <v>420501</v>
      </c>
      <c r="G442" s="3">
        <v>7043110000</v>
      </c>
      <c r="H442" s="34" t="e">
        <f ca="1">[2]!a_eb("CDT,{P1},,2017013,,YA,,,","K=Acc_Code,F={P2},O=B",H$1,$F442)</f>
        <v>#NAME?</v>
      </c>
      <c r="I442" s="34" t="e">
        <f ca="1">[2]!a_eb("CDT,{P1},,2017013,,YA,,,","K=Acc_Code,F={P2},O=B",I$1,$F442)</f>
        <v>#NAME?</v>
      </c>
    </row>
    <row r="443" spans="1:9">
      <c r="A443" s="11">
        <v>2850010000</v>
      </c>
      <c r="B443" s="20" t="s">
        <v>1941</v>
      </c>
      <c r="C443" s="28" t="s">
        <v>1538</v>
      </c>
      <c r="F443" s="3">
        <v>420501</v>
      </c>
      <c r="G443" s="3">
        <v>7043211500</v>
      </c>
      <c r="H443" s="34" t="e">
        <f ca="1">[2]!a_eb("CDT,{P1},,2017013,,YA,,,","K=Acc_Code,F={P2},O=B",H$1,$F443)</f>
        <v>#NAME?</v>
      </c>
      <c r="I443" s="34" t="e">
        <f ca="1">[2]!a_eb("CDT,{P1},,2017013,,YA,,,","K=Acc_Code,F={P2},O=B",I$1,$F443)</f>
        <v>#NAME?</v>
      </c>
    </row>
    <row r="444" spans="1:9">
      <c r="A444" s="11">
        <v>2850010000</v>
      </c>
      <c r="B444" s="20" t="s">
        <v>1942</v>
      </c>
      <c r="C444" s="28" t="s">
        <v>1538</v>
      </c>
      <c r="F444" s="3">
        <v>420501</v>
      </c>
      <c r="G444" s="3">
        <v>7043101500</v>
      </c>
      <c r="H444" s="34" t="e">
        <f ca="1">[2]!a_eb("CDT,{P1},,2017013,,YA,,,","K=Acc_Code,F={P2},O=B",H$1,$F444)</f>
        <v>#NAME?</v>
      </c>
      <c r="I444" s="34" t="e">
        <f ca="1">[2]!a_eb("CDT,{P1},,2017013,,YA,,,","K=Acc_Code,F={P2},O=B",I$1,$F444)</f>
        <v>#NAME?</v>
      </c>
    </row>
    <row r="445" spans="1:9">
      <c r="A445" s="11">
        <v>2850010000</v>
      </c>
      <c r="B445" s="20" t="s">
        <v>1943</v>
      </c>
      <c r="C445" s="28" t="s">
        <v>1538</v>
      </c>
      <c r="F445" s="3">
        <v>420601</v>
      </c>
      <c r="G445" s="3">
        <v>7010000000</v>
      </c>
      <c r="H445" s="34" t="e">
        <f ca="1">[2]!a_eb("CDT,{P1},,2017013,,YA,,,","K=Acc_Code,F={P2},O=B",H$1,$F445)</f>
        <v>#NAME?</v>
      </c>
      <c r="I445" s="34" t="e">
        <f ca="1">[2]!a_eb("CDT,{P1},,2017013,,YA,,,","K=Acc_Code,F={P2},O=B",I$1,$F445)</f>
        <v>#NAME?</v>
      </c>
    </row>
    <row r="446" spans="1:9">
      <c r="A446" s="11">
        <v>2850010000</v>
      </c>
      <c r="B446" s="20" t="s">
        <v>1944</v>
      </c>
      <c r="C446" s="28" t="s">
        <v>1538</v>
      </c>
      <c r="F446" s="3">
        <v>420601</v>
      </c>
      <c r="G446" s="3">
        <v>7010010000</v>
      </c>
      <c r="H446" s="34" t="e">
        <f ca="1">[2]!a_eb("CDT,{P1},,2017013,,YA,,,","K=Acc_Code,F={P2},O=B",H$1,$F446)</f>
        <v>#NAME?</v>
      </c>
      <c r="I446" s="34" t="e">
        <f ca="1">[2]!a_eb("CDT,{P1},,2017013,,YA,,,","K=Acc_Code,F={P2},O=B",I$1,$F446)</f>
        <v>#NAME?</v>
      </c>
    </row>
    <row r="447" spans="1:9">
      <c r="A447" s="11">
        <v>2850010000</v>
      </c>
      <c r="B447" s="20" t="s">
        <v>1945</v>
      </c>
      <c r="C447" s="28" t="s">
        <v>1538</v>
      </c>
      <c r="F447" s="3">
        <v>420602</v>
      </c>
      <c r="G447" s="3">
        <v>7110000000</v>
      </c>
      <c r="H447" s="34" t="e">
        <f ca="1">[2]!a_eb("CDT,{P1},,2017013,,YA,,,","K=Acc_Code,F={P2},O=B",H$1,$F447)</f>
        <v>#NAME?</v>
      </c>
      <c r="I447" s="34" t="e">
        <f ca="1">[2]!a_eb("CDT,{P1},,2017013,,YA,,,","K=Acc_Code,F={P2},O=B",I$1,$F447)</f>
        <v>#NAME?</v>
      </c>
    </row>
    <row r="448" spans="1:9">
      <c r="A448" s="11">
        <v>2850010000</v>
      </c>
      <c r="B448" s="20" t="s">
        <v>1946</v>
      </c>
      <c r="C448" s="28" t="s">
        <v>1538</v>
      </c>
      <c r="F448" s="3">
        <v>420602</v>
      </c>
      <c r="G448" s="3">
        <v>7111000000</v>
      </c>
      <c r="H448" s="34" t="e">
        <f ca="1">[2]!a_eb("CDT,{P1},,2017013,,YA,,,","K=Acc_Code,F={P2},O=B",H$1,$F448)</f>
        <v>#NAME?</v>
      </c>
      <c r="I448" s="34" t="e">
        <f ca="1">[2]!a_eb("CDT,{P1},,2017013,,YA,,,","K=Acc_Code,F={P2},O=B",I$1,$F448)</f>
        <v>#NAME?</v>
      </c>
    </row>
    <row r="449" spans="1:9">
      <c r="A449" s="11">
        <v>2850010000</v>
      </c>
      <c r="B449" s="20" t="s">
        <v>1947</v>
      </c>
      <c r="C449" s="28" t="s">
        <v>1538</v>
      </c>
      <c r="F449" s="3">
        <v>420602</v>
      </c>
      <c r="G449" s="3">
        <v>7113000000</v>
      </c>
      <c r="H449" s="34" t="e">
        <f ca="1">[2]!a_eb("CDT,{P1},,2017013,,YA,,,","K=Acc_Code,F={P2},O=B",H$1,$F449)</f>
        <v>#NAME?</v>
      </c>
      <c r="I449" s="34" t="e">
        <f ca="1">[2]!a_eb("CDT,{P1},,2017013,,YA,,,","K=Acc_Code,F={P2},O=B",I$1,$F449)</f>
        <v>#NAME?</v>
      </c>
    </row>
    <row r="450" spans="1:9">
      <c r="A450" s="11">
        <v>2850010000</v>
      </c>
      <c r="B450" s="20" t="s">
        <v>1948</v>
      </c>
      <c r="C450" s="28" t="s">
        <v>1538</v>
      </c>
      <c r="F450" s="3">
        <v>420602</v>
      </c>
      <c r="G450" s="3">
        <v>7144100000</v>
      </c>
      <c r="H450" s="34" t="e">
        <f ca="1">[2]!a_eb("CDT,{P1},,2017013,,YA,,,","K=Acc_Code,F={P2},O=B",H$1,$F450)</f>
        <v>#NAME?</v>
      </c>
      <c r="I450" s="34" t="e">
        <f ca="1">[2]!a_eb("CDT,{P1},,2017013,,YA,,,","K=Acc_Code,F={P2},O=B",I$1,$F450)</f>
        <v>#NAME?</v>
      </c>
    </row>
    <row r="451" spans="1:9">
      <c r="A451" s="11">
        <v>2850010000</v>
      </c>
      <c r="B451" s="20" t="s">
        <v>1949</v>
      </c>
      <c r="C451" s="28" t="s">
        <v>1538</v>
      </c>
      <c r="F451" s="3">
        <v>420603</v>
      </c>
      <c r="G451" s="3">
        <v>7010020000</v>
      </c>
      <c r="H451" s="34" t="e">
        <f ca="1">[2]!a_eb("CDT,{P1},,2017013,,YA,,,","K=Acc_Code,F={P2},O=B",H$1,$F451)</f>
        <v>#NAME?</v>
      </c>
      <c r="I451" s="34" t="e">
        <f ca="1">[2]!a_eb("CDT,{P1},,2017013,,YA,,,","K=Acc_Code,F={P2},O=B",I$1,$F451)</f>
        <v>#NAME?</v>
      </c>
    </row>
    <row r="452" spans="1:9">
      <c r="A452" s="11">
        <v>2802000010</v>
      </c>
      <c r="B452" s="20" t="s">
        <v>1950</v>
      </c>
      <c r="C452" s="28" t="e">
        <f t="shared" ref="C452:C467" ca="1" si="6">VLOOKUP(B452,F:G,2,0)</f>
        <v>#N/A</v>
      </c>
      <c r="F452" s="3">
        <v>420604</v>
      </c>
      <c r="G452" s="3">
        <v>7310000000</v>
      </c>
      <c r="H452" s="34" t="e">
        <f ca="1">[2]!a_eb("CDT,{P1},,2017013,,YA,,,","K=Acc_Code,F={P2},O=B",H$1,$F452)</f>
        <v>#NAME?</v>
      </c>
      <c r="I452" s="34" t="e">
        <f ca="1">[2]!a_eb("CDT,{P1},,2017013,,YA,,,","K=Acc_Code,F={P2},O=B",I$1,$F452)</f>
        <v>#NAME?</v>
      </c>
    </row>
    <row r="453" spans="1:9">
      <c r="A453" s="11">
        <v>1430001010</v>
      </c>
      <c r="B453" s="20" t="s">
        <v>1951</v>
      </c>
      <c r="C453" s="28" t="e">
        <f t="shared" ca="1" si="6"/>
        <v>#N/A</v>
      </c>
      <c r="F453" s="3">
        <v>420604</v>
      </c>
      <c r="G453" s="3">
        <v>7310010000</v>
      </c>
      <c r="H453" s="34" t="e">
        <f ca="1">[2]!a_eb("CDT,{P1},,2017013,,YA,,,","K=Acc_Code,F={P2},O=B",H$1,$F453)</f>
        <v>#NAME?</v>
      </c>
      <c r="I453" s="34" t="e">
        <f ca="1">[2]!a_eb("CDT,{P1},,2017013,,YA,,,","K=Acc_Code,F={P2},O=B",I$1,$F453)</f>
        <v>#NAME?</v>
      </c>
    </row>
    <row r="454" spans="1:9">
      <c r="A454" s="11">
        <v>1030001010</v>
      </c>
      <c r="B454" s="20" t="s">
        <v>1951</v>
      </c>
      <c r="C454" s="28" t="e">
        <f t="shared" ca="1" si="6"/>
        <v>#N/A</v>
      </c>
      <c r="F454" s="3">
        <v>420604</v>
      </c>
      <c r="G454" s="3">
        <v>7410000000</v>
      </c>
      <c r="H454" s="34" t="e">
        <f ca="1">[2]!a_eb("CDT,{P1},,2017013,,YA,,,","K=Acc_Code,F={P2},O=B",H$1,$F454)</f>
        <v>#NAME?</v>
      </c>
      <c r="I454" s="34" t="e">
        <f ca="1">[2]!a_eb("CDT,{P1},,2017013,,YA,,,","K=Acc_Code,F={P2},O=B",I$1,$F454)</f>
        <v>#NAME?</v>
      </c>
    </row>
    <row r="455" spans="1:9">
      <c r="A455" s="11">
        <v>1030001010</v>
      </c>
      <c r="B455" s="20" t="s">
        <v>1951</v>
      </c>
      <c r="C455" s="28" t="e">
        <f t="shared" ca="1" si="6"/>
        <v>#N/A</v>
      </c>
      <c r="F455" s="3">
        <v>420604</v>
      </c>
      <c r="G455" s="3">
        <v>7410010000</v>
      </c>
      <c r="H455" s="34" t="e">
        <f ca="1">[2]!a_eb("CDT,{P1},,2017013,,YA,,,","K=Acc_Code,F={P2},O=B",H$1,$F455)</f>
        <v>#NAME?</v>
      </c>
      <c r="I455" s="34" t="e">
        <f ca="1">[2]!a_eb("CDT,{P1},,2017013,,YA,,,","K=Acc_Code,F={P2},O=B",I$1,$F455)</f>
        <v>#NAME?</v>
      </c>
    </row>
    <row r="456" spans="1:9">
      <c r="A456" s="11">
        <v>1030001010</v>
      </c>
      <c r="B456" s="20" t="s">
        <v>1951</v>
      </c>
      <c r="C456" s="28" t="e">
        <f t="shared" ca="1" si="6"/>
        <v>#N/A</v>
      </c>
      <c r="F456" s="3">
        <v>420604</v>
      </c>
      <c r="G456" s="3">
        <v>7413000000</v>
      </c>
      <c r="H456" s="34" t="e">
        <f ca="1">[2]!a_eb("CDT,{P1},,2017013,,YA,,,","K=Acc_Code,F={P2},O=B",H$1,$F456)</f>
        <v>#NAME?</v>
      </c>
      <c r="I456" s="34" t="e">
        <f ca="1">[2]!a_eb("CDT,{P1},,2017013,,YA,,,","K=Acc_Code,F={P2},O=B",I$1,$F456)</f>
        <v>#NAME?</v>
      </c>
    </row>
    <row r="457" spans="1:9">
      <c r="A457" s="11">
        <v>1030001010</v>
      </c>
      <c r="B457" s="20" t="s">
        <v>1951</v>
      </c>
      <c r="C457" s="28" t="e">
        <f t="shared" ca="1" si="6"/>
        <v>#N/A</v>
      </c>
      <c r="F457" s="3">
        <v>420604</v>
      </c>
      <c r="G457" s="3">
        <v>7413010000</v>
      </c>
      <c r="H457" s="34" t="e">
        <f ca="1">[2]!a_eb("CDT,{P1},,2017013,,YA,,,","K=Acc_Code,F={P2},O=B",H$1,$F457)</f>
        <v>#NAME?</v>
      </c>
      <c r="I457" s="34" t="e">
        <f ca="1">[2]!a_eb("CDT,{P1},,2017013,,YA,,,","K=Acc_Code,F={P2},O=B",I$1,$F457)</f>
        <v>#NAME?</v>
      </c>
    </row>
    <row r="458" spans="1:9">
      <c r="A458" s="11">
        <v>1433001010</v>
      </c>
      <c r="B458" s="20" t="s">
        <v>1951</v>
      </c>
      <c r="C458" s="28" t="e">
        <f t="shared" ca="1" si="6"/>
        <v>#N/A</v>
      </c>
      <c r="F458" s="3">
        <v>420606</v>
      </c>
      <c r="G458" s="3">
        <v>7010010010</v>
      </c>
      <c r="H458" s="34" t="e">
        <f ca="1">[2]!a_eb("CDT,{P1},,2017013,,YA,,,","K=Acc_Code,F={P2},O=B",H$1,$F458)</f>
        <v>#NAME?</v>
      </c>
      <c r="I458" s="34" t="e">
        <f ca="1">[2]!a_eb("CDT,{P1},,2017013,,YA,,,","K=Acc_Code,F={P2},O=B",I$1,$F458)</f>
        <v>#NAME?</v>
      </c>
    </row>
    <row r="459" spans="1:9">
      <c r="A459" s="11">
        <v>1444101500</v>
      </c>
      <c r="B459" s="20" t="s">
        <v>1951</v>
      </c>
      <c r="C459" s="28" t="e">
        <f t="shared" ca="1" si="6"/>
        <v>#N/A</v>
      </c>
      <c r="F459" s="3">
        <v>420701</v>
      </c>
      <c r="G459" s="3">
        <v>7000000000</v>
      </c>
      <c r="H459" s="34" t="e">
        <f ca="1">[2]!a_eb("CDT,{P1},,2017013,,YA,,,","K=Acc_Code,F={P2},O=B",H$1,$F459)</f>
        <v>#NAME?</v>
      </c>
      <c r="I459" s="34" t="e">
        <f ca="1">[2]!a_eb("CDT,{P1},,2017013,,YA,,,","K=Acc_Code,F={P2},O=B",I$1,$F459)</f>
        <v>#NAME?</v>
      </c>
    </row>
    <row r="460" spans="1:9">
      <c r="A460" s="11">
        <v>1430001020</v>
      </c>
      <c r="B460" s="20" t="s">
        <v>1952</v>
      </c>
      <c r="C460" s="28" t="e">
        <f t="shared" ca="1" si="6"/>
        <v>#N/A</v>
      </c>
      <c r="F460" s="3">
        <v>420701</v>
      </c>
      <c r="G460" s="3">
        <v>7000010000</v>
      </c>
      <c r="H460" s="34" t="e">
        <f ca="1">[2]!a_eb("CDT,{P1},,2017013,,YA,,,","K=Acc_Code,F={P2},O=B",H$1,$F460)</f>
        <v>#NAME?</v>
      </c>
      <c r="I460" s="34" t="e">
        <f ca="1">[2]!a_eb("CDT,{P1},,2017013,,YA,,,","K=Acc_Code,F={P2},O=B",I$1,$F460)</f>
        <v>#NAME?</v>
      </c>
    </row>
    <row r="461" spans="1:9">
      <c r="A461" s="11">
        <v>1030001020</v>
      </c>
      <c r="B461" s="20" t="s">
        <v>1952</v>
      </c>
      <c r="C461" s="28" t="e">
        <f t="shared" ca="1" si="6"/>
        <v>#N/A</v>
      </c>
      <c r="F461" s="3">
        <v>420702</v>
      </c>
      <c r="G461" s="3">
        <v>7000020000</v>
      </c>
      <c r="H461" s="34" t="e">
        <f ca="1">[2]!a_eb("CDT,{P1},,2017013,,YA,,,","K=Acc_Code,F={P2},O=B",H$1,$F461)</f>
        <v>#NAME?</v>
      </c>
      <c r="I461" s="34" t="e">
        <f ca="1">[2]!a_eb("CDT,{P1},,2017013,,YA,,,","K=Acc_Code,F={P2},O=B",I$1,$F461)</f>
        <v>#NAME?</v>
      </c>
    </row>
    <row r="462" spans="1:9">
      <c r="A462" s="11">
        <v>1030001020</v>
      </c>
      <c r="B462" s="20" t="s">
        <v>1952</v>
      </c>
      <c r="C462" s="28" t="e">
        <f t="shared" ca="1" si="6"/>
        <v>#N/A</v>
      </c>
      <c r="F462" s="3">
        <v>420703</v>
      </c>
      <c r="G462" s="3">
        <v>7300000000</v>
      </c>
      <c r="H462" s="34" t="e">
        <f ca="1">[2]!a_eb("CDT,{P1},,2017013,,YA,,,","K=Acc_Code,F={P2},O=B",H$1,$F462)</f>
        <v>#NAME?</v>
      </c>
      <c r="I462" s="34" t="e">
        <f ca="1">[2]!a_eb("CDT,{P1},,2017013,,YA,,,","K=Acc_Code,F={P2},O=B",I$1,$F462)</f>
        <v>#NAME?</v>
      </c>
    </row>
    <row r="463" spans="1:9">
      <c r="A463" s="11">
        <v>1030001020</v>
      </c>
      <c r="B463" s="20" t="s">
        <v>1952</v>
      </c>
      <c r="C463" s="28" t="e">
        <f t="shared" ca="1" si="6"/>
        <v>#N/A</v>
      </c>
      <c r="F463" s="3">
        <v>420703</v>
      </c>
      <c r="G463" s="3">
        <v>7300010000</v>
      </c>
      <c r="H463" s="34" t="e">
        <f ca="1">[2]!a_eb("CDT,{P1},,2017013,,YA,,,","K=Acc_Code,F={P2},O=B",H$1,$F463)</f>
        <v>#NAME?</v>
      </c>
      <c r="I463" s="34" t="e">
        <f ca="1">[2]!a_eb("CDT,{P1},,2017013,,YA,,,","K=Acc_Code,F={P2},O=B",I$1,$F463)</f>
        <v>#NAME?</v>
      </c>
    </row>
    <row r="464" spans="1:9">
      <c r="A464" s="11">
        <v>1030001020</v>
      </c>
      <c r="B464" s="20" t="s">
        <v>1952</v>
      </c>
      <c r="C464" s="28" t="e">
        <f t="shared" ca="1" si="6"/>
        <v>#N/A</v>
      </c>
      <c r="F464" s="3">
        <v>420704</v>
      </c>
      <c r="G464" s="3">
        <v>7000011020</v>
      </c>
      <c r="H464" s="34" t="e">
        <f ca="1">[2]!a_eb("CDT,{P1},,2017013,,YA,,,","K=Acc_Code,F={P2},O=B",H$1,$F464)</f>
        <v>#NAME?</v>
      </c>
      <c r="I464" s="34" t="e">
        <f ca="1">[2]!a_eb("CDT,{P1},,2017013,,YA,,,","K=Acc_Code,F={P2},O=B",I$1,$F464)</f>
        <v>#NAME?</v>
      </c>
    </row>
    <row r="465" spans="1:9">
      <c r="A465" s="11">
        <v>1433001020</v>
      </c>
      <c r="B465" s="20" t="s">
        <v>1952</v>
      </c>
      <c r="C465" s="28" t="e">
        <f t="shared" ca="1" si="6"/>
        <v>#N/A</v>
      </c>
      <c r="F465" s="3">
        <v>420801</v>
      </c>
      <c r="G465" s="3">
        <v>7050002000</v>
      </c>
      <c r="H465" s="34" t="e">
        <f ca="1">[2]!a_eb("CDT,{P1},,2017013,,YA,,,","K=Acc_Code,F={P2},O=B",H$1,$F465)</f>
        <v>#NAME?</v>
      </c>
      <c r="I465" s="34" t="e">
        <f ca="1">[2]!a_eb("CDT,{P1},,2017013,,YA,,,","K=Acc_Code,F={P2},O=B",I$1,$F465)</f>
        <v>#NAME?</v>
      </c>
    </row>
    <row r="466" spans="1:9">
      <c r="A466" s="11" t="s">
        <v>1497</v>
      </c>
      <c r="B466" s="20" t="s">
        <v>1953</v>
      </c>
      <c r="C466" s="28" t="e">
        <f t="shared" ca="1" si="6"/>
        <v>#N/A</v>
      </c>
      <c r="F466" s="3">
        <v>420801</v>
      </c>
      <c r="G466" s="3">
        <v>7050012000</v>
      </c>
      <c r="H466" s="34" t="e">
        <f ca="1">[2]!a_eb("CDT,{P1},,2017013,,YA,,,","K=Acc_Code,F={P2},O=B",H$1,$F466)</f>
        <v>#NAME?</v>
      </c>
      <c r="I466" s="34" t="e">
        <f ca="1">[2]!a_eb("CDT,{P1},,2017013,,YA,,,","K=Acc_Code,F={P2},O=B",I$1,$F466)</f>
        <v>#NAME?</v>
      </c>
    </row>
    <row r="467" spans="1:9">
      <c r="A467" s="11">
        <v>1300000000</v>
      </c>
      <c r="B467" s="20" t="s">
        <v>1954</v>
      </c>
      <c r="C467" s="28" t="e">
        <f t="shared" ca="1" si="6"/>
        <v>#N/A</v>
      </c>
      <c r="F467" s="3">
        <v>420801</v>
      </c>
      <c r="G467" s="3">
        <v>7055002000</v>
      </c>
      <c r="H467" s="34" t="e">
        <f ca="1">[2]!a_eb("CDT,{P1},,2017013,,YA,,,","K=Acc_Code,F={P2},O=B",H$1,$F467)</f>
        <v>#NAME?</v>
      </c>
      <c r="I467" s="34" t="e">
        <f ca="1">[2]!a_eb("CDT,{P1},,2017013,,YA,,,","K=Acc_Code,F={P2},O=B",I$1,$F467)</f>
        <v>#NAME?</v>
      </c>
    </row>
    <row r="468" spans="1:9">
      <c r="A468" s="11">
        <v>1300000000</v>
      </c>
      <c r="B468" s="20" t="s">
        <v>1955</v>
      </c>
      <c r="C468" s="28" t="s">
        <v>1539</v>
      </c>
      <c r="F468" s="3">
        <v>420801</v>
      </c>
      <c r="G468" s="3">
        <v>7055010000</v>
      </c>
      <c r="H468" s="34" t="e">
        <f ca="1">[2]!a_eb("CDT,{P1},,2017013,,YA,,,","K=Acc_Code,F={P2},O=B",H$1,$F468)</f>
        <v>#NAME?</v>
      </c>
      <c r="I468" s="34" t="e">
        <f ca="1">[2]!a_eb("CDT,{P1},,2017013,,YA,,,","K=Acc_Code,F={P2},O=B",I$1,$F468)</f>
        <v>#NAME?</v>
      </c>
    </row>
    <row r="469" spans="1:9">
      <c r="A469" s="11" t="s">
        <v>1497</v>
      </c>
      <c r="B469" s="20" t="s">
        <v>1956</v>
      </c>
      <c r="C469" s="28" t="e">
        <f ca="1">VLOOKUP(B469,F:G,2,0)</f>
        <v>#N/A</v>
      </c>
      <c r="F469" s="3">
        <v>420802</v>
      </c>
      <c r="G469" s="3">
        <v>7050010010</v>
      </c>
      <c r="H469" s="34" t="e">
        <f ca="1">[2]!a_eb("CDT,{P1},,2017013,,YA,,,","K=Acc_Code,F={P2},O=B",H$1,$F469)</f>
        <v>#NAME?</v>
      </c>
      <c r="I469" s="34" t="e">
        <f ca="1">[2]!a_eb("CDT,{P1},,2017013,,YA,,,","K=Acc_Code,F={P2},O=B",I$1,$F469)</f>
        <v>#NAME?</v>
      </c>
    </row>
    <row r="470" spans="1:9">
      <c r="A470" s="11" t="s">
        <v>1497</v>
      </c>
      <c r="B470" s="20" t="s">
        <v>1957</v>
      </c>
      <c r="C470" s="28" t="e">
        <f ca="1">VLOOKUP(B470,F:G,2,0)</f>
        <v>#N/A</v>
      </c>
      <c r="F470" s="3">
        <v>421001</v>
      </c>
      <c r="G470" s="3">
        <v>7902000001</v>
      </c>
      <c r="H470" s="34" t="e">
        <f ca="1">[2]!a_eb("CDT,{P1},,2017013,,YA,,,","K=Acc_Code,F={P2},O=B",H$1,$F470)</f>
        <v>#NAME?</v>
      </c>
      <c r="I470" s="34" t="e">
        <f ca="1">[2]!a_eb("CDT,{P1},,2017013,,YA,,,","K=Acc_Code,F={P2},O=B",I$1,$F470)</f>
        <v>#NAME?</v>
      </c>
    </row>
    <row r="471" spans="1:9">
      <c r="A471" s="11">
        <v>1300000000</v>
      </c>
      <c r="B471" s="20" t="s">
        <v>1958</v>
      </c>
      <c r="C471" s="28" t="s">
        <v>1539</v>
      </c>
      <c r="F471" s="3">
        <v>421001</v>
      </c>
      <c r="G471" s="3">
        <v>7902000000</v>
      </c>
      <c r="H471" s="34" t="e">
        <f ca="1">[2]!a_eb("CDT,{P1},,2017013,,YA,,,","K=Acc_Code,F={P2},O=B",H$1,$F471)</f>
        <v>#NAME?</v>
      </c>
      <c r="I471" s="34" t="e">
        <f ca="1">[2]!a_eb("CDT,{P1},,2017013,,YA,,,","K=Acc_Code,F={P2},O=B",I$1,$F471)</f>
        <v>#NAME?</v>
      </c>
    </row>
    <row r="472" spans="1:9">
      <c r="A472" s="11">
        <v>2860011000</v>
      </c>
      <c r="B472" s="20" t="s">
        <v>1959</v>
      </c>
      <c r="C472" s="28" t="e">
        <f t="shared" ref="C472:C479" ca="1" si="7">VLOOKUP(B472,F:G,2,0)</f>
        <v>#N/A</v>
      </c>
      <c r="F472" s="3">
        <v>421003</v>
      </c>
      <c r="G472" s="3">
        <v>7902001043</v>
      </c>
      <c r="H472" s="34" t="e">
        <f ca="1">[2]!a_eb("CDT,{P1},,2017013,,YA,,,","K=Acc_Code,F={P2},O=B",H$1,$F472)</f>
        <v>#NAME?</v>
      </c>
      <c r="I472" s="34" t="e">
        <f ca="1">[2]!a_eb("CDT,{P1},,2017013,,YA,,,","K=Acc_Code,F={P2},O=B",I$1,$F472)</f>
        <v>#NAME?</v>
      </c>
    </row>
    <row r="473" spans="1:9">
      <c r="A473" s="11">
        <v>1143111000</v>
      </c>
      <c r="B473" s="20" t="s">
        <v>1959</v>
      </c>
      <c r="C473" s="28" t="e">
        <f t="shared" ca="1" si="7"/>
        <v>#N/A</v>
      </c>
      <c r="F473" s="3">
        <v>421004</v>
      </c>
      <c r="G473" s="3">
        <v>8810002010</v>
      </c>
      <c r="H473" s="34" t="e">
        <f ca="1">[2]!a_eb("CDT,{P1},,2017013,,YA,,,","K=Acc_Code,F={P2},O=B",H$1,$F473)</f>
        <v>#NAME?</v>
      </c>
      <c r="I473" s="34" t="e">
        <f ca="1">[2]!a_eb("CDT,{P1},,2017013,,YA,,,","K=Acc_Code,F={P2},O=B",I$1,$F473)</f>
        <v>#NAME?</v>
      </c>
    </row>
    <row r="474" spans="1:9">
      <c r="A474" s="11">
        <v>1143011000</v>
      </c>
      <c r="B474" s="20" t="s">
        <v>1959</v>
      </c>
      <c r="C474" s="28" t="e">
        <f t="shared" ca="1" si="7"/>
        <v>#N/A</v>
      </c>
      <c r="F474" s="3">
        <v>421006</v>
      </c>
      <c r="G474" s="3">
        <v>7490000020</v>
      </c>
      <c r="H474" s="34" t="e">
        <f ca="1">[2]!a_eb("CDT,{P1},,2017013,,YA,,,","K=Acc_Code,F={P2},O=B",H$1,$F474)</f>
        <v>#NAME?</v>
      </c>
      <c r="I474" s="34" t="e">
        <f ca="1">[2]!a_eb("CDT,{P1},,2017013,,YA,,,","K=Acc_Code,F={P2},O=B",I$1,$F474)</f>
        <v>#NAME?</v>
      </c>
    </row>
    <row r="475" spans="1:9">
      <c r="A475" s="11">
        <v>2860010000</v>
      </c>
      <c r="B475" s="20" t="s">
        <v>1959</v>
      </c>
      <c r="C475" s="28" t="e">
        <f t="shared" ca="1" si="7"/>
        <v>#N/A</v>
      </c>
      <c r="F475" s="3">
        <v>421105</v>
      </c>
      <c r="G475" s="3">
        <v>7902110000</v>
      </c>
      <c r="H475" s="34" t="e">
        <f ca="1">[2]!a_eb("CDT,{P1},,2017013,,YA,,,","K=Acc_Code,F={P2},O=B",H$1,$F475)</f>
        <v>#NAME?</v>
      </c>
      <c r="I475" s="34" t="e">
        <f ca="1">[2]!a_eb("CDT,{P1},,2017013,,YA,,,","K=Acc_Code,F={P2},O=B",I$1,$F475)</f>
        <v>#NAME?</v>
      </c>
    </row>
    <row r="476" spans="1:9">
      <c r="A476" s="11">
        <v>1143110000</v>
      </c>
      <c r="B476" s="20" t="s">
        <v>1959</v>
      </c>
      <c r="C476" s="28" t="e">
        <f t="shared" ca="1" si="7"/>
        <v>#N/A</v>
      </c>
      <c r="F476" s="3">
        <v>421106</v>
      </c>
      <c r="G476" s="3">
        <v>7070310000</v>
      </c>
      <c r="H476" s="34" t="e">
        <f ca="1">[2]!a_eb("CDT,{P1},,2017013,,YA,,,","K=Acc_Code,F={P2},O=B",H$1,$F476)</f>
        <v>#NAME?</v>
      </c>
      <c r="I476" s="34" t="e">
        <f ca="1">[2]!a_eb("CDT,{P1},,2017013,,YA,,,","K=Acc_Code,F={P2},O=B",I$1,$F476)</f>
        <v>#NAME?</v>
      </c>
    </row>
    <row r="477" spans="1:9">
      <c r="A477" s="11">
        <v>1143010000</v>
      </c>
      <c r="B477" s="20" t="s">
        <v>1959</v>
      </c>
      <c r="C477" s="28" t="e">
        <f t="shared" ca="1" si="7"/>
        <v>#N/A</v>
      </c>
      <c r="F477" s="3">
        <v>421107</v>
      </c>
      <c r="G477" s="3">
        <v>7142110000</v>
      </c>
      <c r="H477" s="34" t="e">
        <f ca="1">[2]!a_eb("CDT,{P1},,2017013,,YA,,,","K=Acc_Code,F={P2},O=B",H$1,$F477)</f>
        <v>#NAME?</v>
      </c>
      <c r="I477" s="34" t="e">
        <f ca="1">[2]!a_eb("CDT,{P1},,2017013,,YA,,,","K=Acc_Code,F={P2},O=B",I$1,$F477)</f>
        <v>#NAME?</v>
      </c>
    </row>
    <row r="478" spans="1:9">
      <c r="A478" s="11" t="s">
        <v>1497</v>
      </c>
      <c r="B478" s="20" t="s">
        <v>1960</v>
      </c>
      <c r="C478" s="28" t="e">
        <f t="shared" ca="1" si="7"/>
        <v>#N/A</v>
      </c>
      <c r="F478" s="3">
        <v>421117</v>
      </c>
      <c r="G478" s="3">
        <v>7043810000</v>
      </c>
      <c r="H478" s="34" t="e">
        <f ca="1">[2]!a_eb("CDT,{P1},,2017013,,YA,,,","K=Acc_Code,F={P2},O=B",H$1,$F478)</f>
        <v>#NAME?</v>
      </c>
      <c r="I478" s="34" t="e">
        <f ca="1">[2]!a_eb("CDT,{P1},,2017013,,YA,,,","K=Acc_Code,F={P2},O=B",I$1,$F478)</f>
        <v>#NAME?</v>
      </c>
    </row>
    <row r="479" spans="1:9">
      <c r="A479" s="11">
        <v>1140110000</v>
      </c>
      <c r="B479" s="20" t="s">
        <v>1961</v>
      </c>
      <c r="C479" s="28" t="e">
        <f t="shared" ca="1" si="7"/>
        <v>#N/A</v>
      </c>
      <c r="F479" s="3">
        <v>421301</v>
      </c>
      <c r="G479" s="3">
        <v>6200000010</v>
      </c>
      <c r="H479" s="34" t="e">
        <f ca="1">[2]!a_eb("CDT,{P1},,2017013,,YA,,,","K=Acc_Code,F={P2},O=B",H$1,$F479)</f>
        <v>#NAME?</v>
      </c>
      <c r="I479" s="34" t="e">
        <f ca="1">[2]!a_eb("CDT,{P1},,2017013,,YA,,,","K=Acc_Code,F={P2},O=B",I$1,$F479)</f>
        <v>#NAME?</v>
      </c>
    </row>
    <row r="480" spans="1:9">
      <c r="A480" s="11">
        <v>1140110000</v>
      </c>
      <c r="B480" s="20" t="s">
        <v>1962</v>
      </c>
      <c r="C480" s="28" t="s">
        <v>1538</v>
      </c>
      <c r="F480" s="3">
        <v>421402</v>
      </c>
      <c r="G480" s="3">
        <v>7030020000</v>
      </c>
      <c r="H480" s="34" t="e">
        <f ca="1">[2]!a_eb("CDT,{P1},,2017013,,YA,,,","K=Acc_Code,F={P2},O=B",H$1,$F480)</f>
        <v>#NAME?</v>
      </c>
      <c r="I480" s="34" t="e">
        <f ca="1">[2]!a_eb("CDT,{P1},,2017013,,YA,,,","K=Acc_Code,F={P2},O=B",I$1,$F480)</f>
        <v>#NAME?</v>
      </c>
    </row>
    <row r="481" spans="1:9">
      <c r="A481" s="11">
        <v>1140110000</v>
      </c>
      <c r="B481" s="20" t="s">
        <v>1963</v>
      </c>
      <c r="C481" s="28" t="s">
        <v>1538</v>
      </c>
      <c r="F481" s="3">
        <v>421403</v>
      </c>
      <c r="G481" s="3">
        <v>7330000000</v>
      </c>
      <c r="H481" s="34" t="e">
        <f ca="1">[2]!a_eb("CDT,{P1},,2017013,,YA,,,","K=Acc_Code,F={P2},O=B",H$1,$F481)</f>
        <v>#NAME?</v>
      </c>
      <c r="I481" s="34" t="e">
        <f ca="1">[2]!a_eb("CDT,{P1},,2017013,,YA,,,","K=Acc_Code,F={P2},O=B",I$1,$F481)</f>
        <v>#NAME?</v>
      </c>
    </row>
    <row r="482" spans="1:9">
      <c r="A482" s="11">
        <v>1140110000</v>
      </c>
      <c r="B482" s="20" t="s">
        <v>1964</v>
      </c>
      <c r="C482" s="28" t="s">
        <v>1538</v>
      </c>
      <c r="F482" s="3">
        <v>421403</v>
      </c>
      <c r="G482" s="3">
        <v>7330010000</v>
      </c>
      <c r="H482" s="34" t="e">
        <f ca="1">[2]!a_eb("CDT,{P1},,2017013,,YA,,,","K=Acc_Code,F={P2},O=B",H$1,$F482)</f>
        <v>#NAME?</v>
      </c>
      <c r="I482" s="34" t="e">
        <f ca="1">[2]!a_eb("CDT,{P1},,2017013,,YA,,,","K=Acc_Code,F={P2},O=B",I$1,$F482)</f>
        <v>#NAME?</v>
      </c>
    </row>
    <row r="483" spans="1:9">
      <c r="A483" s="11">
        <v>1140110000</v>
      </c>
      <c r="B483" s="20" t="s">
        <v>1965</v>
      </c>
      <c r="C483" s="28" t="s">
        <v>1538</v>
      </c>
      <c r="F483" s="3">
        <v>421403</v>
      </c>
      <c r="G483" s="3">
        <v>7430000000</v>
      </c>
      <c r="H483" s="34" t="e">
        <f ca="1">[2]!a_eb("CDT,{P1},,2017013,,YA,,,","K=Acc_Code,F={P2},O=B",H$1,$F483)</f>
        <v>#NAME?</v>
      </c>
      <c r="I483" s="34" t="e">
        <f ca="1">[2]!a_eb("CDT,{P1},,2017013,,YA,,,","K=Acc_Code,F={P2},O=B",I$1,$F483)</f>
        <v>#NAME?</v>
      </c>
    </row>
    <row r="484" spans="1:9">
      <c r="A484" s="11">
        <v>1140110000</v>
      </c>
      <c r="B484" s="20" t="s">
        <v>1966</v>
      </c>
      <c r="C484" s="28" t="s">
        <v>1538</v>
      </c>
      <c r="F484" s="3">
        <v>421403</v>
      </c>
      <c r="G484" s="3">
        <v>7430010000</v>
      </c>
      <c r="H484" s="34" t="e">
        <f ca="1">[2]!a_eb("CDT,{P1},,2017013,,YA,,,","K=Acc_Code,F={P2},O=B",H$1,$F484)</f>
        <v>#NAME?</v>
      </c>
      <c r="I484" s="34" t="e">
        <f ca="1">[2]!a_eb("CDT,{P1},,2017013,,YA,,,","K=Acc_Code,F={P2},O=B",I$1,$F484)</f>
        <v>#NAME?</v>
      </c>
    </row>
    <row r="485" spans="1:9">
      <c r="A485" s="11">
        <v>1140110000</v>
      </c>
      <c r="B485" s="20" t="s">
        <v>1967</v>
      </c>
      <c r="C485" s="28" t="s">
        <v>1538</v>
      </c>
      <c r="F485" s="3">
        <v>421403</v>
      </c>
      <c r="G485" s="3">
        <v>7433000000</v>
      </c>
      <c r="H485" s="34" t="e">
        <f ca="1">[2]!a_eb("CDT,{P1},,2017013,,YA,,,","K=Acc_Code,F={P2},O=B",H$1,$F485)</f>
        <v>#NAME?</v>
      </c>
      <c r="I485" s="34" t="e">
        <f ca="1">[2]!a_eb("CDT,{P1},,2017013,,YA,,,","K=Acc_Code,F={P2},O=B",I$1,$F485)</f>
        <v>#NAME?</v>
      </c>
    </row>
    <row r="486" spans="1:9">
      <c r="A486" s="11">
        <v>1140110000</v>
      </c>
      <c r="B486" s="20" t="s">
        <v>1968</v>
      </c>
      <c r="C486" s="28" t="s">
        <v>1538</v>
      </c>
      <c r="F486" s="3">
        <v>421403</v>
      </c>
      <c r="G486" s="3">
        <v>7433010000</v>
      </c>
      <c r="H486" s="34" t="e">
        <f ca="1">[2]!a_eb("CDT,{P1},,2017013,,YA,,,","K=Acc_Code,F={P2},O=B",H$1,$F486)</f>
        <v>#NAME?</v>
      </c>
      <c r="I486" s="34" t="e">
        <f ca="1">[2]!a_eb("CDT,{P1},,2017013,,YA,,,","K=Acc_Code,F={P2},O=B",I$1,$F486)</f>
        <v>#NAME?</v>
      </c>
    </row>
    <row r="487" spans="1:9">
      <c r="A487" s="11">
        <v>1140110000</v>
      </c>
      <c r="B487" s="20" t="s">
        <v>1969</v>
      </c>
      <c r="C487" s="28" t="s">
        <v>1538</v>
      </c>
      <c r="F487" s="3">
        <v>421404</v>
      </c>
      <c r="G487" s="3">
        <v>7130000000</v>
      </c>
      <c r="H487" s="34" t="e">
        <f ca="1">[2]!a_eb("CDT,{P1},,2017013,,YA,,,","K=Acc_Code,F={P2},O=B",H$1,$F487)</f>
        <v>#NAME?</v>
      </c>
      <c r="I487" s="34" t="e">
        <f ca="1">[2]!a_eb("CDT,{P1},,2017013,,YA,,,","K=Acc_Code,F={P2},O=B",I$1,$F487)</f>
        <v>#NAME?</v>
      </c>
    </row>
    <row r="488" spans="1:9">
      <c r="A488" s="11">
        <v>1140110000</v>
      </c>
      <c r="B488" s="20" t="s">
        <v>1970</v>
      </c>
      <c r="C488" s="28" t="s">
        <v>1538</v>
      </c>
      <c r="F488" s="3">
        <v>421404</v>
      </c>
      <c r="G488" s="3">
        <v>7133000000</v>
      </c>
      <c r="H488" s="34" t="e">
        <f ca="1">[2]!a_eb("CDT,{P1},,2017013,,YA,,,","K=Acc_Code,F={P2},O=B",H$1,$F488)</f>
        <v>#NAME?</v>
      </c>
      <c r="I488" s="34" t="e">
        <f ca="1">[2]!a_eb("CDT,{P1},,2017013,,YA,,,","K=Acc_Code,F={P2},O=B",I$1,$F488)</f>
        <v>#NAME?</v>
      </c>
    </row>
    <row r="489" spans="1:9">
      <c r="A489" s="11">
        <v>1140110000</v>
      </c>
      <c r="B489" s="20" t="s">
        <v>1971</v>
      </c>
      <c r="C489" s="28" t="s">
        <v>1538</v>
      </c>
      <c r="F489" s="3">
        <v>421404</v>
      </c>
      <c r="G489" s="3">
        <v>7132000000</v>
      </c>
      <c r="H489" s="34" t="e">
        <f ca="1">[2]!a_eb("CDT,{P1},,2017013,,YA,,,","K=Acc_Code,F={P2},O=B",H$1,$F489)</f>
        <v>#NAME?</v>
      </c>
      <c r="I489" s="34" t="e">
        <f ca="1">[2]!a_eb("CDT,{P1},,2017013,,YA,,,","K=Acc_Code,F={P2},O=B",I$1,$F489)</f>
        <v>#NAME?</v>
      </c>
    </row>
    <row r="490" spans="1:9">
      <c r="A490" s="11">
        <v>1140110000</v>
      </c>
      <c r="B490" s="20" t="s">
        <v>1972</v>
      </c>
      <c r="C490" s="28" t="s">
        <v>1538</v>
      </c>
      <c r="F490" s="3">
        <v>430101</v>
      </c>
      <c r="G490" s="3">
        <v>7530001000</v>
      </c>
      <c r="H490" s="34" t="e">
        <f ca="1">[2]!a_eb("CDT,{P1},,2017013,,YA,,,","K=Acc_Code,F={P2},O=B",H$1,$F490)</f>
        <v>#NAME?</v>
      </c>
      <c r="I490" s="34" t="e">
        <f ca="1">[2]!a_eb("CDT,{P1},,2017013,,YA,,,","K=Acc_Code,F={P2},O=B",I$1,$F490)</f>
        <v>#NAME?</v>
      </c>
    </row>
    <row r="491" spans="1:9">
      <c r="A491" s="11">
        <v>1140110000</v>
      </c>
      <c r="B491" s="20" t="s">
        <v>1973</v>
      </c>
      <c r="C491" s="28" t="s">
        <v>1538</v>
      </c>
      <c r="F491" s="3">
        <v>430101</v>
      </c>
      <c r="G491" s="3">
        <v>7630001000</v>
      </c>
      <c r="H491" s="34" t="e">
        <f ca="1">[2]!a_eb("CDT,{P1},,2017013,,YA,,,","K=Acc_Code,F={P2},O=B",H$1,$F491)</f>
        <v>#NAME?</v>
      </c>
      <c r="I491" s="34" t="e">
        <f ca="1">[2]!a_eb("CDT,{P1},,2017013,,YA,,,","K=Acc_Code,F={P2},O=B",I$1,$F491)</f>
        <v>#NAME?</v>
      </c>
    </row>
    <row r="492" spans="1:9">
      <c r="A492" s="11">
        <v>1140110000</v>
      </c>
      <c r="B492" s="20" t="s">
        <v>1974</v>
      </c>
      <c r="C492" s="28" t="s">
        <v>1538</v>
      </c>
      <c r="F492" s="3">
        <v>430101</v>
      </c>
      <c r="G492" s="3">
        <v>7633001500</v>
      </c>
      <c r="H492" s="34" t="e">
        <f ca="1">[2]!a_eb("CDT,{P1},,2017013,,YA,,,","K=Acc_Code,F={P2},O=B",H$1,$F492)</f>
        <v>#NAME?</v>
      </c>
      <c r="I492" s="34" t="e">
        <f ca="1">[2]!a_eb("CDT,{P1},,2017013,,YA,,,","K=Acc_Code,F={P2},O=B",I$1,$F492)</f>
        <v>#NAME?</v>
      </c>
    </row>
    <row r="493" spans="1:9">
      <c r="A493" s="11">
        <v>1140110000</v>
      </c>
      <c r="B493" s="20" t="s">
        <v>1975</v>
      </c>
      <c r="C493" s="28" t="s">
        <v>1538</v>
      </c>
      <c r="F493" s="3">
        <v>430201</v>
      </c>
      <c r="G493" s="3">
        <v>7630000000</v>
      </c>
      <c r="H493" s="34" t="e">
        <f ca="1">[2]!a_eb("CDT,{P1},,2017013,,YA,,,","K=Acc_Code,F={P2},O=B",H$1,$F493)</f>
        <v>#NAME?</v>
      </c>
      <c r="I493" s="34" t="e">
        <f ca="1">[2]!a_eb("CDT,{P1},,2017013,,YA,,,","K=Acc_Code,F={P2},O=B",I$1,$F493)</f>
        <v>#NAME?</v>
      </c>
    </row>
    <row r="494" spans="1:9">
      <c r="A494" s="11">
        <v>1140110000</v>
      </c>
      <c r="B494" s="20" t="s">
        <v>1976</v>
      </c>
      <c r="C494" s="28" t="s">
        <v>1538</v>
      </c>
      <c r="F494" s="3">
        <v>430201</v>
      </c>
      <c r="G494" s="3">
        <v>7633000000</v>
      </c>
      <c r="H494" s="34" t="e">
        <f ca="1">[2]!a_eb("CDT,{P1},,2017013,,YA,,,","K=Acc_Code,F={P2},O=B",H$1,$F494)</f>
        <v>#NAME?</v>
      </c>
      <c r="I494" s="34" t="e">
        <f ca="1">[2]!a_eb("CDT,{P1},,2017013,,YA,,,","K=Acc_Code,F={P2},O=B",I$1,$F494)</f>
        <v>#NAME?</v>
      </c>
    </row>
    <row r="495" spans="1:9">
      <c r="A495" s="11">
        <v>1140110000</v>
      </c>
      <c r="B495" s="20" t="s">
        <v>1977</v>
      </c>
      <c r="C495" s="28" t="s">
        <v>1538</v>
      </c>
      <c r="F495" s="3">
        <v>430201</v>
      </c>
      <c r="G495" s="3">
        <v>7530000000</v>
      </c>
      <c r="H495" s="34" t="e">
        <f ca="1">[2]!a_eb("CDT,{P1},,2017013,,YA,,,","K=Acc_Code,F={P2},O=B",H$1,$F495)</f>
        <v>#NAME?</v>
      </c>
      <c r="I495" s="34" t="e">
        <f ca="1">[2]!a_eb("CDT,{P1},,2017013,,YA,,,","K=Acc_Code,F={P2},O=B",I$1,$F495)</f>
        <v>#NAME?</v>
      </c>
    </row>
    <row r="496" spans="1:9">
      <c r="A496" s="11">
        <v>1140110000</v>
      </c>
      <c r="B496" s="20" t="s">
        <v>1978</v>
      </c>
      <c r="C496" s="28" t="s">
        <v>1538</v>
      </c>
      <c r="F496" s="3">
        <v>430401</v>
      </c>
      <c r="G496" s="3">
        <v>6121001500</v>
      </c>
      <c r="H496" s="34" t="e">
        <f ca="1">[2]!a_eb("CDT,{P1},,2017013,,YA,,,","K=Acc_Code,F={P2},O=B",H$1,$F496)</f>
        <v>#NAME?</v>
      </c>
      <c r="I496" s="34" t="e">
        <f ca="1">[2]!a_eb("CDT,{P1},,2017013,,YA,,,","K=Acc_Code,F={P2},O=B",I$1,$F496)</f>
        <v>#NAME?</v>
      </c>
    </row>
    <row r="497" spans="1:9">
      <c r="A497" s="11">
        <v>1140110000</v>
      </c>
      <c r="B497" s="20" t="s">
        <v>1979</v>
      </c>
      <c r="C497" s="28" t="s">
        <v>1538</v>
      </c>
      <c r="F497" s="3">
        <v>440101</v>
      </c>
      <c r="G497" s="3">
        <v>7980000000</v>
      </c>
      <c r="H497" s="34" t="e">
        <f ca="1">[2]!a_eb("CDT,{P1},,2017013,,YA,,,","K=Acc_Code,F={P2},O=B",H$1,$F497)</f>
        <v>#NAME?</v>
      </c>
      <c r="I497" s="34" t="e">
        <f ca="1">[2]!a_eb("CDT,{P1},,2017013,,YA,,,","K=Acc_Code,F={P2},O=B",I$1,$F497)</f>
        <v>#NAME?</v>
      </c>
    </row>
    <row r="498" spans="1:9">
      <c r="A498" s="11">
        <v>1140110000</v>
      </c>
      <c r="B498" s="20" t="s">
        <v>1980</v>
      </c>
      <c r="C498" s="28" t="s">
        <v>1538</v>
      </c>
      <c r="F498" s="3">
        <v>440201</v>
      </c>
      <c r="G498" s="3">
        <v>7981000000</v>
      </c>
      <c r="H498" s="34" t="e">
        <f ca="1">[2]!a_eb("CDT,{P1},,2017013,,YA,,,","K=Acc_Code,F={P2},O=B",H$1,$F498)</f>
        <v>#NAME?</v>
      </c>
      <c r="I498" s="34" t="e">
        <f ca="1">[2]!a_eb("CDT,{P1},,2017013,,YA,,,","K=Acc_Code,F={P2},O=B",I$1,$F498)</f>
        <v>#NAME?</v>
      </c>
    </row>
    <row r="499" spans="1:9">
      <c r="A499" s="11">
        <v>1140110000</v>
      </c>
      <c r="B499" s="20" t="s">
        <v>1981</v>
      </c>
      <c r="C499" s="28" t="s">
        <v>1538</v>
      </c>
      <c r="F499" s="3">
        <v>450101</v>
      </c>
      <c r="G499" s="3">
        <v>7070200000</v>
      </c>
      <c r="H499" s="34" t="e">
        <f ca="1">[2]!a_eb("CDT,{P1},,2017013,,YA,,,","K=Acc_Code,F={P2},O=B",H$1,$F499)</f>
        <v>#NAME?</v>
      </c>
      <c r="I499" s="34" t="e">
        <f ca="1">[2]!a_eb("CDT,{P1},,2017013,,YA,,,","K=Acc_Code,F={P2},O=B",I$1,$F499)</f>
        <v>#NAME?</v>
      </c>
    </row>
    <row r="500" spans="1:9">
      <c r="A500" s="11">
        <v>1140110000</v>
      </c>
      <c r="B500" s="20" t="s">
        <v>1982</v>
      </c>
      <c r="C500" s="28" t="s">
        <v>1538</v>
      </c>
      <c r="F500" s="3">
        <v>450101</v>
      </c>
      <c r="G500" s="3">
        <v>7072100000</v>
      </c>
      <c r="H500" s="34" t="e">
        <f ca="1">[2]!a_eb("CDT,{P1},,2017013,,YA,,,","K=Acc_Code,F={P2},O=B",H$1,$F500)</f>
        <v>#NAME?</v>
      </c>
      <c r="I500" s="34" t="e">
        <f ca="1">[2]!a_eb("CDT,{P1},,2017013,,YA,,,","K=Acc_Code,F={P2},O=B",I$1,$F500)</f>
        <v>#NAME?</v>
      </c>
    </row>
    <row r="501" spans="1:9">
      <c r="A501" s="11">
        <v>1140110000</v>
      </c>
      <c r="B501" s="20" t="s">
        <v>1983</v>
      </c>
      <c r="C501" s="28" t="s">
        <v>1538</v>
      </c>
      <c r="F501" s="3">
        <v>450101</v>
      </c>
      <c r="G501" s="3">
        <v>7072101000</v>
      </c>
      <c r="H501" s="34" t="e">
        <f ca="1">[2]!a_eb("CDT,{P1},,2017013,,YA,,,","K=Acc_Code,F={P2},O=B",H$1,$F501)</f>
        <v>#NAME?</v>
      </c>
      <c r="I501" s="34" t="e">
        <f ca="1">[2]!a_eb("CDT,{P1},,2017013,,YA,,,","K=Acc_Code,F={P2},O=B",I$1,$F501)</f>
        <v>#NAME?</v>
      </c>
    </row>
    <row r="502" spans="1:9">
      <c r="A502" s="11">
        <v>1140110000</v>
      </c>
      <c r="B502" s="20" t="s">
        <v>1984</v>
      </c>
      <c r="C502" s="28" t="s">
        <v>1538</v>
      </c>
      <c r="F502" s="3">
        <v>450102</v>
      </c>
      <c r="G502" s="3">
        <v>7073200000</v>
      </c>
      <c r="H502" s="34" t="e">
        <f ca="1">[2]!a_eb("CDT,{P1},,2017013,,YA,,,","K=Acc_Code,F={P2},O=B",H$1,$F502)</f>
        <v>#NAME?</v>
      </c>
      <c r="I502" s="34" t="e">
        <f ca="1">[2]!a_eb("CDT,{P1},,2017013,,YA,,,","K=Acc_Code,F={P2},O=B",I$1,$F502)</f>
        <v>#NAME?</v>
      </c>
    </row>
    <row r="503" spans="1:9">
      <c r="A503" s="11">
        <v>1140110000</v>
      </c>
      <c r="B503" s="20" t="s">
        <v>1985</v>
      </c>
      <c r="C503" s="28" t="s">
        <v>1538</v>
      </c>
      <c r="F503" s="3">
        <v>450102</v>
      </c>
      <c r="G503" s="3">
        <v>7073210000</v>
      </c>
      <c r="H503" s="34" t="e">
        <f ca="1">[2]!a_eb("CDT,{P1},,2017013,,YA,,,","K=Acc_Code,F={P2},O=B",H$1,$F503)</f>
        <v>#NAME?</v>
      </c>
      <c r="I503" s="34" t="e">
        <f ca="1">[2]!a_eb("CDT,{P1},,2017013,,YA,,,","K=Acc_Code,F={P2},O=B",I$1,$F503)</f>
        <v>#NAME?</v>
      </c>
    </row>
    <row r="504" spans="1:9">
      <c r="A504" s="11">
        <v>1140110000</v>
      </c>
      <c r="B504" s="20" t="s">
        <v>1986</v>
      </c>
      <c r="C504" s="28" t="s">
        <v>1538</v>
      </c>
      <c r="F504" s="3">
        <v>450102</v>
      </c>
      <c r="G504" s="3">
        <v>7073201000</v>
      </c>
      <c r="H504" s="34" t="e">
        <f ca="1">[2]!a_eb("CDT,{P1},,2017013,,YA,,,","K=Acc_Code,F={P2},O=B",H$1,$F504)</f>
        <v>#NAME?</v>
      </c>
      <c r="I504" s="34" t="e">
        <f ca="1">[2]!a_eb("CDT,{P1},,2017013,,YA,,,","K=Acc_Code,F={P2},O=B",I$1,$F504)</f>
        <v>#NAME?</v>
      </c>
    </row>
    <row r="505" spans="1:9">
      <c r="A505" s="11">
        <v>1140110000</v>
      </c>
      <c r="B505" s="20" t="s">
        <v>1987</v>
      </c>
      <c r="C505" s="28" t="s">
        <v>1538</v>
      </c>
      <c r="F505" s="3">
        <v>450103</v>
      </c>
      <c r="G505" s="3">
        <v>7070201000</v>
      </c>
      <c r="H505" s="34" t="e">
        <f ca="1">[2]!a_eb("CDT,{P1},,2017013,,YA,,,","K=Acc_Code,F={P2},O=B",H$1,$F505)</f>
        <v>#NAME?</v>
      </c>
      <c r="I505" s="34" t="e">
        <f ca="1">[2]!a_eb("CDT,{P1},,2017013,,YA,,,","K=Acc_Code,F={P2},O=B",I$1,$F505)</f>
        <v>#NAME?</v>
      </c>
    </row>
    <row r="506" spans="1:9">
      <c r="A506" s="11">
        <v>1140110000</v>
      </c>
      <c r="B506" s="20" t="s">
        <v>1988</v>
      </c>
      <c r="C506" s="28" t="s">
        <v>1538</v>
      </c>
      <c r="F506" s="3">
        <v>450106</v>
      </c>
      <c r="G506" s="3">
        <v>7202001040</v>
      </c>
      <c r="H506" s="34" t="e">
        <f ca="1">[2]!a_eb("CDT,{P1},,2017013,,YA,,,","K=Acc_Code,F={P2},O=B",H$1,$F506)</f>
        <v>#NAME?</v>
      </c>
      <c r="I506" s="34" t="e">
        <f ca="1">[2]!a_eb("CDT,{P1},,2017013,,YA,,,","K=Acc_Code,F={P2},O=B",I$1,$F506)</f>
        <v>#NAME?</v>
      </c>
    </row>
    <row r="507" spans="1:9">
      <c r="A507" s="11">
        <v>1140110000</v>
      </c>
      <c r="B507" s="20" t="s">
        <v>1989</v>
      </c>
      <c r="C507" s="28" t="s">
        <v>1538</v>
      </c>
      <c r="F507" s="3">
        <v>450107</v>
      </c>
      <c r="G507" s="3">
        <v>7053001000</v>
      </c>
      <c r="H507" s="34" t="e">
        <f ca="1">[2]!a_eb("CDT,{P1},,2017013,,YA,,,","K=Acc_Code,F={P2},O=B",H$1,$F507)</f>
        <v>#NAME?</v>
      </c>
      <c r="I507" s="34" t="e">
        <f ca="1">[2]!a_eb("CDT,{P1},,2017013,,YA,,,","K=Acc_Code,F={P2},O=B",I$1,$F507)</f>
        <v>#NAME?</v>
      </c>
    </row>
    <row r="508" spans="1:9">
      <c r="A508" s="11">
        <v>1140110000</v>
      </c>
      <c r="B508" s="20" t="s">
        <v>1990</v>
      </c>
      <c r="C508" s="28" t="s">
        <v>1538</v>
      </c>
      <c r="F508" s="3">
        <v>450203</v>
      </c>
      <c r="G508" s="3">
        <v>5930000000</v>
      </c>
      <c r="H508" s="34" t="e">
        <f ca="1">[2]!a_eb("CDT,{P1},,2017013,,YA,,,","K=Acc_Code,F={P2},O=B",H$1,$F508)</f>
        <v>#NAME?</v>
      </c>
      <c r="I508" s="34" t="e">
        <f ca="1">[2]!a_eb("CDT,{P1},,2017013,,YA,,,","K=Acc_Code,F={P2},O=B",I$1,$F508)</f>
        <v>#NAME?</v>
      </c>
    </row>
    <row r="509" spans="1:9">
      <c r="A509" s="11">
        <v>1140110000</v>
      </c>
      <c r="B509" s="20" t="s">
        <v>1991</v>
      </c>
      <c r="C509" s="28" t="s">
        <v>1538</v>
      </c>
      <c r="F509" s="3">
        <v>450204</v>
      </c>
      <c r="G509" s="3">
        <v>5930000001</v>
      </c>
      <c r="H509" s="34" t="e">
        <f ca="1">[2]!a_eb("CDT,{P1},,2017013,,YA,,,","K=Acc_Code,F={P2},O=B",H$1,$F509)</f>
        <v>#NAME?</v>
      </c>
      <c r="I509" s="34" t="e">
        <f ca="1">[2]!a_eb("CDT,{P1},,2017013,,YA,,,","K=Acc_Code,F={P2},O=B",I$1,$F509)</f>
        <v>#NAME?</v>
      </c>
    </row>
    <row r="510" spans="1:9">
      <c r="A510" s="11">
        <v>1140110000</v>
      </c>
      <c r="B510" s="20" t="s">
        <v>1992</v>
      </c>
      <c r="C510" s="28" t="s">
        <v>1538</v>
      </c>
      <c r="F510" s="3">
        <v>450205</v>
      </c>
      <c r="G510" s="3">
        <v>5930000002</v>
      </c>
      <c r="H510" s="34" t="e">
        <f ca="1">[2]!a_eb("CDT,{P1},,2017013,,YA,,,","K=Acc_Code,F={P2},O=B",H$1,$F510)</f>
        <v>#NAME?</v>
      </c>
      <c r="I510" s="34" t="e">
        <f ca="1">[2]!a_eb("CDT,{P1},,2017013,,YA,,,","K=Acc_Code,F={P2},O=B",I$1,$F510)</f>
        <v>#NAME?</v>
      </c>
    </row>
    <row r="511" spans="1:9">
      <c r="A511" s="11">
        <v>1140110000</v>
      </c>
      <c r="B511" s="20" t="s">
        <v>1993</v>
      </c>
      <c r="C511" s="28" t="s">
        <v>1538</v>
      </c>
      <c r="F511" s="3">
        <v>450501</v>
      </c>
      <c r="G511" s="3">
        <v>5045000000</v>
      </c>
      <c r="H511" s="34" t="e">
        <f ca="1">[2]!a_eb("CDT,{P1},,2017013,,YA,,,","K=Acc_Code,F={P2},O=B",H$1,$F511)</f>
        <v>#NAME?</v>
      </c>
      <c r="I511" s="34" t="e">
        <f ca="1">[2]!a_eb("CDT,{P1},,2017013,,YA,,,","K=Acc_Code,F={P2},O=B",I$1,$F511)</f>
        <v>#NAME?</v>
      </c>
    </row>
    <row r="512" spans="1:9">
      <c r="A512" s="11">
        <v>1140110000</v>
      </c>
      <c r="B512" s="20" t="s">
        <v>1994</v>
      </c>
      <c r="C512" s="28" t="s">
        <v>1538</v>
      </c>
      <c r="F512" s="3">
        <v>450502</v>
      </c>
      <c r="G512" s="3">
        <v>5044000000</v>
      </c>
      <c r="H512" s="34" t="e">
        <f ca="1">[2]!a_eb("CDT,{P1},,2017013,,YA,,,","K=Acc_Code,F={P2},O=B",H$1,$F512)</f>
        <v>#NAME?</v>
      </c>
      <c r="I512" s="34" t="e">
        <f ca="1">[2]!a_eb("CDT,{P1},,2017013,,YA,,,","K=Acc_Code,F={P2},O=B",I$1,$F512)</f>
        <v>#NAME?</v>
      </c>
    </row>
    <row r="513" spans="1:9">
      <c r="A513" s="11">
        <v>1140110000</v>
      </c>
      <c r="B513" s="20" t="s">
        <v>1995</v>
      </c>
      <c r="C513" s="28" t="s">
        <v>1538</v>
      </c>
      <c r="F513" s="3">
        <v>450503</v>
      </c>
      <c r="G513" s="3">
        <v>5042000000</v>
      </c>
      <c r="H513" s="34" t="e">
        <f ca="1">[2]!a_eb("CDT,{P1},,2017013,,YA,,,","K=Acc_Code,F={P2},O=B",H$1,$F513)</f>
        <v>#NAME?</v>
      </c>
      <c r="I513" s="34" t="e">
        <f ca="1">[2]!a_eb("CDT,{P1},,2017013,,YA,,,","K=Acc_Code,F={P2},O=B",I$1,$F513)</f>
        <v>#NAME?</v>
      </c>
    </row>
    <row r="514" spans="1:9">
      <c r="A514" s="11">
        <v>1140110000</v>
      </c>
      <c r="B514" s="20" t="s">
        <v>1996</v>
      </c>
      <c r="C514" s="28" t="s">
        <v>1538</v>
      </c>
      <c r="F514" s="3">
        <v>450504</v>
      </c>
      <c r="G514" s="3">
        <v>5042000030</v>
      </c>
      <c r="H514" s="34" t="e">
        <f ca="1">[2]!a_eb("CDT,{P1},,2017013,,YA,,,","K=Acc_Code,F={P2},O=B",H$1,$F514)</f>
        <v>#NAME?</v>
      </c>
      <c r="I514" s="34" t="e">
        <f ca="1">[2]!a_eb("CDT,{P1},,2017013,,YA,,,","K=Acc_Code,F={P2},O=B",I$1,$F514)</f>
        <v>#NAME?</v>
      </c>
    </row>
    <row r="515" spans="1:9">
      <c r="A515" s="11">
        <v>1140110000</v>
      </c>
      <c r="B515" s="20" t="s">
        <v>1997</v>
      </c>
      <c r="C515" s="28" t="s">
        <v>1538</v>
      </c>
      <c r="F515" s="3">
        <v>450505</v>
      </c>
      <c r="G515" s="3">
        <v>5920000000</v>
      </c>
      <c r="H515" s="34" t="e">
        <f ca="1">[2]!a_eb("CDT,{P1},,2017013,,YA,,,","K=Acc_Code,F={P2},O=B",H$1,$F515)</f>
        <v>#NAME?</v>
      </c>
      <c r="I515" s="34" t="e">
        <f ca="1">[2]!a_eb("CDT,{P1},,2017013,,YA,,,","K=Acc_Code,F={P2},O=B",I$1,$F515)</f>
        <v>#NAME?</v>
      </c>
    </row>
    <row r="516" spans="1:9">
      <c r="A516" s="11">
        <v>1140110000</v>
      </c>
      <c r="B516" s="20" t="s">
        <v>1998</v>
      </c>
      <c r="C516" s="28" t="s">
        <v>1538</v>
      </c>
      <c r="F516" s="3">
        <v>450505</v>
      </c>
      <c r="G516" s="3">
        <v>5040000000</v>
      </c>
      <c r="H516" s="34" t="e">
        <f ca="1">[2]!a_eb("CDT,{P1},,2017013,,YA,,,","K=Acc_Code,F={P2},O=B",H$1,$F516)</f>
        <v>#NAME?</v>
      </c>
      <c r="I516" s="34" t="e">
        <f ca="1">[2]!a_eb("CDT,{P1},,2017013,,YA,,,","K=Acc_Code,F={P2},O=B",I$1,$F516)</f>
        <v>#NAME?</v>
      </c>
    </row>
    <row r="517" spans="1:9">
      <c r="A517" s="11">
        <v>1140110000</v>
      </c>
      <c r="B517" s="20" t="s">
        <v>1999</v>
      </c>
      <c r="C517" s="28" t="s">
        <v>1538</v>
      </c>
      <c r="F517" s="3">
        <v>450506</v>
      </c>
      <c r="G517" s="3">
        <v>5048000000</v>
      </c>
      <c r="H517" s="34" t="e">
        <f ca="1">[2]!a_eb("CDT,{P1},,2017013,,YA,,,","K=Acc_Code,F={P2},O=B",H$1,$F517)</f>
        <v>#NAME?</v>
      </c>
      <c r="I517" s="34" t="e">
        <f ca="1">[2]!a_eb("CDT,{P1},,2017013,,YA,,,","K=Acc_Code,F={P2},O=B",I$1,$F517)</f>
        <v>#NAME?</v>
      </c>
    </row>
    <row r="518" spans="1:9">
      <c r="A518" s="11">
        <v>1140110000</v>
      </c>
      <c r="B518" s="20" t="s">
        <v>2000</v>
      </c>
      <c r="C518" s="28" t="s">
        <v>1538</v>
      </c>
      <c r="F518" s="3">
        <v>450506</v>
      </c>
      <c r="G518" s="3">
        <v>5048100000</v>
      </c>
      <c r="H518" s="34" t="e">
        <f ca="1">[2]!a_eb("CDT,{P1},,2017013,,YA,,,","K=Acc_Code,F={P2},O=B",H$1,$F518)</f>
        <v>#NAME?</v>
      </c>
      <c r="I518" s="34" t="e">
        <f ca="1">[2]!a_eb("CDT,{P1},,2017013,,YA,,,","K=Acc_Code,F={P2},O=B",I$1,$F518)</f>
        <v>#NAME?</v>
      </c>
    </row>
    <row r="519" spans="1:9">
      <c r="A519" s="11">
        <v>1140110000</v>
      </c>
      <c r="B519" s="20" t="s">
        <v>2001</v>
      </c>
      <c r="C519" s="28" t="s">
        <v>1538</v>
      </c>
      <c r="F519" s="3">
        <v>450506</v>
      </c>
      <c r="G519" s="3">
        <v>5048200000</v>
      </c>
      <c r="H519" s="34" t="e">
        <f ca="1">[2]!a_eb("CDT,{P1},,2017013,,YA,,,","K=Acc_Code,F={P2},O=B",H$1,$F519)</f>
        <v>#NAME?</v>
      </c>
      <c r="I519" s="34" t="e">
        <f ca="1">[2]!a_eb("CDT,{P1},,2017013,,YA,,,","K=Acc_Code,F={P2},O=B",I$1,$F519)</f>
        <v>#NAME?</v>
      </c>
    </row>
    <row r="520" spans="1:9">
      <c r="A520" s="11">
        <v>1140110000</v>
      </c>
      <c r="B520" s="20" t="s">
        <v>2002</v>
      </c>
      <c r="C520" s="28" t="s">
        <v>1538</v>
      </c>
      <c r="F520" s="3">
        <v>450510</v>
      </c>
      <c r="G520" s="3">
        <v>5920000040</v>
      </c>
      <c r="H520" s="34" t="e">
        <f ca="1">[2]!a_eb("CDT,{P1},,2017013,,YA,,,","K=Acc_Code,F={P2},O=B",H$1,$F520)</f>
        <v>#NAME?</v>
      </c>
      <c r="I520" s="34" t="e">
        <f ca="1">[2]!a_eb("CDT,{P1},,2017013,,YA,,,","K=Acc_Code,F={P2},O=B",I$1,$F520)</f>
        <v>#NAME?</v>
      </c>
    </row>
    <row r="521" spans="1:9">
      <c r="A521" s="11">
        <v>1140110000</v>
      </c>
      <c r="B521" s="20" t="s">
        <v>2003</v>
      </c>
      <c r="C521" s="28" t="s">
        <v>1538</v>
      </c>
      <c r="F521" s="3">
        <v>450513</v>
      </c>
      <c r="G521" s="3">
        <v>5910000000</v>
      </c>
      <c r="H521" s="34" t="e">
        <f ca="1">[2]!a_eb("CDT,{P1},,2017013,,YA,,,","K=Acc_Code,F={P2},O=B",H$1,$F521)</f>
        <v>#NAME?</v>
      </c>
      <c r="I521" s="34" t="e">
        <f ca="1">[2]!a_eb("CDT,{P1},,2017013,,YA,,,","K=Acc_Code,F={P2},O=B",I$1,$F521)</f>
        <v>#NAME?</v>
      </c>
    </row>
    <row r="522" spans="1:9">
      <c r="A522" s="11">
        <v>1140110000</v>
      </c>
      <c r="B522" s="20" t="s">
        <v>2004</v>
      </c>
      <c r="C522" s="28" t="s">
        <v>1538</v>
      </c>
      <c r="F522" s="3">
        <v>450514</v>
      </c>
      <c r="G522" s="3">
        <v>7202000000</v>
      </c>
      <c r="H522" s="34" t="e">
        <f ca="1">[2]!a_eb("CDT,{P1},,2017013,,YA,,,","K=Acc_Code,F={P2},O=B",H$1,$F522)</f>
        <v>#NAME?</v>
      </c>
      <c r="I522" s="34" t="e">
        <f ca="1">[2]!a_eb("CDT,{P1},,2017013,,YA,,,","K=Acc_Code,F={P2},O=B",I$1,$F522)</f>
        <v>#NAME?</v>
      </c>
    </row>
    <row r="523" spans="1:9">
      <c r="A523" s="11">
        <v>1140110000</v>
      </c>
      <c r="B523" s="20" t="s">
        <v>2005</v>
      </c>
      <c r="C523" s="28" t="s">
        <v>1538</v>
      </c>
      <c r="F523" s="3">
        <v>450001</v>
      </c>
      <c r="G523" s="3">
        <v>8700004010</v>
      </c>
      <c r="H523" s="34" t="e">
        <f ca="1">[2]!a_eb("CDT,{P1},,2017013,,YA,,,","K=Acc_Code,F={P2},O=B",H$1,$F523)</f>
        <v>#NAME?</v>
      </c>
      <c r="I523" s="34" t="e">
        <f ca="1">[2]!a_eb("CDT,{P1},,2017013,,YA,,,","K=Acc_Code,F={P2},O=B",I$1,$F523)</f>
        <v>#NAME?</v>
      </c>
    </row>
    <row r="524" spans="1:9">
      <c r="A524" s="11">
        <v>1140110000</v>
      </c>
      <c r="B524" s="20" t="s">
        <v>2006</v>
      </c>
      <c r="C524" s="28" t="s">
        <v>1538</v>
      </c>
      <c r="F524" s="3">
        <v>459901</v>
      </c>
      <c r="G524" s="3" t="s">
        <v>9</v>
      </c>
      <c r="H524" s="34" t="e">
        <f ca="1">[2]!a_eb("CDT,{P1},,2017013,,YA,,,","K=Acc_Code,F={P2},O=B",H$1,$F524)</f>
        <v>#NAME?</v>
      </c>
      <c r="I524" s="34" t="e">
        <f ca="1">[2]!a_eb("CDT,{P1},,2017013,,YA,,,","K=Acc_Code,F={P2},O=B",I$1,$F524)</f>
        <v>#NAME?</v>
      </c>
    </row>
    <row r="525" spans="1:9">
      <c r="A525" s="11">
        <v>1140110000</v>
      </c>
      <c r="B525" s="20" t="s">
        <v>2007</v>
      </c>
      <c r="C525" s="28" t="s">
        <v>1538</v>
      </c>
      <c r="F525" s="3">
        <v>460101</v>
      </c>
      <c r="G525" s="3">
        <v>7596000000</v>
      </c>
      <c r="H525" s="34" t="e">
        <f ca="1">[2]!a_eb("CDT,{P1},,2017013,,YA,,,","K=Acc_Code,F={P2},O=B",H$1,$F525)</f>
        <v>#NAME?</v>
      </c>
      <c r="I525" s="34" t="e">
        <f ca="1">[2]!a_eb("CDT,{P1},,2017013,,YA,,,","K=Acc_Code,F={P2},O=B",I$1,$F525)</f>
        <v>#NAME?</v>
      </c>
    </row>
    <row r="526" spans="1:9">
      <c r="A526" s="11">
        <v>1140110000</v>
      </c>
      <c r="B526" s="20" t="s">
        <v>2008</v>
      </c>
      <c r="C526" s="28" t="s">
        <v>1538</v>
      </c>
      <c r="F526" s="3">
        <v>460001</v>
      </c>
      <c r="G526" s="3">
        <v>8470901010</v>
      </c>
      <c r="H526" s="34" t="e">
        <f ca="1">[2]!a_eb("CDT,{P1},,2017013,,YA,,,","K=Acc_Code,F={P2},O=B",H$1,$F526)</f>
        <v>#NAME?</v>
      </c>
      <c r="I526" s="34" t="e">
        <f ca="1">[2]!a_eb("CDT,{P1},,2017013,,YA,,,","K=Acc_Code,F={P2},O=B",I$1,$F526)</f>
        <v>#NAME?</v>
      </c>
    </row>
    <row r="527" spans="1:9">
      <c r="A527" s="11">
        <v>1140110000</v>
      </c>
      <c r="B527" s="20" t="s">
        <v>2009</v>
      </c>
      <c r="C527" s="28" t="s">
        <v>1538</v>
      </c>
      <c r="F527" s="3">
        <v>460003</v>
      </c>
      <c r="G527" s="3">
        <v>6010000051</v>
      </c>
      <c r="H527" s="34" t="e">
        <f ca="1">[2]!a_eb("CDT,{P1},,2017013,,YA,,,","K=Acc_Code,F={P2},O=B",H$1,$F527)</f>
        <v>#NAME?</v>
      </c>
      <c r="I527" s="34" t="e">
        <f ca="1">[2]!a_eb("CDT,{P1},,2017013,,YA,,,","K=Acc_Code,F={P2},O=B",I$1,$F527)</f>
        <v>#NAME?</v>
      </c>
    </row>
    <row r="528" spans="1:9">
      <c r="A528" s="11">
        <v>1140110000</v>
      </c>
      <c r="B528" s="20" t="s">
        <v>2010</v>
      </c>
      <c r="C528" s="28" t="s">
        <v>1538</v>
      </c>
      <c r="F528" s="3">
        <v>46000301</v>
      </c>
      <c r="G528" s="3">
        <v>6050100050</v>
      </c>
      <c r="H528" s="34" t="e">
        <f ca="1">[2]!a_eb("CDT,{P1},,2017013,,YA,,,","K=Acc_Code,F={P2},O=B",H$1,$F528)</f>
        <v>#NAME?</v>
      </c>
      <c r="I528" s="34" t="e">
        <f ca="1">[2]!a_eb("CDT,{P1},,2017013,,YA,,,","K=Acc_Code,F={P2},O=B",I$1,$F528)</f>
        <v>#NAME?</v>
      </c>
    </row>
    <row r="529" spans="1:9">
      <c r="A529" s="11">
        <v>1140110000</v>
      </c>
      <c r="B529" s="20" t="s">
        <v>2011</v>
      </c>
      <c r="C529" s="28" t="s">
        <v>1538</v>
      </c>
      <c r="F529" s="3">
        <v>46000302</v>
      </c>
      <c r="G529" s="3">
        <v>6010000040</v>
      </c>
      <c r="H529" s="34" t="e">
        <f ca="1">[2]!a_eb("CDT,{P1},,2017013,,YA,,,","K=Acc_Code,F={P2},O=B",H$1,$F529)</f>
        <v>#NAME?</v>
      </c>
      <c r="I529" s="34" t="e">
        <f ca="1">[2]!a_eb("CDT,{P1},,2017013,,YA,,,","K=Acc_Code,F={P2},O=B",I$1,$F529)</f>
        <v>#NAME?</v>
      </c>
    </row>
    <row r="530" spans="1:9">
      <c r="A530" s="11">
        <v>1140110000</v>
      </c>
      <c r="B530" s="20" t="s">
        <v>2012</v>
      </c>
      <c r="C530" s="28" t="s">
        <v>1538</v>
      </c>
      <c r="F530" s="3">
        <v>46000303</v>
      </c>
      <c r="G530" s="3">
        <v>6050000040</v>
      </c>
      <c r="H530" s="34" t="e">
        <f ca="1">[2]!a_eb("CDT,{P1},,2017013,,YA,,,","K=Acc_Code,F={P2},O=B",H$1,$F530)</f>
        <v>#NAME?</v>
      </c>
      <c r="I530" s="34" t="e">
        <f ca="1">[2]!a_eb("CDT,{P1},,2017013,,YA,,,","K=Acc_Code,F={P2},O=B",I$1,$F530)</f>
        <v>#NAME?</v>
      </c>
    </row>
    <row r="531" spans="1:9">
      <c r="A531" s="11">
        <v>1140110000</v>
      </c>
      <c r="B531" s="20" t="s">
        <v>2013</v>
      </c>
      <c r="C531" s="28" t="s">
        <v>1538</v>
      </c>
      <c r="F531" s="3">
        <v>46000304</v>
      </c>
      <c r="G531" s="3">
        <v>6050100051</v>
      </c>
      <c r="H531" s="34" t="e">
        <f ca="1">[2]!a_eb("CDT,{P1},,2017013,,YA,,,","K=Acc_Code,F={P2},O=B",H$1,$F531)</f>
        <v>#NAME?</v>
      </c>
      <c r="I531" s="34" t="e">
        <f ca="1">[2]!a_eb("CDT,{P1},,2017013,,YA,,,","K=Acc_Code,F={P2},O=B",I$1,$F531)</f>
        <v>#NAME?</v>
      </c>
    </row>
    <row r="532" spans="1:9">
      <c r="A532" s="11">
        <v>1140110000</v>
      </c>
      <c r="B532" s="20" t="s">
        <v>2014</v>
      </c>
      <c r="C532" s="28" t="s">
        <v>1538</v>
      </c>
      <c r="F532" s="3">
        <v>46000305</v>
      </c>
      <c r="G532" s="3">
        <v>6050200031</v>
      </c>
      <c r="H532" s="34" t="e">
        <f ca="1">[2]!a_eb("CDT,{P1},,2017013,,YA,,,","K=Acc_Code,F={P2},O=B",H$1,$F532)</f>
        <v>#NAME?</v>
      </c>
      <c r="I532" s="34" t="e">
        <f ca="1">[2]!a_eb("CDT,{P1},,2017013,,YA,,,","K=Acc_Code,F={P2},O=B",I$1,$F532)</f>
        <v>#NAME?</v>
      </c>
    </row>
    <row r="533" spans="1:9">
      <c r="A533" s="11">
        <v>1140110000</v>
      </c>
      <c r="B533" s="20" t="s">
        <v>2015</v>
      </c>
      <c r="C533" s="28" t="s">
        <v>1538</v>
      </c>
      <c r="F533" s="3">
        <v>46000306</v>
      </c>
      <c r="G533" s="3">
        <v>6050000010</v>
      </c>
      <c r="H533" s="34" t="e">
        <f ca="1">[2]!a_eb("CDT,{P1},,2017013,,YA,,,","K=Acc_Code,F={P2},O=B",H$1,$F533)</f>
        <v>#NAME?</v>
      </c>
      <c r="I533" s="34" t="e">
        <f ca="1">[2]!a_eb("CDT,{P1},,2017013,,YA,,,","K=Acc_Code,F={P2},O=B",I$1,$F533)</f>
        <v>#NAME?</v>
      </c>
    </row>
    <row r="534" spans="1:9">
      <c r="A534" s="11">
        <v>1140110000</v>
      </c>
      <c r="B534" s="20" t="s">
        <v>2016</v>
      </c>
      <c r="C534" s="28" t="s">
        <v>1538</v>
      </c>
      <c r="F534" s="3">
        <v>46000307</v>
      </c>
      <c r="G534" s="3">
        <v>6600100730</v>
      </c>
      <c r="H534" s="34" t="e">
        <f ca="1">[2]!a_eb("CDT,{P1},,2017013,,YA,,,","K=Acc_Code,F={P2},O=B",H$1,$F534)</f>
        <v>#NAME?</v>
      </c>
      <c r="I534" s="34" t="e">
        <f ca="1">[2]!a_eb("CDT,{P1},,2017013,,YA,,,","K=Acc_Code,F={P2},O=B",I$1,$F534)</f>
        <v>#NAME?</v>
      </c>
    </row>
    <row r="535" spans="1:9">
      <c r="A535" s="11">
        <v>1140110000</v>
      </c>
      <c r="B535" s="20" t="s">
        <v>2017</v>
      </c>
      <c r="C535" s="28" t="s">
        <v>1538</v>
      </c>
      <c r="F535" s="3">
        <v>46000308</v>
      </c>
      <c r="G535" s="3">
        <v>6010000050</v>
      </c>
      <c r="H535" s="34" t="e">
        <f ca="1">[2]!a_eb("CDT,{P1},,2017013,,YA,,,","K=Acc_Code,F={P2},O=B",H$1,$F535)</f>
        <v>#NAME?</v>
      </c>
      <c r="I535" s="34" t="e">
        <f ca="1">[2]!a_eb("CDT,{P1},,2017013,,YA,,,","K=Acc_Code,F={P2},O=B",I$1,$F535)</f>
        <v>#NAME?</v>
      </c>
    </row>
    <row r="536" spans="1:9">
      <c r="A536" s="11">
        <v>1140110000</v>
      </c>
      <c r="B536" s="20" t="s">
        <v>2018</v>
      </c>
      <c r="C536" s="28" t="s">
        <v>1538</v>
      </c>
      <c r="F536" s="3">
        <v>510101</v>
      </c>
      <c r="G536" s="3">
        <v>6050100010</v>
      </c>
      <c r="H536" s="34" t="e">
        <f ca="1">[2]!a_eb("CDT,{P1},,2017013,,YA,,,","K=Acc_Code,F={P2},O=B",H$1,$F536)</f>
        <v>#NAME?</v>
      </c>
      <c r="I536" s="34" t="e">
        <f ca="1">[2]!a_eb("CDT,{P1},,2017013,,YA,,,","K=Acc_Code,F={P2},O=B",I$1,$F536)</f>
        <v>#NAME?</v>
      </c>
    </row>
    <row r="537" spans="1:9">
      <c r="A537" s="11">
        <v>1140110000</v>
      </c>
      <c r="B537" s="20" t="s">
        <v>2019</v>
      </c>
      <c r="C537" s="28" t="s">
        <v>1538</v>
      </c>
      <c r="F537" s="3">
        <v>510102</v>
      </c>
      <c r="G537" s="3">
        <v>6050100000</v>
      </c>
      <c r="H537" s="34" t="e">
        <f ca="1">[2]!a_eb("CDT,{P1},,2017013,,YA,,,","K=Acc_Code,F={P2},O=B",H$1,$F537)</f>
        <v>#NAME?</v>
      </c>
      <c r="I537" s="34" t="e">
        <f ca="1">[2]!a_eb("CDT,{P1},,2017013,,YA,,,","K=Acc_Code,F={P2},O=B",I$1,$F537)</f>
        <v>#NAME?</v>
      </c>
    </row>
    <row r="538" spans="1:9">
      <c r="A538" s="11">
        <v>1140110000</v>
      </c>
      <c r="B538" s="20" t="s">
        <v>2020</v>
      </c>
      <c r="C538" s="28" t="s">
        <v>1538</v>
      </c>
      <c r="F538" s="3">
        <v>510104</v>
      </c>
      <c r="G538" s="3">
        <v>6050100040</v>
      </c>
      <c r="H538" s="34" t="e">
        <f ca="1">[2]!a_eb("CDT,{P1},,2017013,,YA,,,","K=Acc_Code,F={P2},O=B",H$1,$F538)</f>
        <v>#NAME?</v>
      </c>
      <c r="I538" s="34" t="e">
        <f ca="1">[2]!a_eb("CDT,{P1},,2017013,,YA,,,","K=Acc_Code,F={P2},O=B",I$1,$F538)</f>
        <v>#NAME?</v>
      </c>
    </row>
    <row r="539" spans="1:9">
      <c r="A539" s="11">
        <v>1140110000</v>
      </c>
      <c r="B539" s="20" t="s">
        <v>2021</v>
      </c>
      <c r="C539" s="28" t="s">
        <v>1538</v>
      </c>
      <c r="F539" s="3">
        <v>510201</v>
      </c>
      <c r="G539" s="3">
        <v>6010000000</v>
      </c>
      <c r="H539" s="34" t="e">
        <f ca="1">[2]!a_eb("CDT,{P1},,2017013,,YA,,,","K=Acc_Code,F={P2},O=B",H$1,$F539)</f>
        <v>#NAME?</v>
      </c>
      <c r="I539" s="34" t="e">
        <f ca="1">[2]!a_eb("CDT,{P1},,2017013,,YA,,,","K=Acc_Code,F={P2},O=B",I$1,$F539)</f>
        <v>#NAME?</v>
      </c>
    </row>
    <row r="540" spans="1:9">
      <c r="A540" s="11">
        <v>1140110000</v>
      </c>
      <c r="B540" s="20" t="s">
        <v>2022</v>
      </c>
      <c r="C540" s="28" t="s">
        <v>1538</v>
      </c>
      <c r="F540" s="3">
        <v>510202</v>
      </c>
      <c r="G540" s="3">
        <v>6050000000</v>
      </c>
      <c r="H540" s="34" t="e">
        <f ca="1">[2]!a_eb("CDT,{P1},,2017013,,YA,,,","K=Acc_Code,F={P2},O=B",H$1,$F540)</f>
        <v>#NAME?</v>
      </c>
      <c r="I540" s="34" t="e">
        <f ca="1">[2]!a_eb("CDT,{P1},,2017013,,YA,,,","K=Acc_Code,F={P2},O=B",I$1,$F540)</f>
        <v>#NAME?</v>
      </c>
    </row>
    <row r="541" spans="1:9">
      <c r="A541" s="11">
        <v>1140110000</v>
      </c>
      <c r="B541" s="20" t="s">
        <v>2023</v>
      </c>
      <c r="C541" s="28" t="s">
        <v>1538</v>
      </c>
      <c r="F541" s="3">
        <v>510203</v>
      </c>
      <c r="G541" s="3">
        <v>6050000020</v>
      </c>
      <c r="H541" s="34" t="e">
        <f ca="1">[2]!a_eb("CDT,{P1},,2017013,,YA,,,","K=Acc_Code,F={P2},O=B",H$1,$F541)</f>
        <v>#NAME?</v>
      </c>
      <c r="I541" s="34" t="e">
        <f ca="1">[2]!a_eb("CDT,{P1},,2017013,,YA,,,","K=Acc_Code,F={P2},O=B",I$1,$F541)</f>
        <v>#NAME?</v>
      </c>
    </row>
    <row r="542" spans="1:9">
      <c r="A542" s="11">
        <v>1140110000</v>
      </c>
      <c r="B542" s="20" t="s">
        <v>2024</v>
      </c>
      <c r="C542" s="28" t="s">
        <v>1538</v>
      </c>
      <c r="F542" s="3">
        <v>510203</v>
      </c>
      <c r="G542" s="3">
        <v>6050300000</v>
      </c>
      <c r="H542" s="34" t="e">
        <f ca="1">[2]!a_eb("CDT,{P1},,2017013,,YA,,,","K=Acc_Code,F={P2},O=B",H$1,$F542)</f>
        <v>#NAME?</v>
      </c>
      <c r="I542" s="34" t="e">
        <f ca="1">[2]!a_eb("CDT,{P1},,2017013,,YA,,,","K=Acc_Code,F={P2},O=B",I$1,$F542)</f>
        <v>#NAME?</v>
      </c>
    </row>
    <row r="543" spans="1:9">
      <c r="A543" s="11">
        <v>1140110000</v>
      </c>
      <c r="B543" s="20" t="s">
        <v>2025</v>
      </c>
      <c r="C543" s="28" t="s">
        <v>1538</v>
      </c>
      <c r="F543" s="3">
        <v>510204</v>
      </c>
      <c r="G543" s="3">
        <v>6010000005</v>
      </c>
      <c r="H543" s="34" t="e">
        <f ca="1">[2]!a_eb("CDT,{P1},,2017013,,YA,,,","K=Acc_Code,F={P2},O=B",H$1,$F543)</f>
        <v>#NAME?</v>
      </c>
      <c r="I543" s="34" t="e">
        <f ca="1">[2]!a_eb("CDT,{P1},,2017013,,YA,,,","K=Acc_Code,F={P2},O=B",I$1,$F543)</f>
        <v>#NAME?</v>
      </c>
    </row>
    <row r="544" spans="1:9">
      <c r="A544" s="11">
        <v>1140110000</v>
      </c>
      <c r="B544" s="20" t="s">
        <v>2026</v>
      </c>
      <c r="C544" s="28" t="s">
        <v>1538</v>
      </c>
      <c r="F544" s="3">
        <v>510205</v>
      </c>
      <c r="G544" s="3">
        <v>6010000011</v>
      </c>
      <c r="H544" s="34" t="e">
        <f ca="1">[2]!a_eb("CDT,{P1},,2017013,,YA,,,","K=Acc_Code,F={P2},O=B",H$1,$F544)</f>
        <v>#NAME?</v>
      </c>
      <c r="I544" s="34" t="e">
        <f ca="1">[2]!a_eb("CDT,{P1},,2017013,,YA,,,","K=Acc_Code,F={P2},O=B",I$1,$F544)</f>
        <v>#NAME?</v>
      </c>
    </row>
    <row r="545" spans="1:9">
      <c r="A545" s="11">
        <v>1140110000</v>
      </c>
      <c r="B545" s="20" t="s">
        <v>2027</v>
      </c>
      <c r="C545" s="28" t="s">
        <v>1538</v>
      </c>
      <c r="F545" s="3">
        <v>510206</v>
      </c>
      <c r="G545" s="3">
        <v>6012000000</v>
      </c>
      <c r="H545" s="34" t="e">
        <f ca="1">[2]!a_eb("CDT,{P1},,2017013,,YA,,,","K=Acc_Code,F={P2},O=B",H$1,$F545)</f>
        <v>#NAME?</v>
      </c>
      <c r="I545" s="34" t="e">
        <f ca="1">[2]!a_eb("CDT,{P1},,2017013,,YA,,,","K=Acc_Code,F={P2},O=B",I$1,$F545)</f>
        <v>#NAME?</v>
      </c>
    </row>
    <row r="546" spans="1:9">
      <c r="A546" s="11">
        <v>1140110000</v>
      </c>
      <c r="B546" s="20" t="s">
        <v>2028</v>
      </c>
      <c r="C546" s="28" t="s">
        <v>1538</v>
      </c>
      <c r="F546" s="3">
        <v>510207</v>
      </c>
      <c r="G546" s="3">
        <v>6012000100</v>
      </c>
      <c r="H546" s="34" t="e">
        <f ca="1">[2]!a_eb("CDT,{P1},,2017013,,YA,,,","K=Acc_Code,F={P2},O=B",H$1,$F546)</f>
        <v>#NAME?</v>
      </c>
      <c r="I546" s="34" t="e">
        <f ca="1">[2]!a_eb("CDT,{P1},,2017013,,YA,,,","K=Acc_Code,F={P2},O=B",I$1,$F546)</f>
        <v>#NAME?</v>
      </c>
    </row>
    <row r="547" spans="1:9">
      <c r="A547" s="11">
        <v>1140110000</v>
      </c>
      <c r="B547" s="20" t="s">
        <v>2029</v>
      </c>
      <c r="C547" s="28" t="s">
        <v>1538</v>
      </c>
      <c r="F547" s="3">
        <v>510210</v>
      </c>
      <c r="G547" s="3">
        <v>6000000030</v>
      </c>
      <c r="H547" s="34" t="e">
        <f ca="1">[2]!a_eb("CDT,{P1},,2017013,,YA,,,","K=Acc_Code,F={P2},O=B",H$1,$F547)</f>
        <v>#NAME?</v>
      </c>
      <c r="I547" s="34" t="e">
        <f ca="1">[2]!a_eb("CDT,{P1},,2017013,,YA,,,","K=Acc_Code,F={P2},O=B",I$1,$F547)</f>
        <v>#NAME?</v>
      </c>
    </row>
    <row r="548" spans="1:9">
      <c r="A548" s="11">
        <v>1140110000</v>
      </c>
      <c r="B548" s="20" t="s">
        <v>2030</v>
      </c>
      <c r="C548" s="28" t="s">
        <v>1538</v>
      </c>
      <c r="F548" s="3">
        <v>510211</v>
      </c>
      <c r="G548" s="3">
        <v>6070200000</v>
      </c>
      <c r="H548" s="34" t="e">
        <f ca="1">[2]!a_eb("CDT,{P1},,2017013,,YA,,,","K=Acc_Code,F={P2},O=B",H$1,$F548)</f>
        <v>#NAME?</v>
      </c>
      <c r="I548" s="34" t="e">
        <f ca="1">[2]!a_eb("CDT,{P1},,2017013,,YA,,,","K=Acc_Code,F={P2},O=B",I$1,$F548)</f>
        <v>#NAME?</v>
      </c>
    </row>
    <row r="549" spans="1:9">
      <c r="A549" s="11">
        <v>1140110000</v>
      </c>
      <c r="B549" s="20" t="s">
        <v>2031</v>
      </c>
      <c r="C549" s="28" t="s">
        <v>1538</v>
      </c>
      <c r="F549" s="3">
        <v>51030101</v>
      </c>
      <c r="G549" s="3">
        <v>6020000000</v>
      </c>
      <c r="H549" s="34" t="e">
        <f ca="1">[2]!a_eb("CDT,{P1},,2017013,,YA,,,","K=Acc_Code,F={P2},O=B",H$1,$F549)</f>
        <v>#NAME?</v>
      </c>
      <c r="I549" s="34" t="e">
        <f ca="1">[2]!a_eb("CDT,{P1},,2017013,,YA,,,","K=Acc_Code,F={P2},O=B",I$1,$F549)</f>
        <v>#NAME?</v>
      </c>
    </row>
    <row r="550" spans="1:9">
      <c r="A550" s="11">
        <v>1140110000</v>
      </c>
      <c r="B550" s="20" t="s">
        <v>2032</v>
      </c>
      <c r="C550" s="28" t="s">
        <v>1538</v>
      </c>
      <c r="F550" s="3">
        <v>51030102</v>
      </c>
      <c r="G550" s="3">
        <v>6030000000</v>
      </c>
      <c r="H550" s="34" t="e">
        <f ca="1">[2]!a_eb("CDT,{P1},,2017013,,YA,,,","K=Acc_Code,F={P2},O=B",H$1,$F550)</f>
        <v>#NAME?</v>
      </c>
      <c r="I550" s="34" t="e">
        <f ca="1">[2]!a_eb("CDT,{P1},,2017013,,YA,,,","K=Acc_Code,F={P2},O=B",I$1,$F550)</f>
        <v>#NAME?</v>
      </c>
    </row>
    <row r="551" spans="1:9">
      <c r="A551" s="11">
        <v>1140110000</v>
      </c>
      <c r="B551" s="20" t="s">
        <v>2033</v>
      </c>
      <c r="C551" s="28" t="s">
        <v>1538</v>
      </c>
      <c r="F551" s="3">
        <v>51030103</v>
      </c>
      <c r="G551" s="3">
        <v>6020000500</v>
      </c>
      <c r="H551" s="34" t="e">
        <f ca="1">[2]!a_eb("CDT,{P1},,2017013,,YA,,,","K=Acc_Code,F={P2},O=B",H$1,$F551)</f>
        <v>#NAME?</v>
      </c>
      <c r="I551" s="34" t="e">
        <f ca="1">[2]!a_eb("CDT,{P1},,2017013,,YA,,,","K=Acc_Code,F={P2},O=B",I$1,$F551)</f>
        <v>#NAME?</v>
      </c>
    </row>
    <row r="552" spans="1:9">
      <c r="A552" s="11">
        <v>1140110000</v>
      </c>
      <c r="B552" s="20" t="s">
        <v>2034</v>
      </c>
      <c r="C552" s="28" t="s">
        <v>1538</v>
      </c>
      <c r="F552" s="3">
        <v>51030104</v>
      </c>
      <c r="G552" s="3">
        <v>6020000001</v>
      </c>
      <c r="H552" s="34" t="e">
        <f ca="1">[2]!a_eb("CDT,{P1},,2017013,,YA,,,","K=Acc_Code,F={P2},O=B",H$1,$F552)</f>
        <v>#NAME?</v>
      </c>
      <c r="I552" s="34" t="e">
        <f ca="1">[2]!a_eb("CDT,{P1},,2017013,,YA,,,","K=Acc_Code,F={P2},O=B",I$1,$F552)</f>
        <v>#NAME?</v>
      </c>
    </row>
    <row r="553" spans="1:9">
      <c r="A553" s="11">
        <v>1140110000</v>
      </c>
      <c r="B553" s="20" t="s">
        <v>2035</v>
      </c>
      <c r="C553" s="28" t="s">
        <v>1538</v>
      </c>
      <c r="F553" s="3">
        <v>51030105</v>
      </c>
      <c r="G553" s="3">
        <v>6030000010</v>
      </c>
      <c r="H553" s="34" t="e">
        <f ca="1">[2]!a_eb("CDT,{P1},,2017013,,YA,,,","K=Acc_Code,F={P2},O=B",H$1,$F553)</f>
        <v>#NAME?</v>
      </c>
      <c r="I553" s="34" t="e">
        <f ca="1">[2]!a_eb("CDT,{P1},,2017013,,YA,,,","K=Acc_Code,F={P2},O=B",I$1,$F553)</f>
        <v>#NAME?</v>
      </c>
    </row>
    <row r="554" spans="1:9">
      <c r="A554" s="11">
        <v>1140000000</v>
      </c>
      <c r="B554" s="20" t="s">
        <v>2036</v>
      </c>
      <c r="C554" s="28" t="e">
        <f t="shared" ref="C554:C617" ca="1" si="8">VLOOKUP(B554,F:G,2,0)</f>
        <v>#N/A</v>
      </c>
      <c r="F554" s="3">
        <v>51030219</v>
      </c>
      <c r="G554" s="3">
        <v>6100000002</v>
      </c>
      <c r="H554" s="34" t="e">
        <f ca="1">[2]!a_eb("CDT,{P1},,2017013,,YA,,,","K=Acc_Code,F={P2},O=B",H$1,$F554)</f>
        <v>#NAME?</v>
      </c>
      <c r="I554" s="34" t="e">
        <f ca="1">[2]!a_eb("CDT,{P1},,2017013,,YA,,,","K=Acc_Code,F={P2},O=B",I$1,$F554)</f>
        <v>#NAME?</v>
      </c>
    </row>
    <row r="555" spans="1:9">
      <c r="A555" s="11">
        <v>1140000000</v>
      </c>
      <c r="B555" s="20" t="s">
        <v>2037</v>
      </c>
      <c r="C555" s="28" t="e">
        <f t="shared" ca="1" si="8"/>
        <v>#N/A</v>
      </c>
      <c r="F555" s="3">
        <v>51030220</v>
      </c>
      <c r="G555" s="3">
        <v>6100000020</v>
      </c>
      <c r="H555" s="34" t="e">
        <f ca="1">[2]!a_eb("CDT,{P1},,2017013,,YA,,,","K=Acc_Code,F={P2},O=B",H$1,$F555)</f>
        <v>#NAME?</v>
      </c>
      <c r="I555" s="34" t="e">
        <f ca="1">[2]!a_eb("CDT,{P1},,2017013,,YA,,,","K=Acc_Code,F={P2},O=B",I$1,$F555)</f>
        <v>#NAME?</v>
      </c>
    </row>
    <row r="556" spans="1:9">
      <c r="A556" s="11">
        <v>1140000000</v>
      </c>
      <c r="B556" s="20" t="s">
        <v>2038</v>
      </c>
      <c r="C556" s="28" t="e">
        <f t="shared" ca="1" si="8"/>
        <v>#N/A</v>
      </c>
      <c r="F556" s="3">
        <v>5103022201</v>
      </c>
      <c r="G556" s="3">
        <v>6100000080</v>
      </c>
      <c r="H556" s="34" t="e">
        <f ca="1">[2]!a_eb("CDT,{P1},,2017013,,YA,,,","K=Acc_Code,F={P2},O=B",H$1,$F556)</f>
        <v>#NAME?</v>
      </c>
      <c r="I556" s="34" t="e">
        <f ca="1">[2]!a_eb("CDT,{P1},,2017013,,YA,,,","K=Acc_Code,F={P2},O=B",I$1,$F556)</f>
        <v>#NAME?</v>
      </c>
    </row>
    <row r="557" spans="1:9">
      <c r="A557" s="11">
        <v>1140000000</v>
      </c>
      <c r="B557" s="20" t="s">
        <v>2039</v>
      </c>
      <c r="C557" s="28" t="e">
        <f t="shared" ca="1" si="8"/>
        <v>#N/A</v>
      </c>
      <c r="F557" s="3">
        <v>5103022202</v>
      </c>
      <c r="G557" s="3">
        <v>6200000000</v>
      </c>
      <c r="H557" s="34" t="e">
        <f ca="1">[2]!a_eb("CDT,{P1},,2017013,,YA,,,","K=Acc_Code,F={P2},O=B",H$1,$F557)</f>
        <v>#NAME?</v>
      </c>
      <c r="I557" s="34" t="e">
        <f ca="1">[2]!a_eb("CDT,{P1},,2017013,,YA,,,","K=Acc_Code,F={P2},O=B",I$1,$F557)</f>
        <v>#NAME?</v>
      </c>
    </row>
    <row r="558" spans="1:9">
      <c r="A558" s="11">
        <v>1140000000</v>
      </c>
      <c r="B558" s="20" t="s">
        <v>2040</v>
      </c>
      <c r="C558" s="28" t="e">
        <f t="shared" ca="1" si="8"/>
        <v>#N/A</v>
      </c>
      <c r="F558" s="3">
        <v>5103022203</v>
      </c>
      <c r="G558" s="3">
        <v>6100000090</v>
      </c>
      <c r="H558" s="34" t="e">
        <f ca="1">[2]!a_eb("CDT,{P1},,2017013,,YA,,,","K=Acc_Code,F={P2},O=B",H$1,$F558)</f>
        <v>#NAME?</v>
      </c>
      <c r="I558" s="34" t="e">
        <f ca="1">[2]!a_eb("CDT,{P1},,2017013,,YA,,,","K=Acc_Code,F={P2},O=B",I$1,$F558)</f>
        <v>#NAME?</v>
      </c>
    </row>
    <row r="559" spans="1:9">
      <c r="A559" s="11">
        <v>1140000000</v>
      </c>
      <c r="B559" s="20" t="s">
        <v>2041</v>
      </c>
      <c r="C559" s="28" t="e">
        <f t="shared" ca="1" si="8"/>
        <v>#N/A</v>
      </c>
      <c r="F559" s="3">
        <v>5103022204</v>
      </c>
      <c r="G559" s="3">
        <v>6200100000</v>
      </c>
      <c r="H559" s="34" t="e">
        <f ca="1">[2]!a_eb("CDT,{P1},,2017013,,YA,,,","K=Acc_Code,F={P2},O=B",H$1,$F559)</f>
        <v>#NAME?</v>
      </c>
      <c r="I559" s="34" t="e">
        <f ca="1">[2]!a_eb("CDT,{P1},,2017013,,YA,,,","K=Acc_Code,F={P2},O=B",I$1,$F559)</f>
        <v>#NAME?</v>
      </c>
    </row>
    <row r="560" spans="1:9">
      <c r="A560" s="11">
        <v>1140000000</v>
      </c>
      <c r="B560" s="20" t="s">
        <v>2042</v>
      </c>
      <c r="C560" s="28" t="e">
        <f t="shared" ca="1" si="8"/>
        <v>#N/A</v>
      </c>
      <c r="F560" s="3">
        <v>5103022205</v>
      </c>
      <c r="G560" s="3">
        <v>6180000000</v>
      </c>
      <c r="H560" s="34" t="e">
        <f ca="1">[2]!a_eb("CDT,{P1},,2017013,,YA,,,","K=Acc_Code,F={P2},O=B",H$1,$F560)</f>
        <v>#NAME?</v>
      </c>
      <c r="I560" s="34" t="e">
        <f ca="1">[2]!a_eb("CDT,{P1},,2017013,,YA,,,","K=Acc_Code,F={P2},O=B",I$1,$F560)</f>
        <v>#NAME?</v>
      </c>
    </row>
    <row r="561" spans="1:9">
      <c r="A561" s="11">
        <v>1140000000</v>
      </c>
      <c r="B561" s="20" t="s">
        <v>2043</v>
      </c>
      <c r="C561" s="28" t="e">
        <f t="shared" ca="1" si="8"/>
        <v>#N/A</v>
      </c>
      <c r="F561" s="3">
        <v>5103022206</v>
      </c>
      <c r="G561" s="3">
        <v>6180000010</v>
      </c>
      <c r="H561" s="34" t="e">
        <f ca="1">[2]!a_eb("CDT,{P1},,2017013,,YA,,,","K=Acc_Code,F={P2},O=B",H$1,$F561)</f>
        <v>#NAME?</v>
      </c>
      <c r="I561" s="34" t="e">
        <f ca="1">[2]!a_eb("CDT,{P1},,2017013,,YA,,,","K=Acc_Code,F={P2},O=B",I$1,$F561)</f>
        <v>#NAME?</v>
      </c>
    </row>
    <row r="562" spans="1:9">
      <c r="A562" s="11">
        <v>1140000000</v>
      </c>
      <c r="B562" s="20" t="s">
        <v>2044</v>
      </c>
      <c r="C562" s="28" t="e">
        <f t="shared" ca="1" si="8"/>
        <v>#N/A</v>
      </c>
      <c r="F562" s="3">
        <v>51030225</v>
      </c>
      <c r="G562" s="3">
        <v>6100000003</v>
      </c>
      <c r="H562" s="34" t="e">
        <f ca="1">[2]!a_eb("CDT,{P1},,2017013,,YA,,,","K=Acc_Code,F={P2},O=B",H$1,$F562)</f>
        <v>#NAME?</v>
      </c>
      <c r="I562" s="34" t="e">
        <f ca="1">[2]!a_eb("CDT,{P1},,2017013,,YA,,,","K=Acc_Code,F={P2},O=B",I$1,$F562)</f>
        <v>#NAME?</v>
      </c>
    </row>
    <row r="563" spans="1:9">
      <c r="A563" s="11">
        <v>1140000000</v>
      </c>
      <c r="B563" s="20" t="s">
        <v>2045</v>
      </c>
      <c r="C563" s="28" t="e">
        <f t="shared" ca="1" si="8"/>
        <v>#N/A</v>
      </c>
      <c r="F563" s="3">
        <v>51030226</v>
      </c>
      <c r="G563" s="3">
        <v>6104000000</v>
      </c>
      <c r="H563" s="34" t="e">
        <f ca="1">[2]!a_eb("CDT,{P1},,2017013,,YA,,,","K=Acc_Code,F={P2},O=B",H$1,$F563)</f>
        <v>#NAME?</v>
      </c>
      <c r="I563" s="34" t="e">
        <f ca="1">[2]!a_eb("CDT,{P1},,2017013,,YA,,,","K=Acc_Code,F={P2},O=B",I$1,$F563)</f>
        <v>#NAME?</v>
      </c>
    </row>
    <row r="564" spans="1:9">
      <c r="A564" s="11">
        <v>1140000000</v>
      </c>
      <c r="B564" s="20" t="s">
        <v>2046</v>
      </c>
      <c r="C564" s="28" t="e">
        <f t="shared" ca="1" si="8"/>
        <v>#N/A</v>
      </c>
      <c r="F564" s="3">
        <v>51030227</v>
      </c>
      <c r="G564" s="3">
        <v>6104001000</v>
      </c>
      <c r="H564" s="34" t="e">
        <f ca="1">[2]!a_eb("CDT,{P1},,2017013,,YA,,,","K=Acc_Code,F={P2},O=B",H$1,$F564)</f>
        <v>#NAME?</v>
      </c>
      <c r="I564" s="34" t="e">
        <f ca="1">[2]!a_eb("CDT,{P1},,2017013,,YA,,,","K=Acc_Code,F={P2},O=B",I$1,$F564)</f>
        <v>#NAME?</v>
      </c>
    </row>
    <row r="565" spans="1:9">
      <c r="A565" s="11">
        <v>1140000000</v>
      </c>
      <c r="B565" s="20" t="s">
        <v>2047</v>
      </c>
      <c r="C565" s="28" t="e">
        <f t="shared" ca="1" si="8"/>
        <v>#N/A</v>
      </c>
      <c r="F565" s="3">
        <v>510303</v>
      </c>
      <c r="G565" s="6">
        <v>6100000140</v>
      </c>
      <c r="H565" s="34" t="e">
        <f ca="1">[2]!a_eb("CDT,{P1},,2017013,,YA,,,","K=Acc_Code,F={P2},O=B",H$1,$F565)</f>
        <v>#NAME?</v>
      </c>
      <c r="I565" s="34" t="e">
        <f ca="1">[2]!a_eb("CDT,{P1},,2017013,,YA,,,","K=Acc_Code,F={P2},O=B",I$1,$F565)</f>
        <v>#NAME?</v>
      </c>
    </row>
    <row r="566" spans="1:9">
      <c r="A566" s="11">
        <v>1140000000</v>
      </c>
      <c r="B566" s="20" t="s">
        <v>2048</v>
      </c>
      <c r="C566" s="28" t="e">
        <f t="shared" ca="1" si="8"/>
        <v>#N/A</v>
      </c>
      <c r="F566" s="3">
        <v>51030401</v>
      </c>
      <c r="G566" s="3">
        <v>6022000000</v>
      </c>
      <c r="H566" s="34" t="e">
        <f ca="1">[2]!a_eb("CDT,{P1},,2017013,,YA,,,","K=Acc_Code,F={P2},O=B",H$1,$F566)</f>
        <v>#NAME?</v>
      </c>
      <c r="I566" s="34" t="e">
        <f ca="1">[2]!a_eb("CDT,{P1},,2017013,,YA,,,","K=Acc_Code,F={P2},O=B",I$1,$F566)</f>
        <v>#NAME?</v>
      </c>
    </row>
    <row r="567" spans="1:9">
      <c r="A567" s="11">
        <v>1140000000</v>
      </c>
      <c r="B567" s="20" t="s">
        <v>2049</v>
      </c>
      <c r="C567" s="28" t="e">
        <f t="shared" ca="1" si="8"/>
        <v>#N/A</v>
      </c>
      <c r="F567" s="3">
        <v>51030402</v>
      </c>
      <c r="G567" s="3">
        <v>6032000000</v>
      </c>
      <c r="H567" s="34" t="e">
        <f ca="1">[2]!a_eb("CDT,{P1},,2017013,,YA,,,","K=Acc_Code,F={P2},O=B",H$1,$F567)</f>
        <v>#NAME?</v>
      </c>
      <c r="I567" s="34" t="e">
        <f ca="1">[2]!a_eb("CDT,{P1},,2017013,,YA,,,","K=Acc_Code,F={P2},O=B",I$1,$F567)</f>
        <v>#NAME?</v>
      </c>
    </row>
    <row r="568" spans="1:9">
      <c r="A568" s="11">
        <v>1140000000</v>
      </c>
      <c r="B568" s="20" t="s">
        <v>2050</v>
      </c>
      <c r="C568" s="28" t="e">
        <f t="shared" ca="1" si="8"/>
        <v>#N/A</v>
      </c>
      <c r="F568" s="3">
        <v>51030403</v>
      </c>
      <c r="G568" s="3">
        <v>6022000001</v>
      </c>
      <c r="H568" s="34" t="e">
        <f ca="1">[2]!a_eb("CDT,{P1},,2017013,,YA,,,","K=Acc_Code,F={P2},O=B",H$1,$F568)</f>
        <v>#NAME?</v>
      </c>
      <c r="I568" s="34" t="e">
        <f ca="1">[2]!a_eb("CDT,{P1},,2017013,,YA,,,","K=Acc_Code,F={P2},O=B",I$1,$F568)</f>
        <v>#NAME?</v>
      </c>
    </row>
    <row r="569" spans="1:9">
      <c r="A569" s="11">
        <v>1140000000</v>
      </c>
      <c r="B569" s="20" t="s">
        <v>2051</v>
      </c>
      <c r="C569" s="28" t="e">
        <f t="shared" ca="1" si="8"/>
        <v>#N/A</v>
      </c>
      <c r="F569" s="3">
        <v>510306</v>
      </c>
      <c r="G569" s="6">
        <v>6102000140</v>
      </c>
      <c r="H569" s="34" t="e">
        <f ca="1">[2]!a_eb("CDT,{P1},,2017013,,YA,,,","K=Acc_Code,F={P2},O=B",H$1,$F569)</f>
        <v>#NAME?</v>
      </c>
      <c r="I569" s="34" t="e">
        <f ca="1">[2]!a_eb("CDT,{P1},,2017013,,YA,,,","K=Acc_Code,F={P2},O=B",I$1,$F569)</f>
        <v>#NAME?</v>
      </c>
    </row>
    <row r="570" spans="1:9">
      <c r="A570" s="11">
        <v>1140000000</v>
      </c>
      <c r="B570" s="20" t="s">
        <v>2052</v>
      </c>
      <c r="C570" s="28" t="e">
        <f t="shared" ca="1" si="8"/>
        <v>#N/A</v>
      </c>
      <c r="F570" s="3">
        <v>510307</v>
      </c>
      <c r="G570" s="3">
        <v>6102000001</v>
      </c>
      <c r="H570" s="34" t="e">
        <f ca="1">[2]!a_eb("CDT,{P1},,2017013,,YA,,,","K=Acc_Code,F={P2},O=B",H$1,$F570)</f>
        <v>#NAME?</v>
      </c>
      <c r="I570" s="34" t="e">
        <f ca="1">[2]!a_eb("CDT,{P1},,2017013,,YA,,,","K=Acc_Code,F={P2},O=B",I$1,$F570)</f>
        <v>#NAME?</v>
      </c>
    </row>
    <row r="571" spans="1:9">
      <c r="A571" s="11">
        <v>1140000000</v>
      </c>
      <c r="B571" s="20" t="s">
        <v>2053</v>
      </c>
      <c r="C571" s="28" t="e">
        <f t="shared" ca="1" si="8"/>
        <v>#N/A</v>
      </c>
      <c r="F571" s="3">
        <v>51040101</v>
      </c>
      <c r="G571" s="3">
        <v>6050200005</v>
      </c>
      <c r="H571" s="34" t="e">
        <f ca="1">[2]!a_eb("CDT,{P1},,2017013,,YA,,,","K=Acc_Code,F={P2},O=B",H$1,$F571)</f>
        <v>#NAME?</v>
      </c>
      <c r="I571" s="34" t="e">
        <f ca="1">[2]!a_eb("CDT,{P1},,2017013,,YA,,,","K=Acc_Code,F={P2},O=B",I$1,$F571)</f>
        <v>#NAME?</v>
      </c>
    </row>
    <row r="572" spans="1:9">
      <c r="A572" s="11">
        <v>1140000000</v>
      </c>
      <c r="B572" s="20" t="s">
        <v>2054</v>
      </c>
      <c r="C572" s="28" t="e">
        <f t="shared" ca="1" si="8"/>
        <v>#N/A</v>
      </c>
      <c r="F572" s="3">
        <v>51040102</v>
      </c>
      <c r="G572" s="3">
        <v>6050200003</v>
      </c>
      <c r="H572" s="34" t="e">
        <f ca="1">[2]!a_eb("CDT,{P1},,2017013,,YA,,,","K=Acc_Code,F={P2},O=B",H$1,$F572)</f>
        <v>#NAME?</v>
      </c>
      <c r="I572" s="34" t="e">
        <f ca="1">[2]!a_eb("CDT,{P1},,2017013,,YA,,,","K=Acc_Code,F={P2},O=B",I$1,$F572)</f>
        <v>#NAME?</v>
      </c>
    </row>
    <row r="573" spans="1:9">
      <c r="A573" s="11">
        <v>1140000000</v>
      </c>
      <c r="B573" s="20" t="s">
        <v>2055</v>
      </c>
      <c r="C573" s="28" t="e">
        <f t="shared" ca="1" si="8"/>
        <v>#N/A</v>
      </c>
      <c r="F573" s="3">
        <v>51040201</v>
      </c>
      <c r="G573" s="3">
        <v>6050200000</v>
      </c>
      <c r="H573" s="34" t="e">
        <f ca="1">[2]!a_eb("CDT,{P1},,2017013,,YA,,,","K=Acc_Code,F={P2},O=B",H$1,$F573)</f>
        <v>#NAME?</v>
      </c>
      <c r="I573" s="34" t="e">
        <f ca="1">[2]!a_eb("CDT,{P1},,2017013,,YA,,,","K=Acc_Code,F={P2},O=B",I$1,$F573)</f>
        <v>#NAME?</v>
      </c>
    </row>
    <row r="574" spans="1:9">
      <c r="A574" s="11">
        <v>1140000000</v>
      </c>
      <c r="B574" s="20" t="s">
        <v>2056</v>
      </c>
      <c r="C574" s="28" t="e">
        <f t="shared" ca="1" si="8"/>
        <v>#N/A</v>
      </c>
      <c r="F574" s="3">
        <v>51040202</v>
      </c>
      <c r="G574" s="3">
        <v>6100000130</v>
      </c>
      <c r="H574" s="34" t="e">
        <f ca="1">[2]!a_eb("CDT,{P1},,2017013,,YA,,,","K=Acc_Code,F={P2},O=B",H$1,$F574)</f>
        <v>#NAME?</v>
      </c>
      <c r="I574" s="34" t="e">
        <f ca="1">[2]!a_eb("CDT,{P1},,2017013,,YA,,,","K=Acc_Code,F={P2},O=B",I$1,$F574)</f>
        <v>#NAME?</v>
      </c>
    </row>
    <row r="575" spans="1:9">
      <c r="A575" s="11">
        <v>1140000000</v>
      </c>
      <c r="B575" s="20" t="s">
        <v>2057</v>
      </c>
      <c r="C575" s="28" t="e">
        <f t="shared" ca="1" si="8"/>
        <v>#N/A</v>
      </c>
      <c r="F575" s="3">
        <v>51040203</v>
      </c>
      <c r="G575" s="3">
        <v>6060010020</v>
      </c>
      <c r="H575" s="34" t="e">
        <f ca="1">[2]!a_eb("CDT,{P1},,2017013,,YA,,,","K=Acc_Code,F={P2},O=B",H$1,$F575)</f>
        <v>#NAME?</v>
      </c>
      <c r="I575" s="34" t="e">
        <f ca="1">[2]!a_eb("CDT,{P1},,2017013,,YA,,,","K=Acc_Code,F={P2},O=B",I$1,$F575)</f>
        <v>#NAME?</v>
      </c>
    </row>
    <row r="576" spans="1:9">
      <c r="A576" s="11">
        <v>1140000000</v>
      </c>
      <c r="B576" s="20" t="s">
        <v>2058</v>
      </c>
      <c r="C576" s="28" t="e">
        <f t="shared" ca="1" si="8"/>
        <v>#N/A</v>
      </c>
      <c r="F576" s="3">
        <v>510404</v>
      </c>
      <c r="G576" s="3">
        <v>6070100000</v>
      </c>
      <c r="H576" s="34" t="e">
        <f ca="1">[2]!a_eb("CDT,{P1},,2017013,,YA,,,","K=Acc_Code,F={P2},O=B",H$1,$F576)</f>
        <v>#NAME?</v>
      </c>
      <c r="I576" s="34" t="e">
        <f ca="1">[2]!a_eb("CDT,{P1},,2017013,,YA,,,","K=Acc_Code,F={P2},O=B",I$1,$F576)</f>
        <v>#NAME?</v>
      </c>
    </row>
    <row r="577" spans="1:9">
      <c r="A577" s="11">
        <v>1140000000</v>
      </c>
      <c r="B577" s="20" t="s">
        <v>2059</v>
      </c>
      <c r="C577" s="28" t="e">
        <f t="shared" ca="1" si="8"/>
        <v>#N/A</v>
      </c>
      <c r="F577" s="3">
        <v>51040502</v>
      </c>
      <c r="G577" s="3">
        <v>6120000010</v>
      </c>
      <c r="H577" s="34" t="e">
        <f ca="1">[2]!a_eb("CDT,{P1},,2017013,,YA,,,","K=Acc_Code,F={P2},O=B",H$1,$F577)</f>
        <v>#NAME?</v>
      </c>
      <c r="I577" s="34" t="e">
        <f ca="1">[2]!a_eb("CDT,{P1},,2017013,,YA,,,","K=Acc_Code,F={P2},O=B",I$1,$F577)</f>
        <v>#NAME?</v>
      </c>
    </row>
    <row r="578" spans="1:9">
      <c r="A578" s="11">
        <v>1140000000</v>
      </c>
      <c r="B578" s="20" t="s">
        <v>2060</v>
      </c>
      <c r="C578" s="28" t="e">
        <f t="shared" ca="1" si="8"/>
        <v>#N/A</v>
      </c>
      <c r="F578" s="3">
        <v>51040503</v>
      </c>
      <c r="G578" s="3">
        <v>6120001500</v>
      </c>
      <c r="H578" s="34" t="e">
        <f ca="1">[2]!a_eb("CDT,{P1},,2017013,,YA,,,","K=Acc_Code,F={P2},O=B",H$1,$F578)</f>
        <v>#NAME?</v>
      </c>
      <c r="I578" s="34" t="e">
        <f ca="1">[2]!a_eb("CDT,{P1},,2017013,,YA,,,","K=Acc_Code,F={P2},O=B",I$1,$F578)</f>
        <v>#NAME?</v>
      </c>
    </row>
    <row r="579" spans="1:9">
      <c r="A579" s="11">
        <v>1140000000</v>
      </c>
      <c r="B579" s="20" t="s">
        <v>2061</v>
      </c>
      <c r="C579" s="28" t="e">
        <f t="shared" ca="1" si="8"/>
        <v>#N/A</v>
      </c>
      <c r="F579" s="3">
        <v>51040504</v>
      </c>
      <c r="G579" s="3">
        <v>6122100000</v>
      </c>
      <c r="H579" s="34" t="e">
        <f ca="1">[2]!a_eb("CDT,{P1},,2017013,,YA,,,","K=Acc_Code,F={P2},O=B",H$1,$F579)</f>
        <v>#NAME?</v>
      </c>
      <c r="I579" s="34" t="e">
        <f ca="1">[2]!a_eb("CDT,{P1},,2017013,,YA,,,","K=Acc_Code,F={P2},O=B",I$1,$F579)</f>
        <v>#NAME?</v>
      </c>
    </row>
    <row r="580" spans="1:9">
      <c r="A580" s="11">
        <v>1140000000</v>
      </c>
      <c r="B580" s="20" t="s">
        <v>2062</v>
      </c>
      <c r="C580" s="28" t="e">
        <f t="shared" ca="1" si="8"/>
        <v>#N/A</v>
      </c>
      <c r="F580" s="3">
        <v>5105010104</v>
      </c>
      <c r="G580" s="3">
        <v>6970000207</v>
      </c>
      <c r="H580" s="34" t="e">
        <f ca="1">[2]!a_eb("CDT,{P1},,2017013,,YA,,,","K=Acc_Code,F={P2},O=B",H$1,$F580)</f>
        <v>#NAME?</v>
      </c>
      <c r="I580" s="34" t="e">
        <f ca="1">[2]!a_eb("CDT,{P1},,2017013,,YA,,,","K=Acc_Code,F={P2},O=B",I$1,$F580)</f>
        <v>#NAME?</v>
      </c>
    </row>
    <row r="581" spans="1:9">
      <c r="A581" s="11">
        <v>1140000000</v>
      </c>
      <c r="B581" s="20" t="s">
        <v>2063</v>
      </c>
      <c r="C581" s="28" t="e">
        <f t="shared" ca="1" si="8"/>
        <v>#N/A</v>
      </c>
      <c r="F581" s="3">
        <v>5105020101</v>
      </c>
      <c r="G581" s="3">
        <v>6970000208</v>
      </c>
      <c r="H581" s="34" t="e">
        <f ca="1">[2]!a_eb("CDT,{P1},,2017013,,YA,,,","K=Acc_Code,F={P2},O=B",H$1,$F581)</f>
        <v>#NAME?</v>
      </c>
      <c r="I581" s="34" t="e">
        <f ca="1">[2]!a_eb("CDT,{P1},,2017013,,YA,,,","K=Acc_Code,F={P2},O=B",I$1,$F581)</f>
        <v>#NAME?</v>
      </c>
    </row>
    <row r="582" spans="1:9">
      <c r="A582" s="11">
        <v>1140000000</v>
      </c>
      <c r="B582" s="20" t="s">
        <v>2064</v>
      </c>
      <c r="C582" s="28" t="e">
        <f t="shared" ca="1" si="8"/>
        <v>#N/A</v>
      </c>
      <c r="F582" s="3">
        <v>5105020104</v>
      </c>
      <c r="G582" s="3">
        <v>6970000209</v>
      </c>
      <c r="H582" s="34" t="e">
        <f ca="1">[2]!a_eb("CDT,{P1},,2017013,,YA,,,","K=Acc_Code,F={P2},O=B",H$1,$F582)</f>
        <v>#NAME?</v>
      </c>
      <c r="I582" s="34" t="e">
        <f ca="1">[2]!a_eb("CDT,{P1},,2017013,,YA,,,","K=Acc_Code,F={P2},O=B",I$1,$F582)</f>
        <v>#NAME?</v>
      </c>
    </row>
    <row r="583" spans="1:9">
      <c r="A583" s="11">
        <v>1140000000</v>
      </c>
      <c r="B583" s="20" t="s">
        <v>2065</v>
      </c>
      <c r="C583" s="28" t="e">
        <f t="shared" ca="1" si="8"/>
        <v>#N/A</v>
      </c>
      <c r="F583" s="3">
        <v>51050202</v>
      </c>
      <c r="G583" s="3">
        <v>7490000021</v>
      </c>
      <c r="H583" s="34" t="e">
        <f ca="1">[2]!a_eb("CDT,{P1},,2017013,,YA,,,","K=Acc_Code,F={P2},O=B",H$1,$F583)</f>
        <v>#NAME?</v>
      </c>
      <c r="I583" s="34" t="e">
        <f ca="1">[2]!a_eb("CDT,{P1},,2017013,,YA,,,","K=Acc_Code,F={P2},O=B",I$1,$F583)</f>
        <v>#NAME?</v>
      </c>
    </row>
    <row r="584" spans="1:9">
      <c r="A584" s="11">
        <v>1140000000</v>
      </c>
      <c r="B584" s="20" t="s">
        <v>2066</v>
      </c>
      <c r="C584" s="28" t="e">
        <f t="shared" ca="1" si="8"/>
        <v>#N/A</v>
      </c>
      <c r="F584" s="3" t="s">
        <v>1484</v>
      </c>
      <c r="G584" s="3">
        <v>7010010020</v>
      </c>
      <c r="H584" s="34" t="e">
        <f ca="1">[2]!a_eb("CDT,{P1},,2017013,,YA,,,","K=Acc_Code,F={P2},O=B",H$1,$F584)</f>
        <v>#NAME?</v>
      </c>
      <c r="I584" s="34" t="e">
        <f ca="1">[2]!a_eb("CDT,{P1},,2017013,,YA,,,","K=Acc_Code,F={P2},O=B",I$1,$F584)</f>
        <v>#NAME?</v>
      </c>
    </row>
    <row r="585" spans="1:9">
      <c r="A585" s="11">
        <v>1140000000</v>
      </c>
      <c r="B585" s="20" t="s">
        <v>2067</v>
      </c>
      <c r="C585" s="28" t="e">
        <f t="shared" ca="1" si="8"/>
        <v>#N/A</v>
      </c>
      <c r="F585" s="3" t="s">
        <v>1484</v>
      </c>
      <c r="G585" s="3">
        <v>7000011021</v>
      </c>
      <c r="H585" s="34" t="e">
        <f ca="1">[2]!a_eb("CDT,{P1},,2017013,,YA,,,","K=Acc_Code,F={P2},O=B",H$1,$F585)</f>
        <v>#NAME?</v>
      </c>
      <c r="I585" s="34" t="e">
        <f ca="1">[2]!a_eb("CDT,{P1},,2017013,,YA,,,","K=Acc_Code,F={P2},O=B",I$1,$F585)</f>
        <v>#NAME?</v>
      </c>
    </row>
    <row r="586" spans="1:9">
      <c r="A586" s="11">
        <v>1140000000</v>
      </c>
      <c r="B586" s="20" t="s">
        <v>2068</v>
      </c>
      <c r="C586" s="28" t="e">
        <f t="shared" ca="1" si="8"/>
        <v>#N/A</v>
      </c>
      <c r="F586" s="3" t="s">
        <v>1484</v>
      </c>
      <c r="G586" s="3">
        <v>7030001501</v>
      </c>
      <c r="H586" s="34" t="e">
        <f ca="1">[2]!a_eb("CDT,{P1},,2017013,,YA,,,","K=Acc_Code,F={P2},O=B",H$1,$F586)</f>
        <v>#NAME?</v>
      </c>
      <c r="I586" s="34" t="e">
        <f ca="1">[2]!a_eb("CDT,{P1},,2017013,,YA,,,","K=Acc_Code,F={P2},O=B",I$1,$F586)</f>
        <v>#NAME?</v>
      </c>
    </row>
    <row r="587" spans="1:9">
      <c r="A587" s="11">
        <v>1140000000</v>
      </c>
      <c r="B587" s="20" t="s">
        <v>2069</v>
      </c>
      <c r="C587" s="28" t="e">
        <f t="shared" ca="1" si="8"/>
        <v>#N/A</v>
      </c>
      <c r="F587" s="3">
        <v>5105030101</v>
      </c>
      <c r="G587" s="3">
        <v>6970000210</v>
      </c>
      <c r="H587" s="34" t="e">
        <f ca="1">[2]!a_eb("CDT,{P1},,2017013,,YA,,,","K=Acc_Code,F={P2},O=B",H$1,$F587)</f>
        <v>#NAME?</v>
      </c>
      <c r="I587" s="34" t="e">
        <f ca="1">[2]!a_eb("CDT,{P1},,2017013,,YA,,,","K=Acc_Code,F={P2},O=B",I$1,$F587)</f>
        <v>#NAME?</v>
      </c>
    </row>
    <row r="588" spans="1:9">
      <c r="A588" s="11">
        <v>1140000000</v>
      </c>
      <c r="B588" s="20" t="s">
        <v>2070</v>
      </c>
      <c r="C588" s="28" t="e">
        <f t="shared" ca="1" si="8"/>
        <v>#N/A</v>
      </c>
      <c r="F588" s="3">
        <v>5105030104</v>
      </c>
      <c r="G588" s="3">
        <v>6970000211</v>
      </c>
      <c r="H588" s="34" t="e">
        <f ca="1">[2]!a_eb("CDT,{P1},,2017013,,YA,,,","K=Acc_Code,F={P2},O=B",H$1,$F588)</f>
        <v>#NAME?</v>
      </c>
      <c r="I588" s="34" t="e">
        <f ca="1">[2]!a_eb("CDT,{P1},,2017013,,YA,,,","K=Acc_Code,F={P2},O=B",I$1,$F588)</f>
        <v>#NAME?</v>
      </c>
    </row>
    <row r="589" spans="1:9">
      <c r="A589" s="11">
        <v>1140000000</v>
      </c>
      <c r="B589" s="20" t="s">
        <v>2071</v>
      </c>
      <c r="C589" s="28" t="e">
        <f t="shared" ca="1" si="8"/>
        <v>#N/A</v>
      </c>
      <c r="F589" s="3">
        <v>51050302</v>
      </c>
      <c r="G589" s="3">
        <v>7490000022</v>
      </c>
      <c r="H589" s="34" t="e">
        <f ca="1">[2]!a_eb("CDT,{P1},,2017013,,YA,,,","K=Acc_Code,F={P2},O=B",H$1,$F589)</f>
        <v>#NAME?</v>
      </c>
      <c r="I589" s="34" t="e">
        <f ca="1">[2]!a_eb("CDT,{P1},,2017013,,YA,,,","K=Acc_Code,F={P2},O=B",I$1,$F589)</f>
        <v>#NAME?</v>
      </c>
    </row>
    <row r="590" spans="1:9">
      <c r="A590" s="11">
        <v>1140000000</v>
      </c>
      <c r="B590" s="20" t="s">
        <v>2072</v>
      </c>
      <c r="C590" s="28" t="e">
        <f t="shared" ca="1" si="8"/>
        <v>#N/A</v>
      </c>
      <c r="F590" s="3" t="s">
        <v>1484</v>
      </c>
      <c r="G590" s="3">
        <v>7010010021</v>
      </c>
      <c r="H590" s="34" t="e">
        <f ca="1">[2]!a_eb("CDT,{P1},,2017013,,YA,,,","K=Acc_Code,F={P2},O=B",H$1,$F590)</f>
        <v>#NAME?</v>
      </c>
      <c r="I590" s="34" t="e">
        <f ca="1">[2]!a_eb("CDT,{P1},,2017013,,YA,,,","K=Acc_Code,F={P2},O=B",I$1,$F590)</f>
        <v>#NAME?</v>
      </c>
    </row>
    <row r="591" spans="1:9">
      <c r="A591" s="11">
        <v>1140000000</v>
      </c>
      <c r="B591" s="20" t="s">
        <v>2073</v>
      </c>
      <c r="C591" s="28" t="e">
        <f t="shared" ca="1" si="8"/>
        <v>#N/A</v>
      </c>
      <c r="F591" s="3" t="s">
        <v>1484</v>
      </c>
      <c r="G591" s="3">
        <v>7000011022</v>
      </c>
      <c r="H591" s="34" t="e">
        <f ca="1">[2]!a_eb("CDT,{P1},,2017013,,YA,,,","K=Acc_Code,F={P2},O=B",H$1,$F591)</f>
        <v>#NAME?</v>
      </c>
      <c r="I591" s="34" t="e">
        <f ca="1">[2]!a_eb("CDT,{P1},,2017013,,YA,,,","K=Acc_Code,F={P2},O=B",I$1,$F591)</f>
        <v>#NAME?</v>
      </c>
    </row>
    <row r="592" spans="1:9">
      <c r="A592" s="11">
        <v>1140000000</v>
      </c>
      <c r="B592" s="20" t="s">
        <v>2074</v>
      </c>
      <c r="C592" s="28" t="e">
        <f t="shared" ca="1" si="8"/>
        <v>#N/A</v>
      </c>
      <c r="F592" s="3" t="s">
        <v>1484</v>
      </c>
      <c r="G592" s="3">
        <v>7030001502</v>
      </c>
      <c r="H592" s="34" t="e">
        <f ca="1">[2]!a_eb("CDT,{P1},,2017013,,YA,,,","K=Acc_Code,F={P2},O=B",H$1,$F592)</f>
        <v>#NAME?</v>
      </c>
      <c r="I592" s="34" t="e">
        <f ca="1">[2]!a_eb("CDT,{P1},,2017013,,YA,,,","K=Acc_Code,F={P2},O=B",I$1,$F592)</f>
        <v>#NAME?</v>
      </c>
    </row>
    <row r="593" spans="1:9">
      <c r="A593" s="11">
        <v>1140000000</v>
      </c>
      <c r="B593" s="20" t="s">
        <v>2075</v>
      </c>
      <c r="C593" s="28" t="e">
        <f t="shared" ca="1" si="8"/>
        <v>#N/A</v>
      </c>
      <c r="F593" s="3">
        <v>5105050101</v>
      </c>
      <c r="G593" s="3">
        <v>6970000212</v>
      </c>
      <c r="H593" s="34" t="e">
        <f ca="1">[2]!a_eb("CDT,{P1},,2017013,,YA,,,","K=Acc_Code,F={P2},O=B",H$1,$F593)</f>
        <v>#NAME?</v>
      </c>
      <c r="I593" s="34" t="e">
        <f ca="1">[2]!a_eb("CDT,{P1},,2017013,,YA,,,","K=Acc_Code,F={P2},O=B",I$1,$F593)</f>
        <v>#NAME?</v>
      </c>
    </row>
    <row r="594" spans="1:9">
      <c r="A594" s="11">
        <v>1140000000</v>
      </c>
      <c r="B594" s="20" t="s">
        <v>2076</v>
      </c>
      <c r="C594" s="28" t="e">
        <f t="shared" ca="1" si="8"/>
        <v>#N/A</v>
      </c>
      <c r="F594" s="3">
        <v>51050502</v>
      </c>
      <c r="G594" s="3">
        <v>7490000023</v>
      </c>
      <c r="H594" s="34" t="e">
        <f ca="1">[2]!a_eb("CDT,{P1},,2017013,,YA,,,","K=Acc_Code,F={P2},O=B",H$1,$F594)</f>
        <v>#NAME?</v>
      </c>
      <c r="I594" s="34" t="e">
        <f ca="1">[2]!a_eb("CDT,{P1},,2017013,,YA,,,","K=Acc_Code,F={P2},O=B",I$1,$F594)</f>
        <v>#NAME?</v>
      </c>
    </row>
    <row r="595" spans="1:9">
      <c r="A595" s="11">
        <v>1140000000</v>
      </c>
      <c r="B595" s="20" t="s">
        <v>2077</v>
      </c>
      <c r="C595" s="28" t="e">
        <f t="shared" ca="1" si="8"/>
        <v>#N/A</v>
      </c>
      <c r="F595" s="3">
        <v>51050601</v>
      </c>
      <c r="G595" s="3">
        <v>6970000040</v>
      </c>
      <c r="H595" s="34" t="e">
        <f ca="1">[2]!a_eb("CDT,{P1},,2017013,,YA,,,","K=Acc_Code,F={P2},O=B",H$1,$F595)</f>
        <v>#NAME?</v>
      </c>
      <c r="I595" s="34" t="e">
        <f ca="1">[2]!a_eb("CDT,{P1},,2017013,,YA,,,","K=Acc_Code,F={P2},O=B",I$1,$F595)</f>
        <v>#NAME?</v>
      </c>
    </row>
    <row r="596" spans="1:9">
      <c r="A596" s="11">
        <v>1140000000</v>
      </c>
      <c r="B596" s="20" t="s">
        <v>2078</v>
      </c>
      <c r="C596" s="28" t="e">
        <f t="shared" ca="1" si="8"/>
        <v>#N/A</v>
      </c>
      <c r="F596" s="3">
        <v>51050602</v>
      </c>
      <c r="G596" s="3">
        <v>6970100040</v>
      </c>
      <c r="H596" s="34" t="e">
        <f ca="1">[2]!a_eb("CDT,{P1},,2017013,,YA,,,","K=Acc_Code,F={P2},O=B",H$1,$F596)</f>
        <v>#NAME?</v>
      </c>
      <c r="I596" s="34" t="e">
        <f ca="1">[2]!a_eb("CDT,{P1},,2017013,,YA,,,","K=Acc_Code,F={P2},O=B",I$1,$F596)</f>
        <v>#NAME?</v>
      </c>
    </row>
    <row r="597" spans="1:9">
      <c r="A597" s="11">
        <v>1140000000</v>
      </c>
      <c r="B597" s="20" t="s">
        <v>2079</v>
      </c>
      <c r="C597" s="28" t="e">
        <f t="shared" ca="1" si="8"/>
        <v>#N/A</v>
      </c>
      <c r="F597" s="3">
        <v>51050603</v>
      </c>
      <c r="G597" s="3">
        <v>6970200040</v>
      </c>
      <c r="H597" s="34" t="e">
        <f ca="1">[2]!a_eb("CDT,{P1},,2017013,,YA,,,","K=Acc_Code,F={P2},O=B",H$1,$F597)</f>
        <v>#NAME?</v>
      </c>
      <c r="I597" s="34" t="e">
        <f ca="1">[2]!a_eb("CDT,{P1},,2017013,,YA,,,","K=Acc_Code,F={P2},O=B",I$1,$F597)</f>
        <v>#NAME?</v>
      </c>
    </row>
    <row r="598" spans="1:9">
      <c r="A598" s="11">
        <v>1140000000</v>
      </c>
      <c r="B598" s="20" t="s">
        <v>2080</v>
      </c>
      <c r="C598" s="28" t="e">
        <f t="shared" ca="1" si="8"/>
        <v>#N/A</v>
      </c>
      <c r="F598" s="3">
        <v>510507</v>
      </c>
      <c r="G598" s="3">
        <v>8460101050</v>
      </c>
      <c r="H598" s="34" t="e">
        <f ca="1">[2]!a_eb("CDT,{P1},,2017013,,YA,,,","K=Acc_Code,F={P2},O=B",H$1,$F598)</f>
        <v>#NAME?</v>
      </c>
      <c r="I598" s="34" t="e">
        <f ca="1">[2]!a_eb("CDT,{P1},,2017013,,YA,,,","K=Acc_Code,F={P2},O=B",I$1,$F598)</f>
        <v>#NAME?</v>
      </c>
    </row>
    <row r="599" spans="1:9">
      <c r="A599" s="11">
        <v>1140000000</v>
      </c>
      <c r="B599" s="20" t="s">
        <v>2081</v>
      </c>
      <c r="C599" s="28" t="e">
        <f t="shared" ca="1" si="8"/>
        <v>#N/A</v>
      </c>
      <c r="F599" s="3">
        <v>51060001</v>
      </c>
      <c r="G599" s="3">
        <v>6955020010</v>
      </c>
      <c r="H599" s="34" t="e">
        <f ca="1">[2]!a_eb("CDT,{P1},,2017013,,YA,,,","K=Acc_Code,F={P2},O=B",H$1,$F599)</f>
        <v>#NAME?</v>
      </c>
      <c r="I599" s="34" t="e">
        <f ca="1">[2]!a_eb("CDT,{P1},,2017013,,YA,,,","K=Acc_Code,F={P2},O=B",I$1,$F599)</f>
        <v>#NAME?</v>
      </c>
    </row>
    <row r="600" spans="1:9">
      <c r="A600" s="11">
        <v>1140000000</v>
      </c>
      <c r="B600" s="20" t="s">
        <v>2082</v>
      </c>
      <c r="C600" s="28" t="e">
        <f t="shared" ca="1" si="8"/>
        <v>#N/A</v>
      </c>
      <c r="F600" s="3">
        <v>51060002</v>
      </c>
      <c r="G600" s="3">
        <v>6955030010</v>
      </c>
      <c r="H600" s="34" t="e">
        <f ca="1">[2]!a_eb("CDT,{P1},,2017013,,YA,,,","K=Acc_Code,F={P2},O=B",H$1,$F600)</f>
        <v>#NAME?</v>
      </c>
      <c r="I600" s="34" t="e">
        <f ca="1">[2]!a_eb("CDT,{P1},,2017013,,YA,,,","K=Acc_Code,F={P2},O=B",I$1,$F600)</f>
        <v>#NAME?</v>
      </c>
    </row>
    <row r="601" spans="1:9">
      <c r="A601" s="11">
        <v>1140000000</v>
      </c>
      <c r="B601" s="20" t="s">
        <v>2083</v>
      </c>
      <c r="C601" s="28" t="e">
        <f t="shared" ca="1" si="8"/>
        <v>#N/A</v>
      </c>
      <c r="F601" s="3">
        <v>510601</v>
      </c>
      <c r="G601" s="3">
        <v>6600000070</v>
      </c>
      <c r="H601" s="34" t="e">
        <f ca="1">[2]!a_eb("CDT,{P1},,2017013,,YA,,,","K=Acc_Code,F={P2},O=B",H$1,$F601)</f>
        <v>#NAME?</v>
      </c>
      <c r="I601" s="34" t="e">
        <f ca="1">[2]!a_eb("CDT,{P1},,2017013,,YA,,,","K=Acc_Code,F={P2},O=B",I$1,$F601)</f>
        <v>#NAME?</v>
      </c>
    </row>
    <row r="602" spans="1:9">
      <c r="A602" s="11">
        <v>1140000000</v>
      </c>
      <c r="B602" s="20" t="s">
        <v>2084</v>
      </c>
      <c r="C602" s="28" t="e">
        <f t="shared" ca="1" si="8"/>
        <v>#N/A</v>
      </c>
      <c r="F602" s="3">
        <v>510602</v>
      </c>
      <c r="G602" s="3">
        <v>6600100070</v>
      </c>
      <c r="H602" s="34" t="e">
        <f ca="1">[2]!a_eb("CDT,{P1},,2017013,,YA,,,","K=Acc_Code,F={P2},O=B",H$1,$F602)</f>
        <v>#NAME?</v>
      </c>
      <c r="I602" s="34" t="e">
        <f ca="1">[2]!a_eb("CDT,{P1},,2017013,,YA,,,","K=Acc_Code,F={P2},O=B",I$1,$F602)</f>
        <v>#NAME?</v>
      </c>
    </row>
    <row r="603" spans="1:9">
      <c r="A603" s="11">
        <v>1140000000</v>
      </c>
      <c r="B603" s="20" t="s">
        <v>2085</v>
      </c>
      <c r="C603" s="28" t="e">
        <f t="shared" ca="1" si="8"/>
        <v>#N/A</v>
      </c>
      <c r="F603" s="3">
        <v>510603</v>
      </c>
      <c r="G603" s="3">
        <v>6600200070</v>
      </c>
      <c r="H603" s="34" t="e">
        <f ca="1">[2]!a_eb("CDT,{P1},,2017013,,YA,,,","K=Acc_Code,F={P2},O=B",H$1,$F603)</f>
        <v>#NAME?</v>
      </c>
      <c r="I603" s="34" t="e">
        <f ca="1">[2]!a_eb("CDT,{P1},,2017013,,YA,,,","K=Acc_Code,F={P2},O=B",I$1,$F603)</f>
        <v>#NAME?</v>
      </c>
    </row>
    <row r="604" spans="1:9">
      <c r="A604" s="11">
        <v>1140000000</v>
      </c>
      <c r="B604" s="20" t="s">
        <v>2086</v>
      </c>
      <c r="C604" s="28" t="e">
        <f t="shared" ca="1" si="8"/>
        <v>#N/A</v>
      </c>
      <c r="F604" s="3">
        <v>51060401</v>
      </c>
      <c r="G604" s="3">
        <v>6600000000</v>
      </c>
      <c r="H604" s="34" t="e">
        <f ca="1">[2]!a_eb("CDT,{P1},,2017013,,YA,,,","K=Acc_Code,F={P2},O=B",H$1,$F604)</f>
        <v>#NAME?</v>
      </c>
      <c r="I604" s="34" t="e">
        <f ca="1">[2]!a_eb("CDT,{P1},,2017013,,YA,,,","K=Acc_Code,F={P2},O=B",I$1,$F604)</f>
        <v>#NAME?</v>
      </c>
    </row>
    <row r="605" spans="1:9">
      <c r="A605" s="11">
        <v>1140000000</v>
      </c>
      <c r="B605" s="20" t="s">
        <v>2087</v>
      </c>
      <c r="C605" s="28" t="e">
        <f t="shared" ca="1" si="8"/>
        <v>#N/A</v>
      </c>
      <c r="F605" s="3">
        <v>51060402</v>
      </c>
      <c r="G605" s="3">
        <v>6610000000</v>
      </c>
      <c r="H605" s="34" t="e">
        <f ca="1">[2]!a_eb("CDT,{P1},,2017013,,YA,,,","K=Acc_Code,F={P2},O=B",H$1,$F605)</f>
        <v>#NAME?</v>
      </c>
      <c r="I605" s="34" t="e">
        <f ca="1">[2]!a_eb("CDT,{P1},,2017013,,YA,,,","K=Acc_Code,F={P2},O=B",I$1,$F605)</f>
        <v>#NAME?</v>
      </c>
    </row>
    <row r="606" spans="1:9">
      <c r="A606" s="11">
        <v>1140000000</v>
      </c>
      <c r="B606" s="20" t="s">
        <v>2088</v>
      </c>
      <c r="C606" s="28" t="e">
        <f t="shared" ca="1" si="8"/>
        <v>#N/A</v>
      </c>
      <c r="F606" s="3">
        <v>51060403</v>
      </c>
      <c r="G606" s="3">
        <v>6610000100</v>
      </c>
      <c r="H606" s="34" t="e">
        <f ca="1">[2]!a_eb("CDT,{P1},,2017013,,YA,,,","K=Acc_Code,F={P2},O=B",H$1,$F606)</f>
        <v>#NAME?</v>
      </c>
      <c r="I606" s="34" t="e">
        <f ca="1">[2]!a_eb("CDT,{P1},,2017013,,YA,,,","K=Acc_Code,F={P2},O=B",I$1,$F606)</f>
        <v>#NAME?</v>
      </c>
    </row>
    <row r="607" spans="1:9">
      <c r="A607" s="11">
        <v>1140000000</v>
      </c>
      <c r="B607" s="20" t="s">
        <v>2089</v>
      </c>
      <c r="C607" s="28" t="e">
        <f t="shared" ca="1" si="8"/>
        <v>#N/A</v>
      </c>
      <c r="F607" s="3">
        <v>51060404</v>
      </c>
      <c r="G607" s="3">
        <v>6600100000</v>
      </c>
      <c r="H607" s="34" t="e">
        <f ca="1">[2]!a_eb("CDT,{P1},,2017013,,YA,,,","K=Acc_Code,F={P2},O=B",H$1,$F607)</f>
        <v>#NAME?</v>
      </c>
      <c r="I607" s="34" t="e">
        <f ca="1">[2]!a_eb("CDT,{P1},,2017013,,YA,,,","K=Acc_Code,F={P2},O=B",I$1,$F607)</f>
        <v>#NAME?</v>
      </c>
    </row>
    <row r="608" spans="1:9">
      <c r="A608" s="11">
        <v>1140000000</v>
      </c>
      <c r="B608" s="20" t="s">
        <v>2090</v>
      </c>
      <c r="C608" s="28" t="e">
        <f t="shared" ca="1" si="8"/>
        <v>#N/A</v>
      </c>
      <c r="F608" s="3">
        <v>51060405</v>
      </c>
      <c r="G608" s="3">
        <v>6610100000</v>
      </c>
      <c r="H608" s="34" t="e">
        <f ca="1">[2]!a_eb("CDT,{P1},,2017013,,YA,,,","K=Acc_Code,F={P2},O=B",H$1,$F608)</f>
        <v>#NAME?</v>
      </c>
      <c r="I608" s="34" t="e">
        <f ca="1">[2]!a_eb("CDT,{P1},,2017013,,YA,,,","K=Acc_Code,F={P2},O=B",I$1,$F608)</f>
        <v>#NAME?</v>
      </c>
    </row>
    <row r="609" spans="1:9">
      <c r="A609" s="11">
        <v>1140000000</v>
      </c>
      <c r="B609" s="20" t="s">
        <v>2091</v>
      </c>
      <c r="C609" s="28" t="e">
        <f t="shared" ca="1" si="8"/>
        <v>#N/A</v>
      </c>
      <c r="F609" s="3">
        <v>51060406</v>
      </c>
      <c r="G609" s="3">
        <v>6610100100</v>
      </c>
      <c r="H609" s="34" t="e">
        <f ca="1">[2]!a_eb("CDT,{P1},,2017013,,YA,,,","K=Acc_Code,F={P2},O=B",H$1,$F609)</f>
        <v>#NAME?</v>
      </c>
      <c r="I609" s="34" t="e">
        <f ca="1">[2]!a_eb("CDT,{P1},,2017013,,YA,,,","K=Acc_Code,F={P2},O=B",I$1,$F609)</f>
        <v>#NAME?</v>
      </c>
    </row>
    <row r="610" spans="1:9">
      <c r="A610" s="11">
        <v>1140000000</v>
      </c>
      <c r="B610" s="20" t="s">
        <v>2092</v>
      </c>
      <c r="C610" s="28" t="e">
        <f t="shared" ca="1" si="8"/>
        <v>#N/A</v>
      </c>
      <c r="F610" s="3">
        <v>51060407</v>
      </c>
      <c r="G610" s="3">
        <v>6600200000</v>
      </c>
      <c r="H610" s="34" t="e">
        <f ca="1">[2]!a_eb("CDT,{P1},,2017013,,YA,,,","K=Acc_Code,F={P2},O=B",H$1,$F610)</f>
        <v>#NAME?</v>
      </c>
      <c r="I610" s="34" t="e">
        <f ca="1">[2]!a_eb("CDT,{P1},,2017013,,YA,,,","K=Acc_Code,F={P2},O=B",I$1,$F610)</f>
        <v>#NAME?</v>
      </c>
    </row>
    <row r="611" spans="1:9">
      <c r="A611" s="11">
        <v>1140000000</v>
      </c>
      <c r="B611" s="20" t="s">
        <v>2093</v>
      </c>
      <c r="C611" s="28" t="e">
        <f t="shared" ca="1" si="8"/>
        <v>#N/A</v>
      </c>
      <c r="F611" s="3">
        <v>5106050101</v>
      </c>
      <c r="G611" s="3">
        <v>6901030160</v>
      </c>
      <c r="H611" s="34" t="e">
        <f ca="1">[2]!a_eb("CDT,{P1},,2017013,,YA,,,","K=Acc_Code,F={P2},O=B",H$1,$F611)</f>
        <v>#NAME?</v>
      </c>
      <c r="I611" s="34" t="e">
        <f ca="1">[2]!a_eb("CDT,{P1},,2017013,,YA,,,","K=Acc_Code,F={P2},O=B",I$1,$F611)</f>
        <v>#NAME?</v>
      </c>
    </row>
    <row r="612" spans="1:9">
      <c r="A612" s="11">
        <v>1140000000</v>
      </c>
      <c r="B612" s="20" t="s">
        <v>2094</v>
      </c>
      <c r="C612" s="28" t="e">
        <f t="shared" ca="1" si="8"/>
        <v>#N/A</v>
      </c>
      <c r="F612" s="3">
        <v>5106050102</v>
      </c>
      <c r="G612" s="3">
        <v>6900000730</v>
      </c>
      <c r="H612" s="34" t="e">
        <f ca="1">[2]!a_eb("CDT,{P1},,2017013,,YA,,,","K=Acc_Code,F={P2},O=B",H$1,$F612)</f>
        <v>#NAME?</v>
      </c>
      <c r="I612" s="34" t="e">
        <f ca="1">[2]!a_eb("CDT,{P1},,2017013,,YA,,,","K=Acc_Code,F={P2},O=B",I$1,$F612)</f>
        <v>#NAME?</v>
      </c>
    </row>
    <row r="613" spans="1:9">
      <c r="A613" s="11">
        <v>1140000000</v>
      </c>
      <c r="B613" s="20" t="s">
        <v>2095</v>
      </c>
      <c r="C613" s="28" t="e">
        <f t="shared" ca="1" si="8"/>
        <v>#N/A</v>
      </c>
      <c r="F613" s="3">
        <v>5106050104</v>
      </c>
      <c r="G613" s="3">
        <v>6900100360</v>
      </c>
      <c r="H613" s="34" t="e">
        <f ca="1">[2]!a_eb("CDT,{P1},,2017013,,YA,,,","K=Acc_Code,F={P2},O=B",H$1,$F613)</f>
        <v>#NAME?</v>
      </c>
      <c r="I613" s="34" t="e">
        <f ca="1">[2]!a_eb("CDT,{P1},,2017013,,YA,,,","K=Acc_Code,F={P2},O=B",I$1,$F613)</f>
        <v>#NAME?</v>
      </c>
    </row>
    <row r="614" spans="1:9">
      <c r="A614" s="11">
        <v>1140000000</v>
      </c>
      <c r="B614" s="20" t="s">
        <v>2096</v>
      </c>
      <c r="C614" s="28" t="e">
        <f t="shared" ca="1" si="8"/>
        <v>#N/A</v>
      </c>
      <c r="F614" s="3">
        <v>5106050105</v>
      </c>
      <c r="G614" s="3">
        <v>6900000731</v>
      </c>
      <c r="H614" s="34" t="e">
        <f ca="1">[2]!a_eb("CDT,{P1},,2017013,,YA,,,","K=Acc_Code,F={P2},O=B",H$1,$F614)</f>
        <v>#NAME?</v>
      </c>
      <c r="I614" s="34" t="e">
        <f ca="1">[2]!a_eb("CDT,{P1},,2017013,,YA,,,","K=Acc_Code,F={P2},O=B",I$1,$F614)</f>
        <v>#NAME?</v>
      </c>
    </row>
    <row r="615" spans="1:9">
      <c r="A615" s="11">
        <v>1140000000</v>
      </c>
      <c r="B615" s="20" t="s">
        <v>2097</v>
      </c>
      <c r="C615" s="28" t="e">
        <f t="shared" ca="1" si="8"/>
        <v>#N/A</v>
      </c>
      <c r="F615" s="3">
        <v>5106050106</v>
      </c>
      <c r="G615" s="3">
        <v>6900000732</v>
      </c>
      <c r="H615" s="34" t="e">
        <f ca="1">[2]!a_eb("CDT,{P1},,2017013,,YA,,,","K=Acc_Code,F={P2},O=B",H$1,$F615)</f>
        <v>#NAME?</v>
      </c>
      <c r="I615" s="34" t="e">
        <f ca="1">[2]!a_eb("CDT,{P1},,2017013,,YA,,,","K=Acc_Code,F={P2},O=B",I$1,$F615)</f>
        <v>#NAME?</v>
      </c>
    </row>
    <row r="616" spans="1:9">
      <c r="A616" s="11">
        <v>1140000000</v>
      </c>
      <c r="B616" s="20" t="s">
        <v>2098</v>
      </c>
      <c r="C616" s="28" t="e">
        <f t="shared" ca="1" si="8"/>
        <v>#N/A</v>
      </c>
      <c r="F616" s="3">
        <v>5106050108</v>
      </c>
      <c r="G616" s="3">
        <v>6900100361</v>
      </c>
      <c r="H616" s="34" t="e">
        <f ca="1">[2]!a_eb("CDT,{P1},,2017013,,YA,,,","K=Acc_Code,F={P2},O=B",H$1,$F616)</f>
        <v>#NAME?</v>
      </c>
      <c r="I616" s="34" t="e">
        <f ca="1">[2]!a_eb("CDT,{P1},,2017013,,YA,,,","K=Acc_Code,F={P2},O=B",I$1,$F616)</f>
        <v>#NAME?</v>
      </c>
    </row>
    <row r="617" spans="1:9">
      <c r="A617" s="11">
        <v>1140000000</v>
      </c>
      <c r="B617" s="20" t="s">
        <v>2099</v>
      </c>
      <c r="C617" s="28" t="e">
        <f t="shared" ca="1" si="8"/>
        <v>#N/A</v>
      </c>
      <c r="F617" s="3">
        <v>5106050109</v>
      </c>
      <c r="G617" s="3">
        <v>6901030161</v>
      </c>
      <c r="H617" s="34" t="e">
        <f ca="1">[2]!a_eb("CDT,{P1},,2017013,,YA,,,","K=Acc_Code,F={P2},O=B",H$1,$F617)</f>
        <v>#NAME?</v>
      </c>
      <c r="I617" s="34" t="e">
        <f ca="1">[2]!a_eb("CDT,{P1},,2017013,,YA,,,","K=Acc_Code,F={P2},O=B",I$1,$F617)</f>
        <v>#NAME?</v>
      </c>
    </row>
    <row r="618" spans="1:9">
      <c r="A618" s="11">
        <v>1140000000</v>
      </c>
      <c r="B618" s="20" t="s">
        <v>2100</v>
      </c>
      <c r="C618" s="28" t="e">
        <f t="shared" ref="C618:C681" ca="1" si="9">VLOOKUP(B618,F:G,2,0)</f>
        <v>#N/A</v>
      </c>
      <c r="F618" s="3">
        <v>5106050111</v>
      </c>
      <c r="G618" s="3">
        <v>6900000400</v>
      </c>
      <c r="H618" s="34" t="e">
        <f ca="1">[2]!a_eb("CDT,{P1},,2017013,,YA,,,","K=Acc_Code,F={P2},O=B",H$1,$F618)</f>
        <v>#NAME?</v>
      </c>
      <c r="I618" s="34" t="e">
        <f ca="1">[2]!a_eb("CDT,{P1},,2017013,,YA,,,","K=Acc_Code,F={P2},O=B",I$1,$F618)</f>
        <v>#NAME?</v>
      </c>
    </row>
    <row r="619" spans="1:9">
      <c r="A619" s="11">
        <v>1140000000</v>
      </c>
      <c r="B619" s="20" t="s">
        <v>2101</v>
      </c>
      <c r="C619" s="28" t="e">
        <f t="shared" ca="1" si="9"/>
        <v>#N/A</v>
      </c>
      <c r="F619" s="3">
        <v>5106050112</v>
      </c>
      <c r="G619" s="3">
        <v>6900100120</v>
      </c>
      <c r="H619" s="34" t="e">
        <f ca="1">[2]!a_eb("CDT,{P1},,2017013,,YA,,,","K=Acc_Code,F={P2},O=B",H$1,$F619)</f>
        <v>#NAME?</v>
      </c>
      <c r="I619" s="34" t="e">
        <f ca="1">[2]!a_eb("CDT,{P1},,2017013,,YA,,,","K=Acc_Code,F={P2},O=B",I$1,$F619)</f>
        <v>#NAME?</v>
      </c>
    </row>
    <row r="620" spans="1:9">
      <c r="A620" s="11">
        <v>1140000000</v>
      </c>
      <c r="B620" s="20" t="s">
        <v>2102</v>
      </c>
      <c r="C620" s="28" t="e">
        <f t="shared" ca="1" si="9"/>
        <v>#N/A</v>
      </c>
      <c r="F620" s="3">
        <v>5106050113</v>
      </c>
      <c r="G620" s="3">
        <v>6900000030</v>
      </c>
      <c r="H620" s="34" t="e">
        <f ca="1">[2]!a_eb("CDT,{P1},,2017013,,YA,,,","K=Acc_Code,F={P2},O=B",H$1,$F620)</f>
        <v>#NAME?</v>
      </c>
      <c r="I620" s="34" t="e">
        <f ca="1">[2]!a_eb("CDT,{P1},,2017013,,YA,,,","K=Acc_Code,F={P2},O=B",I$1,$F620)</f>
        <v>#NAME?</v>
      </c>
    </row>
    <row r="621" spans="1:9">
      <c r="A621" s="11">
        <v>1140000000</v>
      </c>
      <c r="B621" s="20" t="s">
        <v>2103</v>
      </c>
      <c r="C621" s="28" t="e">
        <f t="shared" ca="1" si="9"/>
        <v>#N/A</v>
      </c>
      <c r="F621" s="3">
        <v>5106050115</v>
      </c>
      <c r="G621" s="3">
        <v>6900000733</v>
      </c>
      <c r="H621" s="34" t="e">
        <f ca="1">[2]!a_eb("CDT,{P1},,2017013,,YA,,,","K=Acc_Code,F={P2},O=B",H$1,$F621)</f>
        <v>#NAME?</v>
      </c>
      <c r="I621" s="34" t="e">
        <f ca="1">[2]!a_eb("CDT,{P1},,2017013,,YA,,,","K=Acc_Code,F={P2},O=B",I$1,$F621)</f>
        <v>#NAME?</v>
      </c>
    </row>
    <row r="622" spans="1:9">
      <c r="A622" s="11">
        <v>1140000000</v>
      </c>
      <c r="B622" s="20" t="s">
        <v>2104</v>
      </c>
      <c r="C622" s="28" t="e">
        <f t="shared" ca="1" si="9"/>
        <v>#N/A</v>
      </c>
      <c r="F622" s="3">
        <v>5106050116</v>
      </c>
      <c r="G622" s="3">
        <v>6900000734</v>
      </c>
      <c r="H622" s="34" t="e">
        <f ca="1">[2]!a_eb("CDT,{P1},,2017013,,YA,,,","K=Acc_Code,F={P2},O=B",H$1,$F622)</f>
        <v>#NAME?</v>
      </c>
      <c r="I622" s="34" t="e">
        <f ca="1">[2]!a_eb("CDT,{P1},,2017013,,YA,,,","K=Acc_Code,F={P2},O=B",I$1,$F622)</f>
        <v>#NAME?</v>
      </c>
    </row>
    <row r="623" spans="1:9">
      <c r="A623" s="11">
        <v>1140000000</v>
      </c>
      <c r="B623" s="20" t="s">
        <v>2105</v>
      </c>
      <c r="C623" s="28" t="e">
        <f t="shared" ca="1" si="9"/>
        <v>#N/A</v>
      </c>
      <c r="F623" s="3">
        <v>5106050117</v>
      </c>
      <c r="G623" s="3">
        <v>6900000735</v>
      </c>
      <c r="H623" s="34" t="e">
        <f ca="1">[2]!a_eb("CDT,{P1},,2017013,,YA,,,","K=Acc_Code,F={P2},O=B",H$1,$F623)</f>
        <v>#NAME?</v>
      </c>
      <c r="I623" s="34" t="e">
        <f ca="1">[2]!a_eb("CDT,{P1},,2017013,,YA,,,","K=Acc_Code,F={P2},O=B",I$1,$F623)</f>
        <v>#NAME?</v>
      </c>
    </row>
    <row r="624" spans="1:9">
      <c r="A624" s="11">
        <v>1140000000</v>
      </c>
      <c r="B624" s="20" t="s">
        <v>2106</v>
      </c>
      <c r="C624" s="28" t="e">
        <f t="shared" ca="1" si="9"/>
        <v>#N/A</v>
      </c>
      <c r="F624" s="3">
        <v>5106050118</v>
      </c>
      <c r="G624" s="3">
        <v>6901020010</v>
      </c>
      <c r="H624" s="34" t="e">
        <f ca="1">[2]!a_eb("CDT,{P1},,2017013,,YA,,,","K=Acc_Code,F={P2},O=B",H$1,$F624)</f>
        <v>#NAME?</v>
      </c>
      <c r="I624" s="34" t="e">
        <f ca="1">[2]!a_eb("CDT,{P1},,2017013,,YA,,,","K=Acc_Code,F={P2},O=B",I$1,$F624)</f>
        <v>#NAME?</v>
      </c>
    </row>
    <row r="625" spans="1:9">
      <c r="A625" s="11">
        <v>1140000000</v>
      </c>
      <c r="B625" s="20" t="s">
        <v>2107</v>
      </c>
      <c r="C625" s="28" t="e">
        <f t="shared" ca="1" si="9"/>
        <v>#N/A</v>
      </c>
      <c r="F625" s="3">
        <v>5106050119</v>
      </c>
      <c r="G625" s="3">
        <v>6901230001</v>
      </c>
      <c r="H625" s="34" t="e">
        <f ca="1">[2]!a_eb("CDT,{P1},,2017013,,YA,,,","K=Acc_Code,F={P2},O=B",H$1,$F625)</f>
        <v>#NAME?</v>
      </c>
      <c r="I625" s="34" t="e">
        <f ca="1">[2]!a_eb("CDT,{P1},,2017013,,YA,,,","K=Acc_Code,F={P2},O=B",I$1,$F625)</f>
        <v>#NAME?</v>
      </c>
    </row>
    <row r="626" spans="1:9">
      <c r="A626" s="11">
        <v>1140000000</v>
      </c>
      <c r="B626" s="20" t="s">
        <v>2108</v>
      </c>
      <c r="C626" s="28" t="e">
        <f t="shared" ca="1" si="9"/>
        <v>#N/A</v>
      </c>
      <c r="F626" s="3">
        <v>5106050120</v>
      </c>
      <c r="G626" s="3">
        <v>6900200000</v>
      </c>
      <c r="H626" s="34" t="e">
        <f ca="1">[2]!a_eb("CDT,{P1},,2017013,,YA,,,","K=Acc_Code,F={P2},O=B",H$1,$F626)</f>
        <v>#NAME?</v>
      </c>
      <c r="I626" s="34" t="e">
        <f ca="1">[2]!a_eb("CDT,{P1},,2017013,,YA,,,","K=Acc_Code,F={P2},O=B",I$1,$F626)</f>
        <v>#NAME?</v>
      </c>
    </row>
    <row r="627" spans="1:9">
      <c r="A627" s="11">
        <v>1140000000</v>
      </c>
      <c r="B627" s="20" t="s">
        <v>2109</v>
      </c>
      <c r="C627" s="28" t="e">
        <f t="shared" ca="1" si="9"/>
        <v>#N/A</v>
      </c>
      <c r="F627" s="3">
        <v>5106050121</v>
      </c>
      <c r="G627" s="3">
        <v>6900200001</v>
      </c>
      <c r="H627" s="34" t="e">
        <f ca="1">[2]!a_eb("CDT,{P1},,2017013,,YA,,,","K=Acc_Code,F={P2},O=B",H$1,$F627)</f>
        <v>#NAME?</v>
      </c>
      <c r="I627" s="34" t="e">
        <f ca="1">[2]!a_eb("CDT,{P1},,2017013,,YA,,,","K=Acc_Code,F={P2},O=B",I$1,$F627)</f>
        <v>#NAME?</v>
      </c>
    </row>
    <row r="628" spans="1:9">
      <c r="A628" s="11">
        <v>1140000000</v>
      </c>
      <c r="B628" s="20" t="s">
        <v>2110</v>
      </c>
      <c r="C628" s="28" t="e">
        <f t="shared" ca="1" si="9"/>
        <v>#N/A</v>
      </c>
      <c r="F628" s="3">
        <v>5106050122</v>
      </c>
      <c r="G628" s="3">
        <v>6900200002</v>
      </c>
      <c r="H628" s="34" t="e">
        <f ca="1">[2]!a_eb("CDT,{P1},,2017013,,YA,,,","K=Acc_Code,F={P2},O=B",H$1,$F628)</f>
        <v>#NAME?</v>
      </c>
      <c r="I628" s="34" t="e">
        <f ca="1">[2]!a_eb("CDT,{P1},,2017013,,YA,,,","K=Acc_Code,F={P2},O=B",I$1,$F628)</f>
        <v>#NAME?</v>
      </c>
    </row>
    <row r="629" spans="1:9">
      <c r="A629" s="36" t="s">
        <v>1543</v>
      </c>
      <c r="B629" s="20" t="s">
        <v>2111</v>
      </c>
      <c r="C629" s="28" t="e">
        <f t="shared" ca="1" si="9"/>
        <v>#N/A</v>
      </c>
      <c r="F629" s="3">
        <v>5106050123</v>
      </c>
      <c r="G629" s="3">
        <v>6901230002</v>
      </c>
      <c r="H629" s="34" t="e">
        <f ca="1">[2]!a_eb("CDT,{P1},,2017013,,YA,,,","K=Acc_Code,F={P2},O=B",H$1,$F629)</f>
        <v>#NAME?</v>
      </c>
      <c r="I629" s="34" t="e">
        <f ca="1">[2]!a_eb("CDT,{P1},,2017013,,YA,,,","K=Acc_Code,F={P2},O=B",I$1,$F629)</f>
        <v>#NAME?</v>
      </c>
    </row>
    <row r="630" spans="1:9">
      <c r="A630" s="36" t="s">
        <v>1543</v>
      </c>
      <c r="B630" s="20" t="s">
        <v>2112</v>
      </c>
      <c r="C630" s="28" t="e">
        <f t="shared" ca="1" si="9"/>
        <v>#N/A</v>
      </c>
      <c r="F630" s="3">
        <v>5106050129</v>
      </c>
      <c r="G630" s="3">
        <v>6900200003</v>
      </c>
      <c r="H630" s="34" t="e">
        <f ca="1">[2]!a_eb("CDT,{P1},,2017013,,YA,,,","K=Acc_Code,F={P2},O=B",H$1,$F630)</f>
        <v>#NAME?</v>
      </c>
      <c r="I630" s="34" t="e">
        <f ca="1">[2]!a_eb("CDT,{P1},,2017013,,YA,,,","K=Acc_Code,F={P2},O=B",I$1,$F630)</f>
        <v>#NAME?</v>
      </c>
    </row>
    <row r="631" spans="1:9">
      <c r="A631" s="36" t="s">
        <v>1543</v>
      </c>
      <c r="B631" s="20" t="s">
        <v>2113</v>
      </c>
      <c r="C631" s="28" t="e">
        <f t="shared" ca="1" si="9"/>
        <v>#N/A</v>
      </c>
      <c r="F631" s="3">
        <v>5106050130</v>
      </c>
      <c r="G631" s="3">
        <v>6900200004</v>
      </c>
      <c r="H631" s="34" t="e">
        <f ca="1">[2]!a_eb("CDT,{P1},,2017013,,YA,,,","K=Acc_Code,F={P2},O=B",H$1,$F631)</f>
        <v>#NAME?</v>
      </c>
      <c r="I631" s="34" t="e">
        <f ca="1">[2]!a_eb("CDT,{P1},,2017013,,YA,,,","K=Acc_Code,F={P2},O=B",I$1,$F631)</f>
        <v>#NAME?</v>
      </c>
    </row>
    <row r="632" spans="1:9">
      <c r="A632" s="36" t="s">
        <v>1543</v>
      </c>
      <c r="B632" s="20" t="s">
        <v>2114</v>
      </c>
      <c r="C632" s="28" t="e">
        <f t="shared" ca="1" si="9"/>
        <v>#N/A</v>
      </c>
      <c r="F632" s="3">
        <v>5106050131</v>
      </c>
      <c r="G632" s="3">
        <v>6901020011</v>
      </c>
      <c r="H632" s="34" t="e">
        <f ca="1">[2]!a_eb("CDT,{P1},,2017013,,YA,,,","K=Acc_Code,F={P2},O=B",H$1,$F632)</f>
        <v>#NAME?</v>
      </c>
      <c r="I632" s="34" t="e">
        <f ca="1">[2]!a_eb("CDT,{P1},,2017013,,YA,,,","K=Acc_Code,F={P2},O=B",I$1,$F632)</f>
        <v>#NAME?</v>
      </c>
    </row>
    <row r="633" spans="1:9">
      <c r="A633" s="36" t="s">
        <v>1543</v>
      </c>
      <c r="B633" s="20" t="s">
        <v>2115</v>
      </c>
      <c r="C633" s="28" t="e">
        <f t="shared" ca="1" si="9"/>
        <v>#N/A</v>
      </c>
      <c r="F633" s="3">
        <v>5106050132</v>
      </c>
      <c r="G633" s="3">
        <v>6901030162</v>
      </c>
      <c r="H633" s="34" t="e">
        <f ca="1">[2]!a_eb("CDT,{P1},,2017013,,YA,,,","K=Acc_Code,F={P2},O=B",H$1,$F633)</f>
        <v>#NAME?</v>
      </c>
      <c r="I633" s="34" t="e">
        <f ca="1">[2]!a_eb("CDT,{P1},,2017013,,YA,,,","K=Acc_Code,F={P2},O=B",I$1,$F633)</f>
        <v>#NAME?</v>
      </c>
    </row>
    <row r="634" spans="1:9">
      <c r="A634" s="36" t="s">
        <v>1543</v>
      </c>
      <c r="B634" s="20" t="s">
        <v>2116</v>
      </c>
      <c r="C634" s="28" t="e">
        <f t="shared" ca="1" si="9"/>
        <v>#N/A</v>
      </c>
      <c r="F634" s="3">
        <v>5106050133</v>
      </c>
      <c r="G634" s="3">
        <v>6901230005</v>
      </c>
      <c r="H634" s="34" t="e">
        <f ca="1">[2]!a_eb("CDT,{P1},,2017013,,YA,,,","K=Acc_Code,F={P2},O=B",H$1,$F634)</f>
        <v>#NAME?</v>
      </c>
      <c r="I634" s="34" t="e">
        <f ca="1">[2]!a_eb("CDT,{P1},,2017013,,YA,,,","K=Acc_Code,F={P2},O=B",I$1,$F634)</f>
        <v>#NAME?</v>
      </c>
    </row>
    <row r="635" spans="1:9">
      <c r="A635" s="36" t="s">
        <v>1543</v>
      </c>
      <c r="B635" s="20" t="s">
        <v>2117</v>
      </c>
      <c r="C635" s="28" t="e">
        <f t="shared" ca="1" si="9"/>
        <v>#N/A</v>
      </c>
      <c r="F635" s="3">
        <v>5106050138</v>
      </c>
      <c r="G635" s="3">
        <v>6901020012</v>
      </c>
      <c r="H635" s="34" t="e">
        <f ca="1">[2]!a_eb("CDT,{P1},,2017013,,YA,,,","K=Acc_Code,F={P2},O=B",H$1,$F635)</f>
        <v>#NAME?</v>
      </c>
      <c r="I635" s="34" t="e">
        <f ca="1">[2]!a_eb("CDT,{P1},,2017013,,YA,,,","K=Acc_Code,F={P2},O=B",I$1,$F635)</f>
        <v>#NAME?</v>
      </c>
    </row>
    <row r="636" spans="1:9">
      <c r="A636" s="36" t="s">
        <v>1543</v>
      </c>
      <c r="B636" s="20" t="s">
        <v>2118</v>
      </c>
      <c r="C636" s="28" t="e">
        <f t="shared" ca="1" si="9"/>
        <v>#N/A</v>
      </c>
      <c r="F636" s="3">
        <v>5106050139</v>
      </c>
      <c r="G636" s="3">
        <v>6901020013</v>
      </c>
      <c r="H636" s="34" t="e">
        <f ca="1">[2]!a_eb("CDT,{P1},,2017013,,YA,,,","K=Acc_Code,F={P2},O=B",H$1,$F636)</f>
        <v>#NAME?</v>
      </c>
      <c r="I636" s="34" t="e">
        <f ca="1">[2]!a_eb("CDT,{P1},,2017013,,YA,,,","K=Acc_Code,F={P2},O=B",I$1,$F636)</f>
        <v>#NAME?</v>
      </c>
    </row>
    <row r="637" spans="1:9">
      <c r="A637" s="36" t="s">
        <v>1543</v>
      </c>
      <c r="B637" s="20" t="s">
        <v>2119</v>
      </c>
      <c r="C637" s="28" t="e">
        <f t="shared" ca="1" si="9"/>
        <v>#N/A</v>
      </c>
      <c r="F637" s="3">
        <v>5106050140</v>
      </c>
      <c r="G637" s="3">
        <v>6901020018</v>
      </c>
      <c r="H637" s="34" t="e">
        <f ca="1">[2]!a_eb("CDT,{P1},,2017013,,YA,,,","K=Acc_Code,F={P2},O=B",H$1,$F637)</f>
        <v>#NAME?</v>
      </c>
      <c r="I637" s="34" t="e">
        <f ca="1">[2]!a_eb("CDT,{P1},,2017013,,YA,,,","K=Acc_Code,F={P2},O=B",I$1,$F637)</f>
        <v>#NAME?</v>
      </c>
    </row>
    <row r="638" spans="1:9">
      <c r="A638" s="36" t="s">
        <v>1543</v>
      </c>
      <c r="B638" s="20" t="s">
        <v>2120</v>
      </c>
      <c r="C638" s="28" t="e">
        <f t="shared" ca="1" si="9"/>
        <v>#N/A</v>
      </c>
      <c r="F638" s="3">
        <v>5106050141</v>
      </c>
      <c r="G638" s="3">
        <v>6901020019</v>
      </c>
      <c r="H638" s="34" t="e">
        <f ca="1">[2]!a_eb("CDT,{P1},,2017013,,YA,,,","K=Acc_Code,F={P2},O=B",H$1,$F638)</f>
        <v>#NAME?</v>
      </c>
      <c r="I638" s="34" t="e">
        <f ca="1">[2]!a_eb("CDT,{P1},,2017013,,YA,,,","K=Acc_Code,F={P2},O=B",I$1,$F638)</f>
        <v>#NAME?</v>
      </c>
    </row>
    <row r="639" spans="1:9">
      <c r="A639" s="36" t="s">
        <v>1543</v>
      </c>
      <c r="B639" s="20" t="s">
        <v>2121</v>
      </c>
      <c r="C639" s="28" t="e">
        <f t="shared" ca="1" si="9"/>
        <v>#N/A</v>
      </c>
      <c r="F639" s="3">
        <v>5106050203</v>
      </c>
      <c r="G639" s="3">
        <v>6910000000</v>
      </c>
      <c r="H639" s="34" t="e">
        <f ca="1">[2]!a_eb("CDT,{P1},,2017013,,YA,,,","K=Acc_Code,F={P2},O=B",H$1,$F639)</f>
        <v>#NAME?</v>
      </c>
      <c r="I639" s="34" t="e">
        <f ca="1">[2]!a_eb("CDT,{P1},,2017013,,YA,,,","K=Acc_Code,F={P2},O=B",I$1,$F639)</f>
        <v>#NAME?</v>
      </c>
    </row>
    <row r="640" spans="1:9">
      <c r="A640" s="36" t="s">
        <v>1543</v>
      </c>
      <c r="B640" s="20" t="s">
        <v>2122</v>
      </c>
      <c r="C640" s="28" t="e">
        <f t="shared" ca="1" si="9"/>
        <v>#N/A</v>
      </c>
      <c r="F640" s="3">
        <v>5106050204</v>
      </c>
      <c r="G640" s="3">
        <v>6910000001</v>
      </c>
      <c r="H640" s="34" t="e">
        <f ca="1">[2]!a_eb("CDT,{P1},,2017013,,YA,,,","K=Acc_Code,F={P2},O=B",H$1,$F640)</f>
        <v>#NAME?</v>
      </c>
      <c r="I640" s="34" t="e">
        <f ca="1">[2]!a_eb("CDT,{P1},,2017013,,YA,,,","K=Acc_Code,F={P2},O=B",I$1,$F640)</f>
        <v>#NAME?</v>
      </c>
    </row>
    <row r="641" spans="1:9">
      <c r="A641" s="36" t="s">
        <v>1543</v>
      </c>
      <c r="B641" s="20" t="s">
        <v>2123</v>
      </c>
      <c r="C641" s="28" t="e">
        <f t="shared" ca="1" si="9"/>
        <v>#N/A</v>
      </c>
      <c r="F641" s="3">
        <v>5106050210</v>
      </c>
      <c r="G641" s="3">
        <v>6910000002</v>
      </c>
      <c r="H641" s="34" t="e">
        <f ca="1">[2]!a_eb("CDT,{P1},,2017013,,YA,,,","K=Acc_Code,F={P2},O=B",H$1,$F641)</f>
        <v>#NAME?</v>
      </c>
      <c r="I641" s="34" t="e">
        <f ca="1">[2]!a_eb("CDT,{P1},,2017013,,YA,,,","K=Acc_Code,F={P2},O=B",I$1,$F641)</f>
        <v>#NAME?</v>
      </c>
    </row>
    <row r="642" spans="1:9">
      <c r="A642" s="36" t="s">
        <v>1543</v>
      </c>
      <c r="B642" s="20" t="s">
        <v>2124</v>
      </c>
      <c r="C642" s="28" t="e">
        <f t="shared" ca="1" si="9"/>
        <v>#N/A</v>
      </c>
      <c r="F642" s="3">
        <v>5106050211</v>
      </c>
      <c r="G642" s="3">
        <v>6901030163</v>
      </c>
      <c r="H642" s="34" t="e">
        <f ca="1">[2]!a_eb("CDT,{P1},,2017013,,YA,,,","K=Acc_Code,F={P2},O=B",H$1,$F642)</f>
        <v>#NAME?</v>
      </c>
      <c r="I642" s="34" t="e">
        <f ca="1">[2]!a_eb("CDT,{P1},,2017013,,YA,,,","K=Acc_Code,F={P2},O=B",I$1,$F642)</f>
        <v>#NAME?</v>
      </c>
    </row>
    <row r="643" spans="1:9">
      <c r="A643" s="36" t="s">
        <v>1543</v>
      </c>
      <c r="B643" s="20" t="s">
        <v>2125</v>
      </c>
      <c r="C643" s="28" t="e">
        <f t="shared" ca="1" si="9"/>
        <v>#N/A</v>
      </c>
      <c r="F643" s="3">
        <v>5106050212</v>
      </c>
      <c r="G643" s="3">
        <v>6910000003</v>
      </c>
      <c r="H643" s="34" t="e">
        <f ca="1">[2]!a_eb("CDT,{P1},,2017013,,YA,,,","K=Acc_Code,F={P2},O=B",H$1,$F643)</f>
        <v>#NAME?</v>
      </c>
      <c r="I643" s="34" t="e">
        <f ca="1">[2]!a_eb("CDT,{P1},,2017013,,YA,,,","K=Acc_Code,F={P2},O=B",I$1,$F643)</f>
        <v>#NAME?</v>
      </c>
    </row>
    <row r="644" spans="1:9">
      <c r="A644" s="36" t="s">
        <v>1543</v>
      </c>
      <c r="B644" s="20" t="s">
        <v>2126</v>
      </c>
      <c r="C644" s="28" t="e">
        <f t="shared" ca="1" si="9"/>
        <v>#N/A</v>
      </c>
      <c r="F644" s="3">
        <v>5106050213</v>
      </c>
      <c r="G644" s="3">
        <v>6910000004</v>
      </c>
      <c r="H644" s="34" t="e">
        <f ca="1">[2]!a_eb("CDT,{P1},,2017013,,YA,,,","K=Acc_Code,F={P2},O=B",H$1,$F644)</f>
        <v>#NAME?</v>
      </c>
      <c r="I644" s="34" t="e">
        <f ca="1">[2]!a_eb("CDT,{P1},,2017013,,YA,,,","K=Acc_Code,F={P2},O=B",I$1,$F644)</f>
        <v>#NAME?</v>
      </c>
    </row>
    <row r="645" spans="1:9">
      <c r="A645" s="36" t="s">
        <v>1543</v>
      </c>
      <c r="B645" s="20" t="s">
        <v>2127</v>
      </c>
      <c r="C645" s="28" t="e">
        <f t="shared" ca="1" si="9"/>
        <v>#N/A</v>
      </c>
      <c r="F645" s="3">
        <v>5106050214</v>
      </c>
      <c r="G645" s="3">
        <v>6910000005</v>
      </c>
      <c r="H645" s="34" t="e">
        <f ca="1">[2]!a_eb("CDT,{P1},,2017013,,YA,,,","K=Acc_Code,F={P2},O=B",H$1,$F645)</f>
        <v>#NAME?</v>
      </c>
      <c r="I645" s="34" t="e">
        <f ca="1">[2]!a_eb("CDT,{P1},,2017013,,YA,,,","K=Acc_Code,F={P2},O=B",I$1,$F645)</f>
        <v>#NAME?</v>
      </c>
    </row>
    <row r="646" spans="1:9">
      <c r="A646" s="36" t="s">
        <v>1543</v>
      </c>
      <c r="B646" s="20" t="s">
        <v>2128</v>
      </c>
      <c r="C646" s="28" t="e">
        <f t="shared" ca="1" si="9"/>
        <v>#N/A</v>
      </c>
      <c r="F646" s="3">
        <v>5106050215</v>
      </c>
      <c r="G646" s="3">
        <v>6910000006</v>
      </c>
      <c r="H646" s="34" t="e">
        <f ca="1">[2]!a_eb("CDT,{P1},,2017013,,YA,,,","K=Acc_Code,F={P2},O=B",H$1,$F646)</f>
        <v>#NAME?</v>
      </c>
      <c r="I646" s="34" t="e">
        <f ca="1">[2]!a_eb("CDT,{P1},,2017013,,YA,,,","K=Acc_Code,F={P2},O=B",I$1,$F646)</f>
        <v>#NAME?</v>
      </c>
    </row>
    <row r="647" spans="1:9">
      <c r="A647" s="36" t="s">
        <v>1543</v>
      </c>
      <c r="B647" s="20" t="s">
        <v>2129</v>
      </c>
      <c r="C647" s="28" t="e">
        <f t="shared" ca="1" si="9"/>
        <v>#N/A</v>
      </c>
      <c r="F647" s="3">
        <v>5106050216</v>
      </c>
      <c r="G647" s="3">
        <v>6910000007</v>
      </c>
      <c r="H647" s="34" t="e">
        <f ca="1">[2]!a_eb("CDT,{P1},,2017013,,YA,,,","K=Acc_Code,F={P2},O=B",H$1,$F647)</f>
        <v>#NAME?</v>
      </c>
      <c r="I647" s="34" t="e">
        <f ca="1">[2]!a_eb("CDT,{P1},,2017013,,YA,,,","K=Acc_Code,F={P2},O=B",I$1,$F647)</f>
        <v>#NAME?</v>
      </c>
    </row>
    <row r="648" spans="1:9">
      <c r="A648" s="36" t="s">
        <v>1543</v>
      </c>
      <c r="B648" s="20" t="s">
        <v>2130</v>
      </c>
      <c r="C648" s="28" t="e">
        <f t="shared" ca="1" si="9"/>
        <v>#N/A</v>
      </c>
      <c r="F648" s="3">
        <v>5106050217</v>
      </c>
      <c r="G648" s="3">
        <v>6910000008</v>
      </c>
      <c r="H648" s="34" t="e">
        <f ca="1">[2]!a_eb("CDT,{P1},,2017013,,YA,,,","K=Acc_Code,F={P2},O=B",H$1,$F648)</f>
        <v>#NAME?</v>
      </c>
      <c r="I648" s="34" t="e">
        <f ca="1">[2]!a_eb("CDT,{P1},,2017013,,YA,,,","K=Acc_Code,F={P2},O=B",I$1,$F648)</f>
        <v>#NAME?</v>
      </c>
    </row>
    <row r="649" spans="1:9">
      <c r="A649" s="36" t="s">
        <v>1543</v>
      </c>
      <c r="B649" s="20" t="s">
        <v>2131</v>
      </c>
      <c r="C649" s="28" t="e">
        <f t="shared" ca="1" si="9"/>
        <v>#N/A</v>
      </c>
      <c r="F649" s="3">
        <v>5106050218</v>
      </c>
      <c r="G649" s="3">
        <v>6910000009</v>
      </c>
      <c r="H649" s="34" t="e">
        <f ca="1">[2]!a_eb("CDT,{P1},,2017013,,YA,,,","K=Acc_Code,F={P2},O=B",H$1,$F649)</f>
        <v>#NAME?</v>
      </c>
      <c r="I649" s="34" t="e">
        <f ca="1">[2]!a_eb("CDT,{P1},,2017013,,YA,,,","K=Acc_Code,F={P2},O=B",I$1,$F649)</f>
        <v>#NAME?</v>
      </c>
    </row>
    <row r="650" spans="1:9">
      <c r="A650" s="36" t="s">
        <v>1543</v>
      </c>
      <c r="B650" s="20" t="s">
        <v>2132</v>
      </c>
      <c r="C650" s="28" t="e">
        <f t="shared" ca="1" si="9"/>
        <v>#N/A</v>
      </c>
      <c r="F650" s="3">
        <v>5106050219</v>
      </c>
      <c r="G650" s="3">
        <v>6910000010</v>
      </c>
      <c r="H650" s="34" t="e">
        <f ca="1">[2]!a_eb("CDT,{P1},,2017013,,YA,,,","K=Acc_Code,F={P2},O=B",H$1,$F650)</f>
        <v>#NAME?</v>
      </c>
      <c r="I650" s="34" t="e">
        <f ca="1">[2]!a_eb("CDT,{P1},,2017013,,YA,,,","K=Acc_Code,F={P2},O=B",I$1,$F650)</f>
        <v>#NAME?</v>
      </c>
    </row>
    <row r="651" spans="1:9">
      <c r="A651" s="36" t="s">
        <v>1543</v>
      </c>
      <c r="B651" s="20" t="s">
        <v>2133</v>
      </c>
      <c r="C651" s="28" t="e">
        <f t="shared" ca="1" si="9"/>
        <v>#N/A</v>
      </c>
      <c r="F651" s="3">
        <v>5106050220</v>
      </c>
      <c r="G651" s="3">
        <v>6910000011</v>
      </c>
      <c r="H651" s="34" t="e">
        <f ca="1">[2]!a_eb("CDT,{P1},,2017013,,YA,,,","K=Acc_Code,F={P2},O=B",H$1,$F651)</f>
        <v>#NAME?</v>
      </c>
      <c r="I651" s="34" t="e">
        <f ca="1">[2]!a_eb("CDT,{P1},,2017013,,YA,,,","K=Acc_Code,F={P2},O=B",I$1,$F651)</f>
        <v>#NAME?</v>
      </c>
    </row>
    <row r="652" spans="1:9">
      <c r="A652" s="36" t="s">
        <v>1543</v>
      </c>
      <c r="B652" s="20" t="s">
        <v>2134</v>
      </c>
      <c r="C652" s="28" t="e">
        <f t="shared" ca="1" si="9"/>
        <v>#N/A</v>
      </c>
      <c r="F652" s="3">
        <v>5106050221</v>
      </c>
      <c r="G652" s="3">
        <v>6910000012</v>
      </c>
      <c r="H652" s="34" t="e">
        <f ca="1">[2]!a_eb("CDT,{P1},,2017013,,YA,,,","K=Acc_Code,F={P2},O=B",H$1,$F652)</f>
        <v>#NAME?</v>
      </c>
      <c r="I652" s="34" t="e">
        <f ca="1">[2]!a_eb("CDT,{P1},,2017013,,YA,,,","K=Acc_Code,F={P2},O=B",I$1,$F652)</f>
        <v>#NAME?</v>
      </c>
    </row>
    <row r="653" spans="1:9">
      <c r="A653" s="36" t="s">
        <v>1543</v>
      </c>
      <c r="B653" s="20" t="s">
        <v>2135</v>
      </c>
      <c r="C653" s="28" t="e">
        <f t="shared" ca="1" si="9"/>
        <v>#N/A</v>
      </c>
      <c r="F653" s="3">
        <v>5106050222</v>
      </c>
      <c r="G653" s="3">
        <v>6910000013</v>
      </c>
      <c r="H653" s="34" t="e">
        <f ca="1">[2]!a_eb("CDT,{P1},,2017013,,YA,,,","K=Acc_Code,F={P2},O=B",H$1,$F653)</f>
        <v>#NAME?</v>
      </c>
      <c r="I653" s="34" t="e">
        <f ca="1">[2]!a_eb("CDT,{P1},,2017013,,YA,,,","K=Acc_Code,F={P2},O=B",I$1,$F653)</f>
        <v>#NAME?</v>
      </c>
    </row>
    <row r="654" spans="1:9">
      <c r="A654" s="36" t="s">
        <v>1543</v>
      </c>
      <c r="B654" s="20" t="s">
        <v>2136</v>
      </c>
      <c r="C654" s="28" t="e">
        <f t="shared" ca="1" si="9"/>
        <v>#N/A</v>
      </c>
      <c r="F654" s="3">
        <v>5106050223</v>
      </c>
      <c r="G654" s="3">
        <v>6910000014</v>
      </c>
      <c r="H654" s="34" t="e">
        <f ca="1">[2]!a_eb("CDT,{P1},,2017013,,YA,,,","K=Acc_Code,F={P2},O=B",H$1,$F654)</f>
        <v>#NAME?</v>
      </c>
      <c r="I654" s="34" t="e">
        <f ca="1">[2]!a_eb("CDT,{P1},,2017013,,YA,,,","K=Acc_Code,F={P2},O=B",I$1,$F654)</f>
        <v>#NAME?</v>
      </c>
    </row>
    <row r="655" spans="1:9">
      <c r="A655" s="36" t="s">
        <v>1543</v>
      </c>
      <c r="B655" s="20" t="s">
        <v>2137</v>
      </c>
      <c r="C655" s="28" t="e">
        <f t="shared" ca="1" si="9"/>
        <v>#N/A</v>
      </c>
      <c r="F655" s="3">
        <v>5106050224</v>
      </c>
      <c r="G655" s="3">
        <v>6910000015</v>
      </c>
      <c r="H655" s="34" t="e">
        <f ca="1">[2]!a_eb("CDT,{P1},,2017013,,YA,,,","K=Acc_Code,F={P2},O=B",H$1,$F655)</f>
        <v>#NAME?</v>
      </c>
      <c r="I655" s="34" t="e">
        <f ca="1">[2]!a_eb("CDT,{P1},,2017013,,YA,,,","K=Acc_Code,F={P2},O=B",I$1,$F655)</f>
        <v>#NAME?</v>
      </c>
    </row>
    <row r="656" spans="1:9">
      <c r="A656" s="36" t="s">
        <v>1497</v>
      </c>
      <c r="B656" s="20" t="s">
        <v>2138</v>
      </c>
      <c r="C656" s="28" t="e">
        <f t="shared" ca="1" si="9"/>
        <v>#N/A</v>
      </c>
      <c r="F656" s="3">
        <v>5106050225</v>
      </c>
      <c r="G656" s="3">
        <v>6910000016</v>
      </c>
      <c r="H656" s="34" t="e">
        <f ca="1">[2]!a_eb("CDT,{P1},,2017013,,YA,,,","K=Acc_Code,F={P2},O=B",H$1,$F656)</f>
        <v>#NAME?</v>
      </c>
      <c r="I656" s="34" t="e">
        <f ca="1">[2]!a_eb("CDT,{P1},,2017013,,YA,,,","K=Acc_Code,F={P2},O=B",I$1,$F656)</f>
        <v>#NAME?</v>
      </c>
    </row>
    <row r="657" spans="1:9">
      <c r="A657" s="36" t="s">
        <v>1497</v>
      </c>
      <c r="B657" s="20" t="s">
        <v>2139</v>
      </c>
      <c r="C657" s="28" t="e">
        <f t="shared" ca="1" si="9"/>
        <v>#N/A</v>
      </c>
      <c r="F657" s="3">
        <v>5106050227</v>
      </c>
      <c r="G657" s="3">
        <v>6901020014</v>
      </c>
      <c r="H657" s="34" t="e">
        <f ca="1">[2]!a_eb("CDT,{P1},,2017013,,YA,,,","K=Acc_Code,F={P2},O=B",H$1,$F657)</f>
        <v>#NAME?</v>
      </c>
      <c r="I657" s="34" t="e">
        <f ca="1">[2]!a_eb("CDT,{P1},,2017013,,YA,,,","K=Acc_Code,F={P2},O=B",I$1,$F657)</f>
        <v>#NAME?</v>
      </c>
    </row>
    <row r="658" spans="1:9">
      <c r="A658" s="36" t="s">
        <v>1497</v>
      </c>
      <c r="B658" s="20" t="s">
        <v>2140</v>
      </c>
      <c r="C658" s="28" t="e">
        <f t="shared" ca="1" si="9"/>
        <v>#N/A</v>
      </c>
      <c r="F658" s="3">
        <v>5106050228</v>
      </c>
      <c r="G658" s="3">
        <v>6901020015</v>
      </c>
      <c r="H658" s="34" t="e">
        <f ca="1">[2]!a_eb("CDT,{P1},,2017013,,YA,,,","K=Acc_Code,F={P2},O=B",H$1,$F658)</f>
        <v>#NAME?</v>
      </c>
      <c r="I658" s="34" t="e">
        <f ca="1">[2]!a_eb("CDT,{P1},,2017013,,YA,,,","K=Acc_Code,F={P2},O=B",I$1,$F658)</f>
        <v>#NAME?</v>
      </c>
    </row>
    <row r="659" spans="1:9">
      <c r="A659" s="36" t="s">
        <v>1497</v>
      </c>
      <c r="B659" s="20" t="s">
        <v>2141</v>
      </c>
      <c r="C659" s="28" t="e">
        <f t="shared" ca="1" si="9"/>
        <v>#N/A</v>
      </c>
      <c r="F659" s="3">
        <v>5106050230</v>
      </c>
      <c r="G659" s="3">
        <v>6910200000</v>
      </c>
      <c r="H659" s="34" t="e">
        <f ca="1">[2]!a_eb("CDT,{P1},,2017013,,YA,,,","K=Acc_Code,F={P2},O=B",H$1,$F659)</f>
        <v>#NAME?</v>
      </c>
      <c r="I659" s="34" t="e">
        <f ca="1">[2]!a_eb("CDT,{P1},,2017013,,YA,,,","K=Acc_Code,F={P2},O=B",I$1,$F659)</f>
        <v>#NAME?</v>
      </c>
    </row>
    <row r="660" spans="1:9">
      <c r="A660" s="36" t="s">
        <v>1497</v>
      </c>
      <c r="B660" s="20" t="s">
        <v>2142</v>
      </c>
      <c r="C660" s="28" t="e">
        <f t="shared" ca="1" si="9"/>
        <v>#N/A</v>
      </c>
      <c r="F660" s="3">
        <v>5106050231</v>
      </c>
      <c r="G660" s="3">
        <v>6910200001</v>
      </c>
      <c r="H660" s="34" t="e">
        <f ca="1">[2]!a_eb("CDT,{P1},,2017013,,YA,,,","K=Acc_Code,F={P2},O=B",H$1,$F660)</f>
        <v>#NAME?</v>
      </c>
      <c r="I660" s="34" t="e">
        <f ca="1">[2]!a_eb("CDT,{P1},,2017013,,YA,,,","K=Acc_Code,F={P2},O=B",I$1,$F660)</f>
        <v>#NAME?</v>
      </c>
    </row>
    <row r="661" spans="1:9">
      <c r="A661" s="36" t="s">
        <v>1497</v>
      </c>
      <c r="B661" s="20" t="s">
        <v>2143</v>
      </c>
      <c r="C661" s="28" t="e">
        <f t="shared" ca="1" si="9"/>
        <v>#N/A</v>
      </c>
      <c r="F661" s="3">
        <v>5106050234</v>
      </c>
      <c r="G661" s="3">
        <v>6910200002</v>
      </c>
      <c r="H661" s="34" t="e">
        <f ca="1">[2]!a_eb("CDT,{P1},,2017013,,YA,,,","K=Acc_Code,F={P2},O=B",H$1,$F661)</f>
        <v>#NAME?</v>
      </c>
      <c r="I661" s="34" t="e">
        <f ca="1">[2]!a_eb("CDT,{P1},,2017013,,YA,,,","K=Acc_Code,F={P2},O=B",I$1,$F661)</f>
        <v>#NAME?</v>
      </c>
    </row>
    <row r="662" spans="1:9">
      <c r="A662" s="36" t="s">
        <v>1497</v>
      </c>
      <c r="B662" s="20" t="s">
        <v>2144</v>
      </c>
      <c r="C662" s="28" t="e">
        <f t="shared" ca="1" si="9"/>
        <v>#N/A</v>
      </c>
      <c r="F662" s="3">
        <v>5106050235</v>
      </c>
      <c r="G662" s="3">
        <v>6901230003</v>
      </c>
      <c r="H662" s="34" t="e">
        <f ca="1">[2]!a_eb("CDT,{P1},,2017013,,YA,,,","K=Acc_Code,F={P2},O=B",H$1,$F662)</f>
        <v>#NAME?</v>
      </c>
      <c r="I662" s="34" t="e">
        <f ca="1">[2]!a_eb("CDT,{P1},,2017013,,YA,,,","K=Acc_Code,F={P2},O=B",I$1,$F662)</f>
        <v>#NAME?</v>
      </c>
    </row>
    <row r="663" spans="1:9">
      <c r="A663" s="36" t="s">
        <v>1497</v>
      </c>
      <c r="B663" s="20" t="s">
        <v>2145</v>
      </c>
      <c r="C663" s="28" t="e">
        <f t="shared" ca="1" si="9"/>
        <v>#N/A</v>
      </c>
      <c r="F663" s="3">
        <v>5106050236</v>
      </c>
      <c r="G663" s="3">
        <v>6910200003</v>
      </c>
      <c r="H663" s="34" t="e">
        <f ca="1">[2]!a_eb("CDT,{P1},,2017013,,YA,,,","K=Acc_Code,F={P2},O=B",H$1,$F663)</f>
        <v>#NAME?</v>
      </c>
      <c r="I663" s="34" t="e">
        <f ca="1">[2]!a_eb("CDT,{P1},,2017013,,YA,,,","K=Acc_Code,F={P2},O=B",I$1,$F663)</f>
        <v>#NAME?</v>
      </c>
    </row>
    <row r="664" spans="1:9">
      <c r="A664" s="36" t="s">
        <v>1497</v>
      </c>
      <c r="B664" s="20" t="s">
        <v>2146</v>
      </c>
      <c r="C664" s="28" t="e">
        <f t="shared" ca="1" si="9"/>
        <v>#N/A</v>
      </c>
      <c r="F664" s="3">
        <v>5106050237</v>
      </c>
      <c r="G664" s="3">
        <v>6910200004</v>
      </c>
      <c r="H664" s="34" t="e">
        <f ca="1">[2]!a_eb("CDT,{P1},,2017013,,YA,,,","K=Acc_Code,F={P2},O=B",H$1,$F664)</f>
        <v>#NAME?</v>
      </c>
      <c r="I664" s="34" t="e">
        <f ca="1">[2]!a_eb("CDT,{P1},,2017013,,YA,,,","K=Acc_Code,F={P2},O=B",I$1,$F664)</f>
        <v>#NAME?</v>
      </c>
    </row>
    <row r="665" spans="1:9">
      <c r="A665" s="36" t="s">
        <v>1497</v>
      </c>
      <c r="B665" s="20" t="s">
        <v>2147</v>
      </c>
      <c r="C665" s="28" t="e">
        <f t="shared" ca="1" si="9"/>
        <v>#N/A</v>
      </c>
      <c r="F665" s="3">
        <v>5106050238</v>
      </c>
      <c r="G665" s="3">
        <v>6910200005</v>
      </c>
      <c r="H665" s="34" t="e">
        <f ca="1">[2]!a_eb("CDT,{P1},,2017013,,YA,,,","K=Acc_Code,F={P2},O=B",H$1,$F665)</f>
        <v>#NAME?</v>
      </c>
      <c r="I665" s="34" t="e">
        <f ca="1">[2]!a_eb("CDT,{P1},,2017013,,YA,,,","K=Acc_Code,F={P2},O=B",I$1,$F665)</f>
        <v>#NAME?</v>
      </c>
    </row>
    <row r="666" spans="1:9">
      <c r="A666" s="36" t="s">
        <v>1497</v>
      </c>
      <c r="B666" s="20" t="s">
        <v>2148</v>
      </c>
      <c r="C666" s="28" t="e">
        <f t="shared" ca="1" si="9"/>
        <v>#N/A</v>
      </c>
      <c r="F666" s="3">
        <v>5106050239</v>
      </c>
      <c r="G666" s="3">
        <v>6910200006</v>
      </c>
      <c r="H666" s="34" t="e">
        <f ca="1">[2]!a_eb("CDT,{P1},,2017013,,YA,,,","K=Acc_Code,F={P2},O=B",H$1,$F666)</f>
        <v>#NAME?</v>
      </c>
      <c r="I666" s="34" t="e">
        <f ca="1">[2]!a_eb("CDT,{P1},,2017013,,YA,,,","K=Acc_Code,F={P2},O=B",I$1,$F666)</f>
        <v>#NAME?</v>
      </c>
    </row>
    <row r="667" spans="1:9">
      <c r="A667" s="36" t="s">
        <v>1497</v>
      </c>
      <c r="B667" s="20" t="s">
        <v>2149</v>
      </c>
      <c r="C667" s="28" t="e">
        <f t="shared" ca="1" si="9"/>
        <v>#N/A</v>
      </c>
      <c r="F667" s="3">
        <v>5106050240</v>
      </c>
      <c r="G667" s="3">
        <v>6910200007</v>
      </c>
      <c r="H667" s="34" t="e">
        <f ca="1">[2]!a_eb("CDT,{P1},,2017013,,YA,,,","K=Acc_Code,F={P2},O=B",H$1,$F667)</f>
        <v>#NAME?</v>
      </c>
      <c r="I667" s="34" t="e">
        <f ca="1">[2]!a_eb("CDT,{P1},,2017013,,YA,,,","K=Acc_Code,F={P2},O=B",I$1,$F667)</f>
        <v>#NAME?</v>
      </c>
    </row>
    <row r="668" spans="1:9">
      <c r="A668" s="36" t="s">
        <v>1497</v>
      </c>
      <c r="B668" s="20" t="s">
        <v>2150</v>
      </c>
      <c r="C668" s="28" t="e">
        <f t="shared" ca="1" si="9"/>
        <v>#N/A</v>
      </c>
      <c r="F668" s="3">
        <v>5106050241</v>
      </c>
      <c r="G668" s="3">
        <v>6910200008</v>
      </c>
      <c r="H668" s="34" t="e">
        <f ca="1">[2]!a_eb("CDT,{P1},,2017013,,YA,,,","K=Acc_Code,F={P2},O=B",H$1,$F668)</f>
        <v>#NAME?</v>
      </c>
      <c r="I668" s="34" t="e">
        <f ca="1">[2]!a_eb("CDT,{P1},,2017013,,YA,,,","K=Acc_Code,F={P2},O=B",I$1,$F668)</f>
        <v>#NAME?</v>
      </c>
    </row>
    <row r="669" spans="1:9">
      <c r="A669" s="36" t="s">
        <v>1497</v>
      </c>
      <c r="B669" s="20" t="s">
        <v>2151</v>
      </c>
      <c r="C669" s="28" t="e">
        <f t="shared" ca="1" si="9"/>
        <v>#N/A</v>
      </c>
      <c r="F669" s="3">
        <v>5106050242</v>
      </c>
      <c r="G669" s="3">
        <v>6910200009</v>
      </c>
      <c r="H669" s="34" t="e">
        <f ca="1">[2]!a_eb("CDT,{P1},,2017013,,YA,,,","K=Acc_Code,F={P2},O=B",H$1,$F669)</f>
        <v>#NAME?</v>
      </c>
      <c r="I669" s="34" t="e">
        <f ca="1">[2]!a_eb("CDT,{P1},,2017013,,YA,,,","K=Acc_Code,F={P2},O=B",I$1,$F669)</f>
        <v>#NAME?</v>
      </c>
    </row>
    <row r="670" spans="1:9">
      <c r="A670" s="36" t="s">
        <v>1497</v>
      </c>
      <c r="B670" s="20" t="s">
        <v>2152</v>
      </c>
      <c r="C670" s="28" t="e">
        <f t="shared" ca="1" si="9"/>
        <v>#N/A</v>
      </c>
      <c r="F670" s="3">
        <v>5106050243</v>
      </c>
      <c r="G670" s="3">
        <v>6910200010</v>
      </c>
      <c r="H670" s="34" t="e">
        <f ca="1">[2]!a_eb("CDT,{P1},,2017013,,YA,,,","K=Acc_Code,F={P2},O=B",H$1,$F670)</f>
        <v>#NAME?</v>
      </c>
      <c r="I670" s="34" t="e">
        <f ca="1">[2]!a_eb("CDT,{P1},,2017013,,YA,,,","K=Acc_Code,F={P2},O=B",I$1,$F670)</f>
        <v>#NAME?</v>
      </c>
    </row>
    <row r="671" spans="1:9">
      <c r="A671" s="36" t="s">
        <v>1497</v>
      </c>
      <c r="B671" s="20" t="s">
        <v>2153</v>
      </c>
      <c r="C671" s="28" t="e">
        <f t="shared" ca="1" si="9"/>
        <v>#N/A</v>
      </c>
      <c r="F671" s="3">
        <v>5106050244</v>
      </c>
      <c r="G671" s="3">
        <v>6910200011</v>
      </c>
      <c r="H671" s="34" t="e">
        <f ca="1">[2]!a_eb("CDT,{P1},,2017013,,YA,,,","K=Acc_Code,F={P2},O=B",H$1,$F671)</f>
        <v>#NAME?</v>
      </c>
      <c r="I671" s="34" t="e">
        <f ca="1">[2]!a_eb("CDT,{P1},,2017013,,YA,,,","K=Acc_Code,F={P2},O=B",I$1,$F671)</f>
        <v>#NAME?</v>
      </c>
    </row>
    <row r="672" spans="1:9">
      <c r="A672" s="36" t="s">
        <v>1497</v>
      </c>
      <c r="B672" s="20" t="s">
        <v>2154</v>
      </c>
      <c r="C672" s="28" t="e">
        <f t="shared" ca="1" si="9"/>
        <v>#N/A</v>
      </c>
      <c r="F672" s="3">
        <v>5106050245</v>
      </c>
      <c r="G672" s="3">
        <v>6910200012</v>
      </c>
      <c r="H672" s="34" t="e">
        <f ca="1">[2]!a_eb("CDT,{P1},,2017013,,YA,,,","K=Acc_Code,F={P2},O=B",H$1,$F672)</f>
        <v>#NAME?</v>
      </c>
      <c r="I672" s="34" t="e">
        <f ca="1">[2]!a_eb("CDT,{P1},,2017013,,YA,,,","K=Acc_Code,F={P2},O=B",I$1,$F672)</f>
        <v>#NAME?</v>
      </c>
    </row>
    <row r="673" spans="1:9">
      <c r="A673" s="36" t="s">
        <v>1497</v>
      </c>
      <c r="B673" s="20" t="s">
        <v>2155</v>
      </c>
      <c r="C673" s="28" t="e">
        <f t="shared" ca="1" si="9"/>
        <v>#N/A</v>
      </c>
      <c r="F673" s="3">
        <v>5106050246</v>
      </c>
      <c r="G673" s="3">
        <v>6910200013</v>
      </c>
      <c r="H673" s="34" t="e">
        <f ca="1">[2]!a_eb("CDT,{P1},,2017013,,YA,,,","K=Acc_Code,F={P2},O=B",H$1,$F673)</f>
        <v>#NAME?</v>
      </c>
      <c r="I673" s="34" t="e">
        <f ca="1">[2]!a_eb("CDT,{P1},,2017013,,YA,,,","K=Acc_Code,F={P2},O=B",I$1,$F673)</f>
        <v>#NAME?</v>
      </c>
    </row>
    <row r="674" spans="1:9">
      <c r="A674" s="36" t="s">
        <v>1497</v>
      </c>
      <c r="B674" s="20" t="s">
        <v>2156</v>
      </c>
      <c r="C674" s="28" t="e">
        <f t="shared" ca="1" si="9"/>
        <v>#N/A</v>
      </c>
      <c r="F674" s="3">
        <v>5106050247</v>
      </c>
      <c r="G674" s="3">
        <v>6910200014</v>
      </c>
      <c r="H674" s="34" t="e">
        <f ca="1">[2]!a_eb("CDT,{P1},,2017013,,YA,,,","K=Acc_Code,F={P2},O=B",H$1,$F674)</f>
        <v>#NAME?</v>
      </c>
      <c r="I674" s="34" t="e">
        <f ca="1">[2]!a_eb("CDT,{P1},,2017013,,YA,,,","K=Acc_Code,F={P2},O=B",I$1,$F674)</f>
        <v>#NAME?</v>
      </c>
    </row>
    <row r="675" spans="1:9">
      <c r="A675" s="36" t="s">
        <v>1497</v>
      </c>
      <c r="B675" s="20" t="s">
        <v>2157</v>
      </c>
      <c r="C675" s="28" t="e">
        <f t="shared" ca="1" si="9"/>
        <v>#N/A</v>
      </c>
      <c r="F675" s="3">
        <v>5106050248</v>
      </c>
      <c r="G675" s="3">
        <v>6910200015</v>
      </c>
      <c r="H675" s="34" t="e">
        <f ca="1">[2]!a_eb("CDT,{P1},,2017013,,YA,,,","K=Acc_Code,F={P2},O=B",H$1,$F675)</f>
        <v>#NAME?</v>
      </c>
      <c r="I675" s="34" t="e">
        <f ca="1">[2]!a_eb("CDT,{P1},,2017013,,YA,,,","K=Acc_Code,F={P2},O=B",I$1,$F675)</f>
        <v>#NAME?</v>
      </c>
    </row>
    <row r="676" spans="1:9">
      <c r="A676" s="36" t="s">
        <v>1497</v>
      </c>
      <c r="B676" s="20" t="s">
        <v>2158</v>
      </c>
      <c r="C676" s="28" t="e">
        <f t="shared" ca="1" si="9"/>
        <v>#N/A</v>
      </c>
      <c r="F676" s="3">
        <v>5106050249</v>
      </c>
      <c r="G676" s="3">
        <v>6910200016</v>
      </c>
      <c r="H676" s="34" t="e">
        <f ca="1">[2]!a_eb("CDT,{P1},,2017013,,YA,,,","K=Acc_Code,F={P2},O=B",H$1,$F676)</f>
        <v>#NAME?</v>
      </c>
      <c r="I676" s="34" t="e">
        <f ca="1">[2]!a_eb("CDT,{P1},,2017013,,YA,,,","K=Acc_Code,F={P2},O=B",I$1,$F676)</f>
        <v>#NAME?</v>
      </c>
    </row>
    <row r="677" spans="1:9">
      <c r="A677" s="36" t="s">
        <v>1497</v>
      </c>
      <c r="B677" s="20" t="s">
        <v>2159</v>
      </c>
      <c r="C677" s="28" t="e">
        <f t="shared" ca="1" si="9"/>
        <v>#N/A</v>
      </c>
      <c r="F677" s="3">
        <v>5106050250</v>
      </c>
      <c r="G677" s="3">
        <v>6901020016</v>
      </c>
      <c r="H677" s="34" t="e">
        <f ca="1">[2]!a_eb("CDT,{P1},,2017013,,YA,,,","K=Acc_Code,F={P2},O=B",H$1,$F677)</f>
        <v>#NAME?</v>
      </c>
      <c r="I677" s="34" t="e">
        <f ca="1">[2]!a_eb("CDT,{P1},,2017013,,YA,,,","K=Acc_Code,F={P2},O=B",I$1,$F677)</f>
        <v>#NAME?</v>
      </c>
    </row>
    <row r="678" spans="1:9">
      <c r="A678" s="36" t="s">
        <v>1497</v>
      </c>
      <c r="B678" s="20" t="s">
        <v>2160</v>
      </c>
      <c r="C678" s="28" t="e">
        <f t="shared" ca="1" si="9"/>
        <v>#N/A</v>
      </c>
      <c r="F678" s="3">
        <v>5106050251</v>
      </c>
      <c r="G678" s="3">
        <v>6901020017</v>
      </c>
      <c r="H678" s="34" t="e">
        <f ca="1">[2]!a_eb("CDT,{P1},,2017013,,YA,,,","K=Acc_Code,F={P2},O=B",H$1,$F678)</f>
        <v>#NAME?</v>
      </c>
      <c r="I678" s="34" t="e">
        <f ca="1">[2]!a_eb("CDT,{P1},,2017013,,YA,,,","K=Acc_Code,F={P2},O=B",I$1,$F678)</f>
        <v>#NAME?</v>
      </c>
    </row>
    <row r="679" spans="1:9">
      <c r="A679" s="36" t="s">
        <v>1497</v>
      </c>
      <c r="B679" s="20" t="s">
        <v>2161</v>
      </c>
      <c r="C679" s="28" t="e">
        <f t="shared" ca="1" si="9"/>
        <v>#N/A</v>
      </c>
      <c r="F679" s="3">
        <v>5106050252</v>
      </c>
      <c r="G679" s="3">
        <v>6910000017</v>
      </c>
      <c r="H679" s="34" t="e">
        <f ca="1">[2]!a_eb("CDT,{P1},,2017013,,YA,,,","K=Acc_Code,F={P2},O=B",H$1,$F679)</f>
        <v>#NAME?</v>
      </c>
      <c r="I679" s="34" t="e">
        <f ca="1">[2]!a_eb("CDT,{P1},,2017013,,YA,,,","K=Acc_Code,F={P2},O=B",I$1,$F679)</f>
        <v>#NAME?</v>
      </c>
    </row>
    <row r="680" spans="1:9">
      <c r="A680" s="36" t="s">
        <v>1497</v>
      </c>
      <c r="B680" s="20" t="s">
        <v>2162</v>
      </c>
      <c r="C680" s="28" t="e">
        <f t="shared" ca="1" si="9"/>
        <v>#N/A</v>
      </c>
      <c r="F680" s="3">
        <v>5106050253</v>
      </c>
      <c r="G680" s="3">
        <v>6910200017</v>
      </c>
      <c r="H680" s="34" t="e">
        <f ca="1">[2]!a_eb("CDT,{P1},,2017013,,YA,,,","K=Acc_Code,F={P2},O=B",H$1,$F680)</f>
        <v>#NAME?</v>
      </c>
      <c r="I680" s="34" t="e">
        <f ca="1">[2]!a_eb("CDT,{P1},,2017013,,YA,,,","K=Acc_Code,F={P2},O=B",I$1,$F680)</f>
        <v>#NAME?</v>
      </c>
    </row>
    <row r="681" spans="1:9">
      <c r="A681" s="36" t="s">
        <v>1497</v>
      </c>
      <c r="B681" s="20" t="s">
        <v>2163</v>
      </c>
      <c r="C681" s="28" t="e">
        <f t="shared" ca="1" si="9"/>
        <v>#N/A</v>
      </c>
      <c r="F681" s="3">
        <v>5106050258</v>
      </c>
      <c r="G681" s="3">
        <v>6910000018</v>
      </c>
      <c r="H681" s="34" t="e">
        <f ca="1">[2]!a_eb("CDT,{P1},,2017013,,YA,,,","K=Acc_Code,F={P2},O=B",H$1,$F681)</f>
        <v>#NAME?</v>
      </c>
      <c r="I681" s="34" t="e">
        <f ca="1">[2]!a_eb("CDT,{P1},,2017013,,YA,,,","K=Acc_Code,F={P2},O=B",I$1,$F681)</f>
        <v>#NAME?</v>
      </c>
    </row>
    <row r="682" spans="1:9">
      <c r="A682" s="36" t="s">
        <v>1497</v>
      </c>
      <c r="B682" s="20" t="s">
        <v>2164</v>
      </c>
      <c r="C682" s="28" t="e">
        <f t="shared" ref="C682:C745" ca="1" si="10">VLOOKUP(B682,F:G,2,0)</f>
        <v>#N/A</v>
      </c>
      <c r="F682" s="3">
        <v>5106050259</v>
      </c>
      <c r="G682" s="3">
        <v>6910200018</v>
      </c>
      <c r="H682" s="34" t="e">
        <f ca="1">[2]!a_eb("CDT,{P1},,2017013,,YA,,,","K=Acc_Code,F={P2},O=B",H$1,$F682)</f>
        <v>#NAME?</v>
      </c>
      <c r="I682" s="34" t="e">
        <f ca="1">[2]!a_eb("CDT,{P1},,2017013,,YA,,,","K=Acc_Code,F={P2},O=B",I$1,$F682)</f>
        <v>#NAME?</v>
      </c>
    </row>
    <row r="683" spans="1:9">
      <c r="A683" s="36" t="s">
        <v>1497</v>
      </c>
      <c r="B683" s="20" t="s">
        <v>2165</v>
      </c>
      <c r="C683" s="28" t="e">
        <f t="shared" ca="1" si="10"/>
        <v>#N/A</v>
      </c>
      <c r="F683" s="3">
        <v>5106050301</v>
      </c>
      <c r="G683" s="3">
        <v>6900000110</v>
      </c>
      <c r="H683" s="34" t="e">
        <f ca="1">[2]!a_eb("CDT,{P1},,2017013,,YA,,,","K=Acc_Code,F={P2},O=B",H$1,$F683)</f>
        <v>#NAME?</v>
      </c>
      <c r="I683" s="34" t="e">
        <f ca="1">[2]!a_eb("CDT,{P1},,2017013,,YA,,,","K=Acc_Code,F={P2},O=B",I$1,$F683)</f>
        <v>#NAME?</v>
      </c>
    </row>
    <row r="684" spans="1:9">
      <c r="A684" s="36" t="s">
        <v>1497</v>
      </c>
      <c r="B684" s="20" t="s">
        <v>2166</v>
      </c>
      <c r="C684" s="28" t="e">
        <f t="shared" ca="1" si="10"/>
        <v>#N/A</v>
      </c>
      <c r="F684" s="3">
        <v>5106050302</v>
      </c>
      <c r="G684" s="3">
        <v>6901030164</v>
      </c>
      <c r="H684" s="34" t="e">
        <f ca="1">[2]!a_eb("CDT,{P1},,2017013,,YA,,,","K=Acc_Code,F={P2},O=B",H$1,$F684)</f>
        <v>#NAME?</v>
      </c>
      <c r="I684" s="34" t="e">
        <f ca="1">[2]!a_eb("CDT,{P1},,2017013,,YA,,,","K=Acc_Code,F={P2},O=B",I$1,$F684)</f>
        <v>#NAME?</v>
      </c>
    </row>
    <row r="685" spans="1:9">
      <c r="A685" s="36" t="s">
        <v>1497</v>
      </c>
      <c r="B685" s="20" t="s">
        <v>2167</v>
      </c>
      <c r="C685" s="28" t="e">
        <f t="shared" ca="1" si="10"/>
        <v>#N/A</v>
      </c>
      <c r="F685" s="3">
        <v>5106050303</v>
      </c>
      <c r="G685" s="3">
        <v>6910000019</v>
      </c>
      <c r="H685" s="34" t="e">
        <f ca="1">[2]!a_eb("CDT,{P1},,2017013,,YA,,,","K=Acc_Code,F={P2},O=B",H$1,$F685)</f>
        <v>#NAME?</v>
      </c>
      <c r="I685" s="34" t="e">
        <f ca="1">[2]!a_eb("CDT,{P1},,2017013,,YA,,,","K=Acc_Code,F={P2},O=B",I$1,$F685)</f>
        <v>#NAME?</v>
      </c>
    </row>
    <row r="686" spans="1:9">
      <c r="A686" s="36" t="s">
        <v>1497</v>
      </c>
      <c r="B686" s="20" t="s">
        <v>2168</v>
      </c>
      <c r="C686" s="28" t="e">
        <f t="shared" ca="1" si="10"/>
        <v>#N/A</v>
      </c>
      <c r="F686" s="3">
        <v>5106050304</v>
      </c>
      <c r="G686" s="3">
        <v>6900000736</v>
      </c>
      <c r="H686" s="34" t="e">
        <f ca="1">[2]!a_eb("CDT,{P1},,2017013,,YA,,,","K=Acc_Code,F={P2},O=B",H$1,$F686)</f>
        <v>#NAME?</v>
      </c>
      <c r="I686" s="34" t="e">
        <f ca="1">[2]!a_eb("CDT,{P1},,2017013,,YA,,,","K=Acc_Code,F={P2},O=B",I$1,$F686)</f>
        <v>#NAME?</v>
      </c>
    </row>
    <row r="687" spans="1:9">
      <c r="A687" s="36" t="s">
        <v>1497</v>
      </c>
      <c r="B687" s="20" t="s">
        <v>2169</v>
      </c>
      <c r="C687" s="28" t="e">
        <f t="shared" ca="1" si="10"/>
        <v>#N/A</v>
      </c>
      <c r="F687" s="3">
        <v>5106050305</v>
      </c>
      <c r="G687" s="3">
        <v>6900000737</v>
      </c>
      <c r="H687" s="34" t="e">
        <f ca="1">[2]!a_eb("CDT,{P1},,2017013,,YA,,,","K=Acc_Code,F={P2},O=B",H$1,$F687)</f>
        <v>#NAME?</v>
      </c>
      <c r="I687" s="34" t="e">
        <f ca="1">[2]!a_eb("CDT,{P1},,2017013,,YA,,,","K=Acc_Code,F={P2},O=B",I$1,$F687)</f>
        <v>#NAME?</v>
      </c>
    </row>
    <row r="688" spans="1:9">
      <c r="A688" s="36" t="s">
        <v>1497</v>
      </c>
      <c r="B688" s="20" t="s">
        <v>2170</v>
      </c>
      <c r="C688" s="28" t="e">
        <f t="shared" ca="1" si="10"/>
        <v>#N/A</v>
      </c>
      <c r="F688" s="3">
        <v>5106050306</v>
      </c>
      <c r="G688" s="3">
        <v>6900000738</v>
      </c>
      <c r="H688" s="34" t="e">
        <f ca="1">[2]!a_eb("CDT,{P1},,2017013,,YA,,,","K=Acc_Code,F={P2},O=B",H$1,$F688)</f>
        <v>#NAME?</v>
      </c>
      <c r="I688" s="34" t="e">
        <f ca="1">[2]!a_eb("CDT,{P1},,2017013,,YA,,,","K=Acc_Code,F={P2},O=B",I$1,$F688)</f>
        <v>#NAME?</v>
      </c>
    </row>
    <row r="689" spans="1:9">
      <c r="A689" s="36" t="s">
        <v>1497</v>
      </c>
      <c r="B689" s="20" t="s">
        <v>2171</v>
      </c>
      <c r="C689" s="28" t="e">
        <f t="shared" ca="1" si="10"/>
        <v>#N/A</v>
      </c>
      <c r="F689" s="3">
        <v>5106050307</v>
      </c>
      <c r="G689" s="3">
        <v>6900000739</v>
      </c>
      <c r="H689" s="34" t="e">
        <f ca="1">[2]!a_eb("CDT,{P1},,2017013,,YA,,,","K=Acc_Code,F={P2},O=B",H$1,$F689)</f>
        <v>#NAME?</v>
      </c>
      <c r="I689" s="34" t="e">
        <f ca="1">[2]!a_eb("CDT,{P1},,2017013,,YA,,,","K=Acc_Code,F={P2},O=B",I$1,$F689)</f>
        <v>#NAME?</v>
      </c>
    </row>
    <row r="690" spans="1:9">
      <c r="A690" s="36" t="s">
        <v>1497</v>
      </c>
      <c r="B690" s="20" t="s">
        <v>2172</v>
      </c>
      <c r="C690" s="28" t="e">
        <f t="shared" ca="1" si="10"/>
        <v>#N/A</v>
      </c>
      <c r="F690" s="3">
        <v>5106050308</v>
      </c>
      <c r="G690" s="3">
        <v>6900000740</v>
      </c>
      <c r="H690" s="34" t="e">
        <f ca="1">[2]!a_eb("CDT,{P1},,2017013,,YA,,,","K=Acc_Code,F={P2},O=B",H$1,$F690)</f>
        <v>#NAME?</v>
      </c>
      <c r="I690" s="34" t="e">
        <f ca="1">[2]!a_eb("CDT,{P1},,2017013,,YA,,,","K=Acc_Code,F={P2},O=B",I$1,$F690)</f>
        <v>#NAME?</v>
      </c>
    </row>
    <row r="691" spans="1:9">
      <c r="A691" s="36" t="s">
        <v>1497</v>
      </c>
      <c r="B691" s="20" t="s">
        <v>2173</v>
      </c>
      <c r="C691" s="28" t="e">
        <f t="shared" ca="1" si="10"/>
        <v>#N/A</v>
      </c>
      <c r="F691" s="3">
        <v>5106050309</v>
      </c>
      <c r="G691" s="3">
        <v>6900200107</v>
      </c>
      <c r="H691" s="34" t="e">
        <f ca="1">[2]!a_eb("CDT,{P1},,2017013,,YA,,,","K=Acc_Code,F={P2},O=B",H$1,$F691)</f>
        <v>#NAME?</v>
      </c>
      <c r="I691" s="34" t="e">
        <f ca="1">[2]!a_eb("CDT,{P1},,2017013,,YA,,,","K=Acc_Code,F={P2},O=B",I$1,$F691)</f>
        <v>#NAME?</v>
      </c>
    </row>
    <row r="692" spans="1:9">
      <c r="A692" s="36" t="s">
        <v>1497</v>
      </c>
      <c r="B692" s="20" t="s">
        <v>2174</v>
      </c>
      <c r="C692" s="28" t="e">
        <f t="shared" ca="1" si="10"/>
        <v>#N/A</v>
      </c>
      <c r="F692" s="3">
        <v>5106050310</v>
      </c>
      <c r="G692" s="3">
        <v>6901230004</v>
      </c>
      <c r="H692" s="34" t="e">
        <f ca="1">[2]!a_eb("CDT,{P1},,2017013,,YA,,,","K=Acc_Code,F={P2},O=B",H$1,$F692)</f>
        <v>#NAME?</v>
      </c>
      <c r="I692" s="34" t="e">
        <f ca="1">[2]!a_eb("CDT,{P1},,2017013,,YA,,,","K=Acc_Code,F={P2},O=B",I$1,$F692)</f>
        <v>#NAME?</v>
      </c>
    </row>
    <row r="693" spans="1:9">
      <c r="A693" s="36" t="s">
        <v>1497</v>
      </c>
      <c r="B693" s="20" t="s">
        <v>2175</v>
      </c>
      <c r="C693" s="28" t="e">
        <f t="shared" ca="1" si="10"/>
        <v>#N/A</v>
      </c>
      <c r="F693" s="3">
        <v>5106050311</v>
      </c>
      <c r="G693" s="3">
        <v>6910200107</v>
      </c>
      <c r="H693" s="34" t="e">
        <f ca="1">[2]!a_eb("CDT,{P1},,2017013,,YA,,,","K=Acc_Code,F={P2},O=B",H$1,$F693)</f>
        <v>#NAME?</v>
      </c>
      <c r="I693" s="34" t="e">
        <f ca="1">[2]!a_eb("CDT,{P1},,2017013,,YA,,,","K=Acc_Code,F={P2},O=B",I$1,$F693)</f>
        <v>#NAME?</v>
      </c>
    </row>
    <row r="694" spans="1:9">
      <c r="A694" s="36" t="s">
        <v>1497</v>
      </c>
      <c r="B694" s="20" t="s">
        <v>2176</v>
      </c>
      <c r="C694" s="28" t="e">
        <f t="shared" ca="1" si="10"/>
        <v>#N/A</v>
      </c>
      <c r="F694" s="3">
        <v>5106050312</v>
      </c>
      <c r="G694" s="3">
        <v>6900200005</v>
      </c>
      <c r="H694" s="34" t="e">
        <f ca="1">[2]!a_eb("CDT,{P1},,2017013,,YA,,,","K=Acc_Code,F={P2},O=B",H$1,$F694)</f>
        <v>#NAME?</v>
      </c>
      <c r="I694" s="34" t="e">
        <f ca="1">[2]!a_eb("CDT,{P1},,2017013,,YA,,,","K=Acc_Code,F={P2},O=B",I$1,$F694)</f>
        <v>#NAME?</v>
      </c>
    </row>
    <row r="695" spans="1:9">
      <c r="A695" s="36" t="s">
        <v>1497</v>
      </c>
      <c r="B695" s="20" t="s">
        <v>2177</v>
      </c>
      <c r="C695" s="28" t="e">
        <f t="shared" ca="1" si="10"/>
        <v>#N/A</v>
      </c>
      <c r="F695" s="3">
        <v>5106050401</v>
      </c>
      <c r="G695" s="3">
        <v>6951000000</v>
      </c>
      <c r="H695" s="34" t="e">
        <f ca="1">[2]!a_eb("CDT,{P1},,2017013,,YA,,,","K=Acc_Code,F={P2},O=B",H$1,$F695)</f>
        <v>#NAME?</v>
      </c>
      <c r="I695" s="34" t="e">
        <f ca="1">[2]!a_eb("CDT,{P1},,2017013,,YA,,,","K=Acc_Code,F={P2},O=B",I$1,$F695)</f>
        <v>#NAME?</v>
      </c>
    </row>
    <row r="696" spans="1:9">
      <c r="A696" s="36" t="s">
        <v>1497</v>
      </c>
      <c r="B696" s="20" t="s">
        <v>2178</v>
      </c>
      <c r="C696" s="28" t="e">
        <f t="shared" ca="1" si="10"/>
        <v>#N/A</v>
      </c>
      <c r="F696" s="3">
        <v>5106050403</v>
      </c>
      <c r="G696" s="3">
        <v>6952000000</v>
      </c>
      <c r="H696" s="34" t="e">
        <f ca="1">[2]!a_eb("CDT,{P1},,2017013,,YA,,,","K=Acc_Code,F={P2},O=B",H$1,$F696)</f>
        <v>#NAME?</v>
      </c>
      <c r="I696" s="34" t="e">
        <f ca="1">[2]!a_eb("CDT,{P1},,2017013,,YA,,,","K=Acc_Code,F={P2},O=B",I$1,$F696)</f>
        <v>#NAME?</v>
      </c>
    </row>
    <row r="697" spans="1:9">
      <c r="A697" s="36" t="s">
        <v>1497</v>
      </c>
      <c r="B697" s="20" t="s">
        <v>2179</v>
      </c>
      <c r="C697" s="28" t="e">
        <f t="shared" ca="1" si="10"/>
        <v>#N/A</v>
      </c>
      <c r="F697" s="3">
        <v>5106050409</v>
      </c>
      <c r="G697" s="3">
        <v>6951200000</v>
      </c>
      <c r="H697" s="34" t="e">
        <f ca="1">[2]!a_eb("CDT,{P1},,2017013,,YA,,,","K=Acc_Code,F={P2},O=B",H$1,$F697)</f>
        <v>#NAME?</v>
      </c>
      <c r="I697" s="34" t="e">
        <f ca="1">[2]!a_eb("CDT,{P1},,2017013,,YA,,,","K=Acc_Code,F={P2},O=B",I$1,$F697)</f>
        <v>#NAME?</v>
      </c>
    </row>
    <row r="698" spans="1:9">
      <c r="A698" s="36" t="s">
        <v>1497</v>
      </c>
      <c r="B698" s="20" t="s">
        <v>2180</v>
      </c>
      <c r="C698" s="28" t="e">
        <f t="shared" ca="1" si="10"/>
        <v>#N/A</v>
      </c>
      <c r="F698" s="3">
        <v>5106050410</v>
      </c>
      <c r="G698" s="3">
        <v>6952200000</v>
      </c>
      <c r="H698" s="34" t="e">
        <f ca="1">[2]!a_eb("CDT,{P1},,2017013,,YA,,,","K=Acc_Code,F={P2},O=B",H$1,$F698)</f>
        <v>#NAME?</v>
      </c>
      <c r="I698" s="34" t="e">
        <f ca="1">[2]!a_eb("CDT,{P1},,2017013,,YA,,,","K=Acc_Code,F={P2},O=B",I$1,$F698)</f>
        <v>#NAME?</v>
      </c>
    </row>
    <row r="699" spans="1:9">
      <c r="A699" s="36" t="s">
        <v>1497</v>
      </c>
      <c r="B699" s="20" t="s">
        <v>2181</v>
      </c>
      <c r="C699" s="28" t="e">
        <f t="shared" ca="1" si="10"/>
        <v>#N/A</v>
      </c>
      <c r="F699" s="3">
        <v>5106050001</v>
      </c>
      <c r="G699" s="3">
        <v>6956010001</v>
      </c>
      <c r="H699" s="34" t="e">
        <f ca="1">[2]!a_eb("CDT,{P1},,2017013,,YA,,,","K=Acc_Code,F={P2},O=B",H$1,$F699)</f>
        <v>#NAME?</v>
      </c>
      <c r="I699" s="34" t="e">
        <f ca="1">[2]!a_eb("CDT,{P1},,2017013,,YA,,,","K=Acc_Code,F={P2},O=B",I$1,$F699)</f>
        <v>#NAME?</v>
      </c>
    </row>
    <row r="700" spans="1:9">
      <c r="A700" s="36" t="s">
        <v>1497</v>
      </c>
      <c r="B700" s="20" t="s">
        <v>2182</v>
      </c>
      <c r="C700" s="28" t="e">
        <f t="shared" ca="1" si="10"/>
        <v>#N/A</v>
      </c>
      <c r="F700" s="3">
        <v>5106050002</v>
      </c>
      <c r="G700" s="3">
        <v>6956010002</v>
      </c>
      <c r="H700" s="34" t="e">
        <f ca="1">[2]!a_eb("CDT,{P1},,2017013,,YA,,,","K=Acc_Code,F={P2},O=B",H$1,$F700)</f>
        <v>#NAME?</v>
      </c>
      <c r="I700" s="34" t="e">
        <f ca="1">[2]!a_eb("CDT,{P1},,2017013,,YA,,,","K=Acc_Code,F={P2},O=B",I$1,$F700)</f>
        <v>#NAME?</v>
      </c>
    </row>
    <row r="701" spans="1:9">
      <c r="A701" s="36" t="s">
        <v>1497</v>
      </c>
      <c r="B701" s="20" t="s">
        <v>2183</v>
      </c>
      <c r="C701" s="28" t="e">
        <f t="shared" ca="1" si="10"/>
        <v>#N/A</v>
      </c>
      <c r="F701" s="3">
        <v>5106050003</v>
      </c>
      <c r="G701" s="3">
        <v>6956010003</v>
      </c>
      <c r="H701" s="34" t="e">
        <f ca="1">[2]!a_eb("CDT,{P1},,2017013,,YA,,,","K=Acc_Code,F={P2},O=B",H$1,$F701)</f>
        <v>#NAME?</v>
      </c>
      <c r="I701" s="34" t="e">
        <f ca="1">[2]!a_eb("CDT,{P1},,2017013,,YA,,,","K=Acc_Code,F={P2},O=B",I$1,$F701)</f>
        <v>#NAME?</v>
      </c>
    </row>
    <row r="702" spans="1:9">
      <c r="A702" s="36" t="s">
        <v>1497</v>
      </c>
      <c r="B702" s="20" t="s">
        <v>2184</v>
      </c>
      <c r="C702" s="28" t="e">
        <f t="shared" ca="1" si="10"/>
        <v>#N/A</v>
      </c>
      <c r="F702" s="3">
        <v>5106050501</v>
      </c>
      <c r="G702" s="3">
        <v>6700000000</v>
      </c>
      <c r="H702" s="34" t="e">
        <f ca="1">[2]!a_eb("CDT,{P1},,2017013,,YA,,,","K=Acc_Code,F={P2},O=B",H$1,$F702)</f>
        <v>#NAME?</v>
      </c>
      <c r="I702" s="34" t="e">
        <f ca="1">[2]!a_eb("CDT,{P1},,2017013,,YA,,,","K=Acc_Code,F={P2},O=B",I$1,$F702)</f>
        <v>#NAME?</v>
      </c>
    </row>
    <row r="703" spans="1:9">
      <c r="A703" s="36" t="s">
        <v>1497</v>
      </c>
      <c r="B703" s="20" t="s">
        <v>2185</v>
      </c>
      <c r="C703" s="28" t="e">
        <f t="shared" ca="1" si="10"/>
        <v>#N/A</v>
      </c>
      <c r="F703" s="3">
        <v>5106050502</v>
      </c>
      <c r="G703" s="3">
        <v>6700100000</v>
      </c>
      <c r="H703" s="34" t="e">
        <f ca="1">[2]!a_eb("CDT,{P1},,2017013,,YA,,,","K=Acc_Code,F={P2},O=B",H$1,$F703)</f>
        <v>#NAME?</v>
      </c>
      <c r="I703" s="34" t="e">
        <f ca="1">[2]!a_eb("CDT,{P1},,2017013,,YA,,,","K=Acc_Code,F={P2},O=B",I$1,$F703)</f>
        <v>#NAME?</v>
      </c>
    </row>
    <row r="704" spans="1:9">
      <c r="A704" s="36" t="s">
        <v>1497</v>
      </c>
      <c r="B704" s="20" t="s">
        <v>2186</v>
      </c>
      <c r="C704" s="28" t="e">
        <f t="shared" ca="1" si="10"/>
        <v>#N/A</v>
      </c>
      <c r="F704" s="3">
        <v>5106050503</v>
      </c>
      <c r="G704" s="3">
        <v>6700200000</v>
      </c>
      <c r="H704" s="34" t="e">
        <f ca="1">[2]!a_eb("CDT,{P1},,2017013,,YA,,,","K=Acc_Code,F={P2},O=B",H$1,$F704)</f>
        <v>#NAME?</v>
      </c>
      <c r="I704" s="34" t="e">
        <f ca="1">[2]!a_eb("CDT,{P1},,2017013,,YA,,,","K=Acc_Code,F={P2},O=B",I$1,$F704)</f>
        <v>#NAME?</v>
      </c>
    </row>
    <row r="705" spans="1:9">
      <c r="A705" s="36" t="s">
        <v>1497</v>
      </c>
      <c r="B705" s="20" t="s">
        <v>2187</v>
      </c>
      <c r="C705" s="28" t="e">
        <f t="shared" ca="1" si="10"/>
        <v>#N/A</v>
      </c>
      <c r="F705" s="3">
        <v>5106050504</v>
      </c>
      <c r="G705" s="3">
        <v>6700300000</v>
      </c>
      <c r="H705" s="34" t="e">
        <f ca="1">[2]!a_eb("CDT,{P1},,2017013,,YA,,,","K=Acc_Code,F={P2},O=B",H$1,$F705)</f>
        <v>#NAME?</v>
      </c>
      <c r="I705" s="34" t="e">
        <f ca="1">[2]!a_eb("CDT,{P1},,2017013,,YA,,,","K=Acc_Code,F={P2},O=B",I$1,$F705)</f>
        <v>#NAME?</v>
      </c>
    </row>
    <row r="706" spans="1:9">
      <c r="A706" s="11" t="s">
        <v>1401</v>
      </c>
      <c r="B706" s="20" t="s">
        <v>2188</v>
      </c>
      <c r="C706" s="28" t="e">
        <f t="shared" ca="1" si="10"/>
        <v>#N/A</v>
      </c>
      <c r="F706" s="3">
        <v>5106050505</v>
      </c>
      <c r="G706" s="3">
        <v>6700200010</v>
      </c>
      <c r="H706" s="34" t="e">
        <f ca="1">[2]!a_eb("CDT,{P1},,2017013,,YA,,,","K=Acc_Code,F={P2},O=B",H$1,$F706)</f>
        <v>#NAME?</v>
      </c>
      <c r="I706" s="34" t="e">
        <f ca="1">[2]!a_eb("CDT,{P1},,2017013,,YA,,,","K=Acc_Code,F={P2},O=B",I$1,$F706)</f>
        <v>#NAME?</v>
      </c>
    </row>
    <row r="707" spans="1:9">
      <c r="A707" s="11" t="s">
        <v>1402</v>
      </c>
      <c r="B707" s="20" t="s">
        <v>2188</v>
      </c>
      <c r="C707" s="28" t="e">
        <f t="shared" ca="1" si="10"/>
        <v>#N/A</v>
      </c>
      <c r="F707" s="3">
        <v>5106050506</v>
      </c>
      <c r="G707" s="3">
        <v>6700200020</v>
      </c>
      <c r="H707" s="34" t="e">
        <f ca="1">[2]!a_eb("CDT,{P1},,2017013,,YA,,,","K=Acc_Code,F={P2},O=B",H$1,$F707)</f>
        <v>#NAME?</v>
      </c>
      <c r="I707" s="34" t="e">
        <f ca="1">[2]!a_eb("CDT,{P1},,2017013,,YA,,,","K=Acc_Code,F={P2},O=B",I$1,$F707)</f>
        <v>#NAME?</v>
      </c>
    </row>
    <row r="708" spans="1:9">
      <c r="A708" s="11" t="s">
        <v>1402</v>
      </c>
      <c r="B708" s="20" t="s">
        <v>2188</v>
      </c>
      <c r="C708" s="28" t="e">
        <f t="shared" ca="1" si="10"/>
        <v>#N/A</v>
      </c>
      <c r="F708" s="3">
        <v>5106050507</v>
      </c>
      <c r="G708" s="3">
        <v>6700400000</v>
      </c>
      <c r="H708" s="34" t="e">
        <f ca="1">[2]!a_eb("CDT,{P1},,2017013,,YA,,,","K=Acc_Code,F={P2},O=B",H$1,$F708)</f>
        <v>#NAME?</v>
      </c>
      <c r="I708" s="34" t="e">
        <f ca="1">[2]!a_eb("CDT,{P1},,2017013,,YA,,,","K=Acc_Code,F={P2},O=B",I$1,$F708)</f>
        <v>#NAME?</v>
      </c>
    </row>
    <row r="709" spans="1:9">
      <c r="A709" s="11" t="s">
        <v>1402</v>
      </c>
      <c r="B709" s="20" t="s">
        <v>2188</v>
      </c>
      <c r="C709" s="28" t="e">
        <f t="shared" ca="1" si="10"/>
        <v>#N/A</v>
      </c>
      <c r="F709" s="3">
        <v>5106050508</v>
      </c>
      <c r="G709" s="3">
        <v>6700500000</v>
      </c>
      <c r="H709" s="34" t="e">
        <f ca="1">[2]!a_eb("CDT,{P1},,2017013,,YA,,,","K=Acc_Code,F={P2},O=B",H$1,$F709)</f>
        <v>#NAME?</v>
      </c>
      <c r="I709" s="34" t="e">
        <f ca="1">[2]!a_eb("CDT,{P1},,2017013,,YA,,,","K=Acc_Code,F={P2},O=B",I$1,$F709)</f>
        <v>#NAME?</v>
      </c>
    </row>
    <row r="710" spans="1:9">
      <c r="A710" s="11" t="s">
        <v>1403</v>
      </c>
      <c r="B710" s="20" t="s">
        <v>2188</v>
      </c>
      <c r="C710" s="28" t="e">
        <f t="shared" ca="1" si="10"/>
        <v>#N/A</v>
      </c>
      <c r="F710" s="3">
        <v>5106050509</v>
      </c>
      <c r="G710" s="3">
        <v>6700600000</v>
      </c>
      <c r="H710" s="34" t="e">
        <f ca="1">[2]!a_eb("CDT,{P1},,2017013,,YA,,,","K=Acc_Code,F={P2},O=B",H$1,$F710)</f>
        <v>#NAME?</v>
      </c>
      <c r="I710" s="34" t="e">
        <f ca="1">[2]!a_eb("CDT,{P1},,2017013,,YA,,,","K=Acc_Code,F={P2},O=B",I$1,$F710)</f>
        <v>#NAME?</v>
      </c>
    </row>
    <row r="711" spans="1:9">
      <c r="A711" s="11" t="s">
        <v>1404</v>
      </c>
      <c r="B711" s="20" t="s">
        <v>2188</v>
      </c>
      <c r="C711" s="28" t="e">
        <f t="shared" ca="1" si="10"/>
        <v>#N/A</v>
      </c>
      <c r="F711" s="3">
        <v>5106050510</v>
      </c>
      <c r="G711" s="3">
        <v>6700700000</v>
      </c>
      <c r="H711" s="34" t="e">
        <f ca="1">[2]!a_eb("CDT,{P1},,2017013,,YA,,,","K=Acc_Code,F={P2},O=B",H$1,$F711)</f>
        <v>#NAME?</v>
      </c>
      <c r="I711" s="34" t="e">
        <f ca="1">[2]!a_eb("CDT,{P1},,2017013,,YA,,,","K=Acc_Code,F={P2},O=B",I$1,$F711)</f>
        <v>#NAME?</v>
      </c>
    </row>
    <row r="712" spans="1:9">
      <c r="A712" s="11" t="s">
        <v>1404</v>
      </c>
      <c r="B712" s="20" t="s">
        <v>2188</v>
      </c>
      <c r="C712" s="28" t="e">
        <f t="shared" ca="1" si="10"/>
        <v>#N/A</v>
      </c>
      <c r="F712" s="3">
        <v>510701</v>
      </c>
      <c r="G712" s="3">
        <v>7810000000</v>
      </c>
      <c r="H712" s="34" t="e">
        <f ca="1">[2]!a_eb("CDT,{P1},,2017013,,YA,,,","K=Acc_Code,F={P2},O=B",H$1,$F712)</f>
        <v>#NAME?</v>
      </c>
      <c r="I712" s="34" t="e">
        <f ca="1">[2]!a_eb("CDT,{P1},,2017013,,YA,,,","K=Acc_Code,F={P2},O=B",I$1,$F712)</f>
        <v>#NAME?</v>
      </c>
    </row>
    <row r="713" spans="1:9">
      <c r="A713" s="11">
        <v>1010002000</v>
      </c>
      <c r="B713" s="20" t="s">
        <v>2188</v>
      </c>
      <c r="C713" s="28" t="e">
        <f t="shared" ca="1" si="10"/>
        <v>#N/A</v>
      </c>
      <c r="F713" s="3">
        <v>510701</v>
      </c>
      <c r="G713" s="3">
        <v>7813000000</v>
      </c>
      <c r="H713" s="34" t="e">
        <f ca="1">[2]!a_eb("CDT,{P1},,2017013,,YA,,,","K=Acc_Code,F={P2},O=B",H$1,$F713)</f>
        <v>#NAME?</v>
      </c>
      <c r="I713" s="34" t="e">
        <f ca="1">[2]!a_eb("CDT,{P1},,2017013,,YA,,,","K=Acc_Code,F={P2},O=B",I$1,$F713)</f>
        <v>#NAME?</v>
      </c>
    </row>
    <row r="714" spans="1:9">
      <c r="A714" s="11">
        <v>1010002000</v>
      </c>
      <c r="B714" s="20" t="s">
        <v>2188</v>
      </c>
      <c r="C714" s="28" t="e">
        <f t="shared" ca="1" si="10"/>
        <v>#N/A</v>
      </c>
      <c r="F714" s="3">
        <v>510702</v>
      </c>
      <c r="G714" s="3">
        <v>7700000000</v>
      </c>
      <c r="H714" s="34" t="e">
        <f ca="1">[2]!a_eb("CDT,{P1},,2017013,,YA,,,","K=Acc_Code,F={P2},O=B",H$1,$F714)</f>
        <v>#NAME?</v>
      </c>
      <c r="I714" s="34" t="e">
        <f ca="1">[2]!a_eb("CDT,{P1},,2017013,,YA,,,","K=Acc_Code,F={P2},O=B",I$1,$F714)</f>
        <v>#NAME?</v>
      </c>
    </row>
    <row r="715" spans="1:9">
      <c r="A715" s="11">
        <v>1010002000</v>
      </c>
      <c r="B715" s="20" t="s">
        <v>2188</v>
      </c>
      <c r="C715" s="28" t="e">
        <f t="shared" ca="1" si="10"/>
        <v>#N/A</v>
      </c>
      <c r="F715" s="3">
        <v>510708</v>
      </c>
      <c r="G715" s="3">
        <v>7059031000</v>
      </c>
      <c r="H715" s="34" t="e">
        <f ca="1">[2]!a_eb("CDT,{P1},,2017013,,YA,,,","K=Acc_Code,F={P2},O=B",H$1,$F715)</f>
        <v>#NAME?</v>
      </c>
      <c r="I715" s="34" t="e">
        <f ca="1">[2]!a_eb("CDT,{P1},,2017013,,YA,,,","K=Acc_Code,F={P2},O=B",I$1,$F715)</f>
        <v>#NAME?</v>
      </c>
    </row>
    <row r="716" spans="1:9">
      <c r="A716" s="11">
        <v>1010002000</v>
      </c>
      <c r="B716" s="20" t="s">
        <v>2188</v>
      </c>
      <c r="C716" s="28" t="e">
        <f t="shared" ca="1" si="10"/>
        <v>#N/A</v>
      </c>
      <c r="F716" s="3">
        <v>510712</v>
      </c>
      <c r="G716" s="3">
        <v>7059031010</v>
      </c>
      <c r="H716" s="34" t="e">
        <f ca="1">[2]!a_eb("CDT,{P1},,2017013,,YA,,,","K=Acc_Code,F={P2},O=B",H$1,$F716)</f>
        <v>#NAME?</v>
      </c>
      <c r="I716" s="34" t="e">
        <f ca="1">[2]!a_eb("CDT,{P1},,2017013,,YA,,,","K=Acc_Code,F={P2},O=B",I$1,$F716)</f>
        <v>#NAME?</v>
      </c>
    </row>
    <row r="717" spans="1:9">
      <c r="A717" s="11">
        <v>1010002000</v>
      </c>
      <c r="B717" s="20" t="s">
        <v>2188</v>
      </c>
      <c r="C717" s="28" t="e">
        <f t="shared" ca="1" si="10"/>
        <v>#N/A</v>
      </c>
      <c r="F717" s="3">
        <v>52010101</v>
      </c>
      <c r="G717" s="3">
        <v>8000101010</v>
      </c>
      <c r="H717" s="34" t="e">
        <f ca="1">[2]!a_eb("CDT,{P1},,2017013,,YA,,,","K=Acc_Code,F={P2},O=B",H$1,$F717)</f>
        <v>#NAME?</v>
      </c>
      <c r="I717" s="34" t="e">
        <f ca="1">[2]!a_eb("CDT,{P1},,2017013,,YA,,,","K=Acc_Code,F={P2},O=B",I$1,$F717)</f>
        <v>#NAME?</v>
      </c>
    </row>
    <row r="718" spans="1:9">
      <c r="A718" s="11">
        <v>1010002000</v>
      </c>
      <c r="B718" s="20" t="s">
        <v>2188</v>
      </c>
      <c r="C718" s="28" t="e">
        <f t="shared" ca="1" si="10"/>
        <v>#N/A</v>
      </c>
      <c r="F718" s="3">
        <v>52010102</v>
      </c>
      <c r="G718" s="3">
        <v>8000201010</v>
      </c>
      <c r="H718" s="34" t="e">
        <f ca="1">[2]!a_eb("CDT,{P1},,2017013,,YA,,,","K=Acc_Code,F={P2},O=B",H$1,$F718)</f>
        <v>#NAME?</v>
      </c>
      <c r="I718" s="34" t="e">
        <f ca="1">[2]!a_eb("CDT,{P1},,2017013,,YA,,,","K=Acc_Code,F={P2},O=B",I$1,$F718)</f>
        <v>#NAME?</v>
      </c>
    </row>
    <row r="719" spans="1:9">
      <c r="A719" s="11">
        <v>1010002000</v>
      </c>
      <c r="B719" s="20" t="s">
        <v>2188</v>
      </c>
      <c r="C719" s="28" t="e">
        <f t="shared" ca="1" si="10"/>
        <v>#N/A</v>
      </c>
      <c r="F719" s="3">
        <v>52010103</v>
      </c>
      <c r="G719" s="3">
        <v>8000401010</v>
      </c>
      <c r="H719" s="34" t="e">
        <f ca="1">[2]!a_eb("CDT,{P1},,2017013,,YA,,,","K=Acc_Code,F={P2},O=B",H$1,$F719)</f>
        <v>#NAME?</v>
      </c>
      <c r="I719" s="34" t="e">
        <f ca="1">[2]!a_eb("CDT,{P1},,2017013,,YA,,,","K=Acc_Code,F={P2},O=B",I$1,$F719)</f>
        <v>#NAME?</v>
      </c>
    </row>
    <row r="720" spans="1:9">
      <c r="A720" s="11">
        <v>1444100000</v>
      </c>
      <c r="B720" s="20" t="s">
        <v>2188</v>
      </c>
      <c r="C720" s="28" t="e">
        <f t="shared" ca="1" si="10"/>
        <v>#N/A</v>
      </c>
      <c r="F720" s="3">
        <v>52010105</v>
      </c>
      <c r="G720" s="3">
        <v>8000301010</v>
      </c>
      <c r="H720" s="34" t="e">
        <f ca="1">[2]!a_eb("CDT,{P1},,2017013,,YA,,,","K=Acc_Code,F={P2},O=B",H$1,$F720)</f>
        <v>#NAME?</v>
      </c>
      <c r="I720" s="34" t="e">
        <f ca="1">[2]!a_eb("CDT,{P1},,2017013,,YA,,,","K=Acc_Code,F={P2},O=B",I$1,$F720)</f>
        <v>#NAME?</v>
      </c>
    </row>
    <row r="721" spans="1:9">
      <c r="A721" s="11">
        <v>1444000000</v>
      </c>
      <c r="B721" s="20" t="s">
        <v>2188</v>
      </c>
      <c r="C721" s="28" t="e">
        <f t="shared" ca="1" si="10"/>
        <v>#N/A</v>
      </c>
      <c r="F721" s="3">
        <v>52010110</v>
      </c>
      <c r="G721" s="3">
        <v>6956020000</v>
      </c>
      <c r="H721" s="34" t="e">
        <f ca="1">[2]!a_eb("CDT,{P1},,2017013,,YA,,,","K=Acc_Code,F={P2},O=B",H$1,$F721)</f>
        <v>#NAME?</v>
      </c>
      <c r="I721" s="34" t="e">
        <f ca="1">[2]!a_eb("CDT,{P1},,2017013,,YA,,,","K=Acc_Code,F={P2},O=B",I$1,$F721)</f>
        <v>#NAME?</v>
      </c>
    </row>
    <row r="722" spans="1:9">
      <c r="A722" s="11">
        <v>1010002010</v>
      </c>
      <c r="B722" s="20" t="s">
        <v>2189</v>
      </c>
      <c r="C722" s="28" t="e">
        <f t="shared" ca="1" si="10"/>
        <v>#N/A</v>
      </c>
      <c r="F722" s="3">
        <v>52010112</v>
      </c>
      <c r="G722" s="3">
        <v>6956220000</v>
      </c>
      <c r="H722" s="34" t="e">
        <f ca="1">[2]!a_eb("CDT,{P1},,2017013,,YA,,,","K=Acc_Code,F={P2},O=B",H$1,$F722)</f>
        <v>#NAME?</v>
      </c>
      <c r="I722" s="34" t="e">
        <f ca="1">[2]!a_eb("CDT,{P1},,2017013,,YA,,,","K=Acc_Code,F={P2},O=B",I$1,$F722)</f>
        <v>#NAME?</v>
      </c>
    </row>
    <row r="723" spans="1:9">
      <c r="A723" s="11">
        <v>1010002010</v>
      </c>
      <c r="B723" s="20" t="s">
        <v>2189</v>
      </c>
      <c r="C723" s="28" t="e">
        <f t="shared" ca="1" si="10"/>
        <v>#N/A</v>
      </c>
      <c r="F723" s="3">
        <v>52010113</v>
      </c>
      <c r="G723" s="3">
        <v>8000302020</v>
      </c>
      <c r="H723" s="34" t="e">
        <f ca="1">[2]!a_eb("CDT,{P1},,2017013,,YA,,,","K=Acc_Code,F={P2},O=B",H$1,$F723)</f>
        <v>#NAME?</v>
      </c>
      <c r="I723" s="34" t="e">
        <f ca="1">[2]!a_eb("CDT,{P1},,2017013,,YA,,,","K=Acc_Code,F={P2},O=B",I$1,$F723)</f>
        <v>#NAME?</v>
      </c>
    </row>
    <row r="724" spans="1:9">
      <c r="A724" s="11">
        <v>1010002010</v>
      </c>
      <c r="B724" s="20" t="s">
        <v>2189</v>
      </c>
      <c r="C724" s="28" t="e">
        <f t="shared" ca="1" si="10"/>
        <v>#N/A</v>
      </c>
      <c r="F724" s="3">
        <v>52010114</v>
      </c>
      <c r="G724" s="3">
        <v>8000302010</v>
      </c>
      <c r="H724" s="34" t="e">
        <f ca="1">[2]!a_eb("CDT,{P1},,2017013,,YA,,,","K=Acc_Code,F={P2},O=B",H$1,$F724)</f>
        <v>#NAME?</v>
      </c>
      <c r="I724" s="34" t="e">
        <f ca="1">[2]!a_eb("CDT,{P1},,2017013,,YA,,,","K=Acc_Code,F={P2},O=B",I$1,$F724)</f>
        <v>#NAME?</v>
      </c>
    </row>
    <row r="725" spans="1:9">
      <c r="A725" s="11">
        <v>1010002010</v>
      </c>
      <c r="B725" s="20" t="s">
        <v>2189</v>
      </c>
      <c r="C725" s="28" t="e">
        <f t="shared" ca="1" si="10"/>
        <v>#N/A</v>
      </c>
      <c r="F725" s="3">
        <v>52010115</v>
      </c>
      <c r="G725" s="3">
        <v>6956020010</v>
      </c>
      <c r="H725" s="34" t="e">
        <f ca="1">[2]!a_eb("CDT,{P1},,2017013,,YA,,,","K=Acc_Code,F={P2},O=B",H$1,$F725)</f>
        <v>#NAME?</v>
      </c>
      <c r="I725" s="34" t="e">
        <f ca="1">[2]!a_eb("CDT,{P1},,2017013,,YA,,,","K=Acc_Code,F={P2},O=B",I$1,$F725)</f>
        <v>#NAME?</v>
      </c>
    </row>
    <row r="726" spans="1:9">
      <c r="A726" s="11">
        <v>1010002010</v>
      </c>
      <c r="B726" s="20" t="s">
        <v>2189</v>
      </c>
      <c r="C726" s="28" t="e">
        <f t="shared" ca="1" si="10"/>
        <v>#N/A</v>
      </c>
      <c r="F726" s="3">
        <v>52010116</v>
      </c>
      <c r="G726" s="3">
        <v>6956220010</v>
      </c>
      <c r="H726" s="34" t="e">
        <f ca="1">[2]!a_eb("CDT,{P1},,2017013,,YA,,,","K=Acc_Code,F={P2},O=B",H$1,$F726)</f>
        <v>#NAME?</v>
      </c>
      <c r="I726" s="34" t="e">
        <f ca="1">[2]!a_eb("CDT,{P1},,2017013,,YA,,,","K=Acc_Code,F={P2},O=B",I$1,$F726)</f>
        <v>#NAME?</v>
      </c>
    </row>
    <row r="727" spans="1:9">
      <c r="A727" s="11">
        <v>1010002010</v>
      </c>
      <c r="B727" s="20" t="s">
        <v>2189</v>
      </c>
      <c r="C727" s="28" t="e">
        <f t="shared" ca="1" si="10"/>
        <v>#N/A</v>
      </c>
      <c r="F727" s="3">
        <v>52010117</v>
      </c>
      <c r="G727" s="3">
        <v>8450501010</v>
      </c>
      <c r="H727" s="34" t="e">
        <f ca="1">[2]!a_eb("CDT,{P1},,2017013,,YA,,,","K=Acc_Code,F={P2},O=B",H$1,$F727)</f>
        <v>#NAME?</v>
      </c>
      <c r="I727" s="34" t="e">
        <f ca="1">[2]!a_eb("CDT,{P1},,2017013,,YA,,,","K=Acc_Code,F={P2},O=B",I$1,$F727)</f>
        <v>#NAME?</v>
      </c>
    </row>
    <row r="728" spans="1:9">
      <c r="A728" s="11" t="s">
        <v>1401</v>
      </c>
      <c r="B728" s="20" t="s">
        <v>2190</v>
      </c>
      <c r="C728" s="28" t="e">
        <f t="shared" ca="1" si="10"/>
        <v>#N/A</v>
      </c>
      <c r="F728" s="3">
        <v>52010201</v>
      </c>
      <c r="G728" s="3">
        <v>8010501010</v>
      </c>
      <c r="H728" s="34" t="e">
        <f ca="1">[2]!a_eb("CDT,{P1},,2017013,,YA,,,","K=Acc_Code,F={P2},O=B",H$1,$F728)</f>
        <v>#NAME?</v>
      </c>
      <c r="I728" s="34" t="e">
        <f ca="1">[2]!a_eb("CDT,{P1},,2017013,,YA,,,","K=Acc_Code,F={P2},O=B",I$1,$F728)</f>
        <v>#NAME?</v>
      </c>
    </row>
    <row r="729" spans="1:9">
      <c r="A729" s="11" t="s">
        <v>1402</v>
      </c>
      <c r="B729" s="20" t="s">
        <v>2190</v>
      </c>
      <c r="C729" s="28" t="e">
        <f t="shared" ca="1" si="10"/>
        <v>#N/A</v>
      </c>
      <c r="F729" s="3">
        <v>52010202</v>
      </c>
      <c r="G729" s="3">
        <v>8010201020</v>
      </c>
      <c r="H729" s="34" t="e">
        <f ca="1">[2]!a_eb("CDT,{P1},,2017013,,YA,,,","K=Acc_Code,F={P2},O=B",H$1,$F729)</f>
        <v>#NAME?</v>
      </c>
      <c r="I729" s="34" t="e">
        <f ca="1">[2]!a_eb("CDT,{P1},,2017013,,YA,,,","K=Acc_Code,F={P2},O=B",I$1,$F729)</f>
        <v>#NAME?</v>
      </c>
    </row>
    <row r="730" spans="1:9">
      <c r="A730" s="11" t="s">
        <v>1402</v>
      </c>
      <c r="B730" s="20" t="s">
        <v>2190</v>
      </c>
      <c r="C730" s="28" t="e">
        <f t="shared" ca="1" si="10"/>
        <v>#N/A</v>
      </c>
      <c r="F730" s="3">
        <v>52010203</v>
      </c>
      <c r="G730" s="3">
        <v>8010501040</v>
      </c>
      <c r="H730" s="34" t="e">
        <f ca="1">[2]!a_eb("CDT,{P1},,2017013,,YA,,,","K=Acc_Code,F={P2},O=B",H$1,$F730)</f>
        <v>#NAME?</v>
      </c>
      <c r="I730" s="34" t="e">
        <f ca="1">[2]!a_eb("CDT,{P1},,2017013,,YA,,,","K=Acc_Code,F={P2},O=B",I$1,$F730)</f>
        <v>#NAME?</v>
      </c>
    </row>
    <row r="731" spans="1:9">
      <c r="A731" s="11" t="s">
        <v>1402</v>
      </c>
      <c r="B731" s="20" t="s">
        <v>2190</v>
      </c>
      <c r="C731" s="28" t="e">
        <f t="shared" ca="1" si="10"/>
        <v>#N/A</v>
      </c>
      <c r="F731" s="3">
        <v>52010204</v>
      </c>
      <c r="G731" s="3">
        <v>8010501050</v>
      </c>
      <c r="H731" s="34" t="e">
        <f ca="1">[2]!a_eb("CDT,{P1},,2017013,,YA,,,","K=Acc_Code,F={P2},O=B",H$1,$F731)</f>
        <v>#NAME?</v>
      </c>
      <c r="I731" s="34" t="e">
        <f ca="1">[2]!a_eb("CDT,{P1},,2017013,,YA,,,","K=Acc_Code,F={P2},O=B",I$1,$F731)</f>
        <v>#NAME?</v>
      </c>
    </row>
    <row r="732" spans="1:9">
      <c r="A732" s="11" t="s">
        <v>1403</v>
      </c>
      <c r="B732" s="20" t="s">
        <v>2190</v>
      </c>
      <c r="C732" s="28" t="e">
        <f t="shared" ca="1" si="10"/>
        <v>#N/A</v>
      </c>
      <c r="F732" s="3">
        <v>52010205</v>
      </c>
      <c r="G732" s="3">
        <v>8010501110</v>
      </c>
      <c r="H732" s="34" t="e">
        <f ca="1">[2]!a_eb("CDT,{P1},,2017013,,YA,,,","K=Acc_Code,F={P2},O=B",H$1,$F732)</f>
        <v>#NAME?</v>
      </c>
      <c r="I732" s="34" t="e">
        <f ca="1">[2]!a_eb("CDT,{P1},,2017013,,YA,,,","K=Acc_Code,F={P2},O=B",I$1,$F732)</f>
        <v>#NAME?</v>
      </c>
    </row>
    <row r="733" spans="1:9">
      <c r="A733" s="11" t="s">
        <v>1404</v>
      </c>
      <c r="B733" s="20" t="s">
        <v>2190</v>
      </c>
      <c r="C733" s="28" t="e">
        <f t="shared" ca="1" si="10"/>
        <v>#N/A</v>
      </c>
      <c r="F733" s="3">
        <v>52010206</v>
      </c>
      <c r="G733" s="3">
        <v>8010501060</v>
      </c>
      <c r="H733" s="34" t="e">
        <f ca="1">[2]!a_eb("CDT,{P1},,2017013,,YA,,,","K=Acc_Code,F={P2},O=B",H$1,$F733)</f>
        <v>#NAME?</v>
      </c>
      <c r="I733" s="34" t="e">
        <f ca="1">[2]!a_eb("CDT,{P1},,2017013,,YA,,,","K=Acc_Code,F={P2},O=B",I$1,$F733)</f>
        <v>#NAME?</v>
      </c>
    </row>
    <row r="734" spans="1:9">
      <c r="A734" s="11" t="s">
        <v>1404</v>
      </c>
      <c r="B734" s="20" t="s">
        <v>2190</v>
      </c>
      <c r="C734" s="28" t="e">
        <f t="shared" ca="1" si="10"/>
        <v>#N/A</v>
      </c>
      <c r="F734" s="3">
        <v>52010207</v>
      </c>
      <c r="G734" s="3">
        <v>8010201050</v>
      </c>
      <c r="H734" s="34" t="e">
        <f ca="1">[2]!a_eb("CDT,{P1},,2017013,,YA,,,","K=Acc_Code,F={P2},O=B",H$1,$F734)</f>
        <v>#NAME?</v>
      </c>
      <c r="I734" s="34" t="e">
        <f ca="1">[2]!a_eb("CDT,{P1},,2017013,,YA,,,","K=Acc_Code,F={P2},O=B",I$1,$F734)</f>
        <v>#NAME?</v>
      </c>
    </row>
    <row r="735" spans="1:9">
      <c r="A735" s="11">
        <v>1010002020</v>
      </c>
      <c r="B735" s="20" t="s">
        <v>2190</v>
      </c>
      <c r="C735" s="28" t="e">
        <f t="shared" ca="1" si="10"/>
        <v>#N/A</v>
      </c>
      <c r="F735" s="3">
        <v>52010208</v>
      </c>
      <c r="G735" s="3">
        <v>8010201051</v>
      </c>
      <c r="H735" s="34" t="e">
        <f ca="1">[2]!a_eb("CDT,{P1},,2017013,,YA,,,","K=Acc_Code,F={P2},O=B",H$1,$F735)</f>
        <v>#NAME?</v>
      </c>
      <c r="I735" s="34" t="e">
        <f ca="1">[2]!a_eb("CDT,{P1},,2017013,,YA,,,","K=Acc_Code,F={P2},O=B",I$1,$F735)</f>
        <v>#NAME?</v>
      </c>
    </row>
    <row r="736" spans="1:9">
      <c r="A736" s="11">
        <v>1010002020</v>
      </c>
      <c r="B736" s="20" t="s">
        <v>2190</v>
      </c>
      <c r="C736" s="28" t="e">
        <f t="shared" ca="1" si="10"/>
        <v>#N/A</v>
      </c>
      <c r="F736" s="3">
        <v>52010211</v>
      </c>
      <c r="G736" s="3">
        <v>8010505010</v>
      </c>
      <c r="H736" s="34" t="e">
        <f ca="1">[2]!a_eb("CDT,{P1},,2017013,,YA,,,","K=Acc_Code,F={P2},O=B",H$1,$F736)</f>
        <v>#NAME?</v>
      </c>
      <c r="I736" s="34" t="e">
        <f ca="1">[2]!a_eb("CDT,{P1},,2017013,,YA,,,","K=Acc_Code,F={P2},O=B",I$1,$F736)</f>
        <v>#NAME?</v>
      </c>
    </row>
    <row r="737" spans="1:9">
      <c r="A737" s="11">
        <v>1010002020</v>
      </c>
      <c r="B737" s="20" t="s">
        <v>2190</v>
      </c>
      <c r="C737" s="28" t="e">
        <f t="shared" ca="1" si="10"/>
        <v>#N/A</v>
      </c>
      <c r="F737" s="3">
        <v>52010212</v>
      </c>
      <c r="G737" s="3">
        <v>8010501220</v>
      </c>
      <c r="H737" s="34" t="e">
        <f ca="1">[2]!a_eb("CDT,{P1},,2017013,,YA,,,","K=Acc_Code,F={P2},O=B",H$1,$F737)</f>
        <v>#NAME?</v>
      </c>
      <c r="I737" s="34" t="e">
        <f ca="1">[2]!a_eb("CDT,{P1},,2017013,,YA,,,","K=Acc_Code,F={P2},O=B",I$1,$F737)</f>
        <v>#NAME?</v>
      </c>
    </row>
    <row r="738" spans="1:9">
      <c r="A738" s="11">
        <v>1010002020</v>
      </c>
      <c r="B738" s="20" t="s">
        <v>2190</v>
      </c>
      <c r="C738" s="28" t="e">
        <f t="shared" ca="1" si="10"/>
        <v>#N/A</v>
      </c>
      <c r="F738" s="3">
        <v>52010213</v>
      </c>
      <c r="G738" s="3">
        <v>8010501230</v>
      </c>
      <c r="H738" s="34" t="e">
        <f ca="1">[2]!a_eb("CDT,{P1},,2017013,,YA,,,","K=Acc_Code,F={P2},O=B",H$1,$F738)</f>
        <v>#NAME?</v>
      </c>
      <c r="I738" s="34" t="e">
        <f ca="1">[2]!a_eb("CDT,{P1},,2017013,,YA,,,","K=Acc_Code,F={P2},O=B",I$1,$F738)</f>
        <v>#NAME?</v>
      </c>
    </row>
    <row r="739" spans="1:9">
      <c r="A739" s="11">
        <v>1010002020</v>
      </c>
      <c r="B739" s="20" t="s">
        <v>2190</v>
      </c>
      <c r="C739" s="28" t="e">
        <f t="shared" ca="1" si="10"/>
        <v>#N/A</v>
      </c>
      <c r="F739" s="3">
        <v>52010214</v>
      </c>
      <c r="G739" s="3">
        <v>8480300010</v>
      </c>
      <c r="H739" s="34" t="e">
        <f ca="1">[2]!a_eb("CDT,{P1},,2017013,,YA,,,","K=Acc_Code,F={P2},O=B",H$1,$F739)</f>
        <v>#NAME?</v>
      </c>
      <c r="I739" s="34" t="e">
        <f ca="1">[2]!a_eb("CDT,{P1},,2017013,,YA,,,","K=Acc_Code,F={P2},O=B",I$1,$F739)</f>
        <v>#NAME?</v>
      </c>
    </row>
    <row r="740" spans="1:9">
      <c r="A740" s="11">
        <v>1010002020</v>
      </c>
      <c r="B740" s="20" t="s">
        <v>2190</v>
      </c>
      <c r="C740" s="28" t="e">
        <f t="shared" ca="1" si="10"/>
        <v>#N/A</v>
      </c>
      <c r="F740" s="3">
        <v>52010215</v>
      </c>
      <c r="G740" s="3">
        <v>8000801020</v>
      </c>
      <c r="H740" s="34" t="e">
        <f ca="1">[2]!a_eb("CDT,{P1},,2017013,,YA,,,","K=Acc_Code,F={P2},O=B",H$1,$F740)</f>
        <v>#NAME?</v>
      </c>
      <c r="I740" s="34" t="e">
        <f ca="1">[2]!a_eb("CDT,{P1},,2017013,,YA,,,","K=Acc_Code,F={P2},O=B",I$1,$F740)</f>
        <v>#NAME?</v>
      </c>
    </row>
    <row r="741" spans="1:9">
      <c r="A741" s="11">
        <v>1010002020</v>
      </c>
      <c r="B741" s="20" t="s">
        <v>2190</v>
      </c>
      <c r="C741" s="28" t="e">
        <f t="shared" ca="1" si="10"/>
        <v>#N/A</v>
      </c>
      <c r="F741" s="3">
        <v>52010216</v>
      </c>
      <c r="G741" s="3">
        <v>8000901020</v>
      </c>
      <c r="H741" s="34" t="e">
        <f ca="1">[2]!a_eb("CDT,{P1},,2017013,,YA,,,","K=Acc_Code,F={P2},O=B",H$1,$F741)</f>
        <v>#NAME?</v>
      </c>
      <c r="I741" s="34" t="e">
        <f ca="1">[2]!a_eb("CDT,{P1},,2017013,,YA,,,","K=Acc_Code,F={P2},O=B",I$1,$F741)</f>
        <v>#NAME?</v>
      </c>
    </row>
    <row r="742" spans="1:9">
      <c r="A742" s="11" t="s">
        <v>1401</v>
      </c>
      <c r="B742" s="20" t="s">
        <v>2191</v>
      </c>
      <c r="C742" s="28" t="e">
        <f t="shared" ca="1" si="10"/>
        <v>#N/A</v>
      </c>
      <c r="F742" s="3">
        <v>52010217</v>
      </c>
      <c r="G742" s="3">
        <v>8000603010</v>
      </c>
      <c r="H742" s="34" t="e">
        <f ca="1">[2]!a_eb("CDT,{P1},,2017013,,YA,,,","K=Acc_Code,F={P2},O=B",H$1,$F742)</f>
        <v>#NAME?</v>
      </c>
      <c r="I742" s="34" t="e">
        <f ca="1">[2]!a_eb("CDT,{P1},,2017013,,YA,,,","K=Acc_Code,F={P2},O=B",I$1,$F742)</f>
        <v>#NAME?</v>
      </c>
    </row>
    <row r="743" spans="1:9">
      <c r="A743" s="11" t="s">
        <v>1402</v>
      </c>
      <c r="B743" s="20" t="s">
        <v>2191</v>
      </c>
      <c r="C743" s="28" t="e">
        <f t="shared" ca="1" si="10"/>
        <v>#N/A</v>
      </c>
      <c r="F743" s="3">
        <v>52010218</v>
      </c>
      <c r="G743" s="3">
        <v>8000801030</v>
      </c>
      <c r="H743" s="34" t="e">
        <f ca="1">[2]!a_eb("CDT,{P1},,2017013,,YA,,,","K=Acc_Code,F={P2},O=B",H$1,$F743)</f>
        <v>#NAME?</v>
      </c>
      <c r="I743" s="34" t="e">
        <f ca="1">[2]!a_eb("CDT,{P1},,2017013,,YA,,,","K=Acc_Code,F={P2},O=B",I$1,$F743)</f>
        <v>#NAME?</v>
      </c>
    </row>
    <row r="744" spans="1:9">
      <c r="A744" s="11" t="s">
        <v>1402</v>
      </c>
      <c r="B744" s="20" t="s">
        <v>2191</v>
      </c>
      <c r="C744" s="28" t="e">
        <f t="shared" ca="1" si="10"/>
        <v>#N/A</v>
      </c>
      <c r="F744" s="3">
        <v>52010219</v>
      </c>
      <c r="G744" s="3">
        <v>6600000060</v>
      </c>
      <c r="H744" s="34" t="e">
        <f ca="1">[2]!a_eb("CDT,{P1},,2017013,,YA,,,","K=Acc_Code,F={P2},O=B",H$1,$F744)</f>
        <v>#NAME?</v>
      </c>
      <c r="I744" s="34" t="e">
        <f ca="1">[2]!a_eb("CDT,{P1},,2017013,,YA,,,","K=Acc_Code,F={P2},O=B",I$1,$F744)</f>
        <v>#NAME?</v>
      </c>
    </row>
    <row r="745" spans="1:9">
      <c r="A745" s="11" t="s">
        <v>1402</v>
      </c>
      <c r="B745" s="20" t="s">
        <v>2191</v>
      </c>
      <c r="C745" s="28" t="e">
        <f t="shared" ca="1" si="10"/>
        <v>#N/A</v>
      </c>
      <c r="F745" s="3">
        <v>52010220</v>
      </c>
      <c r="G745" s="3">
        <v>6600100090</v>
      </c>
      <c r="H745" s="34" t="e">
        <f ca="1">[2]!a_eb("CDT,{P1},,2017013,,YA,,,","K=Acc_Code,F={P2},O=B",H$1,$F745)</f>
        <v>#NAME?</v>
      </c>
      <c r="I745" s="34" t="e">
        <f ca="1">[2]!a_eb("CDT,{P1},,2017013,,YA,,,","K=Acc_Code,F={P2},O=B",I$1,$F745)</f>
        <v>#NAME?</v>
      </c>
    </row>
    <row r="746" spans="1:9">
      <c r="A746" s="11" t="s">
        <v>1403</v>
      </c>
      <c r="B746" s="20" t="s">
        <v>2191</v>
      </c>
      <c r="C746" s="28" t="e">
        <f t="shared" ref="C746:C809" ca="1" si="11">VLOOKUP(B746,F:G,2,0)</f>
        <v>#N/A</v>
      </c>
      <c r="F746" s="3">
        <v>52010221</v>
      </c>
      <c r="G746" s="3">
        <v>6600200060</v>
      </c>
      <c r="H746" s="34" t="e">
        <f ca="1">[2]!a_eb("CDT,{P1},,2017013,,YA,,,","K=Acc_Code,F={P2},O=B",H$1,$F746)</f>
        <v>#NAME?</v>
      </c>
      <c r="I746" s="34" t="e">
        <f ca="1">[2]!a_eb("CDT,{P1},,2017013,,YA,,,","K=Acc_Code,F={P2},O=B",I$1,$F746)</f>
        <v>#NAME?</v>
      </c>
    </row>
    <row r="747" spans="1:9">
      <c r="A747" s="11" t="s">
        <v>1404</v>
      </c>
      <c r="B747" s="20" t="s">
        <v>2191</v>
      </c>
      <c r="C747" s="28" t="e">
        <f t="shared" ca="1" si="11"/>
        <v>#N/A</v>
      </c>
      <c r="F747" s="3">
        <v>52010222</v>
      </c>
      <c r="G747" s="3">
        <v>8450501013</v>
      </c>
      <c r="H747" s="34" t="e">
        <f ca="1">[2]!a_eb("CDT,{P1},,2017013,,YA,,,","K=Acc_Code,F={P2},O=B",H$1,$F747)</f>
        <v>#NAME?</v>
      </c>
      <c r="I747" s="34" t="e">
        <f ca="1">[2]!a_eb("CDT,{P1},,2017013,,YA,,,","K=Acc_Code,F={P2},O=B",I$1,$F747)</f>
        <v>#NAME?</v>
      </c>
    </row>
    <row r="748" spans="1:9">
      <c r="A748" s="11" t="s">
        <v>1404</v>
      </c>
      <c r="B748" s="20" t="s">
        <v>2191</v>
      </c>
      <c r="C748" s="28" t="e">
        <f t="shared" ca="1" si="11"/>
        <v>#N/A</v>
      </c>
      <c r="F748" s="3">
        <v>52010223</v>
      </c>
      <c r="G748" s="3">
        <v>8010501250</v>
      </c>
      <c r="H748" s="34" t="e">
        <f ca="1">[2]!a_eb("CDT,{P1},,2017013,,YA,,,","K=Acc_Code,F={P2},O=B",H$1,$F748)</f>
        <v>#NAME?</v>
      </c>
      <c r="I748" s="34" t="e">
        <f ca="1">[2]!a_eb("CDT,{P1},,2017013,,YA,,,","K=Acc_Code,F={P2},O=B",I$1,$F748)</f>
        <v>#NAME?</v>
      </c>
    </row>
    <row r="749" spans="1:9">
      <c r="A749" s="11">
        <v>1010002030</v>
      </c>
      <c r="B749" s="20" t="s">
        <v>2191</v>
      </c>
      <c r="C749" s="28" t="e">
        <f t="shared" ca="1" si="11"/>
        <v>#N/A</v>
      </c>
      <c r="F749" s="3">
        <v>52010224</v>
      </c>
      <c r="G749" s="3">
        <v>8010501260</v>
      </c>
      <c r="H749" s="34" t="e">
        <f ca="1">[2]!a_eb("CDT,{P1},,2017013,,YA,,,","K=Acc_Code,F={P2},O=B",H$1,$F749)</f>
        <v>#NAME?</v>
      </c>
      <c r="I749" s="34" t="e">
        <f ca="1">[2]!a_eb("CDT,{P1},,2017013,,YA,,,","K=Acc_Code,F={P2},O=B",I$1,$F749)</f>
        <v>#NAME?</v>
      </c>
    </row>
    <row r="750" spans="1:9">
      <c r="A750" s="11">
        <v>1010002030</v>
      </c>
      <c r="B750" s="20" t="s">
        <v>2191</v>
      </c>
      <c r="C750" s="28" t="e">
        <f t="shared" ca="1" si="11"/>
        <v>#N/A</v>
      </c>
      <c r="F750" s="3">
        <v>520103</v>
      </c>
      <c r="G750" s="3">
        <v>8010503010</v>
      </c>
      <c r="H750" s="34" t="e">
        <f ca="1">[2]!a_eb("CDT,{P1},,2017013,,YA,,,","K=Acc_Code,F={P2},O=B",H$1,$F750)</f>
        <v>#NAME?</v>
      </c>
      <c r="I750" s="34" t="e">
        <f ca="1">[2]!a_eb("CDT,{P1},,2017013,,YA,,,","K=Acc_Code,F={P2},O=B",I$1,$F750)</f>
        <v>#NAME?</v>
      </c>
    </row>
    <row r="751" spans="1:9">
      <c r="A751" s="11">
        <v>1010002030</v>
      </c>
      <c r="B751" s="20" t="s">
        <v>2191</v>
      </c>
      <c r="C751" s="28" t="e">
        <f t="shared" ca="1" si="11"/>
        <v>#N/A</v>
      </c>
      <c r="F751" s="3">
        <v>520201</v>
      </c>
      <c r="G751" s="3">
        <v>8100101010</v>
      </c>
      <c r="H751" s="34" t="e">
        <f ca="1">[2]!a_eb("CDT,{P1},,2017013,,YA,,,","K=Acc_Code,F={P2},O=B",H$1,$F751)</f>
        <v>#NAME?</v>
      </c>
      <c r="I751" s="34" t="e">
        <f ca="1">[2]!a_eb("CDT,{P1},,2017013,,YA,,,","K=Acc_Code,F={P2},O=B",I$1,$F751)</f>
        <v>#NAME?</v>
      </c>
    </row>
    <row r="752" spans="1:9">
      <c r="A752" s="11">
        <v>1010002030</v>
      </c>
      <c r="B752" s="20" t="s">
        <v>2191</v>
      </c>
      <c r="C752" s="28" t="e">
        <f t="shared" ca="1" si="11"/>
        <v>#N/A</v>
      </c>
      <c r="F752" s="3" t="s">
        <v>1484</v>
      </c>
      <c r="G752" s="3">
        <v>8100104010</v>
      </c>
      <c r="H752" s="34" t="e">
        <f ca="1">[2]!a_eb("CDT,{P1},,2017013,,YA,,,","K=Acc_Code,F={P2},O=B",H$1,$F752)</f>
        <v>#NAME?</v>
      </c>
      <c r="I752" s="34" t="e">
        <f ca="1">[2]!a_eb("CDT,{P1},,2017013,,YA,,,","K=Acc_Code,F={P2},O=B",I$1,$F752)</f>
        <v>#NAME?</v>
      </c>
    </row>
    <row r="753" spans="1:9">
      <c r="A753" s="11">
        <v>1010002030</v>
      </c>
      <c r="B753" s="20" t="s">
        <v>2191</v>
      </c>
      <c r="C753" s="28" t="e">
        <f t="shared" ca="1" si="11"/>
        <v>#N/A</v>
      </c>
      <c r="F753" s="3">
        <v>520202</v>
      </c>
      <c r="G753" s="3">
        <v>8100102010</v>
      </c>
      <c r="H753" s="34" t="e">
        <f ca="1">[2]!a_eb("CDT,{P1},,2017013,,YA,,,","K=Acc_Code,F={P2},O=B",H$1,$F753)</f>
        <v>#NAME?</v>
      </c>
      <c r="I753" s="34" t="e">
        <f ca="1">[2]!a_eb("CDT,{P1},,2017013,,YA,,,","K=Acc_Code,F={P2},O=B",I$1,$F753)</f>
        <v>#NAME?</v>
      </c>
    </row>
    <row r="754" spans="1:9">
      <c r="A754" s="11">
        <v>1010002030</v>
      </c>
      <c r="B754" s="20" t="s">
        <v>2191</v>
      </c>
      <c r="C754" s="28" t="e">
        <f t="shared" ca="1" si="11"/>
        <v>#N/A</v>
      </c>
      <c r="F754" s="3">
        <v>520303</v>
      </c>
      <c r="G754" s="3">
        <v>8120601010</v>
      </c>
      <c r="H754" s="34" t="e">
        <f ca="1">[2]!a_eb("CDT,{P1},,2017013,,YA,,,","K=Acc_Code,F={P2},O=B",H$1,$F754)</f>
        <v>#NAME?</v>
      </c>
      <c r="I754" s="34" t="e">
        <f ca="1">[2]!a_eb("CDT,{P1},,2017013,,YA,,,","K=Acc_Code,F={P2},O=B",I$1,$F754)</f>
        <v>#NAME?</v>
      </c>
    </row>
    <row r="755" spans="1:9">
      <c r="A755" s="11">
        <v>1010002030</v>
      </c>
      <c r="B755" s="20" t="s">
        <v>2191</v>
      </c>
      <c r="C755" s="28" t="e">
        <f t="shared" ca="1" si="11"/>
        <v>#N/A</v>
      </c>
      <c r="F755" s="3">
        <v>520304</v>
      </c>
      <c r="G755" s="3">
        <v>8120501010</v>
      </c>
      <c r="H755" s="34" t="e">
        <f ca="1">[2]!a_eb("CDT,{P1},,2017013,,YA,,,","K=Acc_Code,F={P2},O=B",H$1,$F755)</f>
        <v>#NAME?</v>
      </c>
      <c r="I755" s="34" t="e">
        <f ca="1">[2]!a_eb("CDT,{P1},,2017013,,YA,,,","K=Acc_Code,F={P2},O=B",I$1,$F755)</f>
        <v>#NAME?</v>
      </c>
    </row>
    <row r="756" spans="1:9">
      <c r="A756" s="11">
        <v>1010000000</v>
      </c>
      <c r="B756" s="20" t="s">
        <v>2192</v>
      </c>
      <c r="C756" s="28" t="e">
        <f t="shared" ca="1" si="11"/>
        <v>#N/A</v>
      </c>
      <c r="F756" s="3">
        <v>520305</v>
      </c>
      <c r="G756" s="3">
        <v>8120201010</v>
      </c>
      <c r="H756" s="34" t="e">
        <f ca="1">[2]!a_eb("CDT,{P1},,2017013,,YA,,,","K=Acc_Code,F={P2},O=B",H$1,$F756)</f>
        <v>#NAME?</v>
      </c>
      <c r="I756" s="34" t="e">
        <f ca="1">[2]!a_eb("CDT,{P1},,2017013,,YA,,,","K=Acc_Code,F={P2},O=B",I$1,$F756)</f>
        <v>#NAME?</v>
      </c>
    </row>
    <row r="757" spans="1:9">
      <c r="A757" s="11">
        <v>1000002000</v>
      </c>
      <c r="B757" s="20" t="s">
        <v>2193</v>
      </c>
      <c r="C757" s="28" t="e">
        <f t="shared" ca="1" si="11"/>
        <v>#N/A</v>
      </c>
      <c r="F757" s="3">
        <v>52030602</v>
      </c>
      <c r="G757" s="3">
        <v>8120601040</v>
      </c>
      <c r="H757" s="34" t="e">
        <f ca="1">[2]!a_eb("CDT,{P1},,2017013,,YA,,,","K=Acc_Code,F={P2},O=B",H$1,$F757)</f>
        <v>#NAME?</v>
      </c>
      <c r="I757" s="34" t="e">
        <f ca="1">[2]!a_eb("CDT,{P1},,2017013,,YA,,,","K=Acc_Code,F={P2},O=B",I$1,$F757)</f>
        <v>#NAME?</v>
      </c>
    </row>
    <row r="758" spans="1:9">
      <c r="A758" s="11">
        <v>1000002010</v>
      </c>
      <c r="B758" s="20" t="s">
        <v>2194</v>
      </c>
      <c r="C758" s="28" t="e">
        <f t="shared" ca="1" si="11"/>
        <v>#N/A</v>
      </c>
      <c r="F758" s="3">
        <v>52030603</v>
      </c>
      <c r="G758" s="3">
        <v>8120601050</v>
      </c>
      <c r="H758" s="34" t="e">
        <f ca="1">[2]!a_eb("CDT,{P1},,2017013,,YA,,,","K=Acc_Code,F={P2},O=B",H$1,$F758)</f>
        <v>#NAME?</v>
      </c>
      <c r="I758" s="34" t="e">
        <f ca="1">[2]!a_eb("CDT,{P1},,2017013,,YA,,,","K=Acc_Code,F={P2},O=B",I$1,$F758)</f>
        <v>#NAME?</v>
      </c>
    </row>
    <row r="759" spans="1:9">
      <c r="A759" s="11">
        <v>1000002020</v>
      </c>
      <c r="B759" s="20" t="s">
        <v>2195</v>
      </c>
      <c r="C759" s="28" t="e">
        <f t="shared" ca="1" si="11"/>
        <v>#N/A</v>
      </c>
      <c r="F759" s="3">
        <v>520308</v>
      </c>
      <c r="G759" s="3">
        <v>8121001010</v>
      </c>
      <c r="H759" s="34" t="e">
        <f ca="1">[2]!a_eb("CDT,{P1},,2017013,,YA,,,","K=Acc_Code,F={P2},O=B",H$1,$F759)</f>
        <v>#NAME?</v>
      </c>
      <c r="I759" s="34" t="e">
        <f ca="1">[2]!a_eb("CDT,{P1},,2017013,,YA,,,","K=Acc_Code,F={P2},O=B",I$1,$F759)</f>
        <v>#NAME?</v>
      </c>
    </row>
    <row r="760" spans="1:9">
      <c r="A760" s="11">
        <v>1243000000</v>
      </c>
      <c r="B760" s="20" t="s">
        <v>2196</v>
      </c>
      <c r="C760" s="28" t="e">
        <f t="shared" ca="1" si="11"/>
        <v>#N/A</v>
      </c>
      <c r="F760" s="3">
        <v>520310</v>
      </c>
      <c r="G760" s="3">
        <v>8120801010</v>
      </c>
      <c r="H760" s="34" t="e">
        <f ca="1">[2]!a_eb("CDT,{P1},,2017013,,YA,,,","K=Acc_Code,F={P2},O=B",H$1,$F760)</f>
        <v>#NAME?</v>
      </c>
      <c r="I760" s="34" t="e">
        <f ca="1">[2]!a_eb("CDT,{P1},,2017013,,YA,,,","K=Acc_Code,F={P2},O=B",I$1,$F760)</f>
        <v>#NAME?</v>
      </c>
    </row>
    <row r="761" spans="1:9">
      <c r="A761" s="11" t="s">
        <v>1497</v>
      </c>
      <c r="B761" s="20" t="s">
        <v>2197</v>
      </c>
      <c r="C761" s="28" t="e">
        <f t="shared" ca="1" si="11"/>
        <v>#N/A</v>
      </c>
      <c r="F761" s="3">
        <v>520300</v>
      </c>
      <c r="G761" s="6">
        <v>8121101040</v>
      </c>
      <c r="H761" s="34" t="e">
        <f ca="1">[2]!a_eb("CDT,{P1},,2017013,,YA,,,","K=Acc_Code,F={P2},O=B",H$1,$F761)</f>
        <v>#NAME?</v>
      </c>
      <c r="I761" s="34" t="e">
        <f ca="1">[2]!a_eb("CDT,{P1},,2017013,,YA,,,","K=Acc_Code,F={P2},O=B",I$1,$F761)</f>
        <v>#NAME?</v>
      </c>
    </row>
    <row r="762" spans="1:9">
      <c r="A762" s="11" t="s">
        <v>1497</v>
      </c>
      <c r="B762" s="20" t="s">
        <v>2198</v>
      </c>
      <c r="C762" s="28" t="e">
        <f t="shared" ca="1" si="11"/>
        <v>#N/A</v>
      </c>
      <c r="F762" s="3">
        <v>520311</v>
      </c>
      <c r="G762" s="3">
        <v>8210101010</v>
      </c>
      <c r="H762" s="34" t="e">
        <f ca="1">[2]!a_eb("CDT,{P1},,2017013,,YA,,,","K=Acc_Code,F={P2},O=B",H$1,$F762)</f>
        <v>#NAME?</v>
      </c>
      <c r="I762" s="34" t="e">
        <f ca="1">[2]!a_eb("CDT,{P1},,2017013,,YA,,,","K=Acc_Code,F={P2},O=B",I$1,$F762)</f>
        <v>#NAME?</v>
      </c>
    </row>
    <row r="763" spans="1:9">
      <c r="A763" s="11">
        <v>1240000000</v>
      </c>
      <c r="B763" s="20" t="s">
        <v>2199</v>
      </c>
      <c r="C763" s="28" t="e">
        <f t="shared" ca="1" si="11"/>
        <v>#N/A</v>
      </c>
      <c r="F763" s="3">
        <v>520312</v>
      </c>
      <c r="G763" s="3">
        <v>8120201030</v>
      </c>
      <c r="H763" s="34" t="e">
        <f ca="1">[2]!a_eb("CDT,{P1},,2017013,,YA,,,","K=Acc_Code,F={P2},O=B",H$1,$F763)</f>
        <v>#NAME?</v>
      </c>
      <c r="I763" s="34" t="e">
        <f ca="1">[2]!a_eb("CDT,{P1},,2017013,,YA,,,","K=Acc_Code,F={P2},O=B",I$1,$F763)</f>
        <v>#NAME?</v>
      </c>
    </row>
    <row r="764" spans="1:9">
      <c r="A764" s="11">
        <v>1245002000</v>
      </c>
      <c r="B764" s="20" t="s">
        <v>2199</v>
      </c>
      <c r="C764" s="28" t="e">
        <f t="shared" ca="1" si="11"/>
        <v>#N/A</v>
      </c>
      <c r="F764" s="3">
        <v>520313</v>
      </c>
      <c r="G764" s="3">
        <v>8121101020</v>
      </c>
      <c r="H764" s="34" t="e">
        <f ca="1">[2]!a_eb("CDT,{P1},,2017013,,YA,,,","K=Acc_Code,F={P2},O=B",H$1,$F764)</f>
        <v>#NAME?</v>
      </c>
      <c r="I764" s="34" t="e">
        <f ca="1">[2]!a_eb("CDT,{P1},,2017013,,YA,,,","K=Acc_Code,F={P2},O=B",I$1,$F764)</f>
        <v>#NAME?</v>
      </c>
    </row>
    <row r="765" spans="1:9">
      <c r="A765" s="11" t="s">
        <v>1497</v>
      </c>
      <c r="B765" s="20" t="s">
        <v>2200</v>
      </c>
      <c r="C765" s="28" t="e">
        <f t="shared" ca="1" si="11"/>
        <v>#N/A</v>
      </c>
      <c r="F765" s="3">
        <v>520401</v>
      </c>
      <c r="G765" s="3">
        <v>6953000000</v>
      </c>
      <c r="H765" s="34" t="e">
        <f ca="1">[2]!a_eb("CDT,{P1},,2017013,,YA,,,","K=Acc_Code,F={P2},O=B",H$1,$F765)</f>
        <v>#NAME?</v>
      </c>
      <c r="I765" s="34" t="e">
        <f ca="1">[2]!a_eb("CDT,{P1},,2017013,,YA,,,","K=Acc_Code,F={P2},O=B",I$1,$F765)</f>
        <v>#NAME?</v>
      </c>
    </row>
    <row r="766" spans="1:9">
      <c r="A766" s="11" t="s">
        <v>1497</v>
      </c>
      <c r="B766" s="20" t="s">
        <v>2201</v>
      </c>
      <c r="C766" s="28" t="e">
        <f t="shared" ca="1" si="11"/>
        <v>#N/A</v>
      </c>
      <c r="F766" s="3">
        <v>520402</v>
      </c>
      <c r="G766" s="3">
        <v>6952000002</v>
      </c>
      <c r="H766" s="34" t="e">
        <f ca="1">[2]!a_eb("CDT,{P1},,2017013,,YA,,,","K=Acc_Code,F={P2},O=B",H$1,$F766)</f>
        <v>#NAME?</v>
      </c>
      <c r="I766" s="34" t="e">
        <f ca="1">[2]!a_eb("CDT,{P1},,2017013,,YA,,,","K=Acc_Code,F={P2},O=B",I$1,$F766)</f>
        <v>#NAME?</v>
      </c>
    </row>
    <row r="767" spans="1:9">
      <c r="A767" s="11">
        <v>1245002000</v>
      </c>
      <c r="B767" s="20" t="s">
        <v>2202</v>
      </c>
      <c r="C767" s="28" t="e">
        <f t="shared" ca="1" si="11"/>
        <v>#N/A</v>
      </c>
      <c r="F767" s="3">
        <v>520404</v>
      </c>
      <c r="G767" s="3">
        <v>8400101010</v>
      </c>
      <c r="H767" s="34" t="e">
        <f ca="1">[2]!a_eb("CDT,{P1},,2017013,,YA,,,","K=Acc_Code,F={P2},O=B",H$1,$F767)</f>
        <v>#NAME?</v>
      </c>
      <c r="I767" s="34" t="e">
        <f ca="1">[2]!a_eb("CDT,{P1},,2017013,,YA,,,","K=Acc_Code,F={P2},O=B",I$1,$F767)</f>
        <v>#NAME?</v>
      </c>
    </row>
    <row r="768" spans="1:9">
      <c r="A768" s="11">
        <v>1430000000</v>
      </c>
      <c r="B768" s="20" t="s">
        <v>2203</v>
      </c>
      <c r="C768" s="28" t="e">
        <f t="shared" ca="1" si="11"/>
        <v>#N/A</v>
      </c>
      <c r="F768" s="3">
        <v>520406</v>
      </c>
      <c r="G768" s="3">
        <v>8400201010</v>
      </c>
      <c r="H768" s="34" t="e">
        <f ca="1">[2]!a_eb("CDT,{P1},,2017013,,YA,,,","K=Acc_Code,F={P2},O=B",H$1,$F768)</f>
        <v>#NAME?</v>
      </c>
      <c r="I768" s="34" t="e">
        <f ca="1">[2]!a_eb("CDT,{P1},,2017013,,YA,,,","K=Acc_Code,F={P2},O=B",I$1,$F768)</f>
        <v>#NAME?</v>
      </c>
    </row>
    <row r="769" spans="1:9">
      <c r="A769" s="11">
        <v>1430000000</v>
      </c>
      <c r="B769" s="20" t="s">
        <v>2203</v>
      </c>
      <c r="C769" s="28" t="e">
        <f t="shared" ca="1" si="11"/>
        <v>#N/A</v>
      </c>
      <c r="F769" s="3">
        <v>520408</v>
      </c>
      <c r="G769" s="3">
        <v>6953200000</v>
      </c>
      <c r="H769" s="34" t="e">
        <f ca="1">[2]!a_eb("CDT,{P1},,2017013,,YA,,,","K=Acc_Code,F={P2},O=B",H$1,$F769)</f>
        <v>#NAME?</v>
      </c>
      <c r="I769" s="34" t="e">
        <f ca="1">[2]!a_eb("CDT,{P1},,2017013,,YA,,,","K=Acc_Code,F={P2},O=B",I$1,$F769)</f>
        <v>#NAME?</v>
      </c>
    </row>
    <row r="770" spans="1:9">
      <c r="A770" s="11">
        <v>1430000000</v>
      </c>
      <c r="B770" s="20" t="s">
        <v>2203</v>
      </c>
      <c r="C770" s="28" t="e">
        <f t="shared" ca="1" si="11"/>
        <v>#N/A</v>
      </c>
      <c r="F770" s="3">
        <v>520417</v>
      </c>
      <c r="G770" s="3">
        <v>6951000020</v>
      </c>
      <c r="H770" s="34" t="e">
        <f ca="1">[2]!a_eb("CDT,{P1},,2017013,,YA,,,","K=Acc_Code,F={P2},O=B",H$1,$F770)</f>
        <v>#NAME?</v>
      </c>
      <c r="I770" s="34" t="e">
        <f ca="1">[2]!a_eb("CDT,{P1},,2017013,,YA,,,","K=Acc_Code,F={P2},O=B",I$1,$F770)</f>
        <v>#NAME?</v>
      </c>
    </row>
    <row r="771" spans="1:9">
      <c r="A771" s="11">
        <v>1430000000</v>
      </c>
      <c r="B771" s="20" t="s">
        <v>2203</v>
      </c>
      <c r="C771" s="28" t="e">
        <f t="shared" ca="1" si="11"/>
        <v>#N/A</v>
      </c>
      <c r="F771" s="3">
        <v>520419</v>
      </c>
      <c r="G771" s="3">
        <v>6952000001</v>
      </c>
      <c r="H771" s="34" t="e">
        <f ca="1">[2]!a_eb("CDT,{P1},,2017013,,YA,,,","K=Acc_Code,F={P2},O=B",H$1,$F771)</f>
        <v>#NAME?</v>
      </c>
      <c r="I771" s="34" t="e">
        <f ca="1">[2]!a_eb("CDT,{P1},,2017013,,YA,,,","K=Acc_Code,F={P2},O=B",I$1,$F771)</f>
        <v>#NAME?</v>
      </c>
    </row>
    <row r="772" spans="1:9">
      <c r="A772" s="11">
        <v>1433000000</v>
      </c>
      <c r="B772" s="20" t="s">
        <v>2203</v>
      </c>
      <c r="C772" s="28" t="e">
        <f t="shared" ca="1" si="11"/>
        <v>#N/A</v>
      </c>
      <c r="F772" s="3">
        <v>520420</v>
      </c>
      <c r="G772" s="3">
        <v>8400101011</v>
      </c>
      <c r="H772" s="34" t="e">
        <f ca="1">[2]!a_eb("CDT,{P1},,2017013,,YA,,,","K=Acc_Code,F={P2},O=B",H$1,$F772)</f>
        <v>#NAME?</v>
      </c>
      <c r="I772" s="34" t="e">
        <f ca="1">[2]!a_eb("CDT,{P1},,2017013,,YA,,,","K=Acc_Code,F={P2},O=B",I$1,$F772)</f>
        <v>#NAME?</v>
      </c>
    </row>
    <row r="773" spans="1:9">
      <c r="A773" s="11">
        <v>1433000000</v>
      </c>
      <c r="B773" s="20" t="s">
        <v>2203</v>
      </c>
      <c r="C773" s="28" t="e">
        <f t="shared" ca="1" si="11"/>
        <v>#N/A</v>
      </c>
      <c r="F773" s="3">
        <v>520423</v>
      </c>
      <c r="G773" s="3">
        <v>6955000000</v>
      </c>
      <c r="H773" s="34" t="e">
        <f ca="1">[2]!a_eb("CDT,{P1},,2017013,,YA,,,","K=Acc_Code,F={P2},O=B",H$1,$F773)</f>
        <v>#NAME?</v>
      </c>
      <c r="I773" s="34" t="e">
        <f ca="1">[2]!a_eb("CDT,{P1},,2017013,,YA,,,","K=Acc_Code,F={P2},O=B",I$1,$F773)</f>
        <v>#NAME?</v>
      </c>
    </row>
    <row r="774" spans="1:9">
      <c r="A774" s="11">
        <v>1433000000</v>
      </c>
      <c r="B774" s="20" t="s">
        <v>2203</v>
      </c>
      <c r="C774" s="28" t="e">
        <f t="shared" ca="1" si="11"/>
        <v>#N/A</v>
      </c>
      <c r="F774" s="3">
        <v>520425</v>
      </c>
      <c r="G774" s="3">
        <v>8010520000</v>
      </c>
      <c r="H774" s="34" t="e">
        <f ca="1">[2]!a_eb("CDT,{P1},,2017013,,YA,,,","K=Acc_Code,F={P2},O=B",H$1,$F774)</f>
        <v>#NAME?</v>
      </c>
      <c r="I774" s="34" t="e">
        <f ca="1">[2]!a_eb("CDT,{P1},,2017013,,YA,,,","K=Acc_Code,F={P2},O=B",I$1,$F774)</f>
        <v>#NAME?</v>
      </c>
    </row>
    <row r="775" spans="1:9">
      <c r="A775" s="11">
        <v>1030000000</v>
      </c>
      <c r="B775" s="20" t="s">
        <v>2203</v>
      </c>
      <c r="C775" s="28" t="e">
        <f t="shared" ca="1" si="11"/>
        <v>#N/A</v>
      </c>
      <c r="F775" s="3">
        <v>520426</v>
      </c>
      <c r="G775" s="3">
        <v>6951000001</v>
      </c>
      <c r="H775" s="34" t="e">
        <f ca="1">[2]!a_eb("CDT,{P1},,2017013,,YA,,,","K=Acc_Code,F={P2},O=B",H$1,$F775)</f>
        <v>#NAME?</v>
      </c>
      <c r="I775" s="34" t="e">
        <f ca="1">[2]!a_eb("CDT,{P1},,2017013,,YA,,,","K=Acc_Code,F={P2},O=B",I$1,$F775)</f>
        <v>#NAME?</v>
      </c>
    </row>
    <row r="776" spans="1:9">
      <c r="A776" s="11">
        <v>1030000000</v>
      </c>
      <c r="B776" s="20" t="s">
        <v>2203</v>
      </c>
      <c r="C776" s="28" t="e">
        <f t="shared" ca="1" si="11"/>
        <v>#N/A</v>
      </c>
      <c r="F776" s="3">
        <v>520428</v>
      </c>
      <c r="G776" s="3">
        <v>6953200007</v>
      </c>
      <c r="H776" s="34" t="e">
        <f ca="1">[2]!a_eb("CDT,{P1},,2017013,,YA,,,","K=Acc_Code,F={P2},O=B",H$1,$F776)</f>
        <v>#NAME?</v>
      </c>
      <c r="I776" s="34" t="e">
        <f ca="1">[2]!a_eb("CDT,{P1},,2017013,,YA,,,","K=Acc_Code,F={P2},O=B",I$1,$F776)</f>
        <v>#NAME?</v>
      </c>
    </row>
    <row r="777" spans="1:9">
      <c r="A777" s="11">
        <v>1030000000</v>
      </c>
      <c r="B777" s="20" t="s">
        <v>2203</v>
      </c>
      <c r="C777" s="28" t="e">
        <f t="shared" ca="1" si="11"/>
        <v>#N/A</v>
      </c>
      <c r="F777" s="3">
        <v>520429</v>
      </c>
      <c r="G777" s="3">
        <v>6952200002</v>
      </c>
      <c r="H777" s="34" t="e">
        <f ca="1">[2]!a_eb("CDT,{P1},,2017013,,YA,,,","K=Acc_Code,F={P2},O=B",H$1,$F777)</f>
        <v>#NAME?</v>
      </c>
      <c r="I777" s="34" t="e">
        <f ca="1">[2]!a_eb("CDT,{P1},,2017013,,YA,,,","K=Acc_Code,F={P2},O=B",I$1,$F777)</f>
        <v>#NAME?</v>
      </c>
    </row>
    <row r="778" spans="1:9">
      <c r="A778" s="11">
        <v>1030000000</v>
      </c>
      <c r="B778" s="20" t="s">
        <v>2203</v>
      </c>
      <c r="C778" s="28" t="e">
        <f t="shared" ca="1" si="11"/>
        <v>#N/A</v>
      </c>
      <c r="F778" s="3">
        <v>520430</v>
      </c>
      <c r="G778" s="3">
        <v>6951200007</v>
      </c>
      <c r="H778" s="34" t="e">
        <f ca="1">[2]!a_eb("CDT,{P1},,2017013,,YA,,,","K=Acc_Code,F={P2},O=B",H$1,$F778)</f>
        <v>#NAME?</v>
      </c>
      <c r="I778" s="34" t="e">
        <f ca="1">[2]!a_eb("CDT,{P1},,2017013,,YA,,,","K=Acc_Code,F={P2},O=B",I$1,$F778)</f>
        <v>#NAME?</v>
      </c>
    </row>
    <row r="779" spans="1:9">
      <c r="A779" s="11">
        <v>1030000000</v>
      </c>
      <c r="B779" s="20" t="s">
        <v>2203</v>
      </c>
      <c r="C779" s="28" t="e">
        <f t="shared" ca="1" si="11"/>
        <v>#N/A</v>
      </c>
      <c r="F779" s="3">
        <v>520431</v>
      </c>
      <c r="G779" s="3">
        <v>6952200001</v>
      </c>
      <c r="H779" s="34" t="e">
        <f ca="1">[2]!a_eb("CDT,{P1},,2017013,,YA,,,","K=Acc_Code,F={P2},O=B",H$1,$F779)</f>
        <v>#NAME?</v>
      </c>
      <c r="I779" s="34" t="e">
        <f ca="1">[2]!a_eb("CDT,{P1},,2017013,,YA,,,","K=Acc_Code,F={P2},O=B",I$1,$F779)</f>
        <v>#NAME?</v>
      </c>
    </row>
    <row r="780" spans="1:9">
      <c r="A780" s="11">
        <v>1030000000</v>
      </c>
      <c r="B780" s="20" t="s">
        <v>2203</v>
      </c>
      <c r="C780" s="28" t="e">
        <f t="shared" ca="1" si="11"/>
        <v>#N/A</v>
      </c>
      <c r="F780" s="3">
        <v>520435</v>
      </c>
      <c r="G780" s="3">
        <v>6951200001</v>
      </c>
      <c r="H780" s="34" t="e">
        <f ca="1">[2]!a_eb("CDT,{P1},,2017013,,YA,,,","K=Acc_Code,F={P2},O=B",H$1,$F780)</f>
        <v>#NAME?</v>
      </c>
      <c r="I780" s="34" t="e">
        <f ca="1">[2]!a_eb("CDT,{P1},,2017013,,YA,,,","K=Acc_Code,F={P2},O=B",I$1,$F780)</f>
        <v>#NAME?</v>
      </c>
    </row>
    <row r="781" spans="1:9">
      <c r="A781" s="11">
        <v>1030000000</v>
      </c>
      <c r="B781" s="20" t="s">
        <v>2203</v>
      </c>
      <c r="C781" s="28" t="e">
        <f t="shared" ca="1" si="11"/>
        <v>#N/A</v>
      </c>
      <c r="F781" s="3">
        <v>52043902</v>
      </c>
      <c r="G781" s="3">
        <v>6930000001</v>
      </c>
      <c r="H781" s="34" t="e">
        <f ca="1">[2]!a_eb("CDT,{P1},,2017013,,YA,,,","K=Acc_Code,F={P2},O=B",H$1,$F781)</f>
        <v>#NAME?</v>
      </c>
      <c r="I781" s="34" t="e">
        <f ca="1">[2]!a_eb("CDT,{P1},,2017013,,YA,,,","K=Acc_Code,F={P2},O=B",I$1,$F781)</f>
        <v>#NAME?</v>
      </c>
    </row>
    <row r="782" spans="1:9">
      <c r="A782" s="11">
        <v>1030000000</v>
      </c>
      <c r="B782" s="20" t="s">
        <v>2203</v>
      </c>
      <c r="C782" s="28" t="e">
        <f t="shared" ca="1" si="11"/>
        <v>#N/A</v>
      </c>
      <c r="F782" s="3">
        <v>52043903</v>
      </c>
      <c r="G782" s="3">
        <v>6930000002</v>
      </c>
      <c r="H782" s="34" t="e">
        <f ca="1">[2]!a_eb("CDT,{P1},,2017013,,YA,,,","K=Acc_Code,F={P2},O=B",H$1,$F782)</f>
        <v>#NAME?</v>
      </c>
      <c r="I782" s="34" t="e">
        <f ca="1">[2]!a_eb("CDT,{P1},,2017013,,YA,,,","K=Acc_Code,F={P2},O=B",I$1,$F782)</f>
        <v>#NAME?</v>
      </c>
    </row>
    <row r="783" spans="1:9">
      <c r="A783" s="11">
        <v>1030000000</v>
      </c>
      <c r="B783" s="20" t="s">
        <v>2203</v>
      </c>
      <c r="C783" s="28" t="e">
        <f t="shared" ca="1" si="11"/>
        <v>#N/A</v>
      </c>
      <c r="F783" s="3">
        <v>52043904</v>
      </c>
      <c r="G783" s="3">
        <v>6930000003</v>
      </c>
      <c r="H783" s="34" t="e">
        <f ca="1">[2]!a_eb("CDT,{P1},,2017013,,YA,,,","K=Acc_Code,F={P2},O=B",H$1,$F783)</f>
        <v>#NAME?</v>
      </c>
      <c r="I783" s="34" t="e">
        <f ca="1">[2]!a_eb("CDT,{P1},,2017013,,YA,,,","K=Acc_Code,F={P2},O=B",I$1,$F783)</f>
        <v>#NAME?</v>
      </c>
    </row>
    <row r="784" spans="1:9">
      <c r="A784" s="11">
        <v>1030000000</v>
      </c>
      <c r="B784" s="20" t="s">
        <v>2203</v>
      </c>
      <c r="C784" s="28" t="e">
        <f t="shared" ca="1" si="11"/>
        <v>#N/A</v>
      </c>
      <c r="F784" s="3">
        <v>52043905</v>
      </c>
      <c r="G784" s="3">
        <v>6930100000</v>
      </c>
      <c r="H784" s="34" t="e">
        <f ca="1">[2]!a_eb("CDT,{P1},,2017013,,YA,,,","K=Acc_Code,F={P2},O=B",H$1,$F784)</f>
        <v>#NAME?</v>
      </c>
      <c r="I784" s="34" t="e">
        <f ca="1">[2]!a_eb("CDT,{P1},,2017013,,YA,,,","K=Acc_Code,F={P2},O=B",I$1,$F784)</f>
        <v>#NAME?</v>
      </c>
    </row>
    <row r="785" spans="1:9">
      <c r="A785" s="11">
        <v>1030000000</v>
      </c>
      <c r="B785" s="20" t="s">
        <v>2203</v>
      </c>
      <c r="C785" s="28" t="e">
        <f t="shared" ca="1" si="11"/>
        <v>#N/A</v>
      </c>
      <c r="F785" s="3">
        <v>52043906</v>
      </c>
      <c r="G785" s="3">
        <v>6930101500</v>
      </c>
      <c r="H785" s="34" t="e">
        <f ca="1">[2]!a_eb("CDT,{P1},,2017013,,YA,,,","K=Acc_Code,F={P2},O=B",H$1,$F785)</f>
        <v>#NAME?</v>
      </c>
      <c r="I785" s="34" t="e">
        <f ca="1">[2]!a_eb("CDT,{P1},,2017013,,YA,,,","K=Acc_Code,F={P2},O=B",I$1,$F785)</f>
        <v>#NAME?</v>
      </c>
    </row>
    <row r="786" spans="1:9">
      <c r="A786" s="11">
        <v>1030000000</v>
      </c>
      <c r="B786" s="20" t="s">
        <v>2203</v>
      </c>
      <c r="C786" s="28" t="e">
        <f t="shared" ca="1" si="11"/>
        <v>#N/A</v>
      </c>
      <c r="F786" s="3">
        <v>520501</v>
      </c>
      <c r="G786" s="3">
        <v>6953000010</v>
      </c>
      <c r="H786" s="34" t="e">
        <f ca="1">[2]!a_eb("CDT,{P1},,2017013,,YA,,,","K=Acc_Code,F={P2},O=B",H$1,$F786)</f>
        <v>#NAME?</v>
      </c>
      <c r="I786" s="34" t="e">
        <f ca="1">[2]!a_eb("CDT,{P1},,2017013,,YA,,,","K=Acc_Code,F={P2},O=B",I$1,$F786)</f>
        <v>#NAME?</v>
      </c>
    </row>
    <row r="787" spans="1:9">
      <c r="A787" s="11">
        <v>2610000000</v>
      </c>
      <c r="B787" s="20" t="s">
        <v>2204</v>
      </c>
      <c r="C787" s="28" t="e">
        <f t="shared" ca="1" si="11"/>
        <v>#N/A</v>
      </c>
      <c r="F787" s="3">
        <v>520504</v>
      </c>
      <c r="G787" s="3">
        <v>8420211010</v>
      </c>
      <c r="H787" s="34" t="e">
        <f ca="1">[2]!a_eb("CDT,{P1},,2017013,,YA,,,","K=Acc_Code,F={P2},O=B",H$1,$F787)</f>
        <v>#NAME?</v>
      </c>
      <c r="I787" s="34" t="e">
        <f ca="1">[2]!a_eb("CDT,{P1},,2017013,,YA,,,","K=Acc_Code,F={P2},O=B",I$1,$F787)</f>
        <v>#NAME?</v>
      </c>
    </row>
    <row r="788" spans="1:9">
      <c r="A788" s="11">
        <v>2610000010</v>
      </c>
      <c r="B788" s="20" t="s">
        <v>2204</v>
      </c>
      <c r="C788" s="28" t="e">
        <f t="shared" ca="1" si="11"/>
        <v>#N/A</v>
      </c>
      <c r="F788" s="3">
        <v>520505</v>
      </c>
      <c r="G788" s="3">
        <v>6953200010</v>
      </c>
      <c r="H788" s="34" t="e">
        <f ca="1">[2]!a_eb("CDT,{P1},,2017013,,YA,,,","K=Acc_Code,F={P2},O=B",H$1,$F788)</f>
        <v>#NAME?</v>
      </c>
      <c r="I788" s="34" t="e">
        <f ca="1">[2]!a_eb("CDT,{P1},,2017013,,YA,,,","K=Acc_Code,F={P2},O=B",I$1,$F788)</f>
        <v>#NAME?</v>
      </c>
    </row>
    <row r="789" spans="1:9">
      <c r="A789" s="11" t="s">
        <v>1497</v>
      </c>
      <c r="B789" s="20" t="s">
        <v>2205</v>
      </c>
      <c r="C789" s="28" t="e">
        <f t="shared" ca="1" si="11"/>
        <v>#N/A</v>
      </c>
      <c r="F789" s="3">
        <v>520601</v>
      </c>
      <c r="G789" s="3">
        <v>8420101030</v>
      </c>
      <c r="H789" s="34" t="e">
        <f ca="1">[2]!a_eb("CDT,{P1},,2017013,,YA,,,","K=Acc_Code,F={P2},O=B",H$1,$F789)</f>
        <v>#NAME?</v>
      </c>
      <c r="I789" s="34" t="e">
        <f ca="1">[2]!a_eb("CDT,{P1},,2017013,,YA,,,","K=Acc_Code,F={P2},O=B",I$1,$F789)</f>
        <v>#NAME?</v>
      </c>
    </row>
    <row r="790" spans="1:9">
      <c r="A790" s="11">
        <v>2610000000</v>
      </c>
      <c r="B790" s="20" t="s">
        <v>2206</v>
      </c>
      <c r="C790" s="28" t="e">
        <f t="shared" ca="1" si="11"/>
        <v>#N/A</v>
      </c>
      <c r="F790" s="3">
        <v>520602</v>
      </c>
      <c r="G790" s="3">
        <v>8420201030</v>
      </c>
      <c r="H790" s="34" t="e">
        <f ca="1">[2]!a_eb("CDT,{P1},,2017013,,YA,,,","K=Acc_Code,F={P2},O=B",H$1,$F790)</f>
        <v>#NAME?</v>
      </c>
      <c r="I790" s="34" t="e">
        <f ca="1">[2]!a_eb("CDT,{P1},,2017013,,YA,,,","K=Acc_Code,F={P2},O=B",I$1,$F790)</f>
        <v>#NAME?</v>
      </c>
    </row>
    <row r="791" spans="1:9">
      <c r="A791" s="11">
        <v>2610000000</v>
      </c>
      <c r="B791" s="20" t="s">
        <v>2207</v>
      </c>
      <c r="C791" s="28" t="e">
        <f t="shared" ca="1" si="11"/>
        <v>#N/A</v>
      </c>
      <c r="F791" s="3">
        <v>520607</v>
      </c>
      <c r="G791" s="3">
        <v>8470201080</v>
      </c>
      <c r="H791" s="34" t="e">
        <f ca="1">[2]!a_eb("CDT,{P1},,2017013,,YA,,,","K=Acc_Code,F={P2},O=B",H$1,$F791)</f>
        <v>#NAME?</v>
      </c>
      <c r="I791" s="34" t="e">
        <f ca="1">[2]!a_eb("CDT,{P1},,2017013,,YA,,,","K=Acc_Code,F={P2},O=B",I$1,$F791)</f>
        <v>#NAME?</v>
      </c>
    </row>
    <row r="792" spans="1:9">
      <c r="A792" s="11">
        <v>2610000010</v>
      </c>
      <c r="B792" s="20" t="s">
        <v>2207</v>
      </c>
      <c r="C792" s="28" t="e">
        <f t="shared" ca="1" si="11"/>
        <v>#N/A</v>
      </c>
      <c r="F792" s="3">
        <v>520701</v>
      </c>
      <c r="G792" s="3">
        <v>8010520010</v>
      </c>
      <c r="H792" s="34" t="e">
        <f ca="1">[2]!a_eb("CDT,{P1},,2017013,,YA,,,","K=Acc_Code,F={P2},O=B",H$1,$F792)</f>
        <v>#NAME?</v>
      </c>
      <c r="I792" s="34" t="e">
        <f ca="1">[2]!a_eb("CDT,{P1},,2017013,,YA,,,","K=Acc_Code,F={P2},O=B",I$1,$F792)</f>
        <v>#NAME?</v>
      </c>
    </row>
    <row r="793" spans="1:9">
      <c r="A793" s="11" t="s">
        <v>1405</v>
      </c>
      <c r="B793" s="20" t="s">
        <v>2208</v>
      </c>
      <c r="C793" s="28" t="e">
        <f t="shared" ca="1" si="11"/>
        <v>#N/A</v>
      </c>
      <c r="F793" s="3">
        <v>520702</v>
      </c>
      <c r="G793" s="3">
        <v>8010520001</v>
      </c>
      <c r="H793" s="34" t="e">
        <f ca="1">[2]!a_eb("CDT,{P1},,2017013,,YA,,,","K=Acc_Code,F={P2},O=B",H$1,$F793)</f>
        <v>#NAME?</v>
      </c>
      <c r="I793" s="34" t="e">
        <f ca="1">[2]!a_eb("CDT,{P1},,2017013,,YA,,,","K=Acc_Code,F={P2},O=B",I$1,$F793)</f>
        <v>#NAME?</v>
      </c>
    </row>
    <row r="794" spans="1:9">
      <c r="A794" s="11">
        <v>2600000020</v>
      </c>
      <c r="B794" s="20" t="s">
        <v>2208</v>
      </c>
      <c r="C794" s="28" t="e">
        <f t="shared" ca="1" si="11"/>
        <v>#N/A</v>
      </c>
      <c r="F794" s="3">
        <v>520704</v>
      </c>
      <c r="G794" s="3">
        <v>8010520002</v>
      </c>
      <c r="H794" s="34" t="e">
        <f ca="1">[2]!a_eb("CDT,{P1},,2017013,,YA,,,","K=Acc_Code,F={P2},O=B",H$1,$F794)</f>
        <v>#NAME?</v>
      </c>
      <c r="I794" s="34" t="e">
        <f ca="1">[2]!a_eb("CDT,{P1},,2017013,,YA,,,","K=Acc_Code,F={P2},O=B",I$1,$F794)</f>
        <v>#NAME?</v>
      </c>
    </row>
    <row r="795" spans="1:9">
      <c r="A795" s="11">
        <v>2600001500</v>
      </c>
      <c r="B795" s="20" t="s">
        <v>2209</v>
      </c>
      <c r="C795" s="28" t="e">
        <f t="shared" ca="1" si="11"/>
        <v>#N/A</v>
      </c>
      <c r="F795" s="3">
        <v>520705</v>
      </c>
      <c r="G795" s="3">
        <v>8010520020</v>
      </c>
      <c r="H795" s="34" t="e">
        <f ca="1">[2]!a_eb("CDT,{P1},,2017013,,YA,,,","K=Acc_Code,F={P2},O=B",H$1,$F795)</f>
        <v>#NAME?</v>
      </c>
      <c r="I795" s="34" t="e">
        <f ca="1">[2]!a_eb("CDT,{P1},,2017013,,YA,,,","K=Acc_Code,F={P2},O=B",I$1,$F795)</f>
        <v>#NAME?</v>
      </c>
    </row>
    <row r="796" spans="1:9">
      <c r="A796" s="11" t="s">
        <v>1497</v>
      </c>
      <c r="B796" s="20" t="s">
        <v>2210</v>
      </c>
      <c r="C796" s="28" t="e">
        <f t="shared" ca="1" si="11"/>
        <v>#N/A</v>
      </c>
      <c r="F796" s="3">
        <v>520706</v>
      </c>
      <c r="G796" s="3">
        <v>8010520003</v>
      </c>
      <c r="H796" s="34" t="e">
        <f ca="1">[2]!a_eb("CDT,{P1},,2017013,,YA,,,","K=Acc_Code,F={P2},O=B",H$1,$F796)</f>
        <v>#NAME?</v>
      </c>
      <c r="I796" s="34" t="e">
        <f ca="1">[2]!a_eb("CDT,{P1},,2017013,,YA,,,","K=Acc_Code,F={P2},O=B",I$1,$F796)</f>
        <v>#NAME?</v>
      </c>
    </row>
    <row r="797" spans="1:9">
      <c r="A797" s="11">
        <v>2600002040</v>
      </c>
      <c r="B797" s="20" t="s">
        <v>2211</v>
      </c>
      <c r="C797" s="28" t="e">
        <f t="shared" ca="1" si="11"/>
        <v>#N/A</v>
      </c>
      <c r="F797" s="3">
        <v>520801</v>
      </c>
      <c r="G797" s="3">
        <v>8200101010</v>
      </c>
      <c r="H797" s="34" t="e">
        <f ca="1">[2]!a_eb("CDT,{P1},,2017013,,YA,,,","K=Acc_Code,F={P2},O=B",H$1,$F797)</f>
        <v>#NAME?</v>
      </c>
      <c r="I797" s="34" t="e">
        <f ca="1">[2]!a_eb("CDT,{P1},,2017013,,YA,,,","K=Acc_Code,F={P2},O=B",I$1,$F797)</f>
        <v>#NAME?</v>
      </c>
    </row>
    <row r="798" spans="1:9">
      <c r="A798" s="11">
        <v>2600002041</v>
      </c>
      <c r="B798" s="20" t="s">
        <v>2211</v>
      </c>
      <c r="C798" s="28" t="e">
        <f t="shared" ca="1" si="11"/>
        <v>#N/A</v>
      </c>
      <c r="F798" s="3">
        <v>520802</v>
      </c>
      <c r="G798" s="3">
        <v>8210102010</v>
      </c>
      <c r="H798" s="34" t="e">
        <f ca="1">[2]!a_eb("CDT,{P1},,2017013,,YA,,,","K=Acc_Code,F={P2},O=B",H$1,$F798)</f>
        <v>#NAME?</v>
      </c>
      <c r="I798" s="34" t="e">
        <f ca="1">[2]!a_eb("CDT,{P1},,2017013,,YA,,,","K=Acc_Code,F={P2},O=B",I$1,$F798)</f>
        <v>#NAME?</v>
      </c>
    </row>
    <row r="799" spans="1:9">
      <c r="A799" s="11">
        <v>2600002050</v>
      </c>
      <c r="B799" s="20" t="s">
        <v>2212</v>
      </c>
      <c r="C799" s="28" t="e">
        <f t="shared" ca="1" si="11"/>
        <v>#N/A</v>
      </c>
      <c r="F799" s="3">
        <v>520802</v>
      </c>
      <c r="G799" s="3">
        <v>8200102010</v>
      </c>
      <c r="H799" s="34" t="e">
        <f ca="1">[2]!a_eb("CDT,{P1},,2017013,,YA,,,","K=Acc_Code,F={P2},O=B",H$1,$F799)</f>
        <v>#NAME?</v>
      </c>
      <c r="I799" s="34" t="e">
        <f ca="1">[2]!a_eb("CDT,{P1},,2017013,,YA,,,","K=Acc_Code,F={P2},O=B",I$1,$F799)</f>
        <v>#NAME?</v>
      </c>
    </row>
    <row r="800" spans="1:9">
      <c r="A800" s="11">
        <v>2600002051</v>
      </c>
      <c r="B800" s="20" t="s">
        <v>2212</v>
      </c>
      <c r="C800" s="28" t="e">
        <f t="shared" ca="1" si="11"/>
        <v>#N/A</v>
      </c>
      <c r="F800" s="3">
        <v>520803</v>
      </c>
      <c r="G800" s="3">
        <v>8220105010</v>
      </c>
      <c r="H800" s="34" t="e">
        <f ca="1">[2]!a_eb("CDT,{P1},,2017013,,YA,,,","K=Acc_Code,F={P2},O=B",H$1,$F800)</f>
        <v>#NAME?</v>
      </c>
      <c r="I800" s="34" t="e">
        <f ca="1">[2]!a_eb("CDT,{P1},,2017013,,YA,,,","K=Acc_Code,F={P2},O=B",I$1,$F800)</f>
        <v>#NAME?</v>
      </c>
    </row>
    <row r="801" spans="1:9">
      <c r="A801" s="11" t="s">
        <v>1405</v>
      </c>
      <c r="B801" s="20" t="s">
        <v>2213</v>
      </c>
      <c r="C801" s="28" t="e">
        <f t="shared" ca="1" si="11"/>
        <v>#N/A</v>
      </c>
      <c r="F801" s="3">
        <v>520804</v>
      </c>
      <c r="G801" s="3">
        <v>8220101020</v>
      </c>
      <c r="H801" s="34" t="e">
        <f ca="1">[2]!a_eb("CDT,{P1},,2017013,,YA,,,","K=Acc_Code,F={P2},O=B",H$1,$F801)</f>
        <v>#NAME?</v>
      </c>
      <c r="I801" s="34" t="e">
        <f ca="1">[2]!a_eb("CDT,{P1},,2017013,,YA,,,","K=Acc_Code,F={P2},O=B",I$1,$F801)</f>
        <v>#NAME?</v>
      </c>
    </row>
    <row r="802" spans="1:9">
      <c r="A802" s="11" t="s">
        <v>1497</v>
      </c>
      <c r="B802" s="20" t="s">
        <v>2214</v>
      </c>
      <c r="C802" s="28" t="e">
        <f t="shared" ca="1" si="11"/>
        <v>#N/A</v>
      </c>
      <c r="F802" s="3">
        <v>520805</v>
      </c>
      <c r="G802" s="3">
        <v>8220101030</v>
      </c>
      <c r="H802" s="34" t="e">
        <f ca="1">[2]!a_eb("CDT,{P1},,2017013,,YA,,,","K=Acc_Code,F={P2},O=B",H$1,$F802)</f>
        <v>#NAME?</v>
      </c>
      <c r="I802" s="34" t="e">
        <f ca="1">[2]!a_eb("CDT,{P1},,2017013,,YA,,,","K=Acc_Code,F={P2},O=B",I$1,$F802)</f>
        <v>#NAME?</v>
      </c>
    </row>
    <row r="803" spans="1:9">
      <c r="A803" s="11">
        <v>2600002060</v>
      </c>
      <c r="B803" s="20" t="s">
        <v>2215</v>
      </c>
      <c r="C803" s="28" t="e">
        <f t="shared" ca="1" si="11"/>
        <v>#N/A</v>
      </c>
      <c r="F803" s="3">
        <v>520806</v>
      </c>
      <c r="G803" s="3">
        <v>8220101010</v>
      </c>
      <c r="H803" s="34" t="e">
        <f ca="1">[2]!a_eb("CDT,{P1},,2017013,,YA,,,","K=Acc_Code,F={P2},O=B",H$1,$F803)</f>
        <v>#NAME?</v>
      </c>
      <c r="I803" s="34" t="e">
        <f ca="1">[2]!a_eb("CDT,{P1},,2017013,,YA,,,","K=Acc_Code,F={P2},O=B",I$1,$F803)</f>
        <v>#NAME?</v>
      </c>
    </row>
    <row r="804" spans="1:9">
      <c r="A804" s="11">
        <v>2600002070</v>
      </c>
      <c r="B804" s="20" t="s">
        <v>2216</v>
      </c>
      <c r="C804" s="28" t="e">
        <f t="shared" ca="1" si="11"/>
        <v>#N/A</v>
      </c>
      <c r="F804" s="3">
        <v>52080701</v>
      </c>
      <c r="G804" s="3">
        <v>8210201010</v>
      </c>
      <c r="H804" s="34" t="e">
        <f ca="1">[2]!a_eb("CDT,{P1},,2017013,,YA,,,","K=Acc_Code,F={P2},O=B",H$1,$F804)</f>
        <v>#NAME?</v>
      </c>
      <c r="I804" s="34" t="e">
        <f ca="1">[2]!a_eb("CDT,{P1},,2017013,,YA,,,","K=Acc_Code,F={P2},O=B",I$1,$F804)</f>
        <v>#NAME?</v>
      </c>
    </row>
    <row r="805" spans="1:9">
      <c r="A805" s="11">
        <v>2600000030</v>
      </c>
      <c r="B805" s="20" t="s">
        <v>2217</v>
      </c>
      <c r="C805" s="28" t="e">
        <f t="shared" ca="1" si="11"/>
        <v>#N/A</v>
      </c>
      <c r="F805" s="3" t="s">
        <v>1484</v>
      </c>
      <c r="G805" s="3">
        <v>8220201010</v>
      </c>
      <c r="H805" s="34" t="e">
        <f ca="1">[2]!a_eb("CDT,{P1},,2017013,,YA,,,","K=Acc_Code,F={P2},O=B",H$1,$F805)</f>
        <v>#NAME?</v>
      </c>
      <c r="I805" s="34" t="e">
        <f ca="1">[2]!a_eb("CDT,{P1},,2017013,,YA,,,","K=Acc_Code,F={P2},O=B",I$1,$F805)</f>
        <v>#NAME?</v>
      </c>
    </row>
    <row r="806" spans="1:9">
      <c r="A806" s="11">
        <v>2600002100</v>
      </c>
      <c r="B806" s="20" t="s">
        <v>2218</v>
      </c>
      <c r="C806" s="28" t="e">
        <f t="shared" ca="1" si="11"/>
        <v>#N/A</v>
      </c>
      <c r="F806" s="3">
        <v>520810</v>
      </c>
      <c r="G806" s="3">
        <v>8200150000</v>
      </c>
      <c r="H806" s="34" t="e">
        <f ca="1">[2]!a_eb("CDT,{P1},,2017013,,YA,,,","K=Acc_Code,F={P2},O=B",H$1,$F806)</f>
        <v>#NAME?</v>
      </c>
      <c r="I806" s="34" t="e">
        <f ca="1">[2]!a_eb("CDT,{P1},,2017013,,YA,,,","K=Acc_Code,F={P2},O=B",I$1,$F806)</f>
        <v>#NAME?</v>
      </c>
    </row>
    <row r="807" spans="1:9">
      <c r="A807" s="11" t="s">
        <v>1405</v>
      </c>
      <c r="B807" s="20" t="s">
        <v>2219</v>
      </c>
      <c r="C807" s="28" t="e">
        <f t="shared" ca="1" si="11"/>
        <v>#N/A</v>
      </c>
      <c r="F807" s="3">
        <v>520811</v>
      </c>
      <c r="G807" s="3">
        <v>8480400000</v>
      </c>
      <c r="H807" s="34" t="e">
        <f ca="1">[2]!a_eb("CDT,{P1},,2017013,,YA,,,","K=Acc_Code,F={P2},O=B",H$1,$F807)</f>
        <v>#NAME?</v>
      </c>
      <c r="I807" s="34" t="e">
        <f ca="1">[2]!a_eb("CDT,{P1},,2017013,,YA,,,","K=Acc_Code,F={P2},O=B",I$1,$F807)</f>
        <v>#NAME?</v>
      </c>
    </row>
    <row r="808" spans="1:9">
      <c r="A808" s="11">
        <v>2600000100</v>
      </c>
      <c r="B808" s="20" t="s">
        <v>2220</v>
      </c>
      <c r="C808" s="28" t="e">
        <f t="shared" ca="1" si="11"/>
        <v>#N/A</v>
      </c>
      <c r="F808" s="3">
        <v>520812</v>
      </c>
      <c r="G808" s="3">
        <v>8480300020</v>
      </c>
      <c r="H808" s="34" t="e">
        <f ca="1">[2]!a_eb("CDT,{P1},,2017013,,YA,,,","K=Acc_Code,F={P2},O=B",H$1,$F808)</f>
        <v>#NAME?</v>
      </c>
      <c r="I808" s="34" t="e">
        <f ca="1">[2]!a_eb("CDT,{P1},,2017013,,YA,,,","K=Acc_Code,F={P2},O=B",I$1,$F808)</f>
        <v>#NAME?</v>
      </c>
    </row>
    <row r="809" spans="1:9">
      <c r="A809" s="11" t="s">
        <v>1497</v>
      </c>
      <c r="B809" s="20" t="s">
        <v>2221</v>
      </c>
      <c r="C809" s="28" t="e">
        <f t="shared" ca="1" si="11"/>
        <v>#N/A</v>
      </c>
      <c r="F809" s="3">
        <v>520902</v>
      </c>
      <c r="G809" s="3">
        <v>8320101010</v>
      </c>
      <c r="H809" s="34" t="e">
        <f ca="1">[2]!a_eb("CDT,{P1},,2017013,,YA,,,","K=Acc_Code,F={P2},O=B",H$1,$F809)</f>
        <v>#NAME?</v>
      </c>
      <c r="I809" s="34" t="e">
        <f ca="1">[2]!a_eb("CDT,{P1},,2017013,,YA,,,","K=Acc_Code,F={P2},O=B",I$1,$F809)</f>
        <v>#NAME?</v>
      </c>
    </row>
    <row r="810" spans="1:9">
      <c r="A810" s="11">
        <v>2600000000</v>
      </c>
      <c r="B810" s="20" t="s">
        <v>2222</v>
      </c>
      <c r="C810" s="28" t="e">
        <f t="shared" ref="C810:C873" ca="1" si="12">VLOOKUP(B810,F:G,2,0)</f>
        <v>#N/A</v>
      </c>
      <c r="F810" s="3">
        <v>520906</v>
      </c>
      <c r="G810" s="3">
        <v>8320106010</v>
      </c>
      <c r="H810" s="34" t="e">
        <f ca="1">[2]!a_eb("CDT,{P1},,2017013,,YA,,,","K=Acc_Code,F={P2},O=B",H$1,$F810)</f>
        <v>#NAME?</v>
      </c>
      <c r="I810" s="34" t="e">
        <f ca="1">[2]!a_eb("CDT,{P1},,2017013,,YA,,,","K=Acc_Code,F={P2},O=B",I$1,$F810)</f>
        <v>#NAME?</v>
      </c>
    </row>
    <row r="811" spans="1:9">
      <c r="A811" s="11">
        <v>2500000000</v>
      </c>
      <c r="B811" s="20" t="s">
        <v>2223</v>
      </c>
      <c r="C811" s="28" t="e">
        <f t="shared" ca="1" si="12"/>
        <v>#N/A</v>
      </c>
      <c r="F811" s="3">
        <v>521001</v>
      </c>
      <c r="G811" s="3">
        <v>6970000202</v>
      </c>
      <c r="H811" s="34" t="e">
        <f ca="1">[2]!a_eb("CDT,{P1},,2017013,,YA,,,","K=Acc_Code,F={P2},O=B",H$1,$F811)</f>
        <v>#NAME?</v>
      </c>
      <c r="I811" s="34" t="e">
        <f ca="1">[2]!a_eb("CDT,{P1},,2017013,,YA,,,","K=Acc_Code,F={P2},O=B",I$1,$F811)</f>
        <v>#NAME?</v>
      </c>
    </row>
    <row r="812" spans="1:9">
      <c r="A812" s="11">
        <v>2500000010</v>
      </c>
      <c r="B812" s="20" t="s">
        <v>2223</v>
      </c>
      <c r="C812" s="28" t="e">
        <f t="shared" ca="1" si="12"/>
        <v>#N/A</v>
      </c>
      <c r="F812" s="3">
        <v>521002</v>
      </c>
      <c r="G812" s="3">
        <v>6970200050</v>
      </c>
      <c r="H812" s="34" t="e">
        <f ca="1">[2]!a_eb("CDT,{P1},,2017013,,YA,,,","K=Acc_Code,F={P2},O=B",H$1,$F812)</f>
        <v>#NAME?</v>
      </c>
      <c r="I812" s="34" t="e">
        <f ca="1">[2]!a_eb("CDT,{P1},,2017013,,YA,,,","K=Acc_Code,F={P2},O=B",I$1,$F812)</f>
        <v>#NAME?</v>
      </c>
    </row>
    <row r="813" spans="1:9">
      <c r="A813" s="11">
        <v>2500000020</v>
      </c>
      <c r="B813" s="20" t="s">
        <v>2224</v>
      </c>
      <c r="C813" s="28" t="e">
        <f t="shared" ca="1" si="12"/>
        <v>#N/A</v>
      </c>
      <c r="F813" s="3">
        <v>521003</v>
      </c>
      <c r="G813" s="3">
        <v>6970100020</v>
      </c>
      <c r="H813" s="34" t="e">
        <f ca="1">[2]!a_eb("CDT,{P1},,2017013,,YA,,,","K=Acc_Code,F={P2},O=B",H$1,$F813)</f>
        <v>#NAME?</v>
      </c>
      <c r="I813" s="34" t="e">
        <f ca="1">[2]!a_eb("CDT,{P1},,2017013,,YA,,,","K=Acc_Code,F={P2},O=B",I$1,$F813)</f>
        <v>#NAME?</v>
      </c>
    </row>
    <row r="814" spans="1:9">
      <c r="A814" s="11">
        <v>2500000040</v>
      </c>
      <c r="B814" s="20" t="s">
        <v>2225</v>
      </c>
      <c r="C814" s="28" t="e">
        <f t="shared" ca="1" si="12"/>
        <v>#N/A</v>
      </c>
      <c r="F814" s="3">
        <v>521101</v>
      </c>
      <c r="G814" s="3">
        <v>6010000012</v>
      </c>
      <c r="H814" s="34" t="e">
        <f ca="1">[2]!a_eb("CDT,{P1},,2017013,,YA,,,","K=Acc_Code,F={P2},O=B",H$1,$F814)</f>
        <v>#NAME?</v>
      </c>
      <c r="I814" s="34" t="e">
        <f ca="1">[2]!a_eb("CDT,{P1},,2017013,,YA,,,","K=Acc_Code,F={P2},O=B",I$1,$F814)</f>
        <v>#NAME?</v>
      </c>
    </row>
    <row r="815" spans="1:9">
      <c r="A815" s="11">
        <v>2500000030</v>
      </c>
      <c r="B815" s="20" t="s">
        <v>2226</v>
      </c>
      <c r="C815" s="28" t="e">
        <f t="shared" ca="1" si="12"/>
        <v>#N/A</v>
      </c>
      <c r="F815" s="3">
        <v>521102</v>
      </c>
      <c r="G815" s="3">
        <v>6972000000</v>
      </c>
      <c r="H815" s="34" t="e">
        <f ca="1">[2]!a_eb("CDT,{P1},,2017013,,YA,,,","K=Acc_Code,F={P2},O=B",H$1,$F815)</f>
        <v>#NAME?</v>
      </c>
      <c r="I815" s="34" t="e">
        <f ca="1">[2]!a_eb("CDT,{P1},,2017013,,YA,,,","K=Acc_Code,F={P2},O=B",I$1,$F815)</f>
        <v>#NAME?</v>
      </c>
    </row>
    <row r="816" spans="1:9">
      <c r="A816" s="11">
        <v>2500000006</v>
      </c>
      <c r="B816" s="20" t="s">
        <v>2227</v>
      </c>
      <c r="C816" s="28" t="e">
        <f t="shared" ca="1" si="12"/>
        <v>#N/A</v>
      </c>
      <c r="F816" s="3">
        <v>521103</v>
      </c>
      <c r="G816" s="3">
        <v>7902001000</v>
      </c>
      <c r="H816" s="34" t="e">
        <f ca="1">[2]!a_eb("CDT,{P1},,2017013,,YA,,,","K=Acc_Code,F={P2},O=B",H$1,$F816)</f>
        <v>#NAME?</v>
      </c>
      <c r="I816" s="34" t="e">
        <f ca="1">[2]!a_eb("CDT,{P1},,2017013,,YA,,,","K=Acc_Code,F={P2},O=B",I$1,$F816)</f>
        <v>#NAME?</v>
      </c>
    </row>
    <row r="817" spans="1:9">
      <c r="A817" s="11" t="s">
        <v>1497</v>
      </c>
      <c r="B817" s="20" t="s">
        <v>2228</v>
      </c>
      <c r="C817" s="28" t="e">
        <f t="shared" ca="1" si="12"/>
        <v>#N/A</v>
      </c>
      <c r="F817" s="3">
        <v>521104</v>
      </c>
      <c r="G817" s="3">
        <v>8470801010</v>
      </c>
      <c r="H817" s="34" t="e">
        <f ca="1">[2]!a_eb("CDT,{P1},,2017013,,YA,,,","K=Acc_Code,F={P2},O=B",H$1,$F817)</f>
        <v>#NAME?</v>
      </c>
      <c r="I817" s="34" t="e">
        <f ca="1">[2]!a_eb("CDT,{P1},,2017013,,YA,,,","K=Acc_Code,F={P2},O=B",I$1,$F817)</f>
        <v>#NAME?</v>
      </c>
    </row>
    <row r="818" spans="1:9">
      <c r="A818" s="11">
        <v>2500000060</v>
      </c>
      <c r="B818" s="20" t="s">
        <v>2229</v>
      </c>
      <c r="C818" s="28" t="e">
        <f t="shared" ca="1" si="12"/>
        <v>#N/A</v>
      </c>
      <c r="F818" s="3">
        <v>521105</v>
      </c>
      <c r="G818" s="3">
        <v>6972200000</v>
      </c>
      <c r="H818" s="34" t="e">
        <f ca="1">[2]!a_eb("CDT,{P1},,2017013,,YA,,,","K=Acc_Code,F={P2},O=B",H$1,$F818)</f>
        <v>#NAME?</v>
      </c>
      <c r="I818" s="34" t="e">
        <f ca="1">[2]!a_eb("CDT,{P1},,2017013,,YA,,,","K=Acc_Code,F={P2},O=B",I$1,$F818)</f>
        <v>#NAME?</v>
      </c>
    </row>
    <row r="819" spans="1:9">
      <c r="A819" s="11" t="s">
        <v>1497</v>
      </c>
      <c r="B819" s="20" t="s">
        <v>2230</v>
      </c>
      <c r="C819" s="28" t="e">
        <f t="shared" ca="1" si="12"/>
        <v>#N/A</v>
      </c>
      <c r="F819" s="3">
        <v>521106</v>
      </c>
      <c r="G819" s="3">
        <v>6972100000</v>
      </c>
      <c r="H819" s="34" t="e">
        <f ca="1">[2]!a_eb("CDT,{P1},,2017013,,YA,,,","K=Acc_Code,F={P2},O=B",H$1,$F819)</f>
        <v>#NAME?</v>
      </c>
      <c r="I819" s="34" t="e">
        <f ca="1">[2]!a_eb("CDT,{P1},,2017013,,YA,,,","K=Acc_Code,F={P2},O=B",I$1,$F819)</f>
        <v>#NAME?</v>
      </c>
    </row>
    <row r="820" spans="1:9">
      <c r="A820" s="11">
        <v>2511001500</v>
      </c>
      <c r="B820" s="20" t="s">
        <v>2231</v>
      </c>
      <c r="C820" s="28" t="e">
        <f t="shared" ca="1" si="12"/>
        <v>#N/A</v>
      </c>
      <c r="F820" s="3">
        <v>521201</v>
      </c>
      <c r="G820" s="3">
        <v>8440101010</v>
      </c>
      <c r="H820" s="34" t="e">
        <f ca="1">[2]!a_eb("CDT,{P1},,2017013,,YA,,,","K=Acc_Code,F={P2},O=B",H$1,$F820)</f>
        <v>#NAME?</v>
      </c>
      <c r="I820" s="34" t="e">
        <f ca="1">[2]!a_eb("CDT,{P1},,2017013,,YA,,,","K=Acc_Code,F={P2},O=B",I$1,$F820)</f>
        <v>#NAME?</v>
      </c>
    </row>
    <row r="821" spans="1:9">
      <c r="A821" s="11">
        <v>2511001501</v>
      </c>
      <c r="B821" s="20" t="s">
        <v>2232</v>
      </c>
      <c r="C821" s="28" t="e">
        <f t="shared" ca="1" si="12"/>
        <v>#N/A</v>
      </c>
      <c r="F821" s="3">
        <v>521206</v>
      </c>
      <c r="G821" s="3">
        <v>8470601020</v>
      </c>
      <c r="H821" s="34" t="e">
        <f ca="1">[2]!a_eb("CDT,{P1},,2017013,,YA,,,","K=Acc_Code,F={P2},O=B",H$1,$F821)</f>
        <v>#NAME?</v>
      </c>
      <c r="I821" s="34" t="e">
        <f ca="1">[2]!a_eb("CDT,{P1},,2017013,,YA,,,","K=Acc_Code,F={P2},O=B",I$1,$F821)</f>
        <v>#NAME?</v>
      </c>
    </row>
    <row r="822" spans="1:9">
      <c r="A822" s="11">
        <v>2511001502</v>
      </c>
      <c r="B822" s="20" t="s">
        <v>2233</v>
      </c>
      <c r="C822" s="28" t="e">
        <f t="shared" ca="1" si="12"/>
        <v>#N/A</v>
      </c>
      <c r="F822" s="3">
        <v>521209</v>
      </c>
      <c r="G822" s="3">
        <v>8440102010</v>
      </c>
      <c r="H822" s="34" t="e">
        <f ca="1">[2]!a_eb("CDT,{P1},,2017013,,YA,,,","K=Acc_Code,F={P2},O=B",H$1,$F822)</f>
        <v>#NAME?</v>
      </c>
      <c r="I822" s="34" t="e">
        <f ca="1">[2]!a_eb("CDT,{P1},,2017013,,YA,,,","K=Acc_Code,F={P2},O=B",I$1,$F822)</f>
        <v>#NAME?</v>
      </c>
    </row>
    <row r="823" spans="1:9">
      <c r="A823" s="11" t="s">
        <v>1497</v>
      </c>
      <c r="B823" s="20" t="s">
        <v>2234</v>
      </c>
      <c r="C823" s="28" t="e">
        <f t="shared" ca="1" si="12"/>
        <v>#N/A</v>
      </c>
      <c r="F823" s="3">
        <v>521301</v>
      </c>
      <c r="G823" s="3">
        <v>8100401010</v>
      </c>
      <c r="H823" s="34" t="e">
        <f ca="1">[2]!a_eb("CDT,{P1},,2017013,,YA,,,","K=Acc_Code,F={P2},O=B",H$1,$F823)</f>
        <v>#NAME?</v>
      </c>
      <c r="I823" s="34" t="e">
        <f ca="1">[2]!a_eb("CDT,{P1},,2017013,,YA,,,","K=Acc_Code,F={P2},O=B",I$1,$F823)</f>
        <v>#NAME?</v>
      </c>
    </row>
    <row r="824" spans="1:9">
      <c r="A824" s="11">
        <v>2501000000</v>
      </c>
      <c r="B824" s="20" t="s">
        <v>2235</v>
      </c>
      <c r="C824" s="28" t="e">
        <f t="shared" ca="1" si="12"/>
        <v>#N/A</v>
      </c>
      <c r="F824" s="3">
        <v>521302</v>
      </c>
      <c r="G824" s="3">
        <v>8100201010</v>
      </c>
      <c r="H824" s="34" t="e">
        <f ca="1">[2]!a_eb("CDT,{P1},,2017013,,YA,,,","K=Acc_Code,F={P2},O=B",H$1,$F824)</f>
        <v>#NAME?</v>
      </c>
      <c r="I824" s="34" t="e">
        <f ca="1">[2]!a_eb("CDT,{P1},,2017013,,YA,,,","K=Acc_Code,F={P2},O=B",I$1,$F824)</f>
        <v>#NAME?</v>
      </c>
    </row>
    <row r="825" spans="1:9">
      <c r="A825" s="11">
        <v>2501000001</v>
      </c>
      <c r="B825" s="20" t="s">
        <v>2236</v>
      </c>
      <c r="C825" s="28" t="e">
        <f t="shared" ca="1" si="12"/>
        <v>#N/A</v>
      </c>
      <c r="F825" s="3">
        <v>521303</v>
      </c>
      <c r="G825" s="3">
        <v>8110101010</v>
      </c>
      <c r="H825" s="34" t="e">
        <f ca="1">[2]!a_eb("CDT,{P1},,2017013,,YA,,,","K=Acc_Code,F={P2},O=B",H$1,$F825)</f>
        <v>#NAME?</v>
      </c>
      <c r="I825" s="34" t="e">
        <f ca="1">[2]!a_eb("CDT,{P1},,2017013,,YA,,,","K=Acc_Code,F={P2},O=B",I$1,$F825)</f>
        <v>#NAME?</v>
      </c>
    </row>
    <row r="826" spans="1:9">
      <c r="A826" s="11">
        <v>2501000002</v>
      </c>
      <c r="B826" s="20" t="s">
        <v>2237</v>
      </c>
      <c r="C826" s="28" t="e">
        <f t="shared" ca="1" si="12"/>
        <v>#N/A</v>
      </c>
      <c r="F826" s="3">
        <v>521401</v>
      </c>
      <c r="G826" s="3">
        <v>8430201010</v>
      </c>
      <c r="H826" s="34" t="e">
        <f ca="1">[2]!a_eb("CDT,{P1},,2017013,,YA,,,","K=Acc_Code,F={P2},O=B",H$1,$F826)</f>
        <v>#NAME?</v>
      </c>
      <c r="I826" s="34" t="e">
        <f ca="1">[2]!a_eb("CDT,{P1},,2017013,,YA,,,","K=Acc_Code,F={P2},O=B",I$1,$F826)</f>
        <v>#NAME?</v>
      </c>
    </row>
    <row r="827" spans="1:9">
      <c r="A827" s="11">
        <v>2530400050</v>
      </c>
      <c r="B827" s="20" t="s">
        <v>2238</v>
      </c>
      <c r="C827" s="28" t="e">
        <f t="shared" ca="1" si="12"/>
        <v>#N/A</v>
      </c>
      <c r="F827" s="3">
        <v>521402</v>
      </c>
      <c r="G827" s="3">
        <v>8430401010</v>
      </c>
      <c r="H827" s="34" t="e">
        <f ca="1">[2]!a_eb("CDT,{P1},,2017013,,YA,,,","K=Acc_Code,F={P2},O=B",H$1,$F827)</f>
        <v>#NAME?</v>
      </c>
      <c r="I827" s="34" t="e">
        <f ca="1">[2]!a_eb("CDT,{P1},,2017013,,YA,,,","K=Acc_Code,F={P2},O=B",I$1,$F827)</f>
        <v>#NAME?</v>
      </c>
    </row>
    <row r="828" spans="1:9">
      <c r="A828" s="11">
        <v>2530401501</v>
      </c>
      <c r="B828" s="20" t="s">
        <v>2239</v>
      </c>
      <c r="C828" s="28" t="e">
        <f t="shared" ca="1" si="12"/>
        <v>#N/A</v>
      </c>
      <c r="F828" s="3">
        <v>521403</v>
      </c>
      <c r="G828" s="3">
        <v>8470301010</v>
      </c>
      <c r="H828" s="34" t="e">
        <f ca="1">[2]!a_eb("CDT,{P1},,2017013,,YA,,,","K=Acc_Code,F={P2},O=B",H$1,$F828)</f>
        <v>#NAME?</v>
      </c>
      <c r="I828" s="34" t="e">
        <f ca="1">[2]!a_eb("CDT,{P1},,2017013,,YA,,,","K=Acc_Code,F={P2},O=B",I$1,$F828)</f>
        <v>#NAME?</v>
      </c>
    </row>
    <row r="829" spans="1:9">
      <c r="A829" s="11" t="s">
        <v>1497</v>
      </c>
      <c r="B829" s="20" t="s">
        <v>2240</v>
      </c>
      <c r="C829" s="28" t="e">
        <f t="shared" ca="1" si="12"/>
        <v>#N/A</v>
      </c>
      <c r="F829" s="3">
        <v>521404</v>
      </c>
      <c r="G829" s="3">
        <v>8450601010</v>
      </c>
      <c r="H829" s="34" t="e">
        <f ca="1">[2]!a_eb("CDT,{P1},,2017013,,YA,,,","K=Acc_Code,F={P2},O=B",H$1,$F829)</f>
        <v>#NAME?</v>
      </c>
      <c r="I829" s="34" t="e">
        <f ca="1">[2]!a_eb("CDT,{P1},,2017013,,YA,,,","K=Acc_Code,F={P2},O=B",I$1,$F829)</f>
        <v>#NAME?</v>
      </c>
    </row>
    <row r="830" spans="1:9">
      <c r="A830" s="11">
        <v>2530401502</v>
      </c>
      <c r="B830" s="20" t="s">
        <v>2241</v>
      </c>
      <c r="C830" s="28" t="e">
        <f t="shared" ca="1" si="12"/>
        <v>#N/A</v>
      </c>
      <c r="F830" s="3">
        <v>521405</v>
      </c>
      <c r="G830" s="3">
        <v>8110102010</v>
      </c>
      <c r="H830" s="34" t="e">
        <f ca="1">[2]!a_eb("CDT,{P1},,2017013,,YA,,,","K=Acc_Code,F={P2},O=B",H$1,$F830)</f>
        <v>#NAME?</v>
      </c>
      <c r="I830" s="34" t="e">
        <f ca="1">[2]!a_eb("CDT,{P1},,2017013,,YA,,,","K=Acc_Code,F={P2},O=B",I$1,$F830)</f>
        <v>#NAME?</v>
      </c>
    </row>
    <row r="831" spans="1:9">
      <c r="A831" s="11" t="s">
        <v>1497</v>
      </c>
      <c r="B831" s="20" t="s">
        <v>2242</v>
      </c>
      <c r="C831" s="28" t="e">
        <f t="shared" ca="1" si="12"/>
        <v>#N/A</v>
      </c>
      <c r="F831" s="3">
        <v>521406</v>
      </c>
      <c r="G831" s="3">
        <v>8470901070</v>
      </c>
      <c r="H831" s="34" t="e">
        <f ca="1">[2]!a_eb("CDT,{P1},,2017013,,YA,,,","K=Acc_Code,F={P2},O=B",H$1,$F831)</f>
        <v>#NAME?</v>
      </c>
      <c r="I831" s="34" t="e">
        <f ca="1">[2]!a_eb("CDT,{P1},,2017013,,YA,,,","K=Acc_Code,F={P2},O=B",I$1,$F831)</f>
        <v>#NAME?</v>
      </c>
    </row>
    <row r="832" spans="1:9">
      <c r="A832" s="11">
        <v>2530401500</v>
      </c>
      <c r="B832" s="20" t="s">
        <v>2243</v>
      </c>
      <c r="C832" s="28" t="e">
        <f t="shared" ca="1" si="12"/>
        <v>#N/A</v>
      </c>
      <c r="F832" s="3">
        <v>521501</v>
      </c>
      <c r="G832" s="3">
        <v>8410103010</v>
      </c>
      <c r="H832" s="34" t="e">
        <f ca="1">[2]!a_eb("CDT,{P1},,2017013,,YA,,,","K=Acc_Code,F={P2},O=B",H$1,$F832)</f>
        <v>#NAME?</v>
      </c>
      <c r="I832" s="34" t="e">
        <f ca="1">[2]!a_eb("CDT,{P1},,2017013,,YA,,,","K=Acc_Code,F={P2},O=B",I$1,$F832)</f>
        <v>#NAME?</v>
      </c>
    </row>
    <row r="833" spans="1:9">
      <c r="A833" s="11">
        <v>2530600010</v>
      </c>
      <c r="B833" s="20" t="s">
        <v>2244</v>
      </c>
      <c r="C833" s="28" t="e">
        <f t="shared" ca="1" si="12"/>
        <v>#N/A</v>
      </c>
      <c r="F833" s="3">
        <v>521601</v>
      </c>
      <c r="G833" s="3">
        <v>8430101010</v>
      </c>
      <c r="H833" s="34" t="e">
        <f ca="1">[2]!a_eb("CDT,{P1},,2017013,,YA,,,","K=Acc_Code,F={P2},O=B",H$1,$F833)</f>
        <v>#NAME?</v>
      </c>
      <c r="I833" s="34" t="e">
        <f ca="1">[2]!a_eb("CDT,{P1},,2017013,,YA,,,","K=Acc_Code,F={P2},O=B",I$1,$F833)</f>
        <v>#NAME?</v>
      </c>
    </row>
    <row r="834" spans="1:9">
      <c r="A834" s="11">
        <v>2711001500</v>
      </c>
      <c r="B834" s="20" t="s">
        <v>2245</v>
      </c>
      <c r="C834" s="28" t="e">
        <f t="shared" ca="1" si="12"/>
        <v>#N/A</v>
      </c>
      <c r="F834" s="3">
        <v>521603</v>
      </c>
      <c r="G834" s="3">
        <v>6970000203</v>
      </c>
      <c r="H834" s="34" t="e">
        <f ca="1">[2]!a_eb("CDT,{P1},,2017013,,YA,,,","K=Acc_Code,F={P2},O=B",H$1,$F834)</f>
        <v>#NAME?</v>
      </c>
      <c r="I834" s="34" t="e">
        <f ca="1">[2]!a_eb("CDT,{P1},,2017013,,YA,,,","K=Acc_Code,F={P2},O=B",I$1,$F834)</f>
        <v>#NAME?</v>
      </c>
    </row>
    <row r="835" spans="1:9">
      <c r="A835" s="11">
        <v>2530401503</v>
      </c>
      <c r="B835" s="20" t="s">
        <v>2246</v>
      </c>
      <c r="C835" s="28" t="e">
        <f t="shared" ca="1" si="12"/>
        <v>#N/A</v>
      </c>
      <c r="F835" s="3">
        <v>521604</v>
      </c>
      <c r="G835" s="3">
        <v>6970200003</v>
      </c>
      <c r="H835" s="34" t="e">
        <f ca="1">[2]!a_eb("CDT,{P1},,2017013,,YA,,,","K=Acc_Code,F={P2},O=B",H$1,$F835)</f>
        <v>#NAME?</v>
      </c>
      <c r="I835" s="34" t="e">
        <f ca="1">[2]!a_eb("CDT,{P1},,2017013,,YA,,,","K=Acc_Code,F={P2},O=B",I$1,$F835)</f>
        <v>#NAME?</v>
      </c>
    </row>
    <row r="836" spans="1:9">
      <c r="A836" s="11">
        <v>2530400040</v>
      </c>
      <c r="B836" s="20" t="s">
        <v>2247</v>
      </c>
      <c r="C836" s="28" t="e">
        <f t="shared" ca="1" si="12"/>
        <v>#N/A</v>
      </c>
      <c r="F836" s="3">
        <v>521701</v>
      </c>
      <c r="G836" s="3">
        <v>8450101010</v>
      </c>
      <c r="H836" s="34" t="e">
        <f ca="1">[2]!a_eb("CDT,{P1},,2017013,,YA,,,","K=Acc_Code,F={P2},O=B",H$1,$F836)</f>
        <v>#NAME?</v>
      </c>
      <c r="I836" s="34" t="e">
        <f ca="1">[2]!a_eb("CDT,{P1},,2017013,,YA,,,","K=Acc_Code,F={P2},O=B",I$1,$F836)</f>
        <v>#NAME?</v>
      </c>
    </row>
    <row r="837" spans="1:9">
      <c r="A837" s="11" t="s">
        <v>1497</v>
      </c>
      <c r="B837" s="20" t="s">
        <v>2248</v>
      </c>
      <c r="C837" s="28" t="e">
        <f t="shared" ca="1" si="12"/>
        <v>#N/A</v>
      </c>
      <c r="F837" s="3">
        <v>521702</v>
      </c>
      <c r="G837" s="3">
        <v>7902009010</v>
      </c>
      <c r="H837" s="34" t="e">
        <f ca="1">[2]!a_eb("CDT,{P1},,2017013,,YA,,,","K=Acc_Code,F={P2},O=B",H$1,$F837)</f>
        <v>#NAME?</v>
      </c>
      <c r="I837" s="34" t="e">
        <f ca="1">[2]!a_eb("CDT,{P1},,2017013,,YA,,,","K=Acc_Code,F={P2},O=B",I$1,$F837)</f>
        <v>#NAME?</v>
      </c>
    </row>
    <row r="838" spans="1:9">
      <c r="A838" s="11">
        <v>2712001500</v>
      </c>
      <c r="B838" s="20" t="s">
        <v>2249</v>
      </c>
      <c r="C838" s="28" t="e">
        <f t="shared" ca="1" si="12"/>
        <v>#N/A</v>
      </c>
      <c r="F838" s="3">
        <v>521801</v>
      </c>
      <c r="G838" s="3">
        <v>8100301010</v>
      </c>
      <c r="H838" s="34" t="e">
        <f ca="1">[2]!a_eb("CDT,{P1},,2017013,,YA,,,","K=Acc_Code,F={P2},O=B",H$1,$F838)</f>
        <v>#NAME?</v>
      </c>
      <c r="I838" s="34" t="e">
        <f ca="1">[2]!a_eb("CDT,{P1},,2017013,,YA,,,","K=Acc_Code,F={P2},O=B",I$1,$F838)</f>
        <v>#NAME?</v>
      </c>
    </row>
    <row r="839" spans="1:9">
      <c r="A839" s="11">
        <v>2711001500</v>
      </c>
      <c r="B839" s="20" t="s">
        <v>2250</v>
      </c>
      <c r="C839" s="28" t="e">
        <f t="shared" ca="1" si="12"/>
        <v>#N/A</v>
      </c>
      <c r="F839" s="3">
        <v>521901</v>
      </c>
      <c r="G839" s="3">
        <v>8450301010</v>
      </c>
      <c r="H839" s="34" t="e">
        <f ca="1">[2]!a_eb("CDT,{P1},,2017013,,YA,,,","K=Acc_Code,F={P2},O=B",H$1,$F839)</f>
        <v>#NAME?</v>
      </c>
      <c r="I839" s="34" t="e">
        <f ca="1">[2]!a_eb("CDT,{P1},,2017013,,YA,,,","K=Acc_Code,F={P2},O=B",I$1,$F839)</f>
        <v>#NAME?</v>
      </c>
    </row>
    <row r="840" spans="1:9">
      <c r="A840" s="11">
        <v>2530401504</v>
      </c>
      <c r="B840" s="20" t="s">
        <v>2251</v>
      </c>
      <c r="C840" s="28" t="e">
        <f t="shared" ca="1" si="12"/>
        <v>#N/A</v>
      </c>
      <c r="F840" s="3">
        <v>522001</v>
      </c>
      <c r="G840" s="3">
        <v>7900000000</v>
      </c>
      <c r="H840" s="34" t="e">
        <f ca="1">[2]!a_eb("CDT,{P1},,2017013,,YA,,,","K=Acc_Code,F={P2},O=B",H$1,$F840)</f>
        <v>#NAME?</v>
      </c>
      <c r="I840" s="34" t="e">
        <f ca="1">[2]!a_eb("CDT,{P1},,2017013,,YA,,,","K=Acc_Code,F={P2},O=B",I$1,$F840)</f>
        <v>#NAME?</v>
      </c>
    </row>
    <row r="841" spans="1:9">
      <c r="A841" s="11">
        <v>2530301500</v>
      </c>
      <c r="B841" s="20" t="s">
        <v>2252</v>
      </c>
      <c r="C841" s="28" t="e">
        <f t="shared" ca="1" si="12"/>
        <v>#N/A</v>
      </c>
      <c r="F841" s="3">
        <v>522001</v>
      </c>
      <c r="G841" s="3">
        <v>7900001500</v>
      </c>
      <c r="H841" s="34" t="e">
        <f ca="1">[2]!a_eb("CDT,{P1},,2017013,,YA,,,","K=Acc_Code,F={P2},O=B",H$1,$F841)</f>
        <v>#NAME?</v>
      </c>
      <c r="I841" s="34" t="e">
        <f ca="1">[2]!a_eb("CDT,{P1},,2017013,,YA,,,","K=Acc_Code,F={P2},O=B",I$1,$F841)</f>
        <v>#NAME?</v>
      </c>
    </row>
    <row r="842" spans="1:9">
      <c r="A842" s="11">
        <v>2530401505</v>
      </c>
      <c r="B842" s="20" t="s">
        <v>2253</v>
      </c>
      <c r="C842" s="28" t="e">
        <f t="shared" ca="1" si="12"/>
        <v>#N/A</v>
      </c>
      <c r="F842" s="3">
        <v>522004</v>
      </c>
      <c r="G842" s="3">
        <v>7900000010</v>
      </c>
      <c r="H842" s="34" t="e">
        <f ca="1">[2]!a_eb("CDT,{P1},,2017013,,YA,,,","K=Acc_Code,F={P2},O=B",H$1,$F842)</f>
        <v>#NAME?</v>
      </c>
      <c r="I842" s="34" t="e">
        <f ca="1">[2]!a_eb("CDT,{P1},,2017013,,YA,,,","K=Acc_Code,F={P2},O=B",I$1,$F842)</f>
        <v>#NAME?</v>
      </c>
    </row>
    <row r="843" spans="1:9">
      <c r="A843" s="11">
        <v>4221000030</v>
      </c>
      <c r="B843" s="20" t="s">
        <v>2254</v>
      </c>
      <c r="C843" s="28" t="e">
        <f t="shared" ca="1" si="12"/>
        <v>#N/A</v>
      </c>
      <c r="F843" s="3">
        <v>522101</v>
      </c>
      <c r="G843" s="3">
        <v>8470501010</v>
      </c>
      <c r="H843" s="34" t="e">
        <f ca="1">[2]!a_eb("CDT,{P1},,2017013,,YA,,,","K=Acc_Code,F={P2},O=B",H$1,$F843)</f>
        <v>#NAME?</v>
      </c>
      <c r="I843" s="34" t="e">
        <f ca="1">[2]!a_eb("CDT,{P1},,2017013,,YA,,,","K=Acc_Code,F={P2},O=B",I$1,$F843)</f>
        <v>#NAME?</v>
      </c>
    </row>
    <row r="844" spans="1:9">
      <c r="A844" s="11">
        <v>4221001000</v>
      </c>
      <c r="B844" s="20" t="s">
        <v>2255</v>
      </c>
      <c r="C844" s="28" t="e">
        <f t="shared" ca="1" si="12"/>
        <v>#N/A</v>
      </c>
      <c r="F844" s="3">
        <v>522201</v>
      </c>
      <c r="G844" s="3">
        <v>8460101051</v>
      </c>
      <c r="H844" s="34" t="e">
        <f ca="1">[2]!a_eb("CDT,{P1},,2017013,,YA,,,","K=Acc_Code,F={P2},O=B",H$1,$F844)</f>
        <v>#NAME?</v>
      </c>
      <c r="I844" s="34" t="e">
        <f ca="1">[2]!a_eb("CDT,{P1},,2017013,,YA,,,","K=Acc_Code,F={P2},O=B",I$1,$F844)</f>
        <v>#NAME?</v>
      </c>
    </row>
    <row r="845" spans="1:9">
      <c r="A845" s="11">
        <v>4221000100</v>
      </c>
      <c r="B845" s="20" t="s">
        <v>2255</v>
      </c>
      <c r="C845" s="28" t="e">
        <f t="shared" ca="1" si="12"/>
        <v>#N/A</v>
      </c>
      <c r="F845" s="3">
        <v>522301</v>
      </c>
      <c r="G845" s="3">
        <v>8470302010</v>
      </c>
      <c r="H845" s="34" t="e">
        <f ca="1">[2]!a_eb("CDT,{P1},,2017013,,YA,,,","K=Acc_Code,F={P2},O=B",H$1,$F845)</f>
        <v>#NAME?</v>
      </c>
      <c r="I845" s="34" t="e">
        <f ca="1">[2]!a_eb("CDT,{P1},,2017013,,YA,,,","K=Acc_Code,F={P2},O=B",I$1,$F845)</f>
        <v>#NAME?</v>
      </c>
    </row>
    <row r="846" spans="1:9">
      <c r="A846" s="11">
        <v>2530401508</v>
      </c>
      <c r="B846" s="20" t="s">
        <v>2256</v>
      </c>
      <c r="C846" s="28" t="e">
        <f t="shared" ca="1" si="12"/>
        <v>#N/A</v>
      </c>
      <c r="F846" s="3">
        <v>520003</v>
      </c>
      <c r="G846" s="3">
        <v>8320211011</v>
      </c>
      <c r="H846" s="34" t="e">
        <f ca="1">[2]!a_eb("CDT,{P1},,2017013,,YA,,,","K=Acc_Code,F={P2},O=B",H$1,$F846)</f>
        <v>#NAME?</v>
      </c>
      <c r="I846" s="34" t="e">
        <f ca="1">[2]!a_eb("CDT,{P1},,2017013,,YA,,,","K=Acc_Code,F={P2},O=B",I$1,$F846)</f>
        <v>#NAME?</v>
      </c>
    </row>
    <row r="847" spans="1:9">
      <c r="A847" s="11">
        <v>2750010000</v>
      </c>
      <c r="B847" s="20" t="s">
        <v>2257</v>
      </c>
      <c r="C847" s="28" t="e">
        <f t="shared" ca="1" si="12"/>
        <v>#N/A</v>
      </c>
      <c r="F847" s="3">
        <v>520007</v>
      </c>
      <c r="G847" s="3">
        <v>6910000167</v>
      </c>
      <c r="H847" s="34" t="e">
        <f ca="1">[2]!a_eb("CDT,{P1},,2017013,,YA,,,","K=Acc_Code,F={P2},O=B",H$1,$F847)</f>
        <v>#NAME?</v>
      </c>
      <c r="I847" s="34" t="e">
        <f ca="1">[2]!a_eb("CDT,{P1},,2017013,,YA,,,","K=Acc_Code,F={P2},O=B",I$1,$F847)</f>
        <v>#NAME?</v>
      </c>
    </row>
    <row r="848" spans="1:9">
      <c r="A848" s="11">
        <v>2700010010</v>
      </c>
      <c r="B848" s="20" t="s">
        <v>2258</v>
      </c>
      <c r="C848" s="28" t="e">
        <f t="shared" ca="1" si="12"/>
        <v>#N/A</v>
      </c>
      <c r="F848" s="3">
        <v>520008</v>
      </c>
      <c r="G848" s="3">
        <v>6970000010</v>
      </c>
      <c r="H848" s="34" t="e">
        <f ca="1">[2]!a_eb("CDT,{P1},,2017013,,YA,,,","K=Acc_Code,F={P2},O=B",H$1,$F848)</f>
        <v>#NAME?</v>
      </c>
      <c r="I848" s="34" t="e">
        <f ca="1">[2]!a_eb("CDT,{P1},,2017013,,YA,,,","K=Acc_Code,F={P2},O=B",I$1,$F848)</f>
        <v>#NAME?</v>
      </c>
    </row>
    <row r="849" spans="1:9">
      <c r="A849" s="11">
        <v>2700001500</v>
      </c>
      <c r="B849" s="20" t="s">
        <v>2259</v>
      </c>
      <c r="C849" s="28" t="e">
        <f t="shared" ca="1" si="12"/>
        <v>#N/A</v>
      </c>
      <c r="F849" s="3">
        <v>520009</v>
      </c>
      <c r="G849" s="3">
        <v>6010000013</v>
      </c>
      <c r="H849" s="34" t="e">
        <f ca="1">[2]!a_eb("CDT,{P1},,2017013,,YA,,,","K=Acc_Code,F={P2},O=B",H$1,$F849)</f>
        <v>#NAME?</v>
      </c>
      <c r="I849" s="34" t="e">
        <f ca="1">[2]!a_eb("CDT,{P1},,2017013,,YA,,,","K=Acc_Code,F={P2},O=B",I$1,$F849)</f>
        <v>#NAME?</v>
      </c>
    </row>
    <row r="850" spans="1:9">
      <c r="A850" s="11" t="s">
        <v>1497</v>
      </c>
      <c r="B850" s="20" t="s">
        <v>2260</v>
      </c>
      <c r="C850" s="28" t="e">
        <f t="shared" ca="1" si="12"/>
        <v>#N/A</v>
      </c>
      <c r="F850" s="3">
        <v>520010</v>
      </c>
      <c r="G850" s="3">
        <v>8470904020</v>
      </c>
      <c r="H850" s="34" t="e">
        <f ca="1">[2]!a_eb("CDT,{P1},,2017013,,YA,,,","K=Acc_Code,F={P2},O=B",H$1,$F850)</f>
        <v>#NAME?</v>
      </c>
      <c r="I850" s="34" t="e">
        <f ca="1">[2]!a_eb("CDT,{P1},,2017013,,YA,,,","K=Acc_Code,F={P2},O=B",I$1,$F850)</f>
        <v>#NAME?</v>
      </c>
    </row>
    <row r="851" spans="1:9">
      <c r="A851" s="11">
        <v>2700000001</v>
      </c>
      <c r="B851" s="20" t="s">
        <v>2261</v>
      </c>
      <c r="C851" s="28" t="e">
        <f t="shared" ca="1" si="12"/>
        <v>#N/A</v>
      </c>
      <c r="F851" s="3">
        <v>520012</v>
      </c>
      <c r="G851" s="3">
        <v>8450501014</v>
      </c>
      <c r="H851" s="34" t="e">
        <f ca="1">[2]!a_eb("CDT,{P1},,2017013,,YA,,,","K=Acc_Code,F={P2},O=B",H$1,$F851)</f>
        <v>#NAME?</v>
      </c>
      <c r="I851" s="34" t="e">
        <f ca="1">[2]!a_eb("CDT,{P1},,2017013,,YA,,,","K=Acc_Code,F={P2},O=B",I$1,$F851)</f>
        <v>#NAME?</v>
      </c>
    </row>
    <row r="852" spans="1:9">
      <c r="A852" s="11">
        <v>2700000002</v>
      </c>
      <c r="B852" s="20" t="s">
        <v>2262</v>
      </c>
      <c r="C852" s="28" t="e">
        <f t="shared" ca="1" si="12"/>
        <v>#N/A</v>
      </c>
      <c r="F852" s="3">
        <v>520014</v>
      </c>
      <c r="G852" s="3">
        <v>8450001030</v>
      </c>
      <c r="H852" s="34" t="e">
        <f ca="1">[2]!a_eb("CDT,{P1},,2017013,,YA,,,","K=Acc_Code,F={P2},O=B",H$1,$F852)</f>
        <v>#NAME?</v>
      </c>
      <c r="I852" s="34" t="e">
        <f ca="1">[2]!a_eb("CDT,{P1},,2017013,,YA,,,","K=Acc_Code,F={P2},O=B",I$1,$F852)</f>
        <v>#NAME?</v>
      </c>
    </row>
    <row r="853" spans="1:9">
      <c r="A853" s="11">
        <v>3102100000</v>
      </c>
      <c r="B853" s="20" t="s">
        <v>2263</v>
      </c>
      <c r="C853" s="28" t="e">
        <f t="shared" ca="1" si="12"/>
        <v>#N/A</v>
      </c>
      <c r="F853" s="3">
        <v>520015</v>
      </c>
      <c r="G853" s="3">
        <v>8450010000</v>
      </c>
      <c r="H853" s="34" t="e">
        <f ca="1">[2]!a_eb("CDT,{P1},,2017013,,YA,,,","K=Acc_Code,F={P2},O=B",H$1,$F853)</f>
        <v>#NAME?</v>
      </c>
      <c r="I853" s="34" t="e">
        <f ca="1">[2]!a_eb("CDT,{P1},,2017013,,YA,,,","K=Acc_Code,F={P2},O=B",I$1,$F853)</f>
        <v>#NAME?</v>
      </c>
    </row>
    <row r="854" spans="1:9">
      <c r="A854" s="11">
        <v>3012000000</v>
      </c>
      <c r="B854" s="20" t="s">
        <v>2264</v>
      </c>
      <c r="C854" s="28" t="e">
        <f t="shared" ca="1" si="12"/>
        <v>#N/A</v>
      </c>
      <c r="F854" s="3">
        <v>520016</v>
      </c>
      <c r="G854" s="3">
        <v>6956020020</v>
      </c>
      <c r="H854" s="34" t="e">
        <f ca="1">[2]!a_eb("CDT,{P1},,2017013,,YA,,,","K=Acc_Code,F={P2},O=B",H$1,$F854)</f>
        <v>#NAME?</v>
      </c>
      <c r="I854" s="34" t="e">
        <f ca="1">[2]!a_eb("CDT,{P1},,2017013,,YA,,,","K=Acc_Code,F={P2},O=B",I$1,$F854)</f>
        <v>#NAME?</v>
      </c>
    </row>
    <row r="855" spans="1:9">
      <c r="A855" s="11">
        <v>3032000000</v>
      </c>
      <c r="B855" s="20" t="s">
        <v>2265</v>
      </c>
      <c r="C855" s="28" t="e">
        <f t="shared" ca="1" si="12"/>
        <v>#N/A</v>
      </c>
      <c r="F855" s="3">
        <v>520017</v>
      </c>
      <c r="G855" s="3">
        <v>8320211010</v>
      </c>
      <c r="H855" s="34" t="e">
        <f ca="1">[2]!a_eb("CDT,{P1},,2017013,,YA,,,","K=Acc_Code,F={P2},O=B",H$1,$F855)</f>
        <v>#NAME?</v>
      </c>
      <c r="I855" s="34" t="e">
        <f ca="1">[2]!a_eb("CDT,{P1},,2017013,,YA,,,","K=Acc_Code,F={P2},O=B",I$1,$F855)</f>
        <v>#NAME?</v>
      </c>
    </row>
    <row r="856" spans="1:9">
      <c r="A856" s="11">
        <v>3102000000</v>
      </c>
      <c r="B856" s="20" t="s">
        <v>2266</v>
      </c>
      <c r="C856" s="28" t="e">
        <f t="shared" ca="1" si="12"/>
        <v>#N/A</v>
      </c>
      <c r="F856" s="3">
        <v>52001801</v>
      </c>
      <c r="G856" s="3">
        <v>8320305010</v>
      </c>
      <c r="H856" s="34" t="e">
        <f ca="1">[2]!a_eb("CDT,{P1},,2017013,,YA,,,","K=Acc_Code,F={P2},O=B",H$1,$F856)</f>
        <v>#NAME?</v>
      </c>
      <c r="I856" s="34" t="e">
        <f ca="1">[2]!a_eb("CDT,{P1},,2017013,,YA,,,","K=Acc_Code,F={P2},O=B",I$1,$F856)</f>
        <v>#NAME?</v>
      </c>
    </row>
    <row r="857" spans="1:9">
      <c r="A857" s="11">
        <v>3102000010</v>
      </c>
      <c r="B857" s="20" t="s">
        <v>2267</v>
      </c>
      <c r="C857" s="28" t="e">
        <f t="shared" ca="1" si="12"/>
        <v>#N/A</v>
      </c>
      <c r="F857" s="3">
        <v>520019</v>
      </c>
      <c r="G857" s="3">
        <v>6910200167</v>
      </c>
      <c r="H857" s="34" t="e">
        <f ca="1">[2]!a_eb("CDT,{P1},,2017013,,YA,,,","K=Acc_Code,F={P2},O=B",H$1,$F857)</f>
        <v>#NAME?</v>
      </c>
      <c r="I857" s="34" t="e">
        <f ca="1">[2]!a_eb("CDT,{P1},,2017013,,YA,,,","K=Acc_Code,F={P2},O=B",I$1,$F857)</f>
        <v>#NAME?</v>
      </c>
    </row>
    <row r="858" spans="1:9">
      <c r="A858" s="11">
        <v>2520001500</v>
      </c>
      <c r="B858" s="20" t="s">
        <v>2268</v>
      </c>
      <c r="C858" s="28" t="e">
        <f t="shared" ca="1" si="12"/>
        <v>#N/A</v>
      </c>
      <c r="F858" s="3">
        <v>520020</v>
      </c>
      <c r="G858" s="3">
        <v>6956220020</v>
      </c>
      <c r="H858" s="34" t="e">
        <f ca="1">[2]!a_eb("CDT,{P1},,2017013,,YA,,,","K=Acc_Code,F={P2},O=B",H$1,$F858)</f>
        <v>#NAME?</v>
      </c>
      <c r="I858" s="34" t="e">
        <f ca="1">[2]!a_eb("CDT,{P1},,2017013,,YA,,,","K=Acc_Code,F={P2},O=B",I$1,$F858)</f>
        <v>#NAME?</v>
      </c>
    </row>
    <row r="859" spans="1:9">
      <c r="A859" s="11">
        <v>2520001500</v>
      </c>
      <c r="B859" s="20" t="s">
        <v>2269</v>
      </c>
      <c r="C859" s="28" t="e">
        <f t="shared" ca="1" si="12"/>
        <v>#N/A</v>
      </c>
      <c r="F859" s="3">
        <v>520022</v>
      </c>
      <c r="G859" s="3">
        <v>8450020000</v>
      </c>
      <c r="H859" s="34" t="e">
        <f ca="1">[2]!a_eb("CDT,{P1},,2017013,,YA,,,","K=Acc_Code,F={P2},O=B",H$1,$F859)</f>
        <v>#NAME?</v>
      </c>
      <c r="I859" s="34" t="e">
        <f ca="1">[2]!a_eb("CDT,{P1},,2017013,,YA,,,","K=Acc_Code,F={P2},O=B",I$1,$F859)</f>
        <v>#NAME?</v>
      </c>
    </row>
    <row r="860" spans="1:9">
      <c r="A860" s="11">
        <v>2520001500</v>
      </c>
      <c r="B860" s="20" t="s">
        <v>2270</v>
      </c>
      <c r="C860" s="28" t="e">
        <f t="shared" ca="1" si="12"/>
        <v>#N/A</v>
      </c>
      <c r="F860" s="3">
        <v>520025</v>
      </c>
      <c r="G860" s="3">
        <v>6600100081</v>
      </c>
      <c r="H860" s="34" t="e">
        <f ca="1">[2]!a_eb("CDT,{P1},,2017013,,YA,,,","K=Acc_Code,F={P2},O=B",H$1,$F860)</f>
        <v>#NAME?</v>
      </c>
      <c r="I860" s="34" t="e">
        <f ca="1">[2]!a_eb("CDT,{P1},,2017013,,YA,,,","K=Acc_Code,F={P2},O=B",I$1,$F860)</f>
        <v>#NAME?</v>
      </c>
    </row>
    <row r="861" spans="1:9">
      <c r="A861" s="11">
        <v>2520001500</v>
      </c>
      <c r="B861" s="20" t="s">
        <v>2271</v>
      </c>
      <c r="C861" s="28" t="e">
        <f t="shared" ca="1" si="12"/>
        <v>#N/A</v>
      </c>
      <c r="F861" s="3">
        <v>520026</v>
      </c>
      <c r="G861" s="3">
        <v>8470901080</v>
      </c>
      <c r="H861" s="34" t="e">
        <f ca="1">[2]!a_eb("CDT,{P1},,2017013,,YA,,,","K=Acc_Code,F={P2},O=B",H$1,$F861)</f>
        <v>#NAME?</v>
      </c>
      <c r="I861" s="34" t="e">
        <f ca="1">[2]!a_eb("CDT,{P1},,2017013,,YA,,,","K=Acc_Code,F={P2},O=B",I$1,$F861)</f>
        <v>#NAME?</v>
      </c>
    </row>
    <row r="862" spans="1:9">
      <c r="A862" s="11">
        <v>2520001500</v>
      </c>
      <c r="B862" s="20" t="s">
        <v>2272</v>
      </c>
      <c r="C862" s="28" t="e">
        <f t="shared" ca="1" si="12"/>
        <v>#N/A</v>
      </c>
      <c r="F862" s="3">
        <v>520027</v>
      </c>
      <c r="G862" s="3">
        <v>8450001060</v>
      </c>
      <c r="H862" s="34" t="e">
        <f ca="1">[2]!a_eb("CDT,{P1},,2017013,,YA,,,","K=Acc_Code,F={P2},O=B",H$1,$F862)</f>
        <v>#NAME?</v>
      </c>
      <c r="I862" s="34" t="e">
        <f ca="1">[2]!a_eb("CDT,{P1},,2017013,,YA,,,","K=Acc_Code,F={P2},O=B",I$1,$F862)</f>
        <v>#NAME?</v>
      </c>
    </row>
    <row r="863" spans="1:9">
      <c r="A863" s="11">
        <v>2520001500</v>
      </c>
      <c r="B863" s="20" t="s">
        <v>2273</v>
      </c>
      <c r="C863" s="28" t="e">
        <f t="shared" ca="1" si="12"/>
        <v>#N/A</v>
      </c>
      <c r="F863" s="3">
        <v>520028</v>
      </c>
      <c r="G863" s="3">
        <v>6970200020</v>
      </c>
      <c r="H863" s="34" t="e">
        <f ca="1">[2]!a_eb("CDT,{P1},,2017013,,YA,,,","K=Acc_Code,F={P2},O=B",H$1,$F863)</f>
        <v>#NAME?</v>
      </c>
      <c r="I863" s="34" t="e">
        <f ca="1">[2]!a_eb("CDT,{P1},,2017013,,YA,,,","K=Acc_Code,F={P2},O=B",I$1,$F863)</f>
        <v>#NAME?</v>
      </c>
    </row>
    <row r="864" spans="1:9">
      <c r="A864" s="11">
        <v>2520001500</v>
      </c>
      <c r="B864" s="20" t="s">
        <v>2274</v>
      </c>
      <c r="C864" s="28" t="e">
        <f t="shared" ca="1" si="12"/>
        <v>#N/A</v>
      </c>
      <c r="F864" s="3">
        <v>520029</v>
      </c>
      <c r="G864" s="3">
        <v>6972000010</v>
      </c>
      <c r="H864" s="34" t="e">
        <f ca="1">[2]!a_eb("CDT,{P1},,2017013,,YA,,,","K=Acc_Code,F={P2},O=B",H$1,$F864)</f>
        <v>#NAME?</v>
      </c>
      <c r="I864" s="34" t="e">
        <f ca="1">[2]!a_eb("CDT,{P1},,2017013,,YA,,,","K=Acc_Code,F={P2},O=B",I$1,$F864)</f>
        <v>#NAME?</v>
      </c>
    </row>
    <row r="865" spans="1:9">
      <c r="A865" s="11">
        <v>2520001500</v>
      </c>
      <c r="B865" s="20" t="s">
        <v>2275</v>
      </c>
      <c r="C865" s="28" t="e">
        <f t="shared" ca="1" si="12"/>
        <v>#N/A</v>
      </c>
      <c r="F865" s="3">
        <v>520030</v>
      </c>
      <c r="G865" s="3">
        <v>6972200010</v>
      </c>
      <c r="H865" s="34" t="e">
        <f ca="1">[2]!a_eb("CDT,{P1},,2017013,,YA,,,","K=Acc_Code,F={P2},O=B",H$1,$F865)</f>
        <v>#NAME?</v>
      </c>
      <c r="I865" s="34" t="e">
        <f ca="1">[2]!a_eb("CDT,{P1},,2017013,,YA,,,","K=Acc_Code,F={P2},O=B",I$1,$F865)</f>
        <v>#NAME?</v>
      </c>
    </row>
    <row r="866" spans="1:9">
      <c r="A866" s="11">
        <v>2520001500</v>
      </c>
      <c r="B866" s="20" t="s">
        <v>2276</v>
      </c>
      <c r="C866" s="28" t="e">
        <f t="shared" ca="1" si="12"/>
        <v>#N/A</v>
      </c>
      <c r="F866" s="3">
        <v>520031</v>
      </c>
      <c r="G866" s="3">
        <v>8701000000</v>
      </c>
      <c r="H866" s="34" t="e">
        <f ca="1">[2]!a_eb("CDT,{P1},,2017013,,YA,,,","K=Acc_Code,F={P2},O=B",H$1,$F866)</f>
        <v>#NAME?</v>
      </c>
      <c r="I866" s="34" t="e">
        <f ca="1">[2]!a_eb("CDT,{P1},,2017013,,YA,,,","K=Acc_Code,F={P2},O=B",I$1,$F866)</f>
        <v>#NAME?</v>
      </c>
    </row>
    <row r="867" spans="1:9">
      <c r="A867" s="11">
        <v>2520001500</v>
      </c>
      <c r="B867" s="20" t="s">
        <v>2277</v>
      </c>
      <c r="C867" s="28" t="e">
        <f t="shared" ca="1" si="12"/>
        <v>#N/A</v>
      </c>
      <c r="F867" s="3">
        <v>520032</v>
      </c>
      <c r="G867" s="3">
        <v>8450040000</v>
      </c>
      <c r="H867" s="34" t="e">
        <f ca="1">[2]!a_eb("CDT,{P1},,2017013,,YA,,,","K=Acc_Code,F={P2},O=B",H$1,$F867)</f>
        <v>#NAME?</v>
      </c>
      <c r="I867" s="34" t="e">
        <f ca="1">[2]!a_eb("CDT,{P1},,2017013,,YA,,,","K=Acc_Code,F={P2},O=B",I$1,$F867)</f>
        <v>#NAME?</v>
      </c>
    </row>
    <row r="868" spans="1:9">
      <c r="A868" s="11">
        <v>2520001500</v>
      </c>
      <c r="B868" s="20" t="s">
        <v>2278</v>
      </c>
      <c r="C868" s="28" t="e">
        <f t="shared" ca="1" si="12"/>
        <v>#N/A</v>
      </c>
      <c r="F868" s="3">
        <v>520033</v>
      </c>
      <c r="G868" s="3">
        <v>6010000070</v>
      </c>
      <c r="H868" s="34" t="e">
        <f ca="1">[2]!a_eb("CDT,{P1},,2017013,,YA,,,","K=Acc_Code,F={P2},O=B",H$1,$F868)</f>
        <v>#NAME?</v>
      </c>
      <c r="I868" s="34" t="e">
        <f ca="1">[2]!a_eb("CDT,{P1},,2017013,,YA,,,","K=Acc_Code,F={P2},O=B",I$1,$F868)</f>
        <v>#NAME?</v>
      </c>
    </row>
    <row r="869" spans="1:9">
      <c r="A869" s="11">
        <v>2520001500</v>
      </c>
      <c r="B869" s="20" t="s">
        <v>2279</v>
      </c>
      <c r="C869" s="28" t="e">
        <f t="shared" ca="1" si="12"/>
        <v>#N/A</v>
      </c>
      <c r="F869" s="3">
        <v>520034</v>
      </c>
      <c r="G869" s="3">
        <v>8450501015</v>
      </c>
      <c r="H869" s="34" t="e">
        <f ca="1">[2]!a_eb("CDT,{P1},,2017013,,YA,,,","K=Acc_Code,F={P2},O=B",H$1,$F869)</f>
        <v>#NAME?</v>
      </c>
      <c r="I869" s="34" t="e">
        <f ca="1">[2]!a_eb("CDT,{P1},,2017013,,YA,,,","K=Acc_Code,F={P2},O=B",I$1,$F869)</f>
        <v>#NAME?</v>
      </c>
    </row>
    <row r="870" spans="1:9">
      <c r="A870" s="11">
        <v>2520001500</v>
      </c>
      <c r="B870" s="20" t="s">
        <v>2280</v>
      </c>
      <c r="C870" s="28" t="e">
        <f t="shared" ca="1" si="12"/>
        <v>#N/A</v>
      </c>
      <c r="F870" s="3">
        <v>520037</v>
      </c>
      <c r="G870" s="3">
        <v>8460101052</v>
      </c>
      <c r="H870" s="34" t="e">
        <f ca="1">[2]!a_eb("CDT,{P1},,2017013,,YA,,,","K=Acc_Code,F={P2},O=B",H$1,$F870)</f>
        <v>#NAME?</v>
      </c>
      <c r="I870" s="34" t="e">
        <f ca="1">[2]!a_eb("CDT,{P1},,2017013,,YA,,,","K=Acc_Code,F={P2},O=B",I$1,$F870)</f>
        <v>#NAME?</v>
      </c>
    </row>
    <row r="871" spans="1:9">
      <c r="A871" s="11">
        <v>2520001500</v>
      </c>
      <c r="B871" s="20" t="s">
        <v>2281</v>
      </c>
      <c r="C871" s="28" t="e">
        <f t="shared" ca="1" si="12"/>
        <v>#N/A</v>
      </c>
      <c r="F871" s="3">
        <v>52003801</v>
      </c>
      <c r="G871" s="3">
        <v>6970000200</v>
      </c>
      <c r="H871" s="34" t="e">
        <f ca="1">[2]!a_eb("CDT,{P1},,2017013,,YA,,,","K=Acc_Code,F={P2},O=B",H$1,$F871)</f>
        <v>#NAME?</v>
      </c>
      <c r="I871" s="34" t="e">
        <f ca="1">[2]!a_eb("CDT,{P1},,2017013,,YA,,,","K=Acc_Code,F={P2},O=B",I$1,$F871)</f>
        <v>#NAME?</v>
      </c>
    </row>
    <row r="872" spans="1:9">
      <c r="A872" s="11">
        <v>2520001500</v>
      </c>
      <c r="B872" s="20" t="s">
        <v>2282</v>
      </c>
      <c r="C872" s="28" t="e">
        <f t="shared" ca="1" si="12"/>
        <v>#N/A</v>
      </c>
      <c r="F872" s="3">
        <v>52003802</v>
      </c>
      <c r="G872" s="3">
        <v>6970100200</v>
      </c>
      <c r="H872" s="34" t="e">
        <f ca="1">[2]!a_eb("CDT,{P1},,2017013,,YA,,,","K=Acc_Code,F={P2},O=B",H$1,$F872)</f>
        <v>#NAME?</v>
      </c>
      <c r="I872" s="34" t="e">
        <f ca="1">[2]!a_eb("CDT,{P1},,2017013,,YA,,,","K=Acc_Code,F={P2},O=B",I$1,$F872)</f>
        <v>#NAME?</v>
      </c>
    </row>
    <row r="873" spans="1:9">
      <c r="A873" s="11">
        <v>2520001500</v>
      </c>
      <c r="B873" s="20" t="s">
        <v>2283</v>
      </c>
      <c r="C873" s="28" t="e">
        <f t="shared" ca="1" si="12"/>
        <v>#N/A</v>
      </c>
      <c r="F873" s="3">
        <v>52003803</v>
      </c>
      <c r="G873" s="3">
        <v>6970200200</v>
      </c>
      <c r="H873" s="34" t="e">
        <f ca="1">[2]!a_eb("CDT,{P1},,2017013,,YA,,,","K=Acc_Code,F={P2},O=B",H$1,$F873)</f>
        <v>#NAME?</v>
      </c>
      <c r="I873" s="34" t="e">
        <f ca="1">[2]!a_eb("CDT,{P1},,2017013,,YA,,,","K=Acc_Code,F={P2},O=B",I$1,$F873)</f>
        <v>#NAME?</v>
      </c>
    </row>
    <row r="874" spans="1:9">
      <c r="A874" s="11">
        <v>2520001500</v>
      </c>
      <c r="B874" s="20" t="s">
        <v>2284</v>
      </c>
      <c r="C874" s="28" t="e">
        <f t="shared" ref="C874:C937" ca="1" si="13">VLOOKUP(B874,F:G,2,0)</f>
        <v>#N/A</v>
      </c>
      <c r="F874" s="3">
        <v>520039</v>
      </c>
      <c r="G874" s="3">
        <v>6970200080</v>
      </c>
      <c r="H874" s="34" t="e">
        <f ca="1">[2]!a_eb("CDT,{P1},,2017013,,YA,,,","K=Acc_Code,F={P2},O=B",H$1,$F874)</f>
        <v>#NAME?</v>
      </c>
      <c r="I874" s="34" t="e">
        <f ca="1">[2]!a_eb("CDT,{P1},,2017013,,YA,,,","K=Acc_Code,F={P2},O=B",I$1,$F874)</f>
        <v>#NAME?</v>
      </c>
    </row>
    <row r="875" spans="1:9">
      <c r="A875" s="11">
        <v>2520001500</v>
      </c>
      <c r="B875" s="20" t="s">
        <v>2285</v>
      </c>
      <c r="C875" s="28" t="e">
        <f t="shared" ca="1" si="13"/>
        <v>#N/A</v>
      </c>
      <c r="F875" s="3">
        <v>520040</v>
      </c>
      <c r="G875" s="3">
        <v>8460101053</v>
      </c>
      <c r="H875" s="34" t="e">
        <f ca="1">[2]!a_eb("CDT,{P1},,2017013,,YA,,,","K=Acc_Code,F={P2},O=B",H$1,$F875)</f>
        <v>#NAME?</v>
      </c>
      <c r="I875" s="34" t="e">
        <f ca="1">[2]!a_eb("CDT,{P1},,2017013,,YA,,,","K=Acc_Code,F={P2},O=B",I$1,$F875)</f>
        <v>#NAME?</v>
      </c>
    </row>
    <row r="876" spans="1:9">
      <c r="A876" s="11">
        <v>2520001500</v>
      </c>
      <c r="B876" s="20" t="s">
        <v>2286</v>
      </c>
      <c r="C876" s="28" t="e">
        <f t="shared" ca="1" si="13"/>
        <v>#N/A</v>
      </c>
      <c r="F876" s="3">
        <v>52004101</v>
      </c>
      <c r="G876" s="3">
        <v>6970000600</v>
      </c>
      <c r="H876" s="34" t="e">
        <f ca="1">[2]!a_eb("CDT,{P1},,2017013,,YA,,,","K=Acc_Code,F={P2},O=B",H$1,$F876)</f>
        <v>#NAME?</v>
      </c>
      <c r="I876" s="34" t="e">
        <f ca="1">[2]!a_eb("CDT,{P1},,2017013,,YA,,,","K=Acc_Code,F={P2},O=B",I$1,$F876)</f>
        <v>#NAME?</v>
      </c>
    </row>
    <row r="877" spans="1:9">
      <c r="A877" s="11">
        <v>2520001500</v>
      </c>
      <c r="B877" s="20" t="s">
        <v>2287</v>
      </c>
      <c r="C877" s="28" t="e">
        <f t="shared" ca="1" si="13"/>
        <v>#N/A</v>
      </c>
      <c r="F877" s="3">
        <v>52004102</v>
      </c>
      <c r="G877" s="3">
        <v>6970100600</v>
      </c>
      <c r="H877" s="34" t="e">
        <f ca="1">[2]!a_eb("CDT,{P1},,2017013,,YA,,,","K=Acc_Code,F={P2},O=B",H$1,$F877)</f>
        <v>#NAME?</v>
      </c>
      <c r="I877" s="34" t="e">
        <f ca="1">[2]!a_eb("CDT,{P1},,2017013,,YA,,,","K=Acc_Code,F={P2},O=B",I$1,$F877)</f>
        <v>#NAME?</v>
      </c>
    </row>
    <row r="878" spans="1:9">
      <c r="A878" s="11">
        <v>2520001500</v>
      </c>
      <c r="B878" s="20" t="s">
        <v>2288</v>
      </c>
      <c r="C878" s="28" t="e">
        <f t="shared" ca="1" si="13"/>
        <v>#N/A</v>
      </c>
      <c r="F878" s="3">
        <v>52004103</v>
      </c>
      <c r="G878" s="3">
        <v>6970200600</v>
      </c>
      <c r="H878" s="34" t="e">
        <f ca="1">[2]!a_eb("CDT,{P1},,2017013,,YA,,,","K=Acc_Code,F={P2},O=B",H$1,$F878)</f>
        <v>#NAME?</v>
      </c>
      <c r="I878" s="34" t="e">
        <f ca="1">[2]!a_eb("CDT,{P1},,2017013,,YA,,,","K=Acc_Code,F={P2},O=B",I$1,$F878)</f>
        <v>#NAME?</v>
      </c>
    </row>
    <row r="879" spans="1:9">
      <c r="A879" s="11">
        <v>2520001500</v>
      </c>
      <c r="B879" s="20" t="s">
        <v>2289</v>
      </c>
      <c r="C879" s="28" t="e">
        <f t="shared" ca="1" si="13"/>
        <v>#N/A</v>
      </c>
      <c r="F879" s="3">
        <v>520043</v>
      </c>
      <c r="G879" s="3">
        <v>8450501016</v>
      </c>
      <c r="H879" s="34" t="e">
        <f ca="1">[2]!a_eb("CDT,{P1},,2017013,,YA,,,","K=Acc_Code,F={P2},O=B",H$1,$F879)</f>
        <v>#NAME?</v>
      </c>
      <c r="I879" s="34" t="e">
        <f ca="1">[2]!a_eb("CDT,{P1},,2017013,,YA,,,","K=Acc_Code,F={P2},O=B",I$1,$F879)</f>
        <v>#NAME?</v>
      </c>
    </row>
    <row r="880" spans="1:9">
      <c r="A880" s="11">
        <v>2520001500</v>
      </c>
      <c r="B880" s="20" t="s">
        <v>2290</v>
      </c>
      <c r="C880" s="28" t="e">
        <f t="shared" ca="1" si="13"/>
        <v>#N/A</v>
      </c>
      <c r="F880" s="3">
        <v>520044</v>
      </c>
      <c r="G880" s="3">
        <v>6901030000</v>
      </c>
      <c r="H880" s="34" t="e">
        <f ca="1">[2]!a_eb("CDT,{P1},,2017013,,YA,,,","K=Acc_Code,F={P2},O=B",H$1,$F880)</f>
        <v>#NAME?</v>
      </c>
      <c r="I880" s="34" t="e">
        <f ca="1">[2]!a_eb("CDT,{P1},,2017013,,YA,,,","K=Acc_Code,F={P2},O=B",I$1,$F880)</f>
        <v>#NAME?</v>
      </c>
    </row>
    <row r="881" spans="1:9">
      <c r="A881" s="11">
        <v>2520001500</v>
      </c>
      <c r="B881" s="20" t="s">
        <v>2291</v>
      </c>
      <c r="C881" s="28" t="e">
        <f t="shared" ca="1" si="13"/>
        <v>#N/A</v>
      </c>
      <c r="F881" s="3">
        <v>520045</v>
      </c>
      <c r="G881" s="3">
        <v>8450501017</v>
      </c>
      <c r="H881" s="34" t="e">
        <f ca="1">[2]!a_eb("CDT,{P1},,2017013,,YA,,,","K=Acc_Code,F={P2},O=B",H$1,$F881)</f>
        <v>#NAME?</v>
      </c>
      <c r="I881" s="34" t="e">
        <f ca="1">[2]!a_eb("CDT,{P1},,2017013,,YA,,,","K=Acc_Code,F={P2},O=B",I$1,$F881)</f>
        <v>#NAME?</v>
      </c>
    </row>
    <row r="882" spans="1:9">
      <c r="A882" s="11">
        <v>2520001500</v>
      </c>
      <c r="B882" s="20" t="s">
        <v>2292</v>
      </c>
      <c r="C882" s="28" t="e">
        <f t="shared" ca="1" si="13"/>
        <v>#N/A</v>
      </c>
      <c r="F882" s="3">
        <v>522501</v>
      </c>
      <c r="G882" s="3">
        <v>6602100000</v>
      </c>
      <c r="H882" s="34" t="e">
        <f ca="1">[2]!a_eb("CDT,{P1},,2017013,,YA,,,","K=Acc_Code,F={P2},O=B",H$1,$F882)</f>
        <v>#NAME?</v>
      </c>
      <c r="I882" s="34" t="e">
        <f ca="1">[2]!a_eb("CDT,{P1},,2017013,,YA,,,","K=Acc_Code,F={P2},O=B",I$1,$F882)</f>
        <v>#NAME?</v>
      </c>
    </row>
    <row r="883" spans="1:9">
      <c r="A883" s="11">
        <v>2520001500</v>
      </c>
      <c r="B883" s="20" t="s">
        <v>2293</v>
      </c>
      <c r="C883" s="28" t="e">
        <f t="shared" ca="1" si="13"/>
        <v>#N/A</v>
      </c>
      <c r="F883" s="3">
        <v>522601</v>
      </c>
      <c r="G883" s="3">
        <v>5022010000</v>
      </c>
      <c r="H883" s="34" t="e">
        <f ca="1">[2]!a_eb("CDT,{P1},,2017013,,YA,,,","K=Acc_Code,F={P2},O=B",H$1,$F883)</f>
        <v>#NAME?</v>
      </c>
      <c r="I883" s="34" t="e">
        <f ca="1">[2]!a_eb("CDT,{P1},,2017013,,YA,,,","K=Acc_Code,F={P2},O=B",I$1,$F883)</f>
        <v>#NAME?</v>
      </c>
    </row>
    <row r="884" spans="1:9">
      <c r="A884" s="11">
        <v>2520001500</v>
      </c>
      <c r="B884" s="20" t="s">
        <v>2294</v>
      </c>
      <c r="C884" s="28" t="e">
        <f t="shared" ca="1" si="13"/>
        <v>#N/A</v>
      </c>
      <c r="F884" s="3">
        <v>522601</v>
      </c>
      <c r="G884" s="3">
        <v>5022110000</v>
      </c>
      <c r="H884" s="34" t="e">
        <f ca="1">[2]!a_eb("CDT,{P1},,2017013,,YA,,,","K=Acc_Code,F={P2},O=B",H$1,$F884)</f>
        <v>#NAME?</v>
      </c>
      <c r="I884" s="34" t="e">
        <f ca="1">[2]!a_eb("CDT,{P1},,2017013,,YA,,,","K=Acc_Code,F={P2},O=B",I$1,$F884)</f>
        <v>#NAME?</v>
      </c>
    </row>
    <row r="885" spans="1:9">
      <c r="A885" s="11">
        <v>2520001500</v>
      </c>
      <c r="B885" s="20" t="s">
        <v>2295</v>
      </c>
      <c r="C885" s="28" t="e">
        <f t="shared" ca="1" si="13"/>
        <v>#N/A</v>
      </c>
      <c r="F885" s="3">
        <v>522601</v>
      </c>
      <c r="G885" s="3">
        <v>5022210000</v>
      </c>
      <c r="H885" s="34" t="e">
        <f ca="1">[2]!a_eb("CDT,{P1},,2017013,,YA,,,","K=Acc_Code,F={P2},O=B",H$1,$F885)</f>
        <v>#NAME?</v>
      </c>
      <c r="I885" s="34" t="e">
        <f ca="1">[2]!a_eb("CDT,{P1},,2017013,,YA,,,","K=Acc_Code,F={P2},O=B",I$1,$F885)</f>
        <v>#NAME?</v>
      </c>
    </row>
    <row r="886" spans="1:9">
      <c r="A886" s="11">
        <v>2520001500</v>
      </c>
      <c r="B886" s="20" t="s">
        <v>2296</v>
      </c>
      <c r="C886" s="28" t="e">
        <f t="shared" ca="1" si="13"/>
        <v>#N/A</v>
      </c>
      <c r="F886" s="3">
        <v>522701</v>
      </c>
      <c r="G886" s="3">
        <v>8470501020</v>
      </c>
      <c r="H886" s="34" t="e">
        <f ca="1">[2]!a_eb("CDT,{P1},,2017013,,YA,,,","K=Acc_Code,F={P2},O=B",H$1,$F886)</f>
        <v>#NAME?</v>
      </c>
      <c r="I886" s="34" t="e">
        <f ca="1">[2]!a_eb("CDT,{P1},,2017013,,YA,,,","K=Acc_Code,F={P2},O=B",I$1,$F886)</f>
        <v>#NAME?</v>
      </c>
    </row>
    <row r="887" spans="1:9">
      <c r="A887" s="11">
        <v>2520001500</v>
      </c>
      <c r="B887" s="20" t="s">
        <v>2297</v>
      </c>
      <c r="C887" s="28" t="e">
        <f t="shared" ca="1" si="13"/>
        <v>#N/A</v>
      </c>
      <c r="F887" s="3">
        <v>530101</v>
      </c>
      <c r="G887" s="3">
        <v>7043900000</v>
      </c>
      <c r="H887" s="34" t="e">
        <f ca="1">[2]!a_eb("CDT,{P1},,2017013,,YA,,,","K=Acc_Code,F={P2},O=B",H$1,$F887)</f>
        <v>#NAME?</v>
      </c>
      <c r="I887" s="34" t="e">
        <f ca="1">[2]!a_eb("CDT,{P1},,2017013,,YA,,,","K=Acc_Code,F={P2},O=B",I$1,$F887)</f>
        <v>#NAME?</v>
      </c>
    </row>
    <row r="888" spans="1:9">
      <c r="A888" s="11">
        <v>2520001500</v>
      </c>
      <c r="B888" s="20" t="s">
        <v>2298</v>
      </c>
      <c r="C888" s="28" t="e">
        <f t="shared" ca="1" si="13"/>
        <v>#N/A</v>
      </c>
      <c r="F888" s="3">
        <v>530101</v>
      </c>
      <c r="G888" s="3">
        <v>7043910000</v>
      </c>
      <c r="H888" s="34" t="e">
        <f ca="1">[2]!a_eb("CDT,{P1},,2017013,,YA,,,","K=Acc_Code,F={P2},O=B",H$1,$F888)</f>
        <v>#NAME?</v>
      </c>
      <c r="I888" s="34" t="e">
        <f ca="1">[2]!a_eb("CDT,{P1},,2017013,,YA,,,","K=Acc_Code,F={P2},O=B",I$1,$F888)</f>
        <v>#NAME?</v>
      </c>
    </row>
    <row r="889" spans="1:9">
      <c r="A889" s="11" t="s">
        <v>1497</v>
      </c>
      <c r="B889" s="20" t="s">
        <v>2299</v>
      </c>
      <c r="C889" s="28" t="e">
        <f t="shared" ca="1" si="13"/>
        <v>#N/A</v>
      </c>
      <c r="F889" s="3">
        <v>530101</v>
      </c>
      <c r="G889" s="3">
        <v>7043901500</v>
      </c>
      <c r="H889" s="34" t="e">
        <f ca="1">[2]!a_eb("CDT,{P1},,2017013,,YA,,,","K=Acc_Code,F={P2},O=B",H$1,$F889)</f>
        <v>#NAME?</v>
      </c>
      <c r="I889" s="34" t="e">
        <f ca="1">[2]!a_eb("CDT,{P1},,2017013,,YA,,,","K=Acc_Code,F={P2},O=B",I$1,$F889)</f>
        <v>#NAME?</v>
      </c>
    </row>
    <row r="890" spans="1:9">
      <c r="A890" s="11">
        <v>2520001501</v>
      </c>
      <c r="B890" s="20" t="s">
        <v>2300</v>
      </c>
      <c r="C890" s="28" t="e">
        <f t="shared" ca="1" si="13"/>
        <v>#N/A</v>
      </c>
      <c r="F890" s="3">
        <v>530104</v>
      </c>
      <c r="G890" s="3">
        <v>7902001050</v>
      </c>
      <c r="H890" s="34" t="e">
        <f ca="1">[2]!a_eb("CDT,{P1},,2017013,,YA,,,","K=Acc_Code,F={P2},O=B",H$1,$F890)</f>
        <v>#NAME?</v>
      </c>
      <c r="I890" s="34" t="e">
        <f ca="1">[2]!a_eb("CDT,{P1},,2017013,,YA,,,","K=Acc_Code,F={P2},O=B",I$1,$F890)</f>
        <v>#NAME?</v>
      </c>
    </row>
    <row r="891" spans="1:9">
      <c r="A891" s="11">
        <v>2520001501</v>
      </c>
      <c r="B891" s="20" t="s">
        <v>2301</v>
      </c>
      <c r="C891" s="28" t="e">
        <f t="shared" ca="1" si="13"/>
        <v>#N/A</v>
      </c>
      <c r="F891" s="3">
        <v>530105</v>
      </c>
      <c r="G891" s="3">
        <v>7043920000</v>
      </c>
      <c r="H891" s="34" t="e">
        <f ca="1">[2]!a_eb("CDT,{P1},,2017013,,YA,,,","K=Acc_Code,F={P2},O=B",H$1,$F891)</f>
        <v>#NAME?</v>
      </c>
      <c r="I891" s="34" t="e">
        <f ca="1">[2]!a_eb("CDT,{P1},,2017013,,YA,,,","K=Acc_Code,F={P2},O=B",I$1,$F891)</f>
        <v>#NAME?</v>
      </c>
    </row>
    <row r="892" spans="1:9">
      <c r="A892" s="11">
        <v>2520001501</v>
      </c>
      <c r="B892" s="20" t="s">
        <v>2302</v>
      </c>
      <c r="C892" s="28" t="e">
        <f t="shared" ca="1" si="13"/>
        <v>#N/A</v>
      </c>
      <c r="F892" s="3">
        <v>530105</v>
      </c>
      <c r="G892" s="3">
        <v>7043930000</v>
      </c>
      <c r="H892" s="34" t="e">
        <f ca="1">[2]!a_eb("CDT,{P1},,2017013,,YA,,,","K=Acc_Code,F={P2},O=B",H$1,$F892)</f>
        <v>#NAME?</v>
      </c>
      <c r="I892" s="34" t="e">
        <f ca="1">[2]!a_eb("CDT,{P1},,2017013,,YA,,,","K=Acc_Code,F={P2},O=B",I$1,$F892)</f>
        <v>#NAME?</v>
      </c>
    </row>
    <row r="893" spans="1:9">
      <c r="A893" s="11">
        <v>2520001501</v>
      </c>
      <c r="B893" s="20" t="s">
        <v>2303</v>
      </c>
      <c r="C893" s="28" t="e">
        <f t="shared" ca="1" si="13"/>
        <v>#N/A</v>
      </c>
      <c r="F893" s="3">
        <v>530401</v>
      </c>
      <c r="G893" s="3">
        <v>6600100071</v>
      </c>
      <c r="H893" s="34" t="e">
        <f ca="1">[2]!a_eb("CDT,{P1},,2017013,,YA,,,","K=Acc_Code,F={P2},O=B",H$1,$F893)</f>
        <v>#NAME?</v>
      </c>
      <c r="I893" s="34" t="e">
        <f ca="1">[2]!a_eb("CDT,{P1},,2017013,,YA,,,","K=Acc_Code,F={P2},O=B",I$1,$F893)</f>
        <v>#NAME?</v>
      </c>
    </row>
    <row r="894" spans="1:9">
      <c r="A894" s="11">
        <v>2520001501</v>
      </c>
      <c r="B894" s="20" t="s">
        <v>2304</v>
      </c>
      <c r="C894" s="28" t="e">
        <f t="shared" ca="1" si="13"/>
        <v>#N/A</v>
      </c>
      <c r="F894" s="3">
        <v>530402</v>
      </c>
      <c r="G894" s="3">
        <v>8700001030</v>
      </c>
      <c r="H894" s="34" t="e">
        <f ca="1">[2]!a_eb("CDT,{P1},,2017013,,YA,,,","K=Acc_Code,F={P2},O=B",H$1,$F894)</f>
        <v>#NAME?</v>
      </c>
      <c r="I894" s="34" t="e">
        <f ca="1">[2]!a_eb("CDT,{P1},,2017013,,YA,,,","K=Acc_Code,F={P2},O=B",I$1,$F894)</f>
        <v>#NAME?</v>
      </c>
    </row>
    <row r="895" spans="1:9">
      <c r="A895" s="11">
        <v>2520001501</v>
      </c>
      <c r="B895" s="20" t="s">
        <v>2305</v>
      </c>
      <c r="C895" s="28" t="e">
        <f t="shared" ca="1" si="13"/>
        <v>#N/A</v>
      </c>
      <c r="F895" s="3">
        <v>530403</v>
      </c>
      <c r="G895" s="3">
        <v>6600100060</v>
      </c>
      <c r="H895" s="34" t="e">
        <f ca="1">[2]!a_eb("CDT,{P1},,2017013,,YA,,,","K=Acc_Code,F={P2},O=B",H$1,$F895)</f>
        <v>#NAME?</v>
      </c>
      <c r="I895" s="34" t="e">
        <f ca="1">[2]!a_eb("CDT,{P1},,2017013,,YA,,,","K=Acc_Code,F={P2},O=B",I$1,$F895)</f>
        <v>#NAME?</v>
      </c>
    </row>
    <row r="896" spans="1:9">
      <c r="A896" s="11">
        <v>2520001501</v>
      </c>
      <c r="B896" s="20" t="s">
        <v>2306</v>
      </c>
      <c r="C896" s="28" t="e">
        <f t="shared" ca="1" si="13"/>
        <v>#N/A</v>
      </c>
      <c r="F896" s="3">
        <v>530404</v>
      </c>
      <c r="G896" s="3">
        <v>7902001060</v>
      </c>
      <c r="H896" s="34" t="e">
        <f ca="1">[2]!a_eb("CDT,{P1},,2017013,,YA,,,","K=Acc_Code,F={P2},O=B",H$1,$F896)</f>
        <v>#NAME?</v>
      </c>
      <c r="I896" s="34" t="e">
        <f ca="1">[2]!a_eb("CDT,{P1},,2017013,,YA,,,","K=Acc_Code,F={P2},O=B",I$1,$F896)</f>
        <v>#NAME?</v>
      </c>
    </row>
    <row r="897" spans="1:9">
      <c r="A897" s="11">
        <v>2520001501</v>
      </c>
      <c r="B897" s="20" t="s">
        <v>2307</v>
      </c>
      <c r="C897" s="28" t="e">
        <f t="shared" ca="1" si="13"/>
        <v>#N/A</v>
      </c>
      <c r="F897" s="3">
        <v>530405</v>
      </c>
      <c r="G897" s="3">
        <v>7902001061</v>
      </c>
      <c r="H897" s="34" t="e">
        <f ca="1">[2]!a_eb("CDT,{P1},,2017013,,YA,,,","K=Acc_Code,F={P2},O=B",H$1,$F897)</f>
        <v>#NAME?</v>
      </c>
      <c r="I897" s="34" t="e">
        <f ca="1">[2]!a_eb("CDT,{P1},,2017013,,YA,,,","K=Acc_Code,F={P2},O=B",I$1,$F897)</f>
        <v>#NAME?</v>
      </c>
    </row>
    <row r="898" spans="1:9">
      <c r="A898" s="11">
        <v>2520001501</v>
      </c>
      <c r="B898" s="20" t="s">
        <v>2308</v>
      </c>
      <c r="C898" s="28" t="e">
        <f t="shared" ca="1" si="13"/>
        <v>#N/A</v>
      </c>
      <c r="F898" s="3">
        <v>53050101</v>
      </c>
      <c r="G898" s="3">
        <v>5000000001</v>
      </c>
      <c r="H898" s="34" t="e">
        <f ca="1">[2]!a_eb("CDT,{P1},,2017013,,YA,,,","K=Acc_Code,F={P2},O=B",H$1,$F898)</f>
        <v>#NAME?</v>
      </c>
      <c r="I898" s="34" t="e">
        <f ca="1">[2]!a_eb("CDT,{P1},,2017013,,YA,,,","K=Acc_Code,F={P2},O=B",I$1,$F898)</f>
        <v>#NAME?</v>
      </c>
    </row>
    <row r="899" spans="1:9">
      <c r="A899" s="11">
        <v>2520001501</v>
      </c>
      <c r="B899" s="20" t="s">
        <v>2309</v>
      </c>
      <c r="C899" s="28" t="e">
        <f t="shared" ca="1" si="13"/>
        <v>#N/A</v>
      </c>
      <c r="F899" s="3">
        <v>53050102</v>
      </c>
      <c r="G899" s="3">
        <v>5000100001</v>
      </c>
      <c r="H899" s="34" t="e">
        <f ca="1">[2]!a_eb("CDT,{P1},,2017013,,YA,,,","K=Acc_Code,F={P2},O=B",H$1,$F899)</f>
        <v>#NAME?</v>
      </c>
      <c r="I899" s="34" t="e">
        <f ca="1">[2]!a_eb("CDT,{P1},,2017013,,YA,,,","K=Acc_Code,F={P2},O=B",I$1,$F899)</f>
        <v>#NAME?</v>
      </c>
    </row>
    <row r="900" spans="1:9">
      <c r="A900" s="11">
        <v>2520001500</v>
      </c>
      <c r="B900" s="20" t="s">
        <v>2310</v>
      </c>
      <c r="C900" s="28" t="e">
        <f t="shared" ca="1" si="13"/>
        <v>#N/A</v>
      </c>
      <c r="F900" s="3">
        <v>53050103</v>
      </c>
      <c r="G900" s="3">
        <v>5000200003</v>
      </c>
      <c r="H900" s="34" t="e">
        <f ca="1">[2]!a_eb("CDT,{P1},,2017013,,YA,,,","K=Acc_Code,F={P2},O=B",H$1,$F900)</f>
        <v>#NAME?</v>
      </c>
      <c r="I900" s="34" t="e">
        <f ca="1">[2]!a_eb("CDT,{P1},,2017013,,YA,,,","K=Acc_Code,F={P2},O=B",I$1,$F900)</f>
        <v>#NAME?</v>
      </c>
    </row>
    <row r="901" spans="1:9">
      <c r="A901" s="11">
        <v>2520001500</v>
      </c>
      <c r="B901" s="20" t="s">
        <v>2311</v>
      </c>
      <c r="C901" s="28" t="e">
        <f t="shared" ca="1" si="13"/>
        <v>#N/A</v>
      </c>
      <c r="F901" s="3">
        <v>53050104</v>
      </c>
      <c r="G901" s="3">
        <v>5000200010</v>
      </c>
      <c r="H901" s="34" t="e">
        <f ca="1">[2]!a_eb("CDT,{P1},,2017013,,YA,,,","K=Acc_Code,F={P2},O=B",H$1,$F901)</f>
        <v>#NAME?</v>
      </c>
      <c r="I901" s="34" t="e">
        <f ca="1">[2]!a_eb("CDT,{P1},,2017013,,YA,,,","K=Acc_Code,F={P2},O=B",I$1,$F901)</f>
        <v>#NAME?</v>
      </c>
    </row>
    <row r="902" spans="1:9">
      <c r="A902" s="11">
        <v>2520001500</v>
      </c>
      <c r="B902" s="20" t="s">
        <v>2312</v>
      </c>
      <c r="C902" s="28" t="e">
        <f t="shared" ca="1" si="13"/>
        <v>#N/A</v>
      </c>
      <c r="F902" s="3">
        <v>53050106</v>
      </c>
      <c r="G902" s="3">
        <v>5920000070</v>
      </c>
      <c r="H902" s="34" t="e">
        <f ca="1">[2]!a_eb("CDT,{P1},,2017013,,YA,,,","K=Acc_Code,F={P2},O=B",H$1,$F902)</f>
        <v>#NAME?</v>
      </c>
      <c r="I902" s="34" t="e">
        <f ca="1">[2]!a_eb("CDT,{P1},,2017013,,YA,,,","K=Acc_Code,F={P2},O=B",I$1,$F902)</f>
        <v>#NAME?</v>
      </c>
    </row>
    <row r="903" spans="1:9">
      <c r="A903" s="11">
        <v>2520001500</v>
      </c>
      <c r="B903" s="20" t="s">
        <v>2313</v>
      </c>
      <c r="C903" s="28" t="e">
        <f t="shared" ca="1" si="13"/>
        <v>#N/A</v>
      </c>
      <c r="F903" s="3">
        <v>5305020101</v>
      </c>
      <c r="G903" s="3">
        <v>6600000030</v>
      </c>
      <c r="H903" s="34" t="e">
        <f ca="1">[2]!a_eb("CDT,{P1},,2017013,,YA,,,","K=Acc_Code,F={P2},O=B",H$1,$F903)</f>
        <v>#NAME?</v>
      </c>
      <c r="I903" s="34" t="e">
        <f ca="1">[2]!a_eb("CDT,{P1},,2017013,,YA,,,","K=Acc_Code,F={P2},O=B",I$1,$F903)</f>
        <v>#NAME?</v>
      </c>
    </row>
    <row r="904" spans="1:9">
      <c r="A904" s="11">
        <v>2520001500</v>
      </c>
      <c r="B904" s="20" t="s">
        <v>2314</v>
      </c>
      <c r="C904" s="28" t="e">
        <f t="shared" ca="1" si="13"/>
        <v>#N/A</v>
      </c>
      <c r="F904" s="3">
        <v>5305020102</v>
      </c>
      <c r="G904" s="3">
        <v>6600100040</v>
      </c>
      <c r="H904" s="34" t="e">
        <f ca="1">[2]!a_eb("CDT,{P1},,2017013,,YA,,,","K=Acc_Code,F={P2},O=B",H$1,$F904)</f>
        <v>#NAME?</v>
      </c>
      <c r="I904" s="34" t="e">
        <f ca="1">[2]!a_eb("CDT,{P1},,2017013,,YA,,,","K=Acc_Code,F={P2},O=B",I$1,$F904)</f>
        <v>#NAME?</v>
      </c>
    </row>
    <row r="905" spans="1:9">
      <c r="A905" s="11">
        <v>2520001500</v>
      </c>
      <c r="B905" s="20" t="s">
        <v>2315</v>
      </c>
      <c r="C905" s="28" t="e">
        <f t="shared" ca="1" si="13"/>
        <v>#N/A</v>
      </c>
      <c r="F905" s="3">
        <v>5305020103</v>
      </c>
      <c r="G905" s="3">
        <v>6600200030</v>
      </c>
      <c r="H905" s="34" t="e">
        <f ca="1">[2]!a_eb("CDT,{P1},,2017013,,YA,,,","K=Acc_Code,F={P2},O=B",H$1,$F905)</f>
        <v>#NAME?</v>
      </c>
      <c r="I905" s="34" t="e">
        <f ca="1">[2]!a_eb("CDT,{P1},,2017013,,YA,,,","K=Acc_Code,F={P2},O=B",I$1,$F905)</f>
        <v>#NAME?</v>
      </c>
    </row>
    <row r="906" spans="1:9">
      <c r="A906" s="11">
        <v>2520001500</v>
      </c>
      <c r="B906" s="20" t="s">
        <v>2316</v>
      </c>
      <c r="C906" s="28" t="e">
        <f t="shared" ca="1" si="13"/>
        <v>#N/A</v>
      </c>
      <c r="F906" s="3">
        <v>5305020105</v>
      </c>
      <c r="G906" s="3">
        <v>6600100050</v>
      </c>
      <c r="H906" s="34" t="e">
        <f ca="1">[2]!a_eb("CDT,{P1},,2017013,,YA,,,","K=Acc_Code,F={P2},O=B",H$1,$F906)</f>
        <v>#NAME?</v>
      </c>
      <c r="I906" s="34" t="e">
        <f ca="1">[2]!a_eb("CDT,{P1},,2017013,,YA,,,","K=Acc_Code,F={P2},O=B",I$1,$F906)</f>
        <v>#NAME?</v>
      </c>
    </row>
    <row r="907" spans="1:9">
      <c r="A907" s="11">
        <v>2520001500</v>
      </c>
      <c r="B907" s="20" t="s">
        <v>2317</v>
      </c>
      <c r="C907" s="28" t="e">
        <f t="shared" ca="1" si="13"/>
        <v>#N/A</v>
      </c>
      <c r="F907" s="3">
        <v>5305020202</v>
      </c>
      <c r="G907" s="3">
        <v>6900200052</v>
      </c>
      <c r="H907" s="34" t="e">
        <f ca="1">[2]!a_eb("CDT,{P1},,2017013,,YA,,,","K=Acc_Code,F={P2},O=B",H$1,$F907)</f>
        <v>#NAME?</v>
      </c>
      <c r="I907" s="34" t="e">
        <f ca="1">[2]!a_eb("CDT,{P1},,2017013,,YA,,,","K=Acc_Code,F={P2},O=B",I$1,$F907)</f>
        <v>#NAME?</v>
      </c>
    </row>
    <row r="908" spans="1:9">
      <c r="A908" s="11">
        <v>2520001502</v>
      </c>
      <c r="B908" s="20" t="s">
        <v>2318</v>
      </c>
      <c r="C908" s="28" t="e">
        <f t="shared" ca="1" si="13"/>
        <v>#N/A</v>
      </c>
      <c r="F908" s="3">
        <v>53050302</v>
      </c>
      <c r="G908" s="3">
        <v>6050100060</v>
      </c>
      <c r="H908" s="34" t="e">
        <f ca="1">[2]!a_eb("CDT,{P1},,2017013,,YA,,,","K=Acc_Code,F={P2},O=B",H$1,$F908)</f>
        <v>#NAME?</v>
      </c>
      <c r="I908" s="34" t="e">
        <f ca="1">[2]!a_eb("CDT,{P1},,2017013,,YA,,,","K=Acc_Code,F={P2},O=B",I$1,$F908)</f>
        <v>#NAME?</v>
      </c>
    </row>
    <row r="909" spans="1:9">
      <c r="A909" s="11">
        <v>2520001502</v>
      </c>
      <c r="B909" s="20" t="s">
        <v>2319</v>
      </c>
      <c r="C909" s="28" t="e">
        <f t="shared" ca="1" si="13"/>
        <v>#N/A</v>
      </c>
      <c r="F909" s="3">
        <v>53050302</v>
      </c>
      <c r="G909" s="3">
        <v>5920000001</v>
      </c>
      <c r="H909" s="34" t="e">
        <f ca="1">[2]!a_eb("CDT,{P1},,2017013,,YA,,,","K=Acc_Code,F={P2},O=B",H$1,$F909)</f>
        <v>#NAME?</v>
      </c>
      <c r="I909" s="34" t="e">
        <f ca="1">[2]!a_eb("CDT,{P1},,2017013,,YA,,,","K=Acc_Code,F={P2},O=B",I$1,$F909)</f>
        <v>#NAME?</v>
      </c>
    </row>
    <row r="910" spans="1:9">
      <c r="A910" s="11">
        <v>2520001502</v>
      </c>
      <c r="B910" s="20" t="s">
        <v>2320</v>
      </c>
      <c r="C910" s="28" t="e">
        <f t="shared" ca="1" si="13"/>
        <v>#N/A</v>
      </c>
      <c r="F910" s="3">
        <v>53050303</v>
      </c>
      <c r="G910" s="3">
        <v>6050100061</v>
      </c>
      <c r="H910" s="34" t="e">
        <f ca="1">[2]!a_eb("CDT,{P1},,2017013,,YA,,,","K=Acc_Code,F={P2},O=B",H$1,$F910)</f>
        <v>#NAME?</v>
      </c>
      <c r="I910" s="34" t="e">
        <f ca="1">[2]!a_eb("CDT,{P1},,2017013,,YA,,,","K=Acc_Code,F={P2},O=B",I$1,$F910)</f>
        <v>#NAME?</v>
      </c>
    </row>
    <row r="911" spans="1:9">
      <c r="A911" s="11">
        <v>2520001502</v>
      </c>
      <c r="B911" s="20" t="s">
        <v>2321</v>
      </c>
      <c r="C911" s="28" t="e">
        <f t="shared" ca="1" si="13"/>
        <v>#N/A</v>
      </c>
      <c r="F911" s="3">
        <v>53050304</v>
      </c>
      <c r="G911" s="3">
        <v>6050100062</v>
      </c>
      <c r="H911" s="34" t="e">
        <f ca="1">[2]!a_eb("CDT,{P1},,2017013,,YA,,,","K=Acc_Code,F={P2},O=B",H$1,$F911)</f>
        <v>#NAME?</v>
      </c>
      <c r="I911" s="34" t="e">
        <f ca="1">[2]!a_eb("CDT,{P1},,2017013,,YA,,,","K=Acc_Code,F={P2},O=B",I$1,$F911)</f>
        <v>#NAME?</v>
      </c>
    </row>
    <row r="912" spans="1:9">
      <c r="A912" s="11">
        <v>2520001502</v>
      </c>
      <c r="B912" s="20" t="s">
        <v>2322</v>
      </c>
      <c r="C912" s="28" t="e">
        <f t="shared" ca="1" si="13"/>
        <v>#N/A</v>
      </c>
      <c r="F912" s="3">
        <v>53050306</v>
      </c>
      <c r="G912" s="3">
        <v>6050100063</v>
      </c>
      <c r="H912" s="34" t="e">
        <f ca="1">[2]!a_eb("CDT,{P1},,2017013,,YA,,,","K=Acc_Code,F={P2},O=B",H$1,$F912)</f>
        <v>#NAME?</v>
      </c>
      <c r="I912" s="34" t="e">
        <f ca="1">[2]!a_eb("CDT,{P1},,2017013,,YA,,,","K=Acc_Code,F={P2},O=B",I$1,$F912)</f>
        <v>#NAME?</v>
      </c>
    </row>
    <row r="913" spans="1:9">
      <c r="A913" s="11">
        <v>2520001502</v>
      </c>
      <c r="B913" s="20" t="s">
        <v>2323</v>
      </c>
      <c r="C913" s="28" t="e">
        <f t="shared" ca="1" si="13"/>
        <v>#N/A</v>
      </c>
      <c r="F913" s="3">
        <v>5305040101</v>
      </c>
      <c r="G913" s="3">
        <v>6100000060</v>
      </c>
      <c r="H913" s="34" t="e">
        <f ca="1">[2]!a_eb("CDT,{P1},,2017013,,YA,,,","K=Acc_Code,F={P2},O=B",H$1,$F913)</f>
        <v>#NAME?</v>
      </c>
      <c r="I913" s="34" t="e">
        <f ca="1">[2]!a_eb("CDT,{P1},,2017013,,YA,,,","K=Acc_Code,F={P2},O=B",I$1,$F913)</f>
        <v>#NAME?</v>
      </c>
    </row>
    <row r="914" spans="1:9">
      <c r="A914" s="11">
        <v>2520001502</v>
      </c>
      <c r="B914" s="20" t="s">
        <v>2324</v>
      </c>
      <c r="C914" s="28" t="e">
        <f t="shared" ca="1" si="13"/>
        <v>#N/A</v>
      </c>
      <c r="F914" s="3">
        <v>53050402</v>
      </c>
      <c r="G914" s="3">
        <v>6050200021</v>
      </c>
      <c r="H914" s="34" t="e">
        <f ca="1">[2]!a_eb("CDT,{P1},,2017013,,YA,,,","K=Acc_Code,F={P2},O=B",H$1,$F914)</f>
        <v>#NAME?</v>
      </c>
      <c r="I914" s="34" t="e">
        <f ca="1">[2]!a_eb("CDT,{P1},,2017013,,YA,,,","K=Acc_Code,F={P2},O=B",I$1,$F914)</f>
        <v>#NAME?</v>
      </c>
    </row>
    <row r="915" spans="1:9">
      <c r="A915" s="11">
        <v>2520001502</v>
      </c>
      <c r="B915" s="20" t="s">
        <v>2325</v>
      </c>
      <c r="C915" s="28" t="e">
        <f t="shared" ca="1" si="13"/>
        <v>#N/A</v>
      </c>
      <c r="F915" s="3">
        <v>53050403</v>
      </c>
      <c r="G915" s="3">
        <v>6050200028</v>
      </c>
      <c r="H915" s="34" t="e">
        <f ca="1">[2]!a_eb("CDT,{P1},,2017013,,YA,,,","K=Acc_Code,F={P2},O=B",H$1,$F915)</f>
        <v>#NAME?</v>
      </c>
      <c r="I915" s="34" t="e">
        <f ca="1">[2]!a_eb("CDT,{P1},,2017013,,YA,,,","K=Acc_Code,F={P2},O=B",I$1,$F915)</f>
        <v>#NAME?</v>
      </c>
    </row>
    <row r="916" spans="1:9">
      <c r="A916" s="11">
        <v>2520001502</v>
      </c>
      <c r="B916" s="20" t="s">
        <v>2326</v>
      </c>
      <c r="C916" s="28" t="e">
        <f t="shared" ca="1" si="13"/>
        <v>#N/A</v>
      </c>
      <c r="F916" s="3">
        <v>53050404</v>
      </c>
      <c r="G916" s="3">
        <v>6060110000</v>
      </c>
      <c r="H916" s="34" t="e">
        <f ca="1">[2]!a_eb("CDT,{P1},,2017013,,YA,,,","K=Acc_Code,F={P2},O=B",H$1,$F916)</f>
        <v>#NAME?</v>
      </c>
      <c r="I916" s="34" t="e">
        <f ca="1">[2]!a_eb("CDT,{P1},,2017013,,YA,,,","K=Acc_Code,F={P2},O=B",I$1,$F916)</f>
        <v>#NAME?</v>
      </c>
    </row>
    <row r="917" spans="1:9">
      <c r="A917" s="11">
        <v>2520001502</v>
      </c>
      <c r="B917" s="20" t="s">
        <v>2327</v>
      </c>
      <c r="C917" s="28" t="e">
        <f t="shared" ca="1" si="13"/>
        <v>#N/A</v>
      </c>
      <c r="F917" s="3">
        <v>53050405</v>
      </c>
      <c r="G917" s="3">
        <v>6100000061</v>
      </c>
      <c r="H917" s="34" t="e">
        <f ca="1">[2]!a_eb("CDT,{P1},,2017013,,YA,,,","K=Acc_Code,F={P2},O=B",H$1,$F917)</f>
        <v>#NAME?</v>
      </c>
      <c r="I917" s="34" t="e">
        <f ca="1">[2]!a_eb("CDT,{P1},,2017013,,YA,,,","K=Acc_Code,F={P2},O=B",I$1,$F917)</f>
        <v>#NAME?</v>
      </c>
    </row>
    <row r="918" spans="1:9">
      <c r="A918" s="11">
        <v>2520001502</v>
      </c>
      <c r="B918" s="20" t="s">
        <v>2328</v>
      </c>
      <c r="C918" s="28" t="e">
        <f t="shared" ca="1" si="13"/>
        <v>#N/A</v>
      </c>
      <c r="F918" s="3">
        <v>53050407</v>
      </c>
      <c r="G918" s="3">
        <v>6070300000</v>
      </c>
      <c r="H918" s="34" t="e">
        <f ca="1">[2]!a_eb("CDT,{P1},,2017013,,YA,,,","K=Acc_Code,F={P2},O=B",H$1,$F918)</f>
        <v>#NAME?</v>
      </c>
      <c r="I918" s="34" t="e">
        <f ca="1">[2]!a_eb("CDT,{P1},,2017013,,YA,,,","K=Acc_Code,F={P2},O=B",I$1,$F918)</f>
        <v>#NAME?</v>
      </c>
    </row>
    <row r="919" spans="1:9">
      <c r="A919" s="11">
        <v>2520001502</v>
      </c>
      <c r="B919" s="20" t="s">
        <v>2329</v>
      </c>
      <c r="C919" s="28" t="e">
        <f t="shared" ca="1" si="13"/>
        <v>#N/A</v>
      </c>
      <c r="F919" s="3">
        <v>53050408</v>
      </c>
      <c r="G919" s="3">
        <v>6070100001</v>
      </c>
      <c r="H919" s="34" t="e">
        <f ca="1">[2]!a_eb("CDT,{P1},,2017013,,YA,,,","K=Acc_Code,F={P2},O=B",H$1,$F919)</f>
        <v>#NAME?</v>
      </c>
      <c r="I919" s="34" t="e">
        <f ca="1">[2]!a_eb("CDT,{P1},,2017013,,YA,,,","K=Acc_Code,F={P2},O=B",I$1,$F919)</f>
        <v>#NAME?</v>
      </c>
    </row>
    <row r="920" spans="1:9">
      <c r="A920" s="11">
        <v>2520001502</v>
      </c>
      <c r="B920" s="20" t="s">
        <v>2330</v>
      </c>
      <c r="C920" s="28" t="e">
        <f t="shared" ca="1" si="13"/>
        <v>#N/A</v>
      </c>
      <c r="F920" s="3">
        <v>53050409</v>
      </c>
      <c r="G920" s="3">
        <v>6070100002</v>
      </c>
      <c r="H920" s="34" t="e">
        <f ca="1">[2]!a_eb("CDT,{P1},,2017013,,YA,,,","K=Acc_Code,F={P2},O=B",H$1,$F920)</f>
        <v>#NAME?</v>
      </c>
      <c r="I920" s="34" t="e">
        <f ca="1">[2]!a_eb("CDT,{P1},,2017013,,YA,,,","K=Acc_Code,F={P2},O=B",I$1,$F920)</f>
        <v>#NAME?</v>
      </c>
    </row>
    <row r="921" spans="1:9">
      <c r="A921" s="11">
        <v>2520001502</v>
      </c>
      <c r="B921" s="20" t="s">
        <v>2331</v>
      </c>
      <c r="C921" s="28" t="e">
        <f t="shared" ca="1" si="13"/>
        <v>#N/A</v>
      </c>
      <c r="F921" s="3">
        <v>53050410</v>
      </c>
      <c r="G921" s="3">
        <v>6070100003</v>
      </c>
      <c r="H921" s="34" t="e">
        <f ca="1">[2]!a_eb("CDT,{P1},,2017013,,YA,,,","K=Acc_Code,F={P2},O=B",H$1,$F921)</f>
        <v>#NAME?</v>
      </c>
      <c r="I921" s="34" t="e">
        <f ca="1">[2]!a_eb("CDT,{P1},,2017013,,YA,,,","K=Acc_Code,F={P2},O=B",I$1,$F921)</f>
        <v>#NAME?</v>
      </c>
    </row>
    <row r="922" spans="1:9">
      <c r="A922" s="11">
        <v>2520001502</v>
      </c>
      <c r="B922" s="20" t="s">
        <v>2332</v>
      </c>
      <c r="C922" s="28" t="e">
        <f t="shared" ca="1" si="13"/>
        <v>#N/A</v>
      </c>
      <c r="F922" s="3">
        <v>53050412</v>
      </c>
      <c r="G922" s="3">
        <v>6070300004</v>
      </c>
      <c r="H922" s="34" t="e">
        <f ca="1">[2]!a_eb("CDT,{P1},,2017013,,YA,,,","K=Acc_Code,F={P2},O=B",H$1,$F922)</f>
        <v>#NAME?</v>
      </c>
      <c r="I922" s="34" t="e">
        <f ca="1">[2]!a_eb("CDT,{P1},,2017013,,YA,,,","K=Acc_Code,F={P2},O=B",I$1,$F922)</f>
        <v>#NAME?</v>
      </c>
    </row>
    <row r="923" spans="1:9">
      <c r="A923" s="11">
        <v>2520001502</v>
      </c>
      <c r="B923" s="20" t="s">
        <v>2333</v>
      </c>
      <c r="C923" s="28" t="e">
        <f t="shared" ca="1" si="13"/>
        <v>#N/A</v>
      </c>
      <c r="F923" s="3">
        <v>53050413</v>
      </c>
      <c r="G923" s="3">
        <v>6150000000</v>
      </c>
      <c r="H923" s="34" t="e">
        <f ca="1">[2]!a_eb("CDT,{P1},,2017013,,YA,,,","K=Acc_Code,F={P2},O=B",H$1,$F923)</f>
        <v>#NAME?</v>
      </c>
      <c r="I923" s="34" t="e">
        <f ca="1">[2]!a_eb("CDT,{P1},,2017013,,YA,,,","K=Acc_Code,F={P2},O=B",I$1,$F923)</f>
        <v>#NAME?</v>
      </c>
    </row>
    <row r="924" spans="1:9">
      <c r="A924" s="11">
        <v>2520001502</v>
      </c>
      <c r="B924" s="20" t="s">
        <v>2334</v>
      </c>
      <c r="C924" s="28" t="e">
        <f t="shared" ca="1" si="13"/>
        <v>#N/A</v>
      </c>
      <c r="F924" s="3">
        <v>5305041402</v>
      </c>
      <c r="G924" s="3">
        <v>5920000071</v>
      </c>
      <c r="H924" s="34" t="e">
        <f ca="1">[2]!a_eb("CDT,{P1},,2017013,,YA,,,","K=Acc_Code,F={P2},O=B",H$1,$F924)</f>
        <v>#NAME?</v>
      </c>
      <c r="I924" s="34" t="e">
        <f ca="1">[2]!a_eb("CDT,{P1},,2017013,,YA,,,","K=Acc_Code,F={P2},O=B",I$1,$F924)</f>
        <v>#NAME?</v>
      </c>
    </row>
    <row r="925" spans="1:9">
      <c r="A925" s="11">
        <v>2520001502</v>
      </c>
      <c r="B925" s="20" t="s">
        <v>2335</v>
      </c>
      <c r="C925" s="28" t="e">
        <f t="shared" ca="1" si="13"/>
        <v>#N/A</v>
      </c>
      <c r="F925" s="3">
        <v>53050416</v>
      </c>
      <c r="G925" s="3">
        <v>6050100064</v>
      </c>
      <c r="H925" s="34" t="e">
        <f ca="1">[2]!a_eb("CDT,{P1},,2017013,,YA,,,","K=Acc_Code,F={P2},O=B",H$1,$F925)</f>
        <v>#NAME?</v>
      </c>
      <c r="I925" s="34" t="e">
        <f ca="1">[2]!a_eb("CDT,{P1},,2017013,,YA,,,","K=Acc_Code,F={P2},O=B",I$1,$F925)</f>
        <v>#NAME?</v>
      </c>
    </row>
    <row r="926" spans="1:9">
      <c r="A926" s="11">
        <v>2520001502</v>
      </c>
      <c r="B926" s="20" t="s">
        <v>2336</v>
      </c>
      <c r="C926" s="28" t="e">
        <f t="shared" ca="1" si="13"/>
        <v>#N/A</v>
      </c>
      <c r="F926" s="3">
        <v>53050417</v>
      </c>
      <c r="G926" s="3">
        <v>6070300005</v>
      </c>
      <c r="H926" s="34" t="e">
        <f ca="1">[2]!a_eb("CDT,{P1},,2017013,,YA,,,","K=Acc_Code,F={P2},O=B",H$1,$F926)</f>
        <v>#NAME?</v>
      </c>
      <c r="I926" s="34" t="e">
        <f ca="1">[2]!a_eb("CDT,{P1},,2017013,,YA,,,","K=Acc_Code,F={P2},O=B",I$1,$F926)</f>
        <v>#NAME?</v>
      </c>
    </row>
    <row r="927" spans="1:9">
      <c r="A927" s="11">
        <v>2520001502</v>
      </c>
      <c r="B927" s="20" t="s">
        <v>2337</v>
      </c>
      <c r="C927" s="28" t="e">
        <f t="shared" ca="1" si="13"/>
        <v>#N/A</v>
      </c>
      <c r="F927" s="3">
        <v>53050419</v>
      </c>
      <c r="G927" s="3">
        <v>6180000020</v>
      </c>
      <c r="H927" s="34" t="e">
        <f ca="1">[2]!a_eb("CDT,{P1},,2017013,,YA,,,","K=Acc_Code,F={P2},O=B",H$1,$F927)</f>
        <v>#NAME?</v>
      </c>
      <c r="I927" s="34" t="e">
        <f ca="1">[2]!a_eb("CDT,{P1},,2017013,,YA,,,","K=Acc_Code,F={P2},O=B",I$1,$F927)</f>
        <v>#NAME?</v>
      </c>
    </row>
    <row r="928" spans="1:9">
      <c r="A928" s="11">
        <v>2520001502</v>
      </c>
      <c r="B928" s="20" t="s">
        <v>2338</v>
      </c>
      <c r="C928" s="28" t="e">
        <f t="shared" ca="1" si="13"/>
        <v>#N/A</v>
      </c>
      <c r="F928" s="3">
        <v>53050501</v>
      </c>
      <c r="G928" s="3">
        <v>6070100004</v>
      </c>
      <c r="H928" s="34" t="e">
        <f ca="1">[2]!a_eb("CDT,{P1},,2017013,,YA,,,","K=Acc_Code,F={P2},O=B",H$1,$F928)</f>
        <v>#NAME?</v>
      </c>
      <c r="I928" s="34" t="e">
        <f ca="1">[2]!a_eb("CDT,{P1},,2017013,,YA,,,","K=Acc_Code,F={P2},O=B",I$1,$F928)</f>
        <v>#NAME?</v>
      </c>
    </row>
    <row r="929" spans="1:9">
      <c r="A929" s="11">
        <v>2520001502</v>
      </c>
      <c r="B929" s="20" t="s">
        <v>2339</v>
      </c>
      <c r="C929" s="28" t="e">
        <f t="shared" ca="1" si="13"/>
        <v>#N/A</v>
      </c>
      <c r="F929" s="3">
        <v>540101</v>
      </c>
      <c r="G929" s="3">
        <v>7590000000</v>
      </c>
      <c r="H929" s="34" t="e">
        <f ca="1">[2]!a_eb("CDT,{P1},,2017013,,YA,,,","K=Acc_Code,F={P2},O=B",H$1,$F929)</f>
        <v>#NAME?</v>
      </c>
      <c r="I929" s="34" t="e">
        <f ca="1">[2]!a_eb("CDT,{P1},,2017013,,YA,,,","K=Acc_Code,F={P2},O=B",I$1,$F929)</f>
        <v>#NAME?</v>
      </c>
    </row>
    <row r="930" spans="1:9">
      <c r="A930" s="11">
        <v>2520001502</v>
      </c>
      <c r="B930" s="20" t="s">
        <v>2340</v>
      </c>
      <c r="C930" s="28" t="e">
        <f t="shared" ca="1" si="13"/>
        <v>#N/A</v>
      </c>
      <c r="F930" s="3">
        <v>540201</v>
      </c>
      <c r="G930" s="3">
        <v>8470101080</v>
      </c>
      <c r="H930" s="34" t="e">
        <f ca="1">[2]!a_eb("CDT,{P1},,2017013,,YA,,,","K=Acc_Code,F={P2},O=B",H$1,$F930)</f>
        <v>#NAME?</v>
      </c>
      <c r="I930" s="34" t="e">
        <f ca="1">[2]!a_eb("CDT,{P1},,2017013,,YA,,,","K=Acc_Code,F={P2},O=B",I$1,$F930)</f>
        <v>#NAME?</v>
      </c>
    </row>
    <row r="931" spans="1:9">
      <c r="A931" s="11">
        <v>2520001502</v>
      </c>
      <c r="B931" s="20" t="s">
        <v>2341</v>
      </c>
      <c r="C931" s="28" t="e">
        <f t="shared" ca="1" si="13"/>
        <v>#N/A</v>
      </c>
      <c r="F931" s="3">
        <v>540301</v>
      </c>
      <c r="G931" s="3">
        <v>8470901050</v>
      </c>
      <c r="H931" s="34" t="e">
        <f ca="1">[2]!a_eb("CDT,{P1},,2017013,,YA,,,","K=Acc_Code,F={P2},O=B",H$1,$F931)</f>
        <v>#NAME?</v>
      </c>
      <c r="I931" s="34" t="e">
        <f ca="1">[2]!a_eb("CDT,{P1},,2017013,,YA,,,","K=Acc_Code,F={P2},O=B",I$1,$F931)</f>
        <v>#NAME?</v>
      </c>
    </row>
    <row r="932" spans="1:9">
      <c r="A932" s="11">
        <v>2520001502</v>
      </c>
      <c r="B932" s="20" t="s">
        <v>2342</v>
      </c>
      <c r="C932" s="28" t="e">
        <f t="shared" ca="1" si="13"/>
        <v>#N/A</v>
      </c>
      <c r="F932" s="3">
        <v>540401</v>
      </c>
      <c r="G932" s="3">
        <v>8700002010</v>
      </c>
      <c r="H932" s="34" t="e">
        <f ca="1">[2]!a_eb("CDT,{P1},,2017013,,YA,,,","K=Acc_Code,F={P2},O=B",H$1,$F932)</f>
        <v>#NAME?</v>
      </c>
      <c r="I932" s="34" t="e">
        <f ca="1">[2]!a_eb("CDT,{P1},,2017013,,YA,,,","K=Acc_Code,F={P2},O=B",I$1,$F932)</f>
        <v>#NAME?</v>
      </c>
    </row>
    <row r="933" spans="1:9">
      <c r="A933" s="11">
        <v>2520001502</v>
      </c>
      <c r="B933" s="20" t="s">
        <v>2343</v>
      </c>
      <c r="C933" s="28" t="e">
        <f t="shared" ca="1" si="13"/>
        <v>#N/A</v>
      </c>
      <c r="F933" s="3">
        <v>540402</v>
      </c>
      <c r="G933" s="3">
        <v>6010000080</v>
      </c>
      <c r="H933" s="34" t="e">
        <f ca="1">[2]!a_eb("CDT,{P1},,2017013,,YA,,,","K=Acc_Code,F={P2},O=B",H$1,$F933)</f>
        <v>#NAME?</v>
      </c>
      <c r="I933" s="34" t="e">
        <f ca="1">[2]!a_eb("CDT,{P1},,2017013,,YA,,,","K=Acc_Code,F={P2},O=B",I$1,$F933)</f>
        <v>#NAME?</v>
      </c>
    </row>
    <row r="934" spans="1:9">
      <c r="A934" s="11">
        <v>2520001502</v>
      </c>
      <c r="B934" s="20" t="s">
        <v>2344</v>
      </c>
      <c r="C934" s="28" t="e">
        <f t="shared" ca="1" si="13"/>
        <v>#N/A</v>
      </c>
      <c r="F934" s="3">
        <v>540403</v>
      </c>
      <c r="G934" s="3">
        <v>6600100740</v>
      </c>
      <c r="H934" s="34" t="e">
        <f ca="1">[2]!a_eb("CDT,{P1},,2017013,,YA,,,","K=Acc_Code,F={P2},O=B",H$1,$F934)</f>
        <v>#NAME?</v>
      </c>
      <c r="I934" s="34" t="e">
        <f ca="1">[2]!a_eb("CDT,{P1},,2017013,,YA,,,","K=Acc_Code,F={P2},O=B",I$1,$F934)</f>
        <v>#NAME?</v>
      </c>
    </row>
    <row r="935" spans="1:9">
      <c r="A935" s="11">
        <v>2520001502</v>
      </c>
      <c r="B935" s="20" t="s">
        <v>2345</v>
      </c>
      <c r="C935" s="28" t="e">
        <f t="shared" ca="1" si="13"/>
        <v>#N/A</v>
      </c>
      <c r="F935" s="3">
        <v>540404</v>
      </c>
      <c r="G935" s="3">
        <v>6050100210</v>
      </c>
      <c r="H935" s="34" t="e">
        <f ca="1">[2]!a_eb("CDT,{P1},,2017013,,YA,,,","K=Acc_Code,F={P2},O=B",H$1,$F935)</f>
        <v>#NAME?</v>
      </c>
      <c r="I935" s="34" t="e">
        <f ca="1">[2]!a_eb("CDT,{P1},,2017013,,YA,,,","K=Acc_Code,F={P2},O=B",I$1,$F935)</f>
        <v>#NAME?</v>
      </c>
    </row>
    <row r="936" spans="1:9">
      <c r="A936" s="11">
        <v>2520001502</v>
      </c>
      <c r="B936" s="20" t="s">
        <v>2346</v>
      </c>
      <c r="C936" s="28" t="e">
        <f t="shared" ca="1" si="13"/>
        <v>#N/A</v>
      </c>
      <c r="F936" s="3">
        <v>540405</v>
      </c>
      <c r="G936" s="3">
        <v>6010000007</v>
      </c>
      <c r="H936" s="34" t="e">
        <f ca="1">[2]!a_eb("CDT,{P1},,2017013,,YA,,,","K=Acc_Code,F={P2},O=B",H$1,$F936)</f>
        <v>#NAME?</v>
      </c>
      <c r="I936" s="34" t="e">
        <f ca="1">[2]!a_eb("CDT,{P1},,2017013,,YA,,,","K=Acc_Code,F={P2},O=B",I$1,$F936)</f>
        <v>#NAME?</v>
      </c>
    </row>
    <row r="937" spans="1:9">
      <c r="A937" s="11">
        <v>2520001502</v>
      </c>
      <c r="B937" s="20" t="s">
        <v>2347</v>
      </c>
      <c r="C937" s="28" t="e">
        <f t="shared" ca="1" si="13"/>
        <v>#N/A</v>
      </c>
      <c r="F937" s="3">
        <v>540406</v>
      </c>
      <c r="G937" s="3">
        <v>6050000041</v>
      </c>
      <c r="H937" s="34" t="e">
        <f ca="1">[2]!a_eb("CDT,{P1},,2017013,,YA,,,","K=Acc_Code,F={P2},O=B",H$1,$F937)</f>
        <v>#NAME?</v>
      </c>
      <c r="I937" s="34" t="e">
        <f ca="1">[2]!a_eb("CDT,{P1},,2017013,,YA,,,","K=Acc_Code,F={P2},O=B",I$1,$F937)</f>
        <v>#NAME?</v>
      </c>
    </row>
    <row r="938" spans="1:9">
      <c r="A938" s="11">
        <v>2520001502</v>
      </c>
      <c r="B938" s="20" t="s">
        <v>2348</v>
      </c>
      <c r="C938" s="28" t="e">
        <f t="shared" ref="C938:C1001" ca="1" si="14">VLOOKUP(B938,F:G,2,0)</f>
        <v>#N/A</v>
      </c>
      <c r="F938" s="3">
        <v>540407</v>
      </c>
      <c r="G938" s="3">
        <v>6050100211</v>
      </c>
      <c r="H938" s="34" t="e">
        <f ca="1">[2]!a_eb("CDT,{P1},,2017013,,YA,,,","K=Acc_Code,F={P2},O=B",H$1,$F938)</f>
        <v>#NAME?</v>
      </c>
      <c r="I938" s="34" t="e">
        <f ca="1">[2]!a_eb("CDT,{P1},,2017013,,YA,,,","K=Acc_Code,F={P2},O=B",I$1,$F938)</f>
        <v>#NAME?</v>
      </c>
    </row>
    <row r="939" spans="1:9">
      <c r="A939" s="11" t="s">
        <v>1497</v>
      </c>
      <c r="B939" s="20" t="s">
        <v>2349</v>
      </c>
      <c r="C939" s="28" t="e">
        <f t="shared" ca="1" si="14"/>
        <v>#N/A</v>
      </c>
      <c r="F939" s="3">
        <v>540408</v>
      </c>
      <c r="G939" s="3">
        <v>6050200030</v>
      </c>
      <c r="H939" s="34" t="e">
        <f ca="1">[2]!a_eb("CDT,{P1},,2017013,,YA,,,","K=Acc_Code,F={P2},O=B",H$1,$F939)</f>
        <v>#NAME?</v>
      </c>
      <c r="I939" s="34" t="e">
        <f ca="1">[2]!a_eb("CDT,{P1},,2017013,,YA,,,","K=Acc_Code,F={P2},O=B",I$1,$F939)</f>
        <v>#NAME?</v>
      </c>
    </row>
    <row r="940" spans="1:9">
      <c r="A940" s="11" t="s">
        <v>1497</v>
      </c>
      <c r="B940" s="20" t="s">
        <v>2350</v>
      </c>
      <c r="C940" s="28" t="e">
        <f t="shared" ca="1" si="14"/>
        <v>#N/A</v>
      </c>
      <c r="F940" s="3">
        <v>540409</v>
      </c>
      <c r="G940" s="3">
        <v>6050000042</v>
      </c>
      <c r="H940" s="34" t="e">
        <f ca="1">[2]!a_eb("CDT,{P1},,2017013,,YA,,,","K=Acc_Code,F={P2},O=B",H$1,$F940)</f>
        <v>#NAME?</v>
      </c>
      <c r="I940" s="34" t="e">
        <f ca="1">[2]!a_eb("CDT,{P1},,2017013,,YA,,,","K=Acc_Code,F={P2},O=B",I$1,$F940)</f>
        <v>#NAME?</v>
      </c>
    </row>
    <row r="941" spans="1:9">
      <c r="A941" s="36" t="s">
        <v>1543</v>
      </c>
      <c r="B941" s="20" t="s">
        <v>2351</v>
      </c>
      <c r="C941" s="28" t="e">
        <f t="shared" ca="1" si="14"/>
        <v>#N/A</v>
      </c>
      <c r="F941" s="3">
        <v>540501</v>
      </c>
      <c r="G941" s="3">
        <v>6970000206</v>
      </c>
      <c r="H941" s="34" t="e">
        <f ca="1">[2]!a_eb("CDT,{P1},,2017013,,YA,,,","K=Acc_Code,F={P2},O=B",H$1,$F941)</f>
        <v>#NAME?</v>
      </c>
      <c r="I941" s="34" t="e">
        <f ca="1">[2]!a_eb("CDT,{P1},,2017013,,YA,,,","K=Acc_Code,F={P2},O=B",I$1,$F941)</f>
        <v>#NAME?</v>
      </c>
    </row>
    <row r="942" spans="1:9">
      <c r="A942" s="11" t="s">
        <v>1497</v>
      </c>
      <c r="B942" s="20" t="s">
        <v>2352</v>
      </c>
      <c r="C942" s="28" t="e">
        <f t="shared" ca="1" si="14"/>
        <v>#N/A</v>
      </c>
      <c r="F942" s="3">
        <v>550101</v>
      </c>
      <c r="G942" s="3">
        <v>8810000000</v>
      </c>
      <c r="H942" s="34" t="e">
        <f ca="1">[2]!a_eb("CDT,{P1},,2017013,,YA,,,","K=Acc_Code,F={P2},O=B",H$1,$F942)</f>
        <v>#NAME?</v>
      </c>
      <c r="I942" s="34" t="e">
        <f ca="1">[2]!a_eb("CDT,{P1},,2017013,,YA,,,","K=Acc_Code,F={P2},O=B",I$1,$F942)</f>
        <v>#NAME?</v>
      </c>
    </row>
    <row r="943" spans="1:9">
      <c r="A943" s="11" t="s">
        <v>1497</v>
      </c>
      <c r="B943" s="20" t="s">
        <v>2353</v>
      </c>
      <c r="C943" s="28" t="e">
        <f t="shared" ca="1" si="14"/>
        <v>#N/A</v>
      </c>
      <c r="F943" s="3">
        <v>550102</v>
      </c>
      <c r="G943" s="3">
        <v>8810100000</v>
      </c>
      <c r="H943" s="34" t="e">
        <f ca="1">[2]!a_eb("CDT,{P1},,2017013,,YA,,,","K=Acc_Code,F={P2},O=B",H$1,$F943)</f>
        <v>#NAME?</v>
      </c>
      <c r="I943" s="34" t="e">
        <f ca="1">[2]!a_eb("CDT,{P1},,2017013,,YA,,,","K=Acc_Code,F={P2},O=B",I$1,$F943)</f>
        <v>#NAME?</v>
      </c>
    </row>
    <row r="944" spans="1:9">
      <c r="A944" s="11">
        <v>2014100000</v>
      </c>
      <c r="B944" s="20" t="s">
        <v>2354</v>
      </c>
      <c r="C944" s="28" t="e">
        <f t="shared" ca="1" si="14"/>
        <v>#N/A</v>
      </c>
      <c r="F944" s="3">
        <v>550103</v>
      </c>
      <c r="G944" s="3">
        <v>8812000000</v>
      </c>
      <c r="H944" s="34" t="e">
        <f ca="1">[2]!a_eb("CDT,{P1},,2017013,,YA,,,","K=Acc_Code,F={P2},O=B",H$1,$F944)</f>
        <v>#NAME?</v>
      </c>
      <c r="I944" s="34" t="e">
        <f ca="1">[2]!a_eb("CDT,{P1},,2017013,,YA,,,","K=Acc_Code,F={P2},O=B",I$1,$F944)</f>
        <v>#NAME?</v>
      </c>
    </row>
    <row r="945" spans="1:9">
      <c r="A945" s="11">
        <v>2014200000</v>
      </c>
      <c r="B945" s="20" t="s">
        <v>2355</v>
      </c>
      <c r="C945" s="28" t="e">
        <f t="shared" ca="1" si="14"/>
        <v>#N/A</v>
      </c>
      <c r="F945" s="3">
        <v>550201</v>
      </c>
      <c r="G945" s="3">
        <v>8820000000</v>
      </c>
      <c r="H945" s="34" t="e">
        <f ca="1">[2]!a_eb("CDT,{P1},,2017013,,YA,,,","K=Acc_Code,F={P2},O=B",H$1,$F945)</f>
        <v>#NAME?</v>
      </c>
      <c r="I945" s="34" t="e">
        <f ca="1">[2]!a_eb("CDT,{P1},,2017013,,YA,,,","K=Acc_Code,F={P2},O=B",I$1,$F945)</f>
        <v>#NAME?</v>
      </c>
    </row>
    <row r="946" spans="1:9">
      <c r="A946" s="11" t="s">
        <v>1497</v>
      </c>
      <c r="B946" s="20" t="s">
        <v>2356</v>
      </c>
      <c r="C946" s="28" t="e">
        <f t="shared" ca="1" si="14"/>
        <v>#N/A</v>
      </c>
      <c r="F946" s="3">
        <v>550202</v>
      </c>
      <c r="G946" s="3">
        <v>8820100000</v>
      </c>
      <c r="H946" s="34" t="e">
        <f ca="1">[2]!a_eb("CDT,{P1},,2017013,,YA,,,","K=Acc_Code,F={P2},O=B",H$1,$F946)</f>
        <v>#NAME?</v>
      </c>
      <c r="I946" s="34" t="e">
        <f ca="1">[2]!a_eb("CDT,{P1},,2017013,,YA,,,","K=Acc_Code,F={P2},O=B",I$1,$F946)</f>
        <v>#NAME?</v>
      </c>
    </row>
    <row r="947" spans="1:9">
      <c r="A947" s="11">
        <v>2013100000</v>
      </c>
      <c r="B947" s="20" t="s">
        <v>2357</v>
      </c>
      <c r="C947" s="28" t="e">
        <f t="shared" ca="1" si="14"/>
        <v>#N/A</v>
      </c>
      <c r="F947" s="3">
        <v>550203</v>
      </c>
      <c r="G947" s="3">
        <v>8822000000</v>
      </c>
      <c r="H947" s="34" t="e">
        <f ca="1">[2]!a_eb("CDT,{P1},,2017013,,YA,,,","K=Acc_Code,F={P2},O=B",H$1,$F947)</f>
        <v>#NAME?</v>
      </c>
      <c r="I947" s="34" t="e">
        <f ca="1">[2]!a_eb("CDT,{P1},,2017013,,YA,,,","K=Acc_Code,F={P2},O=B",I$1,$F947)</f>
        <v>#NAME?</v>
      </c>
    </row>
    <row r="948" spans="1:9">
      <c r="A948" s="11">
        <v>2013200000</v>
      </c>
      <c r="B948" s="20" t="s">
        <v>2358</v>
      </c>
      <c r="C948" s="28" t="e">
        <f t="shared" ca="1" si="14"/>
        <v>#N/A</v>
      </c>
      <c r="F948" s="3">
        <v>910101</v>
      </c>
      <c r="G948" s="3" t="s">
        <v>11</v>
      </c>
      <c r="H948" s="34" t="e">
        <f ca="1">[2]!a_eb("CDT,{P1},,2017013,,YA,,,","K=Acc_Code,F={P2},O=B",H$1,$F948)</f>
        <v>#NAME?</v>
      </c>
      <c r="I948" s="34" t="e">
        <f ca="1">[2]!a_eb("CDT,{P1},,2017013,,YA,,,","K=Acc_Code,F={P2},O=B",I$1,$F948)</f>
        <v>#NAME?</v>
      </c>
    </row>
    <row r="949" spans="1:9">
      <c r="A949" s="11" t="s">
        <v>1497</v>
      </c>
      <c r="B949" s="20" t="s">
        <v>2359</v>
      </c>
      <c r="C949" s="28" t="e">
        <f t="shared" ca="1" si="14"/>
        <v>#N/A</v>
      </c>
      <c r="F949" s="3">
        <v>910103</v>
      </c>
      <c r="G949" s="3" t="s">
        <v>12</v>
      </c>
      <c r="H949" s="34" t="e">
        <f ca="1">[2]!a_eb("CDT,{P1},,2017013,,YA,,,","K=Acc_Code,F={P2},O=B",H$1,$F949)</f>
        <v>#NAME?</v>
      </c>
      <c r="I949" s="34" t="e">
        <f ca="1">[2]!a_eb("CDT,{P1},,2017013,,YA,,,","K=Acc_Code,F={P2},O=B",I$1,$F949)</f>
        <v>#NAME?</v>
      </c>
    </row>
    <row r="950" spans="1:9">
      <c r="A950" s="11">
        <v>2011100000</v>
      </c>
      <c r="B950" s="20" t="s">
        <v>2360</v>
      </c>
      <c r="C950" s="28" t="e">
        <f t="shared" ca="1" si="14"/>
        <v>#N/A</v>
      </c>
      <c r="F950" s="3">
        <v>910104</v>
      </c>
      <c r="G950" s="3" t="s">
        <v>13</v>
      </c>
      <c r="H950" s="34" t="e">
        <f ca="1">[2]!a_eb("CDT,{P1},,2017013,,YA,,,","K=Acc_Code,F={P2},O=B",H$1,$F950)</f>
        <v>#NAME?</v>
      </c>
      <c r="I950" s="34" t="e">
        <f ca="1">[2]!a_eb("CDT,{P1},,2017013,,YA,,,","K=Acc_Code,F={P2},O=B",I$1,$F950)</f>
        <v>#NAME?</v>
      </c>
    </row>
    <row r="951" spans="1:9">
      <c r="A951" s="11">
        <v>2011200000</v>
      </c>
      <c r="B951" s="20" t="s">
        <v>2361</v>
      </c>
      <c r="C951" s="28" t="e">
        <f t="shared" ca="1" si="14"/>
        <v>#N/A</v>
      </c>
      <c r="F951" s="3" t="s">
        <v>1484</v>
      </c>
      <c r="G951" s="3">
        <v>3812000000</v>
      </c>
      <c r="H951" s="34" t="e">
        <f ca="1">[2]!a_eb("CDT,{P1},,2017013,,YA,,,","K=Acc_Code,F={P2},O=B",H$1,$F951)</f>
        <v>#NAME?</v>
      </c>
      <c r="I951" s="34" t="e">
        <f ca="1">[2]!a_eb("CDT,{P1},,2017013,,YA,,,","K=Acc_Code,F={P2},O=B",I$1,$F951)</f>
        <v>#NAME?</v>
      </c>
    </row>
    <row r="952" spans="1:9">
      <c r="A952" s="11">
        <v>2014100030</v>
      </c>
      <c r="B952" s="20" t="s">
        <v>2362</v>
      </c>
      <c r="C952" s="28" t="e">
        <f t="shared" ca="1" si="14"/>
        <v>#N/A</v>
      </c>
      <c r="F952" s="3" t="s">
        <v>1484</v>
      </c>
      <c r="G952" s="3">
        <v>6102000020</v>
      </c>
      <c r="H952" s="34" t="e">
        <f ca="1">[2]!a_eb("CDT,{P1},,2017013,,YA,,,","K=Acc_Code,F={P2},O=B",H$1,$F952)</f>
        <v>#NAME?</v>
      </c>
      <c r="I952" s="34" t="e">
        <f ca="1">[2]!a_eb("CDT,{P1},,2017013,,YA,,,","K=Acc_Code,F={P2},O=B",I$1,$F952)</f>
        <v>#NAME?</v>
      </c>
    </row>
    <row r="953" spans="1:9">
      <c r="A953" s="11">
        <v>2014200030</v>
      </c>
      <c r="B953" s="20" t="s">
        <v>2363</v>
      </c>
      <c r="C953" s="28" t="e">
        <f t="shared" ca="1" si="14"/>
        <v>#N/A</v>
      </c>
      <c r="F953" s="3" t="s">
        <v>1485</v>
      </c>
      <c r="G953" s="18">
        <v>7470000000</v>
      </c>
      <c r="H953" s="34" t="e">
        <f ca="1">[2]!a_eb("CDT,{P1},,2017013,,YA,,,","K=Acc_Code,F={P2},O=B",H$1,$F953)</f>
        <v>#NAME?</v>
      </c>
      <c r="I953" s="34" t="e">
        <f ca="1">[2]!a_eb("CDT,{P1},,2017013,,YA,,,","K=Acc_Code,F={P2},O=B",I$1,$F953)</f>
        <v>#NAME?</v>
      </c>
    </row>
    <row r="954" spans="1:9">
      <c r="A954" s="11" t="s">
        <v>1497</v>
      </c>
      <c r="B954" s="20" t="s">
        <v>2364</v>
      </c>
      <c r="C954" s="28" t="e">
        <f t="shared" ca="1" si="14"/>
        <v>#N/A</v>
      </c>
      <c r="F954" s="3" t="s">
        <v>1485</v>
      </c>
      <c r="G954" s="18">
        <v>7474000000</v>
      </c>
      <c r="H954" s="34" t="e">
        <f ca="1">[2]!a_eb("CDT,{P1},,2017013,,YA,,,","K=Acc_Code,F={P2},O=B",H$1,$F954)</f>
        <v>#NAME?</v>
      </c>
      <c r="I954" s="34" t="e">
        <f ca="1">[2]!a_eb("CDT,{P1},,2017013,,YA,,,","K=Acc_Code,F={P2},O=B",I$1,$F954)</f>
        <v>#NAME?</v>
      </c>
    </row>
    <row r="955" spans="1:9">
      <c r="A955" s="11">
        <v>2790001510</v>
      </c>
      <c r="B955" s="20" t="s">
        <v>2365</v>
      </c>
      <c r="C955" s="28" t="e">
        <f t="shared" ca="1" si="14"/>
        <v>#N/A</v>
      </c>
      <c r="F955" s="3" t="s">
        <v>1485</v>
      </c>
      <c r="G955" s="18">
        <v>7475000000</v>
      </c>
      <c r="H955" s="34" t="e">
        <f ca="1">[2]!a_eb("CDT,{P1},,2017013,,YA,,,","K=Acc_Code,F={P2},O=B",H$1,$F955)</f>
        <v>#NAME?</v>
      </c>
      <c r="I955" s="34" t="e">
        <f ca="1">[2]!a_eb("CDT,{P1},,2017013,,YA,,,","K=Acc_Code,F={P2},O=B",I$1,$F955)</f>
        <v>#NAME?</v>
      </c>
    </row>
    <row r="956" spans="1:9">
      <c r="A956" s="11">
        <v>2790001510</v>
      </c>
      <c r="B956" s="20" t="s">
        <v>2366</v>
      </c>
      <c r="C956" s="28" t="e">
        <f t="shared" ca="1" si="14"/>
        <v>#N/A</v>
      </c>
      <c r="F956" s="3" t="s">
        <v>1485</v>
      </c>
      <c r="G956" s="18">
        <v>8820010000</v>
      </c>
      <c r="H956" s="34" t="e">
        <f ca="1">[2]!a_eb("CDT,{P1},,2017013,,YA,,,","K=Acc_Code,F={P2},O=B",H$1,$F956)</f>
        <v>#NAME?</v>
      </c>
      <c r="I956" s="34" t="e">
        <f ca="1">[2]!a_eb("CDT,{P1},,2017013,,YA,,,","K=Acc_Code,F={P2},O=B",I$1,$F956)</f>
        <v>#NAME?</v>
      </c>
    </row>
    <row r="957" spans="1:9">
      <c r="A957" s="11">
        <v>2790001510</v>
      </c>
      <c r="B957" s="20" t="s">
        <v>2367</v>
      </c>
      <c r="C957" s="28" t="e">
        <f t="shared" ca="1" si="14"/>
        <v>#N/A</v>
      </c>
      <c r="F957" s="3" t="s">
        <v>1485</v>
      </c>
      <c r="G957" s="18">
        <v>8820300000</v>
      </c>
      <c r="H957" s="34" t="e">
        <f ca="1">[2]!a_eb("CDT,{P1},,2017013,,YA,,,","K=Acc_Code,F={P2},O=B",H$1,$F957)</f>
        <v>#NAME?</v>
      </c>
      <c r="I957" s="34" t="e">
        <f ca="1">[2]!a_eb("CDT,{P1},,2017013,,YA,,,","K=Acc_Code,F={P2},O=B",I$1,$F957)</f>
        <v>#NAME?</v>
      </c>
    </row>
    <row r="958" spans="1:9">
      <c r="A958" s="11">
        <v>2790001510</v>
      </c>
      <c r="B958" s="20" t="s">
        <v>2368</v>
      </c>
      <c r="C958" s="28" t="e">
        <f t="shared" ca="1" si="14"/>
        <v>#N/A</v>
      </c>
      <c r="F958" s="3" t="s">
        <v>1485</v>
      </c>
      <c r="G958" s="18">
        <v>6120010000</v>
      </c>
      <c r="H958" s="34" t="e">
        <f ca="1">[2]!a_eb("CDT,{P1},,2017013,,YA,,,","K=Acc_Code,F={P2},O=B",H$1,$F958)</f>
        <v>#NAME?</v>
      </c>
      <c r="I958" s="34" t="e">
        <f ca="1">[2]!a_eb("CDT,{P1},,2017013,,YA,,,","K=Acc_Code,F={P2},O=B",I$1,$F958)</f>
        <v>#NAME?</v>
      </c>
    </row>
    <row r="959" spans="1:9">
      <c r="A959" s="11">
        <v>2011100030</v>
      </c>
      <c r="B959" s="20" t="s">
        <v>2369</v>
      </c>
      <c r="C959" s="28" t="e">
        <f t="shared" ca="1" si="14"/>
        <v>#N/A</v>
      </c>
      <c r="F959" s="3" t="s">
        <v>1485</v>
      </c>
      <c r="G959" s="18">
        <v>6120050000</v>
      </c>
      <c r="H959" s="34" t="e">
        <f ca="1">[2]!a_eb("CDT,{P1},,2017013,,YA,,,","K=Acc_Code,F={P2},O=B",H$1,$F959)</f>
        <v>#NAME?</v>
      </c>
      <c r="I959" s="34" t="e">
        <f ca="1">[2]!a_eb("CDT,{P1},,2017013,,YA,,,","K=Acc_Code,F={P2},O=B",I$1,$F959)</f>
        <v>#NAME?</v>
      </c>
    </row>
    <row r="960" spans="1:9">
      <c r="A960" s="11">
        <v>2011200030</v>
      </c>
      <c r="B960" s="20" t="s">
        <v>2370</v>
      </c>
      <c r="C960" s="28" t="e">
        <f t="shared" ca="1" si="14"/>
        <v>#N/A</v>
      </c>
      <c r="F960" s="3" t="s">
        <v>1485</v>
      </c>
      <c r="G960" s="18">
        <v>6121200000</v>
      </c>
      <c r="H960" s="34" t="e">
        <f ca="1">[2]!a_eb("CDT,{P1},,2017013,,YA,,,","K=Acc_Code,F={P2},O=B",H$1,$F960)</f>
        <v>#NAME?</v>
      </c>
      <c r="I960" s="34" t="e">
        <f ca="1">[2]!a_eb("CDT,{P1},,2017013,,YA,,,","K=Acc_Code,F={P2},O=B",I$1,$F960)</f>
        <v>#NAME?</v>
      </c>
    </row>
    <row r="961" spans="1:9">
      <c r="A961" s="11">
        <v>2019100000</v>
      </c>
      <c r="B961" s="20" t="s">
        <v>2371</v>
      </c>
      <c r="C961" s="28" t="e">
        <f t="shared" ca="1" si="14"/>
        <v>#N/A</v>
      </c>
      <c r="F961" s="3" t="s">
        <v>1485</v>
      </c>
      <c r="G961" s="18">
        <v>4032012000</v>
      </c>
      <c r="H961" s="34" t="e">
        <f ca="1">[2]!a_eb("CDT,{P1},,2017013,,YA,,,","K=Acc_Code,F={P2},O=B",H$1,$F961)</f>
        <v>#NAME?</v>
      </c>
      <c r="I961" s="34" t="e">
        <f ca="1">[2]!a_eb("CDT,{P1},,2017013,,YA,,,","K=Acc_Code,F={P2},O=B",I$1,$F961)</f>
        <v>#NAME?</v>
      </c>
    </row>
    <row r="962" spans="1:9">
      <c r="A962" s="11" t="s">
        <v>1497</v>
      </c>
      <c r="B962" s="20" t="s">
        <v>2372</v>
      </c>
      <c r="C962" s="28" t="e">
        <f t="shared" ca="1" si="14"/>
        <v>#N/A</v>
      </c>
      <c r="F962" s="3" t="s">
        <v>1485</v>
      </c>
      <c r="G962" s="18">
        <v>7043940000</v>
      </c>
      <c r="H962" s="34" t="e">
        <f ca="1">[2]!a_eb("CDT,{P1},,2017013,,YA,,,","K=Acc_Code,F={P2},O=B",H$1,$F962)</f>
        <v>#NAME?</v>
      </c>
      <c r="I962" s="34" t="e">
        <f ca="1">[2]!a_eb("CDT,{P1},,2017013,,YA,,,","K=Acc_Code,F={P2},O=B",I$1,$F962)</f>
        <v>#NAME?</v>
      </c>
    </row>
    <row r="963" spans="1:9">
      <c r="A963" s="11" t="s">
        <v>1497</v>
      </c>
      <c r="B963" s="20" t="s">
        <v>2373</v>
      </c>
      <c r="C963" s="28" t="e">
        <f t="shared" ca="1" si="14"/>
        <v>#N/A</v>
      </c>
      <c r="F963" s="3" t="s">
        <v>1485</v>
      </c>
      <c r="G963" s="18">
        <v>7043950000</v>
      </c>
      <c r="H963" s="34" t="e">
        <f ca="1">[2]!a_eb("CDT,{P1},,2017013,,YA,,,","K=Acc_Code,F={P2},O=B",H$1,$F963)</f>
        <v>#NAME?</v>
      </c>
      <c r="I963" s="34" t="e">
        <f ca="1">[2]!a_eb("CDT,{P1},,2017013,,YA,,,","K=Acc_Code,F={P2},O=B",I$1,$F963)</f>
        <v>#NAME?</v>
      </c>
    </row>
    <row r="964" spans="1:9">
      <c r="A964" s="11" t="s">
        <v>1497</v>
      </c>
      <c r="B964" s="20" t="s">
        <v>2374</v>
      </c>
      <c r="C964" s="28" t="e">
        <f t="shared" ca="1" si="14"/>
        <v>#N/A</v>
      </c>
      <c r="F964" s="3" t="s">
        <v>1485</v>
      </c>
      <c r="G964" s="18">
        <v>7043960000</v>
      </c>
      <c r="H964" s="34" t="e">
        <f ca="1">[2]!a_eb("CDT,{P1},,2017013,,YA,,,","K=Acc_Code,F={P2},O=B",H$1,$F964)</f>
        <v>#NAME?</v>
      </c>
      <c r="I964" s="34" t="e">
        <f ca="1">[2]!a_eb("CDT,{P1},,2017013,,YA,,,","K=Acc_Code,F={P2},O=B",I$1,$F964)</f>
        <v>#NAME?</v>
      </c>
    </row>
    <row r="965" spans="1:9">
      <c r="A965" s="11">
        <v>2212100000</v>
      </c>
      <c r="B965" s="20" t="s">
        <v>2375</v>
      </c>
      <c r="C965" s="28" t="e">
        <f t="shared" ca="1" si="14"/>
        <v>#N/A</v>
      </c>
      <c r="F965" s="3" t="s">
        <v>1485</v>
      </c>
      <c r="G965" s="18">
        <v>7043970000</v>
      </c>
      <c r="H965" s="34" t="e">
        <f ca="1">[2]!a_eb("CDT,{P1},,2017013,,YA,,,","K=Acc_Code,F={P2},O=B",H$1,$F965)</f>
        <v>#NAME?</v>
      </c>
      <c r="I965" s="34" t="e">
        <f ca="1">[2]!a_eb("CDT,{P1},,2017013,,YA,,,","K=Acc_Code,F={P2},O=B",I$1,$F965)</f>
        <v>#NAME?</v>
      </c>
    </row>
    <row r="966" spans="1:9">
      <c r="A966" s="11">
        <v>2212200000</v>
      </c>
      <c r="B966" s="20" t="s">
        <v>2376</v>
      </c>
      <c r="C966" s="28" t="e">
        <f t="shared" ca="1" si="14"/>
        <v>#N/A</v>
      </c>
    </row>
    <row r="967" spans="1:9">
      <c r="A967" s="11" t="s">
        <v>1497</v>
      </c>
      <c r="B967" s="20" t="s">
        <v>2377</v>
      </c>
      <c r="C967" s="28" t="e">
        <f t="shared" ca="1" si="14"/>
        <v>#N/A</v>
      </c>
    </row>
    <row r="968" spans="1:9">
      <c r="A968" s="11">
        <v>2212100000</v>
      </c>
      <c r="B968" s="20" t="s">
        <v>2378</v>
      </c>
      <c r="C968" s="28" t="e">
        <f t="shared" ca="1" si="14"/>
        <v>#N/A</v>
      </c>
    </row>
    <row r="969" spans="1:9">
      <c r="A969" s="11">
        <v>2212200000</v>
      </c>
      <c r="B969" s="20" t="s">
        <v>2379</v>
      </c>
      <c r="C969" s="28" t="e">
        <f t="shared" ca="1" si="14"/>
        <v>#N/A</v>
      </c>
    </row>
    <row r="970" spans="1:9">
      <c r="A970" s="11" t="s">
        <v>1497</v>
      </c>
      <c r="B970" s="20" t="s">
        <v>2380</v>
      </c>
      <c r="C970" s="28" t="e">
        <f t="shared" ca="1" si="14"/>
        <v>#N/A</v>
      </c>
    </row>
    <row r="971" spans="1:9">
      <c r="A971" s="11">
        <v>2212310000</v>
      </c>
      <c r="B971" s="20" t="s">
        <v>2381</v>
      </c>
      <c r="C971" s="28" t="e">
        <f t="shared" ca="1" si="14"/>
        <v>#N/A</v>
      </c>
    </row>
    <row r="972" spans="1:9">
      <c r="A972" s="11" t="s">
        <v>1497</v>
      </c>
      <c r="B972" s="20" t="s">
        <v>2382</v>
      </c>
      <c r="C972" s="28" t="e">
        <f t="shared" ca="1" si="14"/>
        <v>#N/A</v>
      </c>
    </row>
    <row r="973" spans="1:9">
      <c r="A973" s="11">
        <v>2230010000</v>
      </c>
      <c r="B973" s="20" t="s">
        <v>2383</v>
      </c>
      <c r="C973" s="28" t="e">
        <f t="shared" ca="1" si="14"/>
        <v>#N/A</v>
      </c>
    </row>
    <row r="974" spans="1:9">
      <c r="A974" s="11">
        <v>2231010000</v>
      </c>
      <c r="B974" s="20" t="s">
        <v>2384</v>
      </c>
      <c r="C974" s="28" t="e">
        <f t="shared" ca="1" si="14"/>
        <v>#N/A</v>
      </c>
    </row>
    <row r="975" spans="1:9">
      <c r="A975" s="11">
        <v>2212100000</v>
      </c>
      <c r="B975" s="20" t="s">
        <v>2385</v>
      </c>
      <c r="C975" s="28" t="e">
        <f t="shared" ca="1" si="14"/>
        <v>#N/A</v>
      </c>
    </row>
    <row r="976" spans="1:9">
      <c r="A976" s="11">
        <v>2212200000</v>
      </c>
      <c r="B976" s="20" t="s">
        <v>2386</v>
      </c>
      <c r="C976" s="28" t="e">
        <f t="shared" ca="1" si="14"/>
        <v>#N/A</v>
      </c>
    </row>
    <row r="977" spans="1:3">
      <c r="A977" s="11">
        <v>2016100000</v>
      </c>
      <c r="B977" s="20" t="s">
        <v>2387</v>
      </c>
      <c r="C977" s="28" t="e">
        <f t="shared" ca="1" si="14"/>
        <v>#N/A</v>
      </c>
    </row>
    <row r="978" spans="1:3">
      <c r="A978" s="11">
        <v>2016200000</v>
      </c>
      <c r="B978" s="20" t="s">
        <v>2388</v>
      </c>
      <c r="C978" s="28" t="e">
        <f t="shared" ca="1" si="14"/>
        <v>#N/A</v>
      </c>
    </row>
    <row r="979" spans="1:3">
      <c r="A979" s="11">
        <v>2230010010</v>
      </c>
      <c r="B979" s="20" t="s">
        <v>2389</v>
      </c>
      <c r="C979" s="28" t="e">
        <f t="shared" ca="1" si="14"/>
        <v>#N/A</v>
      </c>
    </row>
    <row r="980" spans="1:3">
      <c r="A980" s="11">
        <v>2231010010</v>
      </c>
      <c r="B980" s="20" t="s">
        <v>2390</v>
      </c>
      <c r="C980" s="28" t="e">
        <f t="shared" ca="1" si="14"/>
        <v>#N/A</v>
      </c>
    </row>
    <row r="981" spans="1:3">
      <c r="A981" s="11">
        <v>2700004000</v>
      </c>
      <c r="B981" s="20" t="s">
        <v>2391</v>
      </c>
      <c r="C981" s="28" t="e">
        <f t="shared" ca="1" si="14"/>
        <v>#N/A</v>
      </c>
    </row>
    <row r="982" spans="1:3">
      <c r="A982" s="11">
        <v>2700005000</v>
      </c>
      <c r="B982" s="20" t="s">
        <v>2392</v>
      </c>
      <c r="C982" s="28" t="e">
        <f t="shared" ca="1" si="14"/>
        <v>#N/A</v>
      </c>
    </row>
    <row r="983" spans="1:3">
      <c r="A983" s="11">
        <v>2230110010</v>
      </c>
      <c r="B983" s="20" t="s">
        <v>2393</v>
      </c>
      <c r="C983" s="28" t="e">
        <f t="shared" ca="1" si="14"/>
        <v>#N/A</v>
      </c>
    </row>
    <row r="984" spans="1:3">
      <c r="A984" s="11">
        <v>2231110010</v>
      </c>
      <c r="B984" s="20" t="s">
        <v>2394</v>
      </c>
      <c r="C984" s="28" t="e">
        <f t="shared" ca="1" si="14"/>
        <v>#N/A</v>
      </c>
    </row>
    <row r="985" spans="1:3">
      <c r="A985" s="11">
        <v>2700000005</v>
      </c>
      <c r="B985" s="20" t="s">
        <v>2395</v>
      </c>
      <c r="C985" s="28" t="e">
        <f t="shared" ca="1" si="14"/>
        <v>#N/A</v>
      </c>
    </row>
    <row r="986" spans="1:3">
      <c r="A986" s="11">
        <v>2760000001</v>
      </c>
      <c r="B986" s="20" t="s">
        <v>2396</v>
      </c>
      <c r="C986" s="28" t="e">
        <f t="shared" ca="1" si="14"/>
        <v>#N/A</v>
      </c>
    </row>
    <row r="987" spans="1:3">
      <c r="A987" s="11">
        <v>2760000001</v>
      </c>
      <c r="B987" s="20" t="s">
        <v>2397</v>
      </c>
      <c r="C987" s="28" t="e">
        <f t="shared" ca="1" si="14"/>
        <v>#N/A</v>
      </c>
    </row>
    <row r="988" spans="1:3">
      <c r="A988" s="11">
        <v>2760000001</v>
      </c>
      <c r="B988" s="20" t="s">
        <v>2398</v>
      </c>
      <c r="C988" s="28" t="e">
        <f t="shared" ca="1" si="14"/>
        <v>#N/A</v>
      </c>
    </row>
    <row r="989" spans="1:3">
      <c r="A989" s="11">
        <v>2760000001</v>
      </c>
      <c r="B989" s="20" t="s">
        <v>2399</v>
      </c>
      <c r="C989" s="28" t="e">
        <f t="shared" ca="1" si="14"/>
        <v>#N/A</v>
      </c>
    </row>
    <row r="990" spans="1:3">
      <c r="A990" s="11">
        <v>2760000001</v>
      </c>
      <c r="B990" s="20" t="s">
        <v>2400</v>
      </c>
      <c r="C990" s="28" t="e">
        <f t="shared" ca="1" si="14"/>
        <v>#N/A</v>
      </c>
    </row>
    <row r="991" spans="1:3">
      <c r="A991" s="11">
        <v>2760000001</v>
      </c>
      <c r="B991" s="20" t="s">
        <v>2401</v>
      </c>
      <c r="C991" s="28" t="e">
        <f t="shared" ca="1" si="14"/>
        <v>#N/A</v>
      </c>
    </row>
    <row r="992" spans="1:3">
      <c r="A992" s="11">
        <v>2760000001</v>
      </c>
      <c r="B992" s="20" t="s">
        <v>2402</v>
      </c>
      <c r="C992" s="28" t="e">
        <f t="shared" ca="1" si="14"/>
        <v>#N/A</v>
      </c>
    </row>
    <row r="993" spans="1:3">
      <c r="A993" s="11">
        <v>2760000001</v>
      </c>
      <c r="B993" s="20" t="s">
        <v>2403</v>
      </c>
      <c r="C993" s="28" t="e">
        <f t="shared" ca="1" si="14"/>
        <v>#N/A</v>
      </c>
    </row>
    <row r="994" spans="1:3">
      <c r="A994" s="11">
        <v>2760000000</v>
      </c>
      <c r="B994" s="20" t="s">
        <v>2404</v>
      </c>
      <c r="C994" s="28" t="e">
        <f t="shared" ca="1" si="14"/>
        <v>#N/A</v>
      </c>
    </row>
    <row r="995" spans="1:3">
      <c r="A995" s="11">
        <v>2760000001</v>
      </c>
      <c r="B995" s="20" t="s">
        <v>2405</v>
      </c>
      <c r="C995" s="28" t="e">
        <f t="shared" ca="1" si="14"/>
        <v>#N/A</v>
      </c>
    </row>
    <row r="996" spans="1:3">
      <c r="A996" s="11">
        <v>2761001500</v>
      </c>
      <c r="B996" s="20" t="s">
        <v>2406</v>
      </c>
      <c r="C996" s="28" t="e">
        <f t="shared" ca="1" si="14"/>
        <v>#N/A</v>
      </c>
    </row>
    <row r="997" spans="1:3">
      <c r="A997" s="11">
        <v>2760000001</v>
      </c>
      <c r="B997" s="20" t="s">
        <v>2407</v>
      </c>
      <c r="C997" s="28" t="e">
        <f t="shared" ca="1" si="14"/>
        <v>#N/A</v>
      </c>
    </row>
    <row r="998" spans="1:3">
      <c r="A998" s="11">
        <v>2760000001</v>
      </c>
      <c r="B998" s="20" t="s">
        <v>2408</v>
      </c>
      <c r="C998" s="28" t="e">
        <f t="shared" ca="1" si="14"/>
        <v>#N/A</v>
      </c>
    </row>
    <row r="999" spans="1:3">
      <c r="A999" s="11">
        <v>2760000001</v>
      </c>
      <c r="B999" s="20" t="s">
        <v>2409</v>
      </c>
      <c r="C999" s="28" t="e">
        <f t="shared" ca="1" si="14"/>
        <v>#N/A</v>
      </c>
    </row>
    <row r="1000" spans="1:3">
      <c r="A1000" s="11">
        <v>2760000001</v>
      </c>
      <c r="B1000" s="20" t="s">
        <v>2410</v>
      </c>
      <c r="C1000" s="28" t="e">
        <f t="shared" ca="1" si="14"/>
        <v>#N/A</v>
      </c>
    </row>
    <row r="1001" spans="1:3">
      <c r="A1001" s="11">
        <v>4111001500</v>
      </c>
      <c r="B1001" s="20" t="s">
        <v>2410</v>
      </c>
      <c r="C1001" s="28" t="e">
        <f t="shared" ca="1" si="14"/>
        <v>#N/A</v>
      </c>
    </row>
    <row r="1002" spans="1:3">
      <c r="A1002" s="11" t="s">
        <v>1497</v>
      </c>
      <c r="B1002" s="20" t="s">
        <v>2411</v>
      </c>
      <c r="C1002" s="28" t="e">
        <f t="shared" ref="C1002:C1065" ca="1" si="15">VLOOKUP(B1002,F:G,2,0)</f>
        <v>#N/A</v>
      </c>
    </row>
    <row r="1003" spans="1:3">
      <c r="A1003" s="11">
        <v>2201000000</v>
      </c>
      <c r="B1003" s="20" t="s">
        <v>2412</v>
      </c>
      <c r="C1003" s="28" t="e">
        <f t="shared" ca="1" si="15"/>
        <v>#N/A</v>
      </c>
    </row>
    <row r="1004" spans="1:3">
      <c r="A1004" s="11">
        <v>2203000000</v>
      </c>
      <c r="B1004" s="20" t="s">
        <v>2413</v>
      </c>
      <c r="C1004" s="28" t="e">
        <f t="shared" ca="1" si="15"/>
        <v>#N/A</v>
      </c>
    </row>
    <row r="1005" spans="1:3">
      <c r="A1005" s="11">
        <v>2201000030</v>
      </c>
      <c r="B1005" s="20" t="s">
        <v>2414</v>
      </c>
      <c r="C1005" s="28" t="e">
        <f t="shared" ca="1" si="15"/>
        <v>#N/A</v>
      </c>
    </row>
    <row r="1006" spans="1:3">
      <c r="A1006" s="11">
        <v>2201200030</v>
      </c>
      <c r="B1006" s="20" t="s">
        <v>2415</v>
      </c>
      <c r="C1006" s="28" t="e">
        <f t="shared" ca="1" si="15"/>
        <v>#N/A</v>
      </c>
    </row>
    <row r="1007" spans="1:3">
      <c r="A1007" s="11">
        <v>2201000010</v>
      </c>
      <c r="B1007" s="20" t="s">
        <v>2416</v>
      </c>
      <c r="C1007" s="28" t="e">
        <f t="shared" ca="1" si="15"/>
        <v>#N/A</v>
      </c>
    </row>
    <row r="1008" spans="1:3">
      <c r="A1008" s="11">
        <v>2203000010</v>
      </c>
      <c r="B1008" s="20" t="s">
        <v>2417</v>
      </c>
      <c r="C1008" s="28" t="e">
        <f t="shared" ca="1" si="15"/>
        <v>#N/A</v>
      </c>
    </row>
    <row r="1009" spans="1:3">
      <c r="A1009" s="11">
        <v>2201300000</v>
      </c>
      <c r="B1009" s="20" t="s">
        <v>2418</v>
      </c>
      <c r="C1009" s="28" t="e">
        <f t="shared" ca="1" si="15"/>
        <v>#N/A</v>
      </c>
    </row>
    <row r="1010" spans="1:3">
      <c r="A1010" s="11">
        <v>2201400000</v>
      </c>
      <c r="B1010" s="20" t="s">
        <v>2419</v>
      </c>
      <c r="C1010" s="28" t="e">
        <f t="shared" ca="1" si="15"/>
        <v>#N/A</v>
      </c>
    </row>
    <row r="1011" spans="1:3">
      <c r="A1011" s="11">
        <v>2700000310</v>
      </c>
      <c r="B1011" s="20" t="s">
        <v>2420</v>
      </c>
      <c r="C1011" s="28" t="e">
        <f t="shared" ca="1" si="15"/>
        <v>#N/A</v>
      </c>
    </row>
    <row r="1012" spans="1:3">
      <c r="A1012" s="11" t="s">
        <v>1497</v>
      </c>
      <c r="B1012" s="20" t="s">
        <v>2421</v>
      </c>
      <c r="C1012" s="28" t="e">
        <f t="shared" ca="1" si="15"/>
        <v>#N/A</v>
      </c>
    </row>
    <row r="1013" spans="1:3">
      <c r="A1013" s="11" t="s">
        <v>1497</v>
      </c>
      <c r="B1013" s="20" t="s">
        <v>2422</v>
      </c>
      <c r="C1013" s="28" t="e">
        <f t="shared" ca="1" si="15"/>
        <v>#N/A</v>
      </c>
    </row>
    <row r="1014" spans="1:3">
      <c r="A1014" s="11">
        <v>4020000000</v>
      </c>
      <c r="B1014" s="20" t="s">
        <v>2423</v>
      </c>
      <c r="C1014" s="28" t="e">
        <f t="shared" ca="1" si="15"/>
        <v>#N/A</v>
      </c>
    </row>
    <row r="1015" spans="1:3">
      <c r="A1015" s="11">
        <v>4032002000</v>
      </c>
      <c r="B1015" s="20" t="s">
        <v>2424</v>
      </c>
      <c r="C1015" s="28" t="e">
        <f t="shared" ca="1" si="15"/>
        <v>#N/A</v>
      </c>
    </row>
    <row r="1016" spans="1:3">
      <c r="A1016" s="11">
        <v>4032001500</v>
      </c>
      <c r="B1016" s="20" t="s">
        <v>2424</v>
      </c>
      <c r="C1016" s="28" t="e">
        <f t="shared" ca="1" si="15"/>
        <v>#N/A</v>
      </c>
    </row>
    <row r="1017" spans="1:3">
      <c r="A1017" s="11">
        <v>4032002000</v>
      </c>
      <c r="B1017" s="20" t="s">
        <v>2425</v>
      </c>
      <c r="C1017" s="28" t="e">
        <f t="shared" ca="1" si="15"/>
        <v>#N/A</v>
      </c>
    </row>
    <row r="1018" spans="1:3">
      <c r="A1018" s="11">
        <v>3100100000</v>
      </c>
      <c r="B1018" s="20" t="s">
        <v>2426</v>
      </c>
      <c r="C1018" s="28" t="e">
        <f t="shared" ca="1" si="15"/>
        <v>#N/A</v>
      </c>
    </row>
    <row r="1019" spans="1:3">
      <c r="A1019" s="11">
        <v>3010000000</v>
      </c>
      <c r="B1019" s="20" t="s">
        <v>2427</v>
      </c>
      <c r="C1019" s="28" t="e">
        <f t="shared" ca="1" si="15"/>
        <v>#N/A</v>
      </c>
    </row>
    <row r="1020" spans="1:3">
      <c r="A1020" s="11">
        <v>3010000006</v>
      </c>
      <c r="B1020" s="20" t="s">
        <v>2428</v>
      </c>
      <c r="C1020" s="28" t="e">
        <f t="shared" ca="1" si="15"/>
        <v>#N/A</v>
      </c>
    </row>
    <row r="1021" spans="1:3">
      <c r="A1021" s="11">
        <v>3030000000</v>
      </c>
      <c r="B1021" s="20" t="s">
        <v>2429</v>
      </c>
      <c r="C1021" s="28" t="e">
        <f t="shared" ca="1" si="15"/>
        <v>#N/A</v>
      </c>
    </row>
    <row r="1022" spans="1:3">
      <c r="A1022" s="11">
        <v>3030000010</v>
      </c>
      <c r="B1022" s="20" t="s">
        <v>2430</v>
      </c>
      <c r="C1022" s="28" t="e">
        <f t="shared" ca="1" si="15"/>
        <v>#N/A</v>
      </c>
    </row>
    <row r="1023" spans="1:3">
      <c r="A1023" s="11">
        <v>3020000000</v>
      </c>
      <c r="B1023" s="20" t="s">
        <v>2431</v>
      </c>
      <c r="C1023" s="28" t="e">
        <f t="shared" ca="1" si="15"/>
        <v>#N/A</v>
      </c>
    </row>
    <row r="1024" spans="1:3">
      <c r="A1024" s="11">
        <v>3540009011</v>
      </c>
      <c r="B1024" s="20" t="s">
        <v>2432</v>
      </c>
      <c r="C1024" s="28" t="e">
        <f t="shared" ca="1" si="15"/>
        <v>#N/A</v>
      </c>
    </row>
    <row r="1025" spans="1:3">
      <c r="A1025" s="11">
        <v>3540009012</v>
      </c>
      <c r="B1025" s="20" t="s">
        <v>2433</v>
      </c>
      <c r="C1025" s="28" t="e">
        <f t="shared" ca="1" si="15"/>
        <v>#N/A</v>
      </c>
    </row>
    <row r="1026" spans="1:3">
      <c r="A1026" s="11">
        <v>3540009013</v>
      </c>
      <c r="B1026" s="20" t="s">
        <v>2434</v>
      </c>
      <c r="C1026" s="28" t="e">
        <f t="shared" ca="1" si="15"/>
        <v>#N/A</v>
      </c>
    </row>
    <row r="1027" spans="1:3">
      <c r="A1027" s="11">
        <v>3540009014</v>
      </c>
      <c r="B1027" s="20" t="s">
        <v>2435</v>
      </c>
      <c r="C1027" s="28" t="e">
        <f t="shared" ca="1" si="15"/>
        <v>#N/A</v>
      </c>
    </row>
    <row r="1028" spans="1:3">
      <c r="A1028" s="11">
        <v>3540009015</v>
      </c>
      <c r="B1028" s="20" t="s">
        <v>2436</v>
      </c>
      <c r="C1028" s="28" t="e">
        <f t="shared" ca="1" si="15"/>
        <v>#N/A</v>
      </c>
    </row>
    <row r="1029" spans="1:3">
      <c r="A1029" s="11">
        <v>3540009016</v>
      </c>
      <c r="B1029" s="20" t="s">
        <v>2437</v>
      </c>
      <c r="C1029" s="28" t="e">
        <f t="shared" ca="1" si="15"/>
        <v>#N/A</v>
      </c>
    </row>
    <row r="1030" spans="1:3">
      <c r="A1030" s="11">
        <v>3540009017</v>
      </c>
      <c r="B1030" s="20" t="s">
        <v>2438</v>
      </c>
      <c r="C1030" s="28" t="e">
        <f t="shared" ca="1" si="15"/>
        <v>#N/A</v>
      </c>
    </row>
    <row r="1031" spans="1:3">
      <c r="A1031" s="11">
        <v>3540009018</v>
      </c>
      <c r="B1031" s="20" t="s">
        <v>2439</v>
      </c>
      <c r="C1031" s="28" t="e">
        <f t="shared" ca="1" si="15"/>
        <v>#N/A</v>
      </c>
    </row>
    <row r="1032" spans="1:3">
      <c r="A1032" s="11">
        <v>3100000000</v>
      </c>
      <c r="B1032" s="20" t="s">
        <v>2440</v>
      </c>
      <c r="C1032" s="28" t="e">
        <f t="shared" ca="1" si="15"/>
        <v>#N/A</v>
      </c>
    </row>
    <row r="1033" spans="1:3">
      <c r="A1033" s="11">
        <v>3800000000</v>
      </c>
      <c r="B1033" s="20" t="s">
        <v>2441</v>
      </c>
      <c r="C1033" s="28" t="e">
        <f t="shared" ca="1" si="15"/>
        <v>#N/A</v>
      </c>
    </row>
    <row r="1034" spans="1:3">
      <c r="A1034" s="11">
        <v>3800000010</v>
      </c>
      <c r="B1034" s="20" t="s">
        <v>2442</v>
      </c>
      <c r="C1034" s="28" t="e">
        <f t="shared" ca="1" si="15"/>
        <v>#N/A</v>
      </c>
    </row>
    <row r="1035" spans="1:3">
      <c r="A1035" s="11">
        <v>3810000000</v>
      </c>
      <c r="B1035" s="20" t="s">
        <v>2443</v>
      </c>
      <c r="C1035" s="28" t="e">
        <f t="shared" ca="1" si="15"/>
        <v>#N/A</v>
      </c>
    </row>
    <row r="1036" spans="1:3">
      <c r="A1036" s="11">
        <v>3130001500</v>
      </c>
      <c r="B1036" s="20" t="s">
        <v>2444</v>
      </c>
      <c r="C1036" s="28" t="e">
        <f t="shared" ca="1" si="15"/>
        <v>#N/A</v>
      </c>
    </row>
    <row r="1037" spans="1:3">
      <c r="A1037" s="11">
        <v>4010000000</v>
      </c>
      <c r="B1037" s="20" t="s">
        <v>2445</v>
      </c>
      <c r="C1037" s="28" t="e">
        <f t="shared" ca="1" si="15"/>
        <v>#N/A</v>
      </c>
    </row>
    <row r="1038" spans="1:3">
      <c r="A1038" s="11">
        <v>4010100000</v>
      </c>
      <c r="B1038" s="20" t="s">
        <v>2446</v>
      </c>
      <c r="C1038" s="28" t="e">
        <f t="shared" ca="1" si="15"/>
        <v>#N/A</v>
      </c>
    </row>
    <row r="1039" spans="1:3">
      <c r="A1039" s="11">
        <v>3540009080</v>
      </c>
      <c r="B1039" s="20" t="s">
        <v>2447</v>
      </c>
      <c r="C1039" s="28" t="e">
        <f t="shared" ca="1" si="15"/>
        <v>#N/A</v>
      </c>
    </row>
    <row r="1040" spans="1:3">
      <c r="A1040" s="11">
        <v>3103000000</v>
      </c>
      <c r="B1040" s="20" t="s">
        <v>2448</v>
      </c>
      <c r="C1040" s="28" t="e">
        <f t="shared" ca="1" si="15"/>
        <v>#N/A</v>
      </c>
    </row>
    <row r="1041" spans="1:3">
      <c r="A1041" s="11">
        <v>3103001000</v>
      </c>
      <c r="B1041" s="20" t="s">
        <v>2449</v>
      </c>
      <c r="C1041" s="28" t="e">
        <f t="shared" ca="1" si="15"/>
        <v>#N/A</v>
      </c>
    </row>
    <row r="1042" spans="1:3">
      <c r="A1042" s="11">
        <v>4011000000</v>
      </c>
      <c r="B1042" s="20" t="s">
        <v>2450</v>
      </c>
      <c r="C1042" s="28" t="e">
        <f t="shared" ca="1" si="15"/>
        <v>#N/A</v>
      </c>
    </row>
    <row r="1043" spans="1:3">
      <c r="A1043" s="11">
        <v>3500000010</v>
      </c>
      <c r="B1043" s="20" t="s">
        <v>2451</v>
      </c>
      <c r="C1043" s="28" t="e">
        <f t="shared" ca="1" si="15"/>
        <v>#N/A</v>
      </c>
    </row>
    <row r="1044" spans="1:3">
      <c r="A1044" s="11">
        <v>3100000050</v>
      </c>
      <c r="B1044" s="20" t="s">
        <v>2452</v>
      </c>
      <c r="C1044" s="28" t="e">
        <f t="shared" ca="1" si="15"/>
        <v>#N/A</v>
      </c>
    </row>
    <row r="1045" spans="1:3">
      <c r="A1045" s="11">
        <v>3710000001</v>
      </c>
      <c r="B1045" s="20" t="s">
        <v>2453</v>
      </c>
      <c r="C1045" s="28" t="e">
        <f t="shared" ca="1" si="15"/>
        <v>#N/A</v>
      </c>
    </row>
    <row r="1046" spans="1:3">
      <c r="A1046" s="11">
        <v>3710000002</v>
      </c>
      <c r="B1046" s="20" t="s">
        <v>2454</v>
      </c>
      <c r="C1046" s="28" t="e">
        <f t="shared" ca="1" si="15"/>
        <v>#N/A</v>
      </c>
    </row>
    <row r="1047" spans="1:3">
      <c r="A1047" s="11">
        <v>3710000003</v>
      </c>
      <c r="B1047" s="20" t="s">
        <v>2455</v>
      </c>
      <c r="C1047" s="28" t="e">
        <f t="shared" ca="1" si="15"/>
        <v>#N/A</v>
      </c>
    </row>
    <row r="1048" spans="1:3">
      <c r="A1048" s="11">
        <v>3710000000</v>
      </c>
      <c r="B1048" s="20" t="s">
        <v>2456</v>
      </c>
      <c r="C1048" s="28" t="e">
        <f t="shared" ca="1" si="15"/>
        <v>#N/A</v>
      </c>
    </row>
    <row r="1049" spans="1:3">
      <c r="A1049" s="11">
        <v>3710000100</v>
      </c>
      <c r="B1049" s="20" t="s">
        <v>2457</v>
      </c>
      <c r="C1049" s="28" t="e">
        <f t="shared" ca="1" si="15"/>
        <v>#N/A</v>
      </c>
    </row>
    <row r="1050" spans="1:3">
      <c r="A1050" s="11">
        <v>4232100011</v>
      </c>
      <c r="B1050" s="20" t="s">
        <v>2458</v>
      </c>
      <c r="C1050" s="28" t="e">
        <f t="shared" ca="1" si="15"/>
        <v>#N/A</v>
      </c>
    </row>
    <row r="1051" spans="1:3">
      <c r="A1051" s="11">
        <v>4200000160</v>
      </c>
      <c r="B1051" s="20" t="s">
        <v>2459</v>
      </c>
      <c r="C1051" s="28" t="e">
        <f t="shared" ca="1" si="15"/>
        <v>#N/A</v>
      </c>
    </row>
    <row r="1052" spans="1:3">
      <c r="A1052" s="11">
        <v>4200000161</v>
      </c>
      <c r="B1052" s="20" t="s">
        <v>2460</v>
      </c>
      <c r="C1052" s="28" t="e">
        <f t="shared" ca="1" si="15"/>
        <v>#N/A</v>
      </c>
    </row>
    <row r="1053" spans="1:3">
      <c r="A1053" s="11">
        <v>4200000140</v>
      </c>
      <c r="B1053" s="20" t="s">
        <v>2461</v>
      </c>
      <c r="C1053" s="28" t="e">
        <f t="shared" ca="1" si="15"/>
        <v>#N/A</v>
      </c>
    </row>
    <row r="1054" spans="1:3">
      <c r="A1054" s="11" t="s">
        <v>1497</v>
      </c>
      <c r="B1054" s="20" t="s">
        <v>2462</v>
      </c>
      <c r="C1054" s="28" t="e">
        <f t="shared" ca="1" si="15"/>
        <v>#N/A</v>
      </c>
    </row>
    <row r="1055" spans="1:3">
      <c r="A1055" s="11">
        <v>4200000162</v>
      </c>
      <c r="B1055" s="20" t="s">
        <v>2463</v>
      </c>
      <c r="C1055" s="28" t="e">
        <f t="shared" ca="1" si="15"/>
        <v>#N/A</v>
      </c>
    </row>
    <row r="1056" spans="1:3">
      <c r="A1056" s="11">
        <v>4200000150</v>
      </c>
      <c r="B1056" s="20" t="s">
        <v>2464</v>
      </c>
      <c r="C1056" s="28" t="e">
        <f t="shared" ca="1" si="15"/>
        <v>#N/A</v>
      </c>
    </row>
    <row r="1057" spans="1:3">
      <c r="A1057" s="11">
        <v>4200000151</v>
      </c>
      <c r="B1057" s="20" t="s">
        <v>2465</v>
      </c>
      <c r="C1057" s="28" t="e">
        <f t="shared" ca="1" si="15"/>
        <v>#N/A</v>
      </c>
    </row>
    <row r="1058" spans="1:3">
      <c r="A1058" s="11">
        <v>4200000152</v>
      </c>
      <c r="B1058" s="20" t="s">
        <v>2466</v>
      </c>
      <c r="C1058" s="28" t="e">
        <f t="shared" ca="1" si="15"/>
        <v>#N/A</v>
      </c>
    </row>
    <row r="1059" spans="1:3">
      <c r="A1059" s="11">
        <v>4200000153</v>
      </c>
      <c r="B1059" s="20" t="s">
        <v>2467</v>
      </c>
      <c r="C1059" s="28" t="e">
        <f t="shared" ca="1" si="15"/>
        <v>#N/A</v>
      </c>
    </row>
    <row r="1060" spans="1:3">
      <c r="A1060" s="11">
        <v>4200000154</v>
      </c>
      <c r="B1060" s="20" t="s">
        <v>2468</v>
      </c>
      <c r="C1060" s="28" t="e">
        <f t="shared" ca="1" si="15"/>
        <v>#N/A</v>
      </c>
    </row>
    <row r="1061" spans="1:3">
      <c r="A1061" s="11">
        <v>4200000155</v>
      </c>
      <c r="B1061" s="20" t="s">
        <v>2469</v>
      </c>
      <c r="C1061" s="28" t="e">
        <f t="shared" ca="1" si="15"/>
        <v>#N/A</v>
      </c>
    </row>
    <row r="1062" spans="1:3">
      <c r="A1062" s="11">
        <v>4200000156</v>
      </c>
      <c r="B1062" s="20" t="s">
        <v>2470</v>
      </c>
      <c r="C1062" s="28" t="e">
        <f t="shared" ca="1" si="15"/>
        <v>#N/A</v>
      </c>
    </row>
    <row r="1063" spans="1:3">
      <c r="A1063" s="11">
        <v>4203000000</v>
      </c>
      <c r="B1063" s="20" t="s">
        <v>2471</v>
      </c>
      <c r="C1063" s="28" t="e">
        <f t="shared" ca="1" si="15"/>
        <v>#N/A</v>
      </c>
    </row>
    <row r="1064" spans="1:3">
      <c r="A1064" s="11">
        <v>4210001500</v>
      </c>
      <c r="B1064" s="20" t="s">
        <v>2472</v>
      </c>
      <c r="C1064" s="28" t="e">
        <f t="shared" ca="1" si="15"/>
        <v>#N/A</v>
      </c>
    </row>
    <row r="1065" spans="1:3">
      <c r="A1065" s="11">
        <v>4212001500</v>
      </c>
      <c r="B1065" s="20" t="s">
        <v>2473</v>
      </c>
      <c r="C1065" s="28" t="e">
        <f t="shared" ca="1" si="15"/>
        <v>#N/A</v>
      </c>
    </row>
    <row r="1066" spans="1:3">
      <c r="A1066" s="11">
        <v>4201001500</v>
      </c>
      <c r="B1066" s="20" t="s">
        <v>2474</v>
      </c>
      <c r="C1066" s="28" t="e">
        <f t="shared" ref="C1066:C1129" si="16">VLOOKUP(B1066,F:G,2,0)</f>
        <v>#N/A</v>
      </c>
    </row>
    <row r="1067" spans="1:3">
      <c r="A1067" s="11">
        <v>4201001501</v>
      </c>
      <c r="B1067" s="20" t="s">
        <v>2475</v>
      </c>
      <c r="C1067" s="28" t="e">
        <f t="shared" si="16"/>
        <v>#N/A</v>
      </c>
    </row>
    <row r="1068" spans="1:3">
      <c r="A1068" s="11">
        <v>4201001502</v>
      </c>
      <c r="B1068" s="20" t="s">
        <v>2476</v>
      </c>
      <c r="C1068" s="28" t="e">
        <f t="shared" si="16"/>
        <v>#N/A</v>
      </c>
    </row>
    <row r="1069" spans="1:3">
      <c r="A1069" s="11">
        <v>4230042120</v>
      </c>
      <c r="B1069" s="20" t="s">
        <v>2477</v>
      </c>
      <c r="C1069" s="28" t="e">
        <f t="shared" si="16"/>
        <v>#N/A</v>
      </c>
    </row>
    <row r="1070" spans="1:3">
      <c r="A1070" s="11">
        <v>4201001510</v>
      </c>
      <c r="B1070" s="20" t="s">
        <v>2478</v>
      </c>
      <c r="C1070" s="28" t="e">
        <f t="shared" si="16"/>
        <v>#N/A</v>
      </c>
    </row>
    <row r="1071" spans="1:3">
      <c r="A1071" s="11">
        <v>4201001511</v>
      </c>
      <c r="B1071" s="20" t="s">
        <v>2479</v>
      </c>
      <c r="C1071" s="28" t="e">
        <f t="shared" si="16"/>
        <v>#N/A</v>
      </c>
    </row>
    <row r="1072" spans="1:3">
      <c r="A1072" s="11">
        <v>4230042121</v>
      </c>
      <c r="B1072" s="20" t="s">
        <v>2480</v>
      </c>
      <c r="C1072" s="28" t="e">
        <f t="shared" si="16"/>
        <v>#N/A</v>
      </c>
    </row>
    <row r="1073" spans="1:3">
      <c r="A1073" s="11">
        <v>4201001503</v>
      </c>
      <c r="B1073" s="20" t="s">
        <v>2481</v>
      </c>
      <c r="C1073" s="28" t="e">
        <f t="shared" si="16"/>
        <v>#N/A</v>
      </c>
    </row>
    <row r="1074" spans="1:3">
      <c r="A1074" s="11">
        <v>4230042122</v>
      </c>
      <c r="B1074" s="20" t="s">
        <v>2482</v>
      </c>
      <c r="C1074" s="28" t="e">
        <f t="shared" si="16"/>
        <v>#N/A</v>
      </c>
    </row>
    <row r="1075" spans="1:3">
      <c r="A1075" s="11">
        <v>4201001504</v>
      </c>
      <c r="B1075" s="20" t="s">
        <v>2483</v>
      </c>
      <c r="C1075" s="28" t="e">
        <f t="shared" si="16"/>
        <v>#N/A</v>
      </c>
    </row>
    <row r="1076" spans="1:3">
      <c r="A1076" s="11">
        <v>4201001505</v>
      </c>
      <c r="B1076" s="20" t="s">
        <v>2484</v>
      </c>
      <c r="C1076" s="28" t="e">
        <f t="shared" si="16"/>
        <v>#N/A</v>
      </c>
    </row>
    <row r="1077" spans="1:3">
      <c r="A1077" s="11">
        <v>4201001506</v>
      </c>
      <c r="B1077" s="20" t="s">
        <v>2485</v>
      </c>
      <c r="C1077" s="28" t="e">
        <f t="shared" si="16"/>
        <v>#N/A</v>
      </c>
    </row>
    <row r="1078" spans="1:3">
      <c r="A1078" s="11">
        <v>4201001507</v>
      </c>
      <c r="B1078" s="20" t="s">
        <v>2486</v>
      </c>
      <c r="C1078" s="28" t="e">
        <f t="shared" si="16"/>
        <v>#N/A</v>
      </c>
    </row>
    <row r="1079" spans="1:3">
      <c r="A1079" s="11">
        <v>4243000200</v>
      </c>
      <c r="B1079" s="20" t="s">
        <v>2487</v>
      </c>
      <c r="C1079" s="28" t="e">
        <f t="shared" si="16"/>
        <v>#N/A</v>
      </c>
    </row>
    <row r="1080" spans="1:3">
      <c r="A1080" s="11" t="s">
        <v>1497</v>
      </c>
      <c r="B1080" s="20" t="s">
        <v>2488</v>
      </c>
      <c r="C1080" s="28" t="e">
        <f t="shared" si="16"/>
        <v>#N/A</v>
      </c>
    </row>
    <row r="1081" spans="1:3">
      <c r="A1081" s="11" t="s">
        <v>1497</v>
      </c>
      <c r="B1081" s="20" t="s">
        <v>2489</v>
      </c>
      <c r="C1081" s="28" t="e">
        <f t="shared" si="16"/>
        <v>#N/A</v>
      </c>
    </row>
    <row r="1082" spans="1:3">
      <c r="A1082" s="11">
        <v>4202001501</v>
      </c>
      <c r="B1082" s="20" t="s">
        <v>2490</v>
      </c>
      <c r="C1082" s="28" t="e">
        <f t="shared" si="16"/>
        <v>#N/A</v>
      </c>
    </row>
    <row r="1083" spans="1:3">
      <c r="A1083" s="11">
        <v>4202001509</v>
      </c>
      <c r="B1083" s="20" t="s">
        <v>2491</v>
      </c>
      <c r="C1083" s="28" t="e">
        <f t="shared" si="16"/>
        <v>#N/A</v>
      </c>
    </row>
    <row r="1084" spans="1:3">
      <c r="A1084" s="11" t="s">
        <v>1497</v>
      </c>
      <c r="B1084" s="20" t="s">
        <v>2492</v>
      </c>
      <c r="C1084" s="28" t="e">
        <f t="shared" si="16"/>
        <v>#N/A</v>
      </c>
    </row>
    <row r="1085" spans="1:3">
      <c r="A1085" s="11" t="s">
        <v>1497</v>
      </c>
      <c r="B1085" s="20" t="s">
        <v>2493</v>
      </c>
      <c r="C1085" s="28" t="e">
        <f t="shared" si="16"/>
        <v>#N/A</v>
      </c>
    </row>
    <row r="1086" spans="1:3">
      <c r="A1086" s="11" t="s">
        <v>1497</v>
      </c>
      <c r="B1086" s="20" t="s">
        <v>2494</v>
      </c>
      <c r="C1086" s="28" t="e">
        <f t="shared" si="16"/>
        <v>#N/A</v>
      </c>
    </row>
    <row r="1087" spans="1:3">
      <c r="A1087" s="11">
        <v>4202001502</v>
      </c>
      <c r="B1087" s="20" t="s">
        <v>2495</v>
      </c>
      <c r="C1087" s="28" t="e">
        <f t="shared" si="16"/>
        <v>#N/A</v>
      </c>
    </row>
    <row r="1088" spans="1:3">
      <c r="A1088" s="11">
        <v>4202001502</v>
      </c>
      <c r="B1088" s="20" t="s">
        <v>2496</v>
      </c>
      <c r="C1088" s="28" t="e">
        <f t="shared" si="16"/>
        <v>#N/A</v>
      </c>
    </row>
    <row r="1089" spans="1:3">
      <c r="A1089" s="11">
        <v>4202001503</v>
      </c>
      <c r="B1089" s="20" t="s">
        <v>2497</v>
      </c>
      <c r="C1089" s="28" t="e">
        <f t="shared" si="16"/>
        <v>#N/A</v>
      </c>
    </row>
    <row r="1090" spans="1:3">
      <c r="A1090" s="11">
        <v>4202001504</v>
      </c>
      <c r="B1090" s="20" t="s">
        <v>2498</v>
      </c>
      <c r="C1090" s="28" t="e">
        <f t="shared" si="16"/>
        <v>#N/A</v>
      </c>
    </row>
    <row r="1091" spans="1:3">
      <c r="A1091" s="11">
        <v>4202001502</v>
      </c>
      <c r="B1091" s="20" t="s">
        <v>2499</v>
      </c>
      <c r="C1091" s="28" t="e">
        <f t="shared" si="16"/>
        <v>#N/A</v>
      </c>
    </row>
    <row r="1092" spans="1:3">
      <c r="A1092" s="11">
        <v>4202001502</v>
      </c>
      <c r="B1092" s="20" t="s">
        <v>2500</v>
      </c>
      <c r="C1092" s="28" t="e">
        <f t="shared" si="16"/>
        <v>#N/A</v>
      </c>
    </row>
    <row r="1093" spans="1:3">
      <c r="A1093" s="11">
        <v>4202001505</v>
      </c>
      <c r="B1093" s="20" t="s">
        <v>1484</v>
      </c>
      <c r="C1093" s="28">
        <f t="shared" si="16"/>
        <v>4202001505</v>
      </c>
    </row>
    <row r="1094" spans="1:3">
      <c r="A1094" s="11">
        <v>4202001506</v>
      </c>
      <c r="B1094" s="20" t="s">
        <v>2501</v>
      </c>
      <c r="C1094" s="28" t="e">
        <f t="shared" si="16"/>
        <v>#N/A</v>
      </c>
    </row>
    <row r="1095" spans="1:3">
      <c r="A1095" s="11">
        <v>4202001506</v>
      </c>
      <c r="B1095" s="20" t="s">
        <v>2502</v>
      </c>
      <c r="C1095" s="28" t="e">
        <f t="shared" si="16"/>
        <v>#N/A</v>
      </c>
    </row>
    <row r="1096" spans="1:3">
      <c r="A1096" s="11">
        <v>4202001507</v>
      </c>
      <c r="B1096" s="20" t="s">
        <v>2503</v>
      </c>
      <c r="C1096" s="28" t="e">
        <f t="shared" si="16"/>
        <v>#N/A</v>
      </c>
    </row>
    <row r="1097" spans="1:3">
      <c r="A1097" s="11">
        <v>4202001508</v>
      </c>
      <c r="B1097" s="20" t="s">
        <v>2504</v>
      </c>
      <c r="C1097" s="28" t="e">
        <f t="shared" si="16"/>
        <v>#N/A</v>
      </c>
    </row>
    <row r="1098" spans="1:3">
      <c r="A1098" s="11">
        <v>4202001506</v>
      </c>
      <c r="B1098" s="20" t="s">
        <v>2505</v>
      </c>
      <c r="C1098" s="28" t="e">
        <f t="shared" si="16"/>
        <v>#N/A</v>
      </c>
    </row>
    <row r="1099" spans="1:3">
      <c r="A1099" s="11">
        <v>4202001506</v>
      </c>
      <c r="B1099" s="20" t="s">
        <v>2506</v>
      </c>
      <c r="C1099" s="28" t="e">
        <f t="shared" si="16"/>
        <v>#N/A</v>
      </c>
    </row>
    <row r="1100" spans="1:3">
      <c r="A1100" s="11">
        <v>4202001515</v>
      </c>
      <c r="B1100" s="20" t="s">
        <v>1484</v>
      </c>
      <c r="C1100" s="28">
        <f t="shared" si="16"/>
        <v>4202001505</v>
      </c>
    </row>
    <row r="1101" spans="1:3">
      <c r="A1101" s="11">
        <v>4202001511</v>
      </c>
      <c r="B1101" s="20" t="s">
        <v>2507</v>
      </c>
      <c r="C1101" s="28" t="e">
        <f t="shared" si="16"/>
        <v>#N/A</v>
      </c>
    </row>
    <row r="1102" spans="1:3">
      <c r="A1102" s="11" t="s">
        <v>1497</v>
      </c>
      <c r="B1102" s="20" t="s">
        <v>2508</v>
      </c>
      <c r="C1102" s="28" t="e">
        <f t="shared" si="16"/>
        <v>#N/A</v>
      </c>
    </row>
    <row r="1103" spans="1:3">
      <c r="A1103" s="11">
        <v>4202001512</v>
      </c>
      <c r="B1103" s="20" t="s">
        <v>2509</v>
      </c>
      <c r="C1103" s="28" t="e">
        <f t="shared" si="16"/>
        <v>#N/A</v>
      </c>
    </row>
    <row r="1104" spans="1:3">
      <c r="A1104" s="11" t="s">
        <v>1497</v>
      </c>
      <c r="B1104" s="20" t="s">
        <v>2510</v>
      </c>
      <c r="C1104" s="28" t="e">
        <f t="shared" si="16"/>
        <v>#N/A</v>
      </c>
    </row>
    <row r="1105" spans="1:3">
      <c r="A1105" s="11" t="s">
        <v>1497</v>
      </c>
      <c r="B1105" s="20" t="s">
        <v>2511</v>
      </c>
      <c r="C1105" s="28" t="e">
        <f t="shared" si="16"/>
        <v>#N/A</v>
      </c>
    </row>
    <row r="1106" spans="1:3">
      <c r="A1106" s="11" t="s">
        <v>1497</v>
      </c>
      <c r="B1106" s="20" t="s">
        <v>2512</v>
      </c>
      <c r="C1106" s="28" t="e">
        <f t="shared" si="16"/>
        <v>#N/A</v>
      </c>
    </row>
    <row r="1107" spans="1:3">
      <c r="A1107" s="11">
        <v>4202001511</v>
      </c>
      <c r="B1107" s="20" t="s">
        <v>2513</v>
      </c>
      <c r="C1107" s="28" t="e">
        <f t="shared" si="16"/>
        <v>#N/A</v>
      </c>
    </row>
    <row r="1108" spans="1:3">
      <c r="A1108" s="11" t="s">
        <v>1497</v>
      </c>
      <c r="B1108" s="20" t="s">
        <v>2514</v>
      </c>
      <c r="C1108" s="28" t="e">
        <f t="shared" si="16"/>
        <v>#N/A</v>
      </c>
    </row>
    <row r="1109" spans="1:3">
      <c r="A1109" s="11">
        <v>4202001512</v>
      </c>
      <c r="B1109" s="20" t="s">
        <v>2515</v>
      </c>
      <c r="C1109" s="28" t="e">
        <f t="shared" si="16"/>
        <v>#N/A</v>
      </c>
    </row>
    <row r="1110" spans="1:3">
      <c r="A1110" s="11" t="s">
        <v>1497</v>
      </c>
      <c r="B1110" s="20" t="s">
        <v>2516</v>
      </c>
      <c r="C1110" s="28" t="e">
        <f t="shared" si="16"/>
        <v>#N/A</v>
      </c>
    </row>
    <row r="1111" spans="1:3">
      <c r="A1111" s="11" t="s">
        <v>1497</v>
      </c>
      <c r="B1111" s="20" t="s">
        <v>2517</v>
      </c>
      <c r="C1111" s="28" t="e">
        <f t="shared" si="16"/>
        <v>#N/A</v>
      </c>
    </row>
    <row r="1112" spans="1:3">
      <c r="A1112" s="11" t="s">
        <v>1497</v>
      </c>
      <c r="B1112" s="20" t="s">
        <v>2518</v>
      </c>
      <c r="C1112" s="28" t="e">
        <f t="shared" si="16"/>
        <v>#N/A</v>
      </c>
    </row>
    <row r="1113" spans="1:3">
      <c r="A1113" s="11">
        <v>4202000251</v>
      </c>
      <c r="B1113" s="20" t="s">
        <v>2519</v>
      </c>
      <c r="C1113" s="28" t="e">
        <f t="shared" si="16"/>
        <v>#N/A</v>
      </c>
    </row>
    <row r="1114" spans="1:3">
      <c r="A1114" s="11">
        <v>4202000252</v>
      </c>
      <c r="B1114" s="20" t="s">
        <v>2520</v>
      </c>
      <c r="C1114" s="28" t="e">
        <f t="shared" si="16"/>
        <v>#N/A</v>
      </c>
    </row>
    <row r="1115" spans="1:3">
      <c r="A1115" s="11">
        <v>4202000253</v>
      </c>
      <c r="B1115" s="20" t="s">
        <v>2521</v>
      </c>
      <c r="C1115" s="28" t="e">
        <f t="shared" si="16"/>
        <v>#N/A</v>
      </c>
    </row>
    <row r="1116" spans="1:3">
      <c r="A1116" s="11">
        <v>4202000254</v>
      </c>
      <c r="B1116" s="20" t="s">
        <v>2522</v>
      </c>
      <c r="C1116" s="28" t="e">
        <f t="shared" si="16"/>
        <v>#N/A</v>
      </c>
    </row>
    <row r="1117" spans="1:3">
      <c r="A1117" s="11">
        <v>4202000255</v>
      </c>
      <c r="B1117" s="20" t="s">
        <v>2523</v>
      </c>
      <c r="C1117" s="28" t="e">
        <f t="shared" si="16"/>
        <v>#N/A</v>
      </c>
    </row>
    <row r="1118" spans="1:3">
      <c r="A1118" s="11">
        <v>4202000256</v>
      </c>
      <c r="B1118" s="20" t="s">
        <v>2524</v>
      </c>
      <c r="C1118" s="28" t="e">
        <f t="shared" si="16"/>
        <v>#N/A</v>
      </c>
    </row>
    <row r="1119" spans="1:3">
      <c r="A1119" s="11">
        <v>4100000010</v>
      </c>
      <c r="B1119" s="20" t="s">
        <v>2525</v>
      </c>
      <c r="C1119" s="28" t="e">
        <f t="shared" si="16"/>
        <v>#N/A</v>
      </c>
    </row>
    <row r="1120" spans="1:3">
      <c r="A1120" s="11">
        <v>4202000257</v>
      </c>
      <c r="B1120" s="20" t="s">
        <v>2526</v>
      </c>
      <c r="C1120" s="28" t="e">
        <f t="shared" si="16"/>
        <v>#N/A</v>
      </c>
    </row>
    <row r="1121" spans="1:3">
      <c r="A1121" s="11" t="s">
        <v>1497</v>
      </c>
      <c r="B1121" s="20" t="s">
        <v>2527</v>
      </c>
      <c r="C1121" s="28" t="e">
        <f t="shared" si="16"/>
        <v>#N/A</v>
      </c>
    </row>
    <row r="1122" spans="1:3">
      <c r="A1122" s="11">
        <v>4202000210</v>
      </c>
      <c r="B1122" s="20" t="s">
        <v>2528</v>
      </c>
      <c r="C1122" s="28" t="e">
        <f t="shared" si="16"/>
        <v>#N/A</v>
      </c>
    </row>
    <row r="1123" spans="1:3">
      <c r="A1123" s="11" t="s">
        <v>1497</v>
      </c>
      <c r="B1123" s="20" t="s">
        <v>2529</v>
      </c>
      <c r="C1123" s="28" t="e">
        <f t="shared" si="16"/>
        <v>#N/A</v>
      </c>
    </row>
    <row r="1124" spans="1:3">
      <c r="A1124" s="11">
        <v>4202003001</v>
      </c>
      <c r="B1124" s="20" t="s">
        <v>2530</v>
      </c>
      <c r="C1124" s="28" t="e">
        <f t="shared" si="16"/>
        <v>#N/A</v>
      </c>
    </row>
    <row r="1125" spans="1:3">
      <c r="A1125" s="11">
        <v>4202003002</v>
      </c>
      <c r="B1125" s="20" t="s">
        <v>2531</v>
      </c>
      <c r="C1125" s="28" t="e">
        <f t="shared" si="16"/>
        <v>#N/A</v>
      </c>
    </row>
    <row r="1126" spans="1:3">
      <c r="A1126" s="11">
        <v>4202003003</v>
      </c>
      <c r="B1126" s="20" t="s">
        <v>2532</v>
      </c>
      <c r="C1126" s="28" t="e">
        <f t="shared" si="16"/>
        <v>#N/A</v>
      </c>
    </row>
    <row r="1127" spans="1:3">
      <c r="A1127" s="11">
        <v>4202003004</v>
      </c>
      <c r="B1127" s="20" t="s">
        <v>2533</v>
      </c>
      <c r="C1127" s="28" t="e">
        <f t="shared" si="16"/>
        <v>#N/A</v>
      </c>
    </row>
    <row r="1128" spans="1:3">
      <c r="A1128" s="11">
        <v>4202003005</v>
      </c>
      <c r="B1128" s="20" t="s">
        <v>2534</v>
      </c>
      <c r="C1128" s="28" t="e">
        <f t="shared" si="16"/>
        <v>#N/A</v>
      </c>
    </row>
    <row r="1129" spans="1:3">
      <c r="A1129" s="11">
        <v>4202003006</v>
      </c>
      <c r="B1129" s="20" t="s">
        <v>2535</v>
      </c>
      <c r="C1129" s="28" t="e">
        <f t="shared" si="16"/>
        <v>#N/A</v>
      </c>
    </row>
    <row r="1130" spans="1:3">
      <c r="A1130" s="11">
        <v>4202003007</v>
      </c>
      <c r="B1130" s="20" t="s">
        <v>2536</v>
      </c>
      <c r="C1130" s="28" t="e">
        <f t="shared" ref="C1130:C1193" si="17">VLOOKUP(B1130,F:G,2,0)</f>
        <v>#N/A</v>
      </c>
    </row>
    <row r="1131" spans="1:3">
      <c r="A1131" s="11">
        <v>4202003008</v>
      </c>
      <c r="B1131" s="20" t="s">
        <v>2537</v>
      </c>
      <c r="C1131" s="28" t="e">
        <f t="shared" si="17"/>
        <v>#N/A</v>
      </c>
    </row>
    <row r="1132" spans="1:3">
      <c r="A1132" s="11">
        <v>4202003009</v>
      </c>
      <c r="B1132" s="20" t="s">
        <v>2538</v>
      </c>
      <c r="C1132" s="28" t="e">
        <f t="shared" si="17"/>
        <v>#N/A</v>
      </c>
    </row>
    <row r="1133" spans="1:3">
      <c r="A1133" s="11">
        <v>4202003010</v>
      </c>
      <c r="B1133" s="20" t="s">
        <v>2539</v>
      </c>
      <c r="C1133" s="28" t="e">
        <f t="shared" si="17"/>
        <v>#N/A</v>
      </c>
    </row>
    <row r="1134" spans="1:3">
      <c r="A1134" s="11" t="s">
        <v>1497</v>
      </c>
      <c r="B1134" s="20" t="s">
        <v>2540</v>
      </c>
      <c r="C1134" s="28" t="e">
        <f t="shared" si="17"/>
        <v>#N/A</v>
      </c>
    </row>
    <row r="1135" spans="1:3">
      <c r="A1135" s="11" t="s">
        <v>1497</v>
      </c>
      <c r="B1135" s="20" t="s">
        <v>2541</v>
      </c>
      <c r="C1135" s="28" t="e">
        <f t="shared" si="17"/>
        <v>#N/A</v>
      </c>
    </row>
    <row r="1136" spans="1:3">
      <c r="A1136" s="11">
        <v>4202003013</v>
      </c>
      <c r="B1136" s="20" t="s">
        <v>2542</v>
      </c>
      <c r="C1136" s="28" t="e">
        <f t="shared" si="17"/>
        <v>#N/A</v>
      </c>
    </row>
    <row r="1137" spans="1:3">
      <c r="A1137" s="11">
        <v>4202003014</v>
      </c>
      <c r="B1137" s="20" t="s">
        <v>2543</v>
      </c>
      <c r="C1137" s="28" t="e">
        <f t="shared" si="17"/>
        <v>#N/A</v>
      </c>
    </row>
    <row r="1138" spans="1:3">
      <c r="A1138" s="11">
        <v>4202003015</v>
      </c>
      <c r="B1138" s="20" t="s">
        <v>2544</v>
      </c>
      <c r="C1138" s="28" t="e">
        <f t="shared" si="17"/>
        <v>#N/A</v>
      </c>
    </row>
    <row r="1139" spans="1:3">
      <c r="A1139" s="11">
        <v>4202003016</v>
      </c>
      <c r="B1139" s="20" t="s">
        <v>2545</v>
      </c>
      <c r="C1139" s="28" t="e">
        <f t="shared" si="17"/>
        <v>#N/A</v>
      </c>
    </row>
    <row r="1140" spans="1:3">
      <c r="A1140" s="11">
        <v>4202003100</v>
      </c>
      <c r="B1140" s="20" t="s">
        <v>2546</v>
      </c>
      <c r="C1140" s="28" t="e">
        <f t="shared" si="17"/>
        <v>#N/A</v>
      </c>
    </row>
    <row r="1141" spans="1:3">
      <c r="A1141" s="11">
        <v>4202003201</v>
      </c>
      <c r="B1141" s="20" t="s">
        <v>2547</v>
      </c>
      <c r="C1141" s="28" t="e">
        <f t="shared" si="17"/>
        <v>#N/A</v>
      </c>
    </row>
    <row r="1142" spans="1:3">
      <c r="A1142" s="11">
        <v>4202003202</v>
      </c>
      <c r="B1142" s="20" t="s">
        <v>2548</v>
      </c>
      <c r="C1142" s="28" t="e">
        <f t="shared" si="17"/>
        <v>#N/A</v>
      </c>
    </row>
    <row r="1143" spans="1:3">
      <c r="A1143" s="11">
        <v>4202003301</v>
      </c>
      <c r="B1143" s="20" t="s">
        <v>2549</v>
      </c>
      <c r="C1143" s="28" t="e">
        <f t="shared" si="17"/>
        <v>#N/A</v>
      </c>
    </row>
    <row r="1144" spans="1:3">
      <c r="A1144" s="11">
        <v>4202003302</v>
      </c>
      <c r="B1144" s="20" t="s">
        <v>2550</v>
      </c>
      <c r="C1144" s="28" t="e">
        <f t="shared" si="17"/>
        <v>#N/A</v>
      </c>
    </row>
    <row r="1145" spans="1:3">
      <c r="A1145" s="11">
        <v>4202003303</v>
      </c>
      <c r="B1145" s="20" t="s">
        <v>2551</v>
      </c>
      <c r="C1145" s="28" t="e">
        <f t="shared" si="17"/>
        <v>#N/A</v>
      </c>
    </row>
    <row r="1146" spans="1:3">
      <c r="A1146" s="11">
        <v>4202003304</v>
      </c>
      <c r="B1146" s="20" t="s">
        <v>2552</v>
      </c>
      <c r="C1146" s="28" t="e">
        <f t="shared" si="17"/>
        <v>#N/A</v>
      </c>
    </row>
    <row r="1147" spans="1:3">
      <c r="A1147" s="11">
        <v>4202003305</v>
      </c>
      <c r="B1147" s="20" t="s">
        <v>2553</v>
      </c>
      <c r="C1147" s="28" t="e">
        <f t="shared" si="17"/>
        <v>#N/A</v>
      </c>
    </row>
    <row r="1148" spans="1:3">
      <c r="A1148" s="11">
        <v>4202003306</v>
      </c>
      <c r="B1148" s="20" t="s">
        <v>2554</v>
      </c>
      <c r="C1148" s="28" t="e">
        <f t="shared" si="17"/>
        <v>#N/A</v>
      </c>
    </row>
    <row r="1149" spans="1:3">
      <c r="A1149" s="11">
        <v>4202003307</v>
      </c>
      <c r="B1149" s="20" t="s">
        <v>2555</v>
      </c>
      <c r="C1149" s="28" t="e">
        <f t="shared" si="17"/>
        <v>#N/A</v>
      </c>
    </row>
    <row r="1150" spans="1:3">
      <c r="A1150" s="11">
        <v>4202003308</v>
      </c>
      <c r="B1150" s="20" t="s">
        <v>2556</v>
      </c>
      <c r="C1150" s="28" t="e">
        <f t="shared" si="17"/>
        <v>#N/A</v>
      </c>
    </row>
    <row r="1151" spans="1:3">
      <c r="A1151" s="11">
        <v>4202003309</v>
      </c>
      <c r="B1151" s="20" t="s">
        <v>2557</v>
      </c>
      <c r="C1151" s="28" t="e">
        <f t="shared" si="17"/>
        <v>#N/A</v>
      </c>
    </row>
    <row r="1152" spans="1:3">
      <c r="A1152" s="11">
        <v>4202003310</v>
      </c>
      <c r="B1152" s="20" t="s">
        <v>2558</v>
      </c>
      <c r="C1152" s="28" t="e">
        <f t="shared" si="17"/>
        <v>#N/A</v>
      </c>
    </row>
    <row r="1153" spans="1:3">
      <c r="A1153" s="11">
        <v>4202003311</v>
      </c>
      <c r="B1153" s="20" t="s">
        <v>2559</v>
      </c>
      <c r="C1153" s="28" t="e">
        <f t="shared" si="17"/>
        <v>#N/A</v>
      </c>
    </row>
    <row r="1154" spans="1:3">
      <c r="A1154" s="11">
        <v>4202003312</v>
      </c>
      <c r="B1154" s="20" t="s">
        <v>2560</v>
      </c>
      <c r="C1154" s="28" t="e">
        <f t="shared" si="17"/>
        <v>#N/A</v>
      </c>
    </row>
    <row r="1155" spans="1:3">
      <c r="A1155" s="11">
        <v>4202003400</v>
      </c>
      <c r="B1155" s="20" t="s">
        <v>2561</v>
      </c>
      <c r="C1155" s="28" t="e">
        <f t="shared" si="17"/>
        <v>#N/A</v>
      </c>
    </row>
    <row r="1156" spans="1:3">
      <c r="A1156" s="11">
        <v>4202000000</v>
      </c>
      <c r="B1156" s="20" t="s">
        <v>2562</v>
      </c>
      <c r="C1156" s="28" t="e">
        <f t="shared" si="17"/>
        <v>#N/A</v>
      </c>
    </row>
    <row r="1157" spans="1:3">
      <c r="A1157" s="11">
        <v>4240000010</v>
      </c>
      <c r="B1157" s="20" t="s">
        <v>2563</v>
      </c>
      <c r="C1157" s="28" t="e">
        <f t="shared" si="17"/>
        <v>#N/A</v>
      </c>
    </row>
    <row r="1158" spans="1:3">
      <c r="A1158" s="11">
        <v>4240000030</v>
      </c>
      <c r="B1158" s="20" t="s">
        <v>2564</v>
      </c>
      <c r="C1158" s="28" t="e">
        <f t="shared" si="17"/>
        <v>#N/A</v>
      </c>
    </row>
    <row r="1159" spans="1:3">
      <c r="A1159" s="11">
        <v>4240001501</v>
      </c>
      <c r="B1159" s="20" t="s">
        <v>2565</v>
      </c>
      <c r="C1159" s="28" t="e">
        <f t="shared" si="17"/>
        <v>#N/A</v>
      </c>
    </row>
    <row r="1160" spans="1:3">
      <c r="A1160" s="11">
        <v>4240000110</v>
      </c>
      <c r="B1160" s="20" t="s">
        <v>2566</v>
      </c>
      <c r="C1160" s="28" t="e">
        <f t="shared" si="17"/>
        <v>#N/A</v>
      </c>
    </row>
    <row r="1161" spans="1:3">
      <c r="A1161" s="11">
        <v>4240001502</v>
      </c>
      <c r="B1161" s="20" t="s">
        <v>2567</v>
      </c>
      <c r="C1161" s="28" t="e">
        <f t="shared" si="17"/>
        <v>#N/A</v>
      </c>
    </row>
    <row r="1162" spans="1:3">
      <c r="A1162" s="11">
        <v>4240000120</v>
      </c>
      <c r="B1162" s="20" t="s">
        <v>2568</v>
      </c>
      <c r="C1162" s="28" t="e">
        <f t="shared" si="17"/>
        <v>#N/A</v>
      </c>
    </row>
    <row r="1163" spans="1:3">
      <c r="A1163" s="11">
        <v>3700000127</v>
      </c>
      <c r="B1163" s="20" t="s">
        <v>2569</v>
      </c>
      <c r="C1163" s="28" t="e">
        <f t="shared" si="17"/>
        <v>#N/A</v>
      </c>
    </row>
    <row r="1164" spans="1:3">
      <c r="A1164" s="11">
        <v>4240000130</v>
      </c>
      <c r="B1164" s="20" t="s">
        <v>2570</v>
      </c>
      <c r="C1164" s="28" t="e">
        <f t="shared" si="17"/>
        <v>#N/A</v>
      </c>
    </row>
    <row r="1165" spans="1:3">
      <c r="A1165" s="11">
        <v>4240001503</v>
      </c>
      <c r="B1165" s="20" t="s">
        <v>2571</v>
      </c>
      <c r="C1165" s="28" t="e">
        <f t="shared" si="17"/>
        <v>#N/A</v>
      </c>
    </row>
    <row r="1166" spans="1:3">
      <c r="A1166" s="11">
        <v>4240001504</v>
      </c>
      <c r="B1166" s="20" t="s">
        <v>2572</v>
      </c>
      <c r="C1166" s="28" t="e">
        <f t="shared" si="17"/>
        <v>#N/A</v>
      </c>
    </row>
    <row r="1167" spans="1:3">
      <c r="A1167" s="11">
        <v>3700000128</v>
      </c>
      <c r="B1167" s="20" t="s">
        <v>2573</v>
      </c>
      <c r="C1167" s="28" t="e">
        <f t="shared" si="17"/>
        <v>#N/A</v>
      </c>
    </row>
    <row r="1168" spans="1:3">
      <c r="A1168" s="11">
        <v>4240000140</v>
      </c>
      <c r="B1168" s="20" t="s">
        <v>2574</v>
      </c>
      <c r="C1168" s="28" t="e">
        <f t="shared" si="17"/>
        <v>#N/A</v>
      </c>
    </row>
    <row r="1169" spans="1:3">
      <c r="A1169" s="11">
        <v>4240001500</v>
      </c>
      <c r="B1169" s="20" t="s">
        <v>2575</v>
      </c>
      <c r="C1169" s="28" t="e">
        <f t="shared" si="17"/>
        <v>#N/A</v>
      </c>
    </row>
    <row r="1170" spans="1:3">
      <c r="A1170" s="11">
        <v>3700000126</v>
      </c>
      <c r="B1170" s="20" t="s">
        <v>2576</v>
      </c>
      <c r="C1170" s="28" t="e">
        <f t="shared" si="17"/>
        <v>#N/A</v>
      </c>
    </row>
    <row r="1171" spans="1:3">
      <c r="A1171" s="11">
        <v>3700000124</v>
      </c>
      <c r="B1171" s="20" t="s">
        <v>2577</v>
      </c>
      <c r="C1171" s="28" t="e">
        <f t="shared" si="17"/>
        <v>#N/A</v>
      </c>
    </row>
    <row r="1172" spans="1:3">
      <c r="A1172" s="11">
        <v>3700000125</v>
      </c>
      <c r="B1172" s="20" t="s">
        <v>2578</v>
      </c>
      <c r="C1172" s="28" t="e">
        <f t="shared" si="17"/>
        <v>#N/A</v>
      </c>
    </row>
    <row r="1173" spans="1:3">
      <c r="A1173" s="11">
        <v>3720000000</v>
      </c>
      <c r="B1173" s="20" t="s">
        <v>2579</v>
      </c>
      <c r="C1173" s="28" t="e">
        <f t="shared" si="17"/>
        <v>#N/A</v>
      </c>
    </row>
    <row r="1174" spans="1:3">
      <c r="A1174" s="13">
        <v>3720000001</v>
      </c>
      <c r="B1174" s="20" t="s">
        <v>2580</v>
      </c>
      <c r="C1174" s="28" t="e">
        <f t="shared" si="17"/>
        <v>#N/A</v>
      </c>
    </row>
    <row r="1175" spans="1:3">
      <c r="A1175" s="11">
        <v>3720000010</v>
      </c>
      <c r="B1175" s="20" t="s">
        <v>2581</v>
      </c>
      <c r="C1175" s="28" t="e">
        <f t="shared" si="17"/>
        <v>#N/A</v>
      </c>
    </row>
    <row r="1176" spans="1:3">
      <c r="A1176" s="11">
        <v>3130001500</v>
      </c>
      <c r="B1176" s="20" t="s">
        <v>2582</v>
      </c>
      <c r="C1176" s="28" t="e">
        <f t="shared" si="17"/>
        <v>#N/A</v>
      </c>
    </row>
    <row r="1177" spans="1:3">
      <c r="A1177" s="11">
        <v>4205100000</v>
      </c>
      <c r="B1177" s="20" t="s">
        <v>2583</v>
      </c>
      <c r="C1177" s="28" t="e">
        <f t="shared" si="17"/>
        <v>#N/A</v>
      </c>
    </row>
    <row r="1178" spans="1:3">
      <c r="A1178" s="11">
        <v>4205101000</v>
      </c>
      <c r="B1178" s="20" t="s">
        <v>2583</v>
      </c>
      <c r="C1178" s="28" t="e">
        <f t="shared" si="17"/>
        <v>#N/A</v>
      </c>
    </row>
    <row r="1179" spans="1:3">
      <c r="A1179" s="11">
        <v>4203000000</v>
      </c>
      <c r="B1179" s="20" t="s">
        <v>2584</v>
      </c>
      <c r="C1179" s="28" t="e">
        <f t="shared" si="17"/>
        <v>#N/A</v>
      </c>
    </row>
    <row r="1180" spans="1:3">
      <c r="A1180" s="11">
        <v>4200000407</v>
      </c>
      <c r="B1180" s="20" t="s">
        <v>2585</v>
      </c>
      <c r="C1180" s="28" t="e">
        <f t="shared" si="17"/>
        <v>#N/A</v>
      </c>
    </row>
    <row r="1181" spans="1:3">
      <c r="A1181" s="11">
        <v>4201301500</v>
      </c>
      <c r="B1181" s="20" t="s">
        <v>2586</v>
      </c>
      <c r="C1181" s="28" t="e">
        <f t="shared" si="17"/>
        <v>#N/A</v>
      </c>
    </row>
    <row r="1182" spans="1:3">
      <c r="A1182" s="11">
        <v>4243000170</v>
      </c>
      <c r="B1182" s="20" t="s">
        <v>2587</v>
      </c>
      <c r="C1182" s="28" t="e">
        <f t="shared" si="17"/>
        <v>#N/A</v>
      </c>
    </row>
    <row r="1183" spans="1:3">
      <c r="A1183" s="11" t="s">
        <v>1497</v>
      </c>
      <c r="B1183" s="20" t="s">
        <v>2588</v>
      </c>
      <c r="C1183" s="28" t="e">
        <f t="shared" si="17"/>
        <v>#N/A</v>
      </c>
    </row>
    <row r="1184" spans="1:3">
      <c r="A1184" s="11">
        <v>4201300161</v>
      </c>
      <c r="B1184" s="20" t="s">
        <v>2589</v>
      </c>
      <c r="C1184" s="28" t="e">
        <f t="shared" si="17"/>
        <v>#N/A</v>
      </c>
    </row>
    <row r="1185" spans="1:3">
      <c r="A1185" s="11">
        <v>4200000409</v>
      </c>
      <c r="B1185" s="20" t="s">
        <v>2590</v>
      </c>
      <c r="C1185" s="28" t="e">
        <f t="shared" si="17"/>
        <v>#N/A</v>
      </c>
    </row>
    <row r="1186" spans="1:3">
      <c r="A1186" s="11">
        <v>4220000010</v>
      </c>
      <c r="B1186" s="20" t="s">
        <v>2591</v>
      </c>
      <c r="C1186" s="28" t="e">
        <f t="shared" si="17"/>
        <v>#N/A</v>
      </c>
    </row>
    <row r="1187" spans="1:3">
      <c r="A1187" s="11">
        <v>3700000010</v>
      </c>
      <c r="B1187" s="20" t="s">
        <v>2592</v>
      </c>
      <c r="C1187" s="28" t="e">
        <f t="shared" si="17"/>
        <v>#N/A</v>
      </c>
    </row>
    <row r="1188" spans="1:3">
      <c r="A1188" s="11">
        <v>3700000011</v>
      </c>
      <c r="B1188" s="20" t="s">
        <v>2593</v>
      </c>
      <c r="C1188" s="28" t="e">
        <f t="shared" si="17"/>
        <v>#N/A</v>
      </c>
    </row>
    <row r="1189" spans="1:3">
      <c r="A1189" s="11">
        <v>3700000012</v>
      </c>
      <c r="B1189" s="20" t="s">
        <v>2594</v>
      </c>
      <c r="C1189" s="28" t="e">
        <f t="shared" si="17"/>
        <v>#N/A</v>
      </c>
    </row>
    <row r="1190" spans="1:3">
      <c r="A1190" s="11">
        <v>3700000013</v>
      </c>
      <c r="B1190" s="20" t="s">
        <v>2595</v>
      </c>
      <c r="C1190" s="28" t="e">
        <f t="shared" si="17"/>
        <v>#N/A</v>
      </c>
    </row>
    <row r="1191" spans="1:3">
      <c r="A1191" s="11">
        <v>3700000015</v>
      </c>
      <c r="B1191" s="20" t="s">
        <v>2596</v>
      </c>
      <c r="C1191" s="28" t="e">
        <f t="shared" si="17"/>
        <v>#N/A</v>
      </c>
    </row>
    <row r="1192" spans="1:3">
      <c r="A1192" s="11">
        <v>2829970010</v>
      </c>
      <c r="B1192" s="20" t="s">
        <v>2597</v>
      </c>
      <c r="C1192" s="28" t="e">
        <f t="shared" si="17"/>
        <v>#N/A</v>
      </c>
    </row>
    <row r="1193" spans="1:3">
      <c r="A1193" s="11">
        <v>2829970011</v>
      </c>
      <c r="B1193" s="20" t="s">
        <v>2597</v>
      </c>
      <c r="C1193" s="28" t="e">
        <f t="shared" si="17"/>
        <v>#N/A</v>
      </c>
    </row>
    <row r="1194" spans="1:3">
      <c r="A1194" s="11">
        <v>2829970012</v>
      </c>
      <c r="B1194" s="20" t="s">
        <v>2597</v>
      </c>
      <c r="C1194" s="28" t="e">
        <f t="shared" ref="C1194:C1257" si="18">VLOOKUP(B1194,F:G,2,0)</f>
        <v>#N/A</v>
      </c>
    </row>
    <row r="1195" spans="1:3">
      <c r="A1195" s="11">
        <v>2829970021</v>
      </c>
      <c r="B1195" s="20" t="s">
        <v>2597</v>
      </c>
      <c r="C1195" s="28" t="e">
        <f t="shared" si="18"/>
        <v>#N/A</v>
      </c>
    </row>
    <row r="1196" spans="1:3">
      <c r="A1196" s="11">
        <v>2829970022</v>
      </c>
      <c r="B1196" s="20" t="s">
        <v>2597</v>
      </c>
      <c r="C1196" s="28" t="e">
        <f t="shared" si="18"/>
        <v>#N/A</v>
      </c>
    </row>
    <row r="1197" spans="1:3">
      <c r="A1197" s="11">
        <v>2829970031</v>
      </c>
      <c r="B1197" s="20" t="s">
        <v>2597</v>
      </c>
      <c r="C1197" s="28" t="e">
        <f t="shared" si="18"/>
        <v>#N/A</v>
      </c>
    </row>
    <row r="1198" spans="1:3">
      <c r="A1198" s="11">
        <v>2829970032</v>
      </c>
      <c r="B1198" s="20" t="s">
        <v>2597</v>
      </c>
      <c r="C1198" s="28" t="e">
        <f t="shared" si="18"/>
        <v>#N/A</v>
      </c>
    </row>
    <row r="1199" spans="1:3">
      <c r="A1199" s="11">
        <v>2829970041</v>
      </c>
      <c r="B1199" s="20" t="s">
        <v>2597</v>
      </c>
      <c r="C1199" s="28" t="e">
        <f t="shared" si="18"/>
        <v>#N/A</v>
      </c>
    </row>
    <row r="1200" spans="1:3">
      <c r="A1200" s="11">
        <v>2829970042</v>
      </c>
      <c r="B1200" s="20" t="s">
        <v>2597</v>
      </c>
      <c r="C1200" s="28" t="e">
        <f t="shared" si="18"/>
        <v>#N/A</v>
      </c>
    </row>
    <row r="1201" spans="1:3">
      <c r="A1201" s="11">
        <v>2829970051</v>
      </c>
      <c r="B1201" s="20" t="s">
        <v>2597</v>
      </c>
      <c r="C1201" s="28" t="e">
        <f t="shared" si="18"/>
        <v>#N/A</v>
      </c>
    </row>
    <row r="1202" spans="1:3">
      <c r="A1202" s="11">
        <v>2829970052</v>
      </c>
      <c r="B1202" s="20" t="s">
        <v>2597</v>
      </c>
      <c r="C1202" s="28" t="e">
        <f t="shared" si="18"/>
        <v>#N/A</v>
      </c>
    </row>
    <row r="1203" spans="1:3">
      <c r="A1203" s="11">
        <v>2829970061</v>
      </c>
      <c r="B1203" s="20" t="s">
        <v>2597</v>
      </c>
      <c r="C1203" s="28" t="e">
        <f t="shared" si="18"/>
        <v>#N/A</v>
      </c>
    </row>
    <row r="1204" spans="1:3">
      <c r="A1204" s="11">
        <v>2829970062</v>
      </c>
      <c r="B1204" s="20" t="s">
        <v>2597</v>
      </c>
      <c r="C1204" s="28" t="e">
        <f t="shared" si="18"/>
        <v>#N/A</v>
      </c>
    </row>
    <row r="1205" spans="1:3">
      <c r="A1205" s="11">
        <v>2829970071</v>
      </c>
      <c r="B1205" s="20" t="s">
        <v>2597</v>
      </c>
      <c r="C1205" s="28" t="e">
        <f t="shared" si="18"/>
        <v>#N/A</v>
      </c>
    </row>
    <row r="1206" spans="1:3">
      <c r="A1206" s="11">
        <v>2829970072</v>
      </c>
      <c r="B1206" s="20" t="s">
        <v>2597</v>
      </c>
      <c r="C1206" s="28" t="e">
        <f t="shared" si="18"/>
        <v>#N/A</v>
      </c>
    </row>
    <row r="1207" spans="1:3">
      <c r="A1207" s="11">
        <v>2829970010</v>
      </c>
      <c r="B1207" s="20" t="s">
        <v>2598</v>
      </c>
      <c r="C1207" s="28" t="e">
        <f t="shared" si="18"/>
        <v>#N/A</v>
      </c>
    </row>
    <row r="1208" spans="1:3">
      <c r="A1208" s="11">
        <v>2829970011</v>
      </c>
      <c r="B1208" s="20" t="s">
        <v>2598</v>
      </c>
      <c r="C1208" s="28" t="e">
        <f t="shared" si="18"/>
        <v>#N/A</v>
      </c>
    </row>
    <row r="1209" spans="1:3">
      <c r="A1209" s="11">
        <v>2829970012</v>
      </c>
      <c r="B1209" s="20" t="s">
        <v>2598</v>
      </c>
      <c r="C1209" s="28" t="e">
        <f t="shared" si="18"/>
        <v>#N/A</v>
      </c>
    </row>
    <row r="1210" spans="1:3">
      <c r="A1210" s="11">
        <v>2829970021</v>
      </c>
      <c r="B1210" s="20" t="s">
        <v>2598</v>
      </c>
      <c r="C1210" s="28" t="e">
        <f t="shared" si="18"/>
        <v>#N/A</v>
      </c>
    </row>
    <row r="1211" spans="1:3">
      <c r="A1211" s="11">
        <v>2829970022</v>
      </c>
      <c r="B1211" s="20" t="s">
        <v>2598</v>
      </c>
      <c r="C1211" s="28" t="e">
        <f t="shared" si="18"/>
        <v>#N/A</v>
      </c>
    </row>
    <row r="1212" spans="1:3">
      <c r="A1212" s="11">
        <v>2829970031</v>
      </c>
      <c r="B1212" s="20" t="s">
        <v>2598</v>
      </c>
      <c r="C1212" s="28" t="e">
        <f t="shared" si="18"/>
        <v>#N/A</v>
      </c>
    </row>
    <row r="1213" spans="1:3">
      <c r="A1213" s="11">
        <v>2829970032</v>
      </c>
      <c r="B1213" s="20" t="s">
        <v>2598</v>
      </c>
      <c r="C1213" s="28" t="e">
        <f t="shared" si="18"/>
        <v>#N/A</v>
      </c>
    </row>
    <row r="1214" spans="1:3">
      <c r="A1214" s="11">
        <v>2829970041</v>
      </c>
      <c r="B1214" s="20" t="s">
        <v>2598</v>
      </c>
      <c r="C1214" s="28" t="e">
        <f t="shared" si="18"/>
        <v>#N/A</v>
      </c>
    </row>
    <row r="1215" spans="1:3">
      <c r="A1215" s="11">
        <v>2829970042</v>
      </c>
      <c r="B1215" s="20" t="s">
        <v>2598</v>
      </c>
      <c r="C1215" s="28" t="e">
        <f t="shared" si="18"/>
        <v>#N/A</v>
      </c>
    </row>
    <row r="1216" spans="1:3">
      <c r="A1216" s="11">
        <v>2829970051</v>
      </c>
      <c r="B1216" s="20" t="s">
        <v>2598</v>
      </c>
      <c r="C1216" s="28" t="e">
        <f t="shared" si="18"/>
        <v>#N/A</v>
      </c>
    </row>
    <row r="1217" spans="1:3">
      <c r="A1217" s="11">
        <v>2829970052</v>
      </c>
      <c r="B1217" s="20" t="s">
        <v>2598</v>
      </c>
      <c r="C1217" s="28" t="e">
        <f t="shared" si="18"/>
        <v>#N/A</v>
      </c>
    </row>
    <row r="1218" spans="1:3">
      <c r="A1218" s="11">
        <v>2829970061</v>
      </c>
      <c r="B1218" s="20" t="s">
        <v>2598</v>
      </c>
      <c r="C1218" s="28" t="e">
        <f t="shared" si="18"/>
        <v>#N/A</v>
      </c>
    </row>
    <row r="1219" spans="1:3">
      <c r="A1219" s="11">
        <v>2829970062</v>
      </c>
      <c r="B1219" s="20" t="s">
        <v>2598</v>
      </c>
      <c r="C1219" s="28" t="e">
        <f t="shared" si="18"/>
        <v>#N/A</v>
      </c>
    </row>
    <row r="1220" spans="1:3">
      <c r="A1220" s="11">
        <v>2829970071</v>
      </c>
      <c r="B1220" s="20" t="s">
        <v>2598</v>
      </c>
      <c r="C1220" s="28" t="e">
        <f t="shared" si="18"/>
        <v>#N/A</v>
      </c>
    </row>
    <row r="1221" spans="1:3">
      <c r="A1221" s="11">
        <v>2829970072</v>
      </c>
      <c r="B1221" s="20" t="s">
        <v>2598</v>
      </c>
      <c r="C1221" s="28" t="e">
        <f t="shared" si="18"/>
        <v>#N/A</v>
      </c>
    </row>
    <row r="1222" spans="1:3">
      <c r="A1222" s="11">
        <v>3700000014</v>
      </c>
      <c r="B1222" s="20" t="s">
        <v>2599</v>
      </c>
      <c r="C1222" s="28" t="e">
        <f t="shared" si="18"/>
        <v>#N/A</v>
      </c>
    </row>
    <row r="1223" spans="1:3">
      <c r="A1223" s="11">
        <v>2829970010</v>
      </c>
      <c r="B1223" s="20" t="s">
        <v>2600</v>
      </c>
      <c r="C1223" s="28" t="e">
        <f t="shared" si="18"/>
        <v>#N/A</v>
      </c>
    </row>
    <row r="1224" spans="1:3">
      <c r="A1224" s="11">
        <v>2829970011</v>
      </c>
      <c r="B1224" s="20" t="s">
        <v>2600</v>
      </c>
      <c r="C1224" s="28" t="e">
        <f t="shared" si="18"/>
        <v>#N/A</v>
      </c>
    </row>
    <row r="1225" spans="1:3">
      <c r="A1225" s="11">
        <v>2829970012</v>
      </c>
      <c r="B1225" s="20" t="s">
        <v>2600</v>
      </c>
      <c r="C1225" s="28" t="e">
        <f t="shared" si="18"/>
        <v>#N/A</v>
      </c>
    </row>
    <row r="1226" spans="1:3">
      <c r="A1226" s="11">
        <v>2829970021</v>
      </c>
      <c r="B1226" s="20" t="s">
        <v>2600</v>
      </c>
      <c r="C1226" s="28" t="e">
        <f t="shared" si="18"/>
        <v>#N/A</v>
      </c>
    </row>
    <row r="1227" spans="1:3">
      <c r="A1227" s="11">
        <v>2829970022</v>
      </c>
      <c r="B1227" s="20" t="s">
        <v>2600</v>
      </c>
      <c r="C1227" s="28" t="e">
        <f t="shared" si="18"/>
        <v>#N/A</v>
      </c>
    </row>
    <row r="1228" spans="1:3">
      <c r="A1228" s="11">
        <v>2829970031</v>
      </c>
      <c r="B1228" s="20" t="s">
        <v>2600</v>
      </c>
      <c r="C1228" s="28" t="e">
        <f t="shared" si="18"/>
        <v>#N/A</v>
      </c>
    </row>
    <row r="1229" spans="1:3">
      <c r="A1229" s="11">
        <v>2829970032</v>
      </c>
      <c r="B1229" s="20" t="s">
        <v>2600</v>
      </c>
      <c r="C1229" s="28" t="e">
        <f t="shared" si="18"/>
        <v>#N/A</v>
      </c>
    </row>
    <row r="1230" spans="1:3">
      <c r="A1230" s="11">
        <v>2829970041</v>
      </c>
      <c r="B1230" s="20" t="s">
        <v>2600</v>
      </c>
      <c r="C1230" s="28" t="e">
        <f t="shared" si="18"/>
        <v>#N/A</v>
      </c>
    </row>
    <row r="1231" spans="1:3">
      <c r="A1231" s="11">
        <v>2829970042</v>
      </c>
      <c r="B1231" s="20" t="s">
        <v>2600</v>
      </c>
      <c r="C1231" s="28" t="e">
        <f t="shared" si="18"/>
        <v>#N/A</v>
      </c>
    </row>
    <row r="1232" spans="1:3">
      <c r="A1232" s="11">
        <v>2829970051</v>
      </c>
      <c r="B1232" s="20" t="s">
        <v>2600</v>
      </c>
      <c r="C1232" s="28" t="e">
        <f t="shared" si="18"/>
        <v>#N/A</v>
      </c>
    </row>
    <row r="1233" spans="1:3">
      <c r="A1233" s="11">
        <v>2829970052</v>
      </c>
      <c r="B1233" s="20" t="s">
        <v>2600</v>
      </c>
      <c r="C1233" s="28" t="e">
        <f t="shared" si="18"/>
        <v>#N/A</v>
      </c>
    </row>
    <row r="1234" spans="1:3">
      <c r="A1234" s="11">
        <v>2829970061</v>
      </c>
      <c r="B1234" s="20" t="s">
        <v>2600</v>
      </c>
      <c r="C1234" s="28" t="e">
        <f t="shared" si="18"/>
        <v>#N/A</v>
      </c>
    </row>
    <row r="1235" spans="1:3">
      <c r="A1235" s="11">
        <v>2829970062</v>
      </c>
      <c r="B1235" s="20" t="s">
        <v>2600</v>
      </c>
      <c r="C1235" s="28" t="e">
        <f t="shared" si="18"/>
        <v>#N/A</v>
      </c>
    </row>
    <row r="1236" spans="1:3">
      <c r="A1236" s="11">
        <v>2829970071</v>
      </c>
      <c r="B1236" s="20" t="s">
        <v>2600</v>
      </c>
      <c r="C1236" s="28" t="e">
        <f t="shared" si="18"/>
        <v>#N/A</v>
      </c>
    </row>
    <row r="1237" spans="1:3">
      <c r="A1237" s="11">
        <v>2829970072</v>
      </c>
      <c r="B1237" s="20" t="s">
        <v>2600</v>
      </c>
      <c r="C1237" s="28" t="e">
        <f t="shared" si="18"/>
        <v>#N/A</v>
      </c>
    </row>
    <row r="1238" spans="1:3">
      <c r="A1238" s="11">
        <v>2829970010</v>
      </c>
      <c r="B1238" s="20" t="s">
        <v>2601</v>
      </c>
      <c r="C1238" s="28" t="e">
        <f t="shared" si="18"/>
        <v>#N/A</v>
      </c>
    </row>
    <row r="1239" spans="1:3">
      <c r="A1239" s="11">
        <v>2829970011</v>
      </c>
      <c r="B1239" s="20" t="s">
        <v>2601</v>
      </c>
      <c r="C1239" s="28" t="e">
        <f t="shared" si="18"/>
        <v>#N/A</v>
      </c>
    </row>
    <row r="1240" spans="1:3">
      <c r="A1240" s="11">
        <v>2829970012</v>
      </c>
      <c r="B1240" s="20" t="s">
        <v>2601</v>
      </c>
      <c r="C1240" s="28" t="e">
        <f t="shared" si="18"/>
        <v>#N/A</v>
      </c>
    </row>
    <row r="1241" spans="1:3">
      <c r="A1241" s="11">
        <v>2829970021</v>
      </c>
      <c r="B1241" s="20" t="s">
        <v>2601</v>
      </c>
      <c r="C1241" s="28" t="e">
        <f t="shared" si="18"/>
        <v>#N/A</v>
      </c>
    </row>
    <row r="1242" spans="1:3">
      <c r="A1242" s="11">
        <v>2829970022</v>
      </c>
      <c r="B1242" s="20" t="s">
        <v>2601</v>
      </c>
      <c r="C1242" s="28" t="e">
        <f t="shared" si="18"/>
        <v>#N/A</v>
      </c>
    </row>
    <row r="1243" spans="1:3">
      <c r="A1243" s="11">
        <v>2829970031</v>
      </c>
      <c r="B1243" s="20" t="s">
        <v>2601</v>
      </c>
      <c r="C1243" s="28" t="e">
        <f t="shared" si="18"/>
        <v>#N/A</v>
      </c>
    </row>
    <row r="1244" spans="1:3">
      <c r="A1244" s="11">
        <v>2829970032</v>
      </c>
      <c r="B1244" s="20" t="s">
        <v>2601</v>
      </c>
      <c r="C1244" s="28" t="e">
        <f t="shared" si="18"/>
        <v>#N/A</v>
      </c>
    </row>
    <row r="1245" spans="1:3">
      <c r="A1245" s="11">
        <v>2829970041</v>
      </c>
      <c r="B1245" s="20" t="s">
        <v>2601</v>
      </c>
      <c r="C1245" s="28" t="e">
        <f t="shared" si="18"/>
        <v>#N/A</v>
      </c>
    </row>
    <row r="1246" spans="1:3">
      <c r="A1246" s="11">
        <v>2829970042</v>
      </c>
      <c r="B1246" s="20" t="s">
        <v>2601</v>
      </c>
      <c r="C1246" s="28" t="e">
        <f t="shared" si="18"/>
        <v>#N/A</v>
      </c>
    </row>
    <row r="1247" spans="1:3">
      <c r="A1247" s="11">
        <v>2829970051</v>
      </c>
      <c r="B1247" s="20" t="s">
        <v>2601</v>
      </c>
      <c r="C1247" s="28" t="e">
        <f t="shared" si="18"/>
        <v>#N/A</v>
      </c>
    </row>
    <row r="1248" spans="1:3">
      <c r="A1248" s="11">
        <v>2829970052</v>
      </c>
      <c r="B1248" s="20" t="s">
        <v>2601</v>
      </c>
      <c r="C1248" s="28" t="e">
        <f t="shared" si="18"/>
        <v>#N/A</v>
      </c>
    </row>
    <row r="1249" spans="1:3">
      <c r="A1249" s="11">
        <v>2829970061</v>
      </c>
      <c r="B1249" s="20" t="s">
        <v>2601</v>
      </c>
      <c r="C1249" s="28" t="e">
        <f t="shared" si="18"/>
        <v>#N/A</v>
      </c>
    </row>
    <row r="1250" spans="1:3">
      <c r="A1250" s="11">
        <v>2829970062</v>
      </c>
      <c r="B1250" s="20" t="s">
        <v>2601</v>
      </c>
      <c r="C1250" s="28" t="e">
        <f t="shared" si="18"/>
        <v>#N/A</v>
      </c>
    </row>
    <row r="1251" spans="1:3">
      <c r="A1251" s="11">
        <v>2829970071</v>
      </c>
      <c r="B1251" s="20" t="s">
        <v>2601</v>
      </c>
      <c r="C1251" s="28" t="e">
        <f t="shared" si="18"/>
        <v>#N/A</v>
      </c>
    </row>
    <row r="1252" spans="1:3">
      <c r="A1252" s="11">
        <v>2829970072</v>
      </c>
      <c r="B1252" s="20" t="s">
        <v>2601</v>
      </c>
      <c r="C1252" s="28" t="e">
        <f t="shared" si="18"/>
        <v>#N/A</v>
      </c>
    </row>
    <row r="1253" spans="1:3">
      <c r="A1253" s="11">
        <v>4220000011</v>
      </c>
      <c r="B1253" s="20" t="s">
        <v>2602</v>
      </c>
      <c r="C1253" s="28" t="e">
        <f t="shared" si="18"/>
        <v>#N/A</v>
      </c>
    </row>
    <row r="1254" spans="1:3">
      <c r="A1254" s="11">
        <v>4221002000</v>
      </c>
      <c r="B1254" s="20" t="s">
        <v>2603</v>
      </c>
      <c r="C1254" s="28" t="e">
        <f t="shared" si="18"/>
        <v>#N/A</v>
      </c>
    </row>
    <row r="1255" spans="1:3">
      <c r="A1255" s="11">
        <v>4221002010</v>
      </c>
      <c r="B1255" s="20" t="s">
        <v>2604</v>
      </c>
      <c r="C1255" s="28" t="e">
        <f t="shared" si="18"/>
        <v>#N/A</v>
      </c>
    </row>
    <row r="1256" spans="1:3">
      <c r="A1256" s="11">
        <v>4221002020</v>
      </c>
      <c r="B1256" s="20" t="s">
        <v>2605</v>
      </c>
      <c r="C1256" s="28" t="e">
        <f t="shared" si="18"/>
        <v>#N/A</v>
      </c>
    </row>
    <row r="1257" spans="1:3">
      <c r="A1257" s="11">
        <v>4221002030</v>
      </c>
      <c r="B1257" s="20" t="s">
        <v>2606</v>
      </c>
      <c r="C1257" s="28" t="e">
        <f t="shared" si="18"/>
        <v>#N/A</v>
      </c>
    </row>
    <row r="1258" spans="1:3">
      <c r="A1258" s="11">
        <v>4221002040</v>
      </c>
      <c r="B1258" s="20" t="s">
        <v>2607</v>
      </c>
      <c r="C1258" s="28" t="e">
        <f t="shared" ref="C1258:C1321" si="19">VLOOKUP(B1258,F:G,2,0)</f>
        <v>#N/A</v>
      </c>
    </row>
    <row r="1259" spans="1:3">
      <c r="A1259" s="11">
        <v>4221002050</v>
      </c>
      <c r="B1259" s="20" t="s">
        <v>2608</v>
      </c>
      <c r="C1259" s="28" t="e">
        <f t="shared" si="19"/>
        <v>#N/A</v>
      </c>
    </row>
    <row r="1260" spans="1:3">
      <c r="A1260" s="11">
        <v>4221002060</v>
      </c>
      <c r="B1260" s="20" t="s">
        <v>2609</v>
      </c>
      <c r="C1260" s="28" t="e">
        <f t="shared" si="19"/>
        <v>#N/A</v>
      </c>
    </row>
    <row r="1261" spans="1:3">
      <c r="A1261" s="11">
        <v>4220000030</v>
      </c>
      <c r="B1261" s="20" t="s">
        <v>2610</v>
      </c>
      <c r="C1261" s="28" t="e">
        <f t="shared" si="19"/>
        <v>#N/A</v>
      </c>
    </row>
    <row r="1262" spans="1:3">
      <c r="A1262" s="11">
        <v>3700000430</v>
      </c>
      <c r="B1262" s="20" t="s">
        <v>2611</v>
      </c>
      <c r="C1262" s="28" t="e">
        <f t="shared" si="19"/>
        <v>#N/A</v>
      </c>
    </row>
    <row r="1263" spans="1:3">
      <c r="A1263" s="11">
        <v>4220000460</v>
      </c>
      <c r="B1263" s="20" t="s">
        <v>2612</v>
      </c>
      <c r="C1263" s="28" t="e">
        <f t="shared" si="19"/>
        <v>#N/A</v>
      </c>
    </row>
    <row r="1264" spans="1:3">
      <c r="A1264" s="11">
        <v>4220000461</v>
      </c>
      <c r="B1264" s="20" t="s">
        <v>2613</v>
      </c>
      <c r="C1264" s="28" t="e">
        <f t="shared" si="19"/>
        <v>#N/A</v>
      </c>
    </row>
    <row r="1265" spans="1:3">
      <c r="A1265" s="11">
        <v>4220000520</v>
      </c>
      <c r="B1265" s="20" t="s">
        <v>2614</v>
      </c>
      <c r="C1265" s="28" t="e">
        <f t="shared" si="19"/>
        <v>#N/A</v>
      </c>
    </row>
    <row r="1266" spans="1:3">
      <c r="A1266" s="11">
        <v>3700000100</v>
      </c>
      <c r="B1266" s="20" t="s">
        <v>2615</v>
      </c>
      <c r="C1266" s="28" t="e">
        <f t="shared" si="19"/>
        <v>#N/A</v>
      </c>
    </row>
    <row r="1267" spans="1:3">
      <c r="A1267" s="11">
        <v>4220000150</v>
      </c>
      <c r="B1267" s="20" t="s">
        <v>2616</v>
      </c>
      <c r="C1267" s="28" t="e">
        <f t="shared" si="19"/>
        <v>#N/A</v>
      </c>
    </row>
    <row r="1268" spans="1:3">
      <c r="A1268" s="11">
        <v>4221001010</v>
      </c>
      <c r="B1268" s="20" t="s">
        <v>2617</v>
      </c>
      <c r="C1268" s="28" t="e">
        <f t="shared" si="19"/>
        <v>#N/A</v>
      </c>
    </row>
    <row r="1269" spans="1:3">
      <c r="A1269" s="11">
        <v>4221001001</v>
      </c>
      <c r="B1269" s="20" t="s">
        <v>2618</v>
      </c>
      <c r="C1269" s="28" t="e">
        <f t="shared" si="19"/>
        <v>#N/A</v>
      </c>
    </row>
    <row r="1270" spans="1:3">
      <c r="A1270" s="11">
        <v>4220000210</v>
      </c>
      <c r="B1270" s="20" t="s">
        <v>2619</v>
      </c>
      <c r="C1270" s="28" t="e">
        <f t="shared" si="19"/>
        <v>#N/A</v>
      </c>
    </row>
    <row r="1271" spans="1:3">
      <c r="A1271" s="11">
        <v>4220000012</v>
      </c>
      <c r="B1271" s="20" t="s">
        <v>2620</v>
      </c>
      <c r="C1271" s="28" t="e">
        <f t="shared" si="19"/>
        <v>#N/A</v>
      </c>
    </row>
    <row r="1272" spans="1:3">
      <c r="A1272" s="11">
        <v>4200000010</v>
      </c>
      <c r="B1272" s="20" t="s">
        <v>2621</v>
      </c>
      <c r="C1272" s="28" t="e">
        <f t="shared" si="19"/>
        <v>#N/A</v>
      </c>
    </row>
    <row r="1273" spans="1:3">
      <c r="A1273" s="11">
        <v>4243000431</v>
      </c>
      <c r="B1273" s="20" t="s">
        <v>2622</v>
      </c>
      <c r="C1273" s="28" t="e">
        <f t="shared" si="19"/>
        <v>#N/A</v>
      </c>
    </row>
    <row r="1274" spans="1:3">
      <c r="A1274" s="11">
        <v>4243000432</v>
      </c>
      <c r="B1274" s="20" t="s">
        <v>2623</v>
      </c>
      <c r="C1274" s="28" t="e">
        <f t="shared" si="19"/>
        <v>#N/A</v>
      </c>
    </row>
    <row r="1275" spans="1:3">
      <c r="A1275" s="11">
        <v>4242101500</v>
      </c>
      <c r="B1275" s="20" t="s">
        <v>2624</v>
      </c>
      <c r="C1275" s="28" t="e">
        <f t="shared" si="19"/>
        <v>#N/A</v>
      </c>
    </row>
    <row r="1276" spans="1:3">
      <c r="A1276" s="11">
        <v>4200000310</v>
      </c>
      <c r="B1276" s="20" t="s">
        <v>2625</v>
      </c>
      <c r="C1276" s="28" t="e">
        <f t="shared" si="19"/>
        <v>#N/A</v>
      </c>
    </row>
    <row r="1277" spans="1:3">
      <c r="A1277" s="11">
        <v>4243000434</v>
      </c>
      <c r="B1277" s="20" t="s">
        <v>2626</v>
      </c>
      <c r="C1277" s="28" t="e">
        <f t="shared" si="19"/>
        <v>#N/A</v>
      </c>
    </row>
    <row r="1278" spans="1:3">
      <c r="A1278" s="11" t="s">
        <v>1497</v>
      </c>
      <c r="B1278" s="20" t="s">
        <v>2627</v>
      </c>
      <c r="C1278" s="28" t="e">
        <f t="shared" si="19"/>
        <v>#N/A</v>
      </c>
    </row>
    <row r="1279" spans="1:3">
      <c r="A1279" s="11">
        <v>4243000440</v>
      </c>
      <c r="B1279" s="20" t="s">
        <v>2628</v>
      </c>
      <c r="C1279" s="28" t="e">
        <f t="shared" si="19"/>
        <v>#N/A</v>
      </c>
    </row>
    <row r="1280" spans="1:3">
      <c r="A1280" s="11">
        <v>4243000436</v>
      </c>
      <c r="B1280" s="20" t="s">
        <v>2629</v>
      </c>
      <c r="C1280" s="28" t="e">
        <f t="shared" si="19"/>
        <v>#N/A</v>
      </c>
    </row>
    <row r="1281" spans="1:3">
      <c r="A1281" s="11">
        <v>4243000435</v>
      </c>
      <c r="B1281" s="20" t="s">
        <v>2630</v>
      </c>
      <c r="C1281" s="28" t="e">
        <f t="shared" si="19"/>
        <v>#N/A</v>
      </c>
    </row>
    <row r="1282" spans="1:3">
      <c r="A1282" s="11">
        <v>4244000010</v>
      </c>
      <c r="B1282" s="20" t="s">
        <v>2631</v>
      </c>
      <c r="C1282" s="28" t="e">
        <f t="shared" si="19"/>
        <v>#N/A</v>
      </c>
    </row>
    <row r="1283" spans="1:3">
      <c r="A1283" s="11">
        <v>4034001500</v>
      </c>
      <c r="B1283" s="20" t="s">
        <v>2632</v>
      </c>
      <c r="C1283" s="28" t="e">
        <f t="shared" si="19"/>
        <v>#N/A</v>
      </c>
    </row>
    <row r="1284" spans="1:3">
      <c r="A1284" s="11">
        <v>4230042123</v>
      </c>
      <c r="B1284" s="20" t="s">
        <v>2633</v>
      </c>
      <c r="C1284" s="28" t="e">
        <f t="shared" si="19"/>
        <v>#N/A</v>
      </c>
    </row>
    <row r="1285" spans="1:3">
      <c r="A1285" s="11">
        <v>4200000312</v>
      </c>
      <c r="B1285" s="20" t="s">
        <v>2634</v>
      </c>
      <c r="C1285" s="28" t="e">
        <f t="shared" si="19"/>
        <v>#N/A</v>
      </c>
    </row>
    <row r="1286" spans="1:3">
      <c r="A1286" s="11">
        <v>4243000441</v>
      </c>
      <c r="B1286" s="20" t="s">
        <v>2635</v>
      </c>
      <c r="C1286" s="28" t="e">
        <f t="shared" si="19"/>
        <v>#N/A</v>
      </c>
    </row>
    <row r="1287" spans="1:3">
      <c r="A1287" s="11">
        <v>4232000000</v>
      </c>
      <c r="B1287" s="20" t="s">
        <v>2636</v>
      </c>
      <c r="C1287" s="28" t="e">
        <f t="shared" si="19"/>
        <v>#N/A</v>
      </c>
    </row>
    <row r="1288" spans="1:3">
      <c r="A1288" s="11">
        <v>4232001500</v>
      </c>
      <c r="B1288" s="20" t="s">
        <v>2636</v>
      </c>
      <c r="C1288" s="28" t="e">
        <f t="shared" si="19"/>
        <v>#N/A</v>
      </c>
    </row>
    <row r="1289" spans="1:3">
      <c r="A1289" s="11">
        <v>4232101000</v>
      </c>
      <c r="B1289" s="20" t="s">
        <v>2637</v>
      </c>
      <c r="C1289" s="28" t="e">
        <f t="shared" si="19"/>
        <v>#N/A</v>
      </c>
    </row>
    <row r="1290" spans="1:3">
      <c r="A1290" s="11">
        <v>4205000000</v>
      </c>
      <c r="B1290" s="20" t="s">
        <v>2638</v>
      </c>
      <c r="C1290" s="28" t="e">
        <f t="shared" si="19"/>
        <v>#N/A</v>
      </c>
    </row>
    <row r="1291" spans="1:3">
      <c r="A1291" s="11">
        <v>4232101001</v>
      </c>
      <c r="B1291" s="20" t="s">
        <v>2639</v>
      </c>
      <c r="C1291" s="28" t="e">
        <f t="shared" si="19"/>
        <v>#N/A</v>
      </c>
    </row>
    <row r="1292" spans="1:3">
      <c r="A1292" s="11">
        <v>4202002000</v>
      </c>
      <c r="B1292" s="20" t="s">
        <v>2640</v>
      </c>
      <c r="C1292" s="28" t="e">
        <f t="shared" si="19"/>
        <v>#N/A</v>
      </c>
    </row>
    <row r="1293" spans="1:3">
      <c r="A1293" s="11">
        <v>4244000000</v>
      </c>
      <c r="B1293" s="20" t="s">
        <v>2641</v>
      </c>
      <c r="C1293" s="28" t="e">
        <f t="shared" si="19"/>
        <v>#N/A</v>
      </c>
    </row>
    <row r="1294" spans="1:3">
      <c r="A1294" s="11">
        <v>4230001500</v>
      </c>
      <c r="B1294" s="20" t="s">
        <v>2642</v>
      </c>
      <c r="C1294" s="28" t="e">
        <f t="shared" si="19"/>
        <v>#N/A</v>
      </c>
    </row>
    <row r="1295" spans="1:3">
      <c r="A1295" s="11">
        <v>4250001500</v>
      </c>
      <c r="B1295" s="20" t="s">
        <v>2643</v>
      </c>
      <c r="C1295" s="28" t="e">
        <f t="shared" si="19"/>
        <v>#N/A</v>
      </c>
    </row>
    <row r="1296" spans="1:3">
      <c r="A1296" s="11">
        <v>4230001501</v>
      </c>
      <c r="B1296" s="20" t="s">
        <v>2644</v>
      </c>
      <c r="C1296" s="28" t="e">
        <f t="shared" si="19"/>
        <v>#N/A</v>
      </c>
    </row>
    <row r="1297" spans="1:3">
      <c r="A1297" s="11">
        <v>4230001502</v>
      </c>
      <c r="B1297" s="20" t="s">
        <v>2645</v>
      </c>
      <c r="C1297" s="28" t="e">
        <f t="shared" si="19"/>
        <v>#N/A</v>
      </c>
    </row>
    <row r="1298" spans="1:3">
      <c r="A1298" s="11">
        <v>4230001503</v>
      </c>
      <c r="B1298" s="20" t="s">
        <v>2646</v>
      </c>
      <c r="C1298" s="28" t="e">
        <f t="shared" si="19"/>
        <v>#N/A</v>
      </c>
    </row>
    <row r="1299" spans="1:3">
      <c r="A1299" s="11">
        <v>4230010000</v>
      </c>
      <c r="B1299" s="20" t="s">
        <v>2647</v>
      </c>
      <c r="C1299" s="28" t="e">
        <f t="shared" si="19"/>
        <v>#N/A</v>
      </c>
    </row>
    <row r="1300" spans="1:3">
      <c r="A1300" s="11">
        <v>4510000010</v>
      </c>
      <c r="B1300" s="20" t="s">
        <v>2648</v>
      </c>
      <c r="C1300" s="28" t="e">
        <f t="shared" si="19"/>
        <v>#N/A</v>
      </c>
    </row>
    <row r="1301" spans="1:3">
      <c r="A1301" s="11">
        <v>4240001506</v>
      </c>
      <c r="B1301" s="20" t="s">
        <v>2649</v>
      </c>
      <c r="C1301" s="28" t="e">
        <f t="shared" si="19"/>
        <v>#N/A</v>
      </c>
    </row>
    <row r="1302" spans="1:3">
      <c r="A1302" s="11">
        <v>4240001507</v>
      </c>
      <c r="B1302" s="20" t="s">
        <v>2650</v>
      </c>
      <c r="C1302" s="28" t="e">
        <f t="shared" si="19"/>
        <v>#N/A</v>
      </c>
    </row>
    <row r="1303" spans="1:3">
      <c r="A1303" s="11">
        <v>4240001508</v>
      </c>
      <c r="B1303" s="20" t="s">
        <v>2651</v>
      </c>
      <c r="C1303" s="28" t="e">
        <f t="shared" si="19"/>
        <v>#N/A</v>
      </c>
    </row>
    <row r="1304" spans="1:3">
      <c r="A1304" s="11">
        <v>3730000000</v>
      </c>
      <c r="B1304" s="20" t="s">
        <v>2652</v>
      </c>
      <c r="C1304" s="28" t="e">
        <f t="shared" si="19"/>
        <v>#N/A</v>
      </c>
    </row>
    <row r="1305" spans="1:3">
      <c r="A1305" s="11">
        <v>3510000000</v>
      </c>
      <c r="B1305" s="20" t="s">
        <v>2653</v>
      </c>
      <c r="C1305" s="28" t="e">
        <f t="shared" si="19"/>
        <v>#N/A</v>
      </c>
    </row>
    <row r="1306" spans="1:3">
      <c r="A1306" s="11">
        <v>4230100000</v>
      </c>
      <c r="B1306" s="20" t="s">
        <v>2654</v>
      </c>
      <c r="C1306" s="28" t="e">
        <f t="shared" si="19"/>
        <v>#N/A</v>
      </c>
    </row>
    <row r="1307" spans="1:3">
      <c r="A1307" s="11">
        <v>4010000020</v>
      </c>
      <c r="B1307" s="20" t="s">
        <v>2655</v>
      </c>
      <c r="C1307" s="28" t="e">
        <f t="shared" si="19"/>
        <v>#N/A</v>
      </c>
    </row>
    <row r="1308" spans="1:3">
      <c r="A1308" s="11">
        <v>3710000004</v>
      </c>
      <c r="B1308" s="20" t="s">
        <v>2656</v>
      </c>
      <c r="C1308" s="28" t="e">
        <f t="shared" si="19"/>
        <v>#N/A</v>
      </c>
    </row>
    <row r="1309" spans="1:3">
      <c r="A1309" s="11">
        <v>4234001500</v>
      </c>
      <c r="B1309" s="20" t="s">
        <v>2657</v>
      </c>
      <c r="C1309" s="28" t="e">
        <f t="shared" si="19"/>
        <v>#N/A</v>
      </c>
    </row>
    <row r="1310" spans="1:3">
      <c r="A1310" s="11">
        <v>4230000210</v>
      </c>
      <c r="B1310" s="20" t="s">
        <v>2658</v>
      </c>
      <c r="C1310" s="28" t="e">
        <f t="shared" si="19"/>
        <v>#N/A</v>
      </c>
    </row>
    <row r="1311" spans="1:3">
      <c r="A1311" s="11">
        <v>4230000211</v>
      </c>
      <c r="B1311" s="20" t="s">
        <v>2659</v>
      </c>
      <c r="C1311" s="28" t="e">
        <f t="shared" si="19"/>
        <v>#N/A</v>
      </c>
    </row>
    <row r="1312" spans="1:3">
      <c r="A1312" s="11" t="s">
        <v>1497</v>
      </c>
      <c r="B1312" s="20" t="s">
        <v>2660</v>
      </c>
      <c r="C1312" s="28" t="e">
        <f t="shared" si="19"/>
        <v>#N/A</v>
      </c>
    </row>
    <row r="1313" spans="1:3">
      <c r="A1313" s="11">
        <v>3500000040</v>
      </c>
      <c r="B1313" s="20" t="s">
        <v>2661</v>
      </c>
      <c r="C1313" s="28" t="e">
        <f t="shared" si="19"/>
        <v>#N/A</v>
      </c>
    </row>
    <row r="1314" spans="1:3">
      <c r="A1314" s="11">
        <v>3500000050</v>
      </c>
      <c r="B1314" s="20" t="s">
        <v>2662</v>
      </c>
      <c r="C1314" s="28" t="e">
        <f t="shared" si="19"/>
        <v>#N/A</v>
      </c>
    </row>
    <row r="1315" spans="1:3">
      <c r="A1315" s="11">
        <v>3500000051</v>
      </c>
      <c r="B1315" s="20" t="s">
        <v>2663</v>
      </c>
      <c r="C1315" s="28" t="e">
        <f t="shared" si="19"/>
        <v>#N/A</v>
      </c>
    </row>
    <row r="1316" spans="1:3">
      <c r="A1316" s="11">
        <v>3510000020</v>
      </c>
      <c r="B1316" s="20" t="s">
        <v>2664</v>
      </c>
      <c r="C1316" s="28" t="e">
        <f t="shared" si="19"/>
        <v>#N/A</v>
      </c>
    </row>
    <row r="1317" spans="1:3">
      <c r="A1317" s="11">
        <v>3510000010</v>
      </c>
      <c r="B1317" s="20" t="s">
        <v>2664</v>
      </c>
      <c r="C1317" s="28" t="e">
        <f t="shared" si="19"/>
        <v>#N/A</v>
      </c>
    </row>
    <row r="1318" spans="1:3">
      <c r="A1318" s="11">
        <v>3500000013</v>
      </c>
      <c r="B1318" s="20" t="s">
        <v>2665</v>
      </c>
      <c r="C1318" s="28" t="e">
        <f t="shared" si="19"/>
        <v>#N/A</v>
      </c>
    </row>
    <row r="1319" spans="1:3">
      <c r="A1319" s="11">
        <v>3500009040</v>
      </c>
      <c r="B1319" s="20" t="s">
        <v>2666</v>
      </c>
      <c r="C1319" s="28" t="e">
        <f t="shared" si="19"/>
        <v>#N/A</v>
      </c>
    </row>
    <row r="1320" spans="1:3">
      <c r="A1320" s="11">
        <v>3500009041</v>
      </c>
      <c r="B1320" s="20" t="s">
        <v>2667</v>
      </c>
      <c r="C1320" s="28" t="e">
        <f t="shared" si="19"/>
        <v>#N/A</v>
      </c>
    </row>
    <row r="1321" spans="1:3">
      <c r="A1321" s="11">
        <v>4010000010</v>
      </c>
      <c r="B1321" s="20" t="s">
        <v>2668</v>
      </c>
      <c r="C1321" s="28" t="e">
        <f t="shared" si="19"/>
        <v>#N/A</v>
      </c>
    </row>
    <row r="1322" spans="1:3">
      <c r="A1322" s="11">
        <v>4110001500</v>
      </c>
      <c r="B1322" s="20" t="s">
        <v>2669</v>
      </c>
      <c r="C1322" s="28" t="e">
        <f t="shared" ref="C1322:C1385" si="20">VLOOKUP(B1322,F:G,2,0)</f>
        <v>#N/A</v>
      </c>
    </row>
    <row r="1323" spans="1:3">
      <c r="A1323" s="11">
        <v>4110001500</v>
      </c>
      <c r="B1323" s="20" t="s">
        <v>2670</v>
      </c>
      <c r="C1323" s="28" t="e">
        <f t="shared" si="20"/>
        <v>#N/A</v>
      </c>
    </row>
    <row r="1324" spans="1:3">
      <c r="A1324" s="11">
        <v>4110001500</v>
      </c>
      <c r="B1324" s="20" t="s">
        <v>2671</v>
      </c>
      <c r="C1324" s="28" t="e">
        <f t="shared" si="20"/>
        <v>#N/A</v>
      </c>
    </row>
    <row r="1325" spans="1:3">
      <c r="A1325" s="11">
        <v>4110001500</v>
      </c>
      <c r="B1325" s="20" t="s">
        <v>2672</v>
      </c>
      <c r="C1325" s="28" t="e">
        <f t="shared" si="20"/>
        <v>#N/A</v>
      </c>
    </row>
    <row r="1326" spans="1:3">
      <c r="A1326" s="11">
        <v>4110001500</v>
      </c>
      <c r="B1326" s="20" t="s">
        <v>2673</v>
      </c>
      <c r="C1326" s="28" t="e">
        <f t="shared" si="20"/>
        <v>#N/A</v>
      </c>
    </row>
    <row r="1327" spans="1:3">
      <c r="A1327" s="11">
        <v>4110001500</v>
      </c>
      <c r="B1327" s="20" t="s">
        <v>2674</v>
      </c>
      <c r="C1327" s="28" t="e">
        <f t="shared" si="20"/>
        <v>#N/A</v>
      </c>
    </row>
    <row r="1328" spans="1:3">
      <c r="A1328" s="11">
        <v>4110001500</v>
      </c>
      <c r="B1328" s="20" t="s">
        <v>2675</v>
      </c>
      <c r="C1328" s="28" t="e">
        <f t="shared" si="20"/>
        <v>#N/A</v>
      </c>
    </row>
    <row r="1329" spans="1:3">
      <c r="A1329" s="11">
        <v>4110001500</v>
      </c>
      <c r="B1329" s="20" t="s">
        <v>2676</v>
      </c>
      <c r="C1329" s="28" t="e">
        <f t="shared" si="20"/>
        <v>#N/A</v>
      </c>
    </row>
    <row r="1330" spans="1:3">
      <c r="A1330" s="11">
        <v>4110001500</v>
      </c>
      <c r="B1330" s="20" t="s">
        <v>2677</v>
      </c>
      <c r="C1330" s="28" t="e">
        <f t="shared" si="20"/>
        <v>#N/A</v>
      </c>
    </row>
    <row r="1331" spans="1:3">
      <c r="A1331" s="11">
        <v>4111001500</v>
      </c>
      <c r="B1331" s="20" t="s">
        <v>2678</v>
      </c>
      <c r="C1331" s="28" t="e">
        <f t="shared" si="20"/>
        <v>#N/A</v>
      </c>
    </row>
    <row r="1332" spans="1:3">
      <c r="A1332" s="11">
        <v>4110001501</v>
      </c>
      <c r="B1332" s="20" t="s">
        <v>2679</v>
      </c>
      <c r="C1332" s="28" t="e">
        <f t="shared" si="20"/>
        <v>#N/A</v>
      </c>
    </row>
    <row r="1333" spans="1:3">
      <c r="A1333" s="11">
        <v>4310001500</v>
      </c>
      <c r="B1333" s="20" t="s">
        <v>2680</v>
      </c>
      <c r="C1333" s="28" t="e">
        <f t="shared" si="20"/>
        <v>#N/A</v>
      </c>
    </row>
    <row r="1334" spans="1:3">
      <c r="A1334" s="11">
        <v>4510000030</v>
      </c>
      <c r="B1334" s="20" t="s">
        <v>2681</v>
      </c>
      <c r="C1334" s="28" t="e">
        <f t="shared" si="20"/>
        <v>#N/A</v>
      </c>
    </row>
    <row r="1335" spans="1:3">
      <c r="A1335" s="11">
        <v>4243000001</v>
      </c>
      <c r="B1335" s="20" t="s">
        <v>2681</v>
      </c>
      <c r="C1335" s="28" t="e">
        <f t="shared" si="20"/>
        <v>#N/A</v>
      </c>
    </row>
    <row r="1336" spans="1:3">
      <c r="A1336" s="11">
        <v>4034001501</v>
      </c>
      <c r="B1336" s="20" t="s">
        <v>2682</v>
      </c>
      <c r="C1336" s="28" t="e">
        <f t="shared" si="20"/>
        <v>#N/A</v>
      </c>
    </row>
    <row r="1337" spans="1:3">
      <c r="A1337" s="11" t="s">
        <v>1497</v>
      </c>
      <c r="B1337" s="20" t="s">
        <v>2683</v>
      </c>
      <c r="C1337" s="28" t="e">
        <f t="shared" si="20"/>
        <v>#N/A</v>
      </c>
    </row>
    <row r="1338" spans="1:3">
      <c r="A1338" s="11">
        <v>4201300281</v>
      </c>
      <c r="B1338" s="20" t="s">
        <v>2684</v>
      </c>
      <c r="C1338" s="28" t="e">
        <f t="shared" si="20"/>
        <v>#N/A</v>
      </c>
    </row>
    <row r="1339" spans="1:3">
      <c r="A1339" s="11" t="s">
        <v>1497</v>
      </c>
      <c r="B1339" s="20" t="s">
        <v>2685</v>
      </c>
      <c r="C1339" s="28" t="e">
        <f t="shared" si="20"/>
        <v>#N/A</v>
      </c>
    </row>
    <row r="1340" spans="1:3">
      <c r="A1340" s="11" t="s">
        <v>1497</v>
      </c>
      <c r="B1340" s="20" t="s">
        <v>2686</v>
      </c>
      <c r="C1340" s="28" t="e">
        <f t="shared" si="20"/>
        <v>#N/A</v>
      </c>
    </row>
    <row r="1341" spans="1:3">
      <c r="A1341" s="11">
        <v>4500000010</v>
      </c>
      <c r="B1341" s="20" t="s">
        <v>2687</v>
      </c>
      <c r="C1341" s="28" t="e">
        <f t="shared" si="20"/>
        <v>#N/A</v>
      </c>
    </row>
    <row r="1342" spans="1:3">
      <c r="A1342" s="11">
        <v>4230011500</v>
      </c>
      <c r="B1342" s="20" t="s">
        <v>2687</v>
      </c>
      <c r="C1342" s="28" t="e">
        <f t="shared" si="20"/>
        <v>#N/A</v>
      </c>
    </row>
    <row r="1343" spans="1:3">
      <c r="A1343" s="11">
        <v>4724000000</v>
      </c>
      <c r="B1343" s="20" t="s">
        <v>2688</v>
      </c>
      <c r="C1343" s="28" t="e">
        <f t="shared" si="20"/>
        <v>#N/A</v>
      </c>
    </row>
    <row r="1344" spans="1:3">
      <c r="A1344" s="11">
        <v>4600000000</v>
      </c>
      <c r="B1344" s="20" t="s">
        <v>2689</v>
      </c>
      <c r="C1344" s="28" t="e">
        <f t="shared" si="20"/>
        <v>#N/A</v>
      </c>
    </row>
    <row r="1345" spans="1:3">
      <c r="A1345" s="11">
        <v>4650001500</v>
      </c>
      <c r="B1345" s="20" t="s">
        <v>2690</v>
      </c>
      <c r="C1345" s="28" t="e">
        <f t="shared" si="20"/>
        <v>#N/A</v>
      </c>
    </row>
    <row r="1346" spans="1:3">
      <c r="A1346" s="11">
        <v>4650001500</v>
      </c>
      <c r="B1346" s="20" t="s">
        <v>2691</v>
      </c>
      <c r="C1346" s="28" t="e">
        <f t="shared" si="20"/>
        <v>#N/A</v>
      </c>
    </row>
    <row r="1347" spans="1:3">
      <c r="A1347" s="11">
        <v>4602000000</v>
      </c>
      <c r="B1347" s="20" t="s">
        <v>2692</v>
      </c>
      <c r="C1347" s="28" t="e">
        <f t="shared" si="20"/>
        <v>#N/A</v>
      </c>
    </row>
    <row r="1348" spans="1:3">
      <c r="A1348" s="11">
        <v>4230011500</v>
      </c>
      <c r="B1348" s="20" t="s">
        <v>2693</v>
      </c>
      <c r="C1348" s="28" t="e">
        <f t="shared" si="20"/>
        <v>#N/A</v>
      </c>
    </row>
    <row r="1349" spans="1:3">
      <c r="A1349" s="11">
        <v>4500101500</v>
      </c>
      <c r="B1349" s="20" t="s">
        <v>2693</v>
      </c>
      <c r="C1349" s="28" t="e">
        <f t="shared" si="20"/>
        <v>#N/A</v>
      </c>
    </row>
    <row r="1350" spans="1:3">
      <c r="A1350" s="11">
        <v>4610000000</v>
      </c>
      <c r="B1350" s="20" t="s">
        <v>2694</v>
      </c>
      <c r="C1350" s="28" t="e">
        <f t="shared" si="20"/>
        <v>#N/A</v>
      </c>
    </row>
    <row r="1351" spans="1:3">
      <c r="A1351" s="11">
        <v>4612000000</v>
      </c>
      <c r="B1351" s="20" t="s">
        <v>2695</v>
      </c>
      <c r="C1351" s="28" t="e">
        <f t="shared" si="20"/>
        <v>#N/A</v>
      </c>
    </row>
    <row r="1352" spans="1:3">
      <c r="A1352" s="11">
        <v>4611000000</v>
      </c>
      <c r="B1352" s="20" t="s">
        <v>2696</v>
      </c>
      <c r="C1352" s="28" t="e">
        <f t="shared" si="20"/>
        <v>#N/A</v>
      </c>
    </row>
    <row r="1353" spans="1:3">
      <c r="A1353" s="11">
        <v>4540000010</v>
      </c>
      <c r="B1353" s="20" t="s">
        <v>2697</v>
      </c>
      <c r="C1353" s="28" t="e">
        <f t="shared" si="20"/>
        <v>#N/A</v>
      </c>
    </row>
    <row r="1354" spans="1:3">
      <c r="A1354" s="11">
        <v>4540000020</v>
      </c>
      <c r="B1354" s="20" t="s">
        <v>2697</v>
      </c>
      <c r="C1354" s="28" t="e">
        <f t="shared" si="20"/>
        <v>#N/A</v>
      </c>
    </row>
    <row r="1355" spans="1:3">
      <c r="A1355" s="11">
        <v>4540000030</v>
      </c>
      <c r="B1355" s="20" t="s">
        <v>2697</v>
      </c>
      <c r="C1355" s="28" t="e">
        <f t="shared" si="20"/>
        <v>#N/A</v>
      </c>
    </row>
    <row r="1356" spans="1:3">
      <c r="A1356" s="11">
        <v>4540000001</v>
      </c>
      <c r="B1356" s="20" t="s">
        <v>2698</v>
      </c>
      <c r="C1356" s="28" t="e">
        <f t="shared" si="20"/>
        <v>#N/A</v>
      </c>
    </row>
    <row r="1357" spans="1:3">
      <c r="A1357" s="11">
        <v>4710000030</v>
      </c>
      <c r="B1357" s="20" t="s">
        <v>2699</v>
      </c>
      <c r="C1357" s="28" t="e">
        <f t="shared" si="20"/>
        <v>#N/A</v>
      </c>
    </row>
    <row r="1358" spans="1:3">
      <c r="A1358" s="11">
        <v>8990000000</v>
      </c>
      <c r="B1358" s="20" t="s">
        <v>2700</v>
      </c>
      <c r="C1358" s="28" t="e">
        <f t="shared" si="20"/>
        <v>#N/A</v>
      </c>
    </row>
    <row r="1359" spans="1:3">
      <c r="A1359" s="11">
        <v>4710000000</v>
      </c>
      <c r="B1359" s="20" t="s">
        <v>2701</v>
      </c>
      <c r="C1359" s="28" t="e">
        <f t="shared" si="20"/>
        <v>#N/A</v>
      </c>
    </row>
    <row r="1360" spans="1:3">
      <c r="A1360" s="11">
        <v>4641000001</v>
      </c>
      <c r="B1360" s="20" t="s">
        <v>2702</v>
      </c>
      <c r="C1360" s="28" t="e">
        <f t="shared" si="20"/>
        <v>#N/A</v>
      </c>
    </row>
    <row r="1361" spans="1:3">
      <c r="A1361" s="11">
        <v>5000000000</v>
      </c>
      <c r="B1361" s="20" t="s">
        <v>2703</v>
      </c>
      <c r="C1361" s="28" t="e">
        <f t="shared" si="20"/>
        <v>#N/A</v>
      </c>
    </row>
    <row r="1362" spans="1:3">
      <c r="A1362" s="11">
        <v>5010000001</v>
      </c>
      <c r="B1362" s="20" t="s">
        <v>2704</v>
      </c>
      <c r="C1362" s="28" t="e">
        <f t="shared" si="20"/>
        <v>#N/A</v>
      </c>
    </row>
    <row r="1363" spans="1:3">
      <c r="A1363" s="11">
        <v>5010000011</v>
      </c>
      <c r="B1363" s="20" t="s">
        <v>2705</v>
      </c>
      <c r="C1363" s="28" t="e">
        <f t="shared" si="20"/>
        <v>#N/A</v>
      </c>
    </row>
    <row r="1364" spans="1:3">
      <c r="A1364" s="11">
        <v>5010000000</v>
      </c>
      <c r="B1364" s="20" t="s">
        <v>2706</v>
      </c>
      <c r="C1364" s="28" t="e">
        <f t="shared" si="20"/>
        <v>#N/A</v>
      </c>
    </row>
    <row r="1365" spans="1:3">
      <c r="A1365" s="11">
        <v>5010000010</v>
      </c>
      <c r="B1365" s="20" t="s">
        <v>2707</v>
      </c>
      <c r="C1365" s="28" t="e">
        <f t="shared" si="20"/>
        <v>#N/A</v>
      </c>
    </row>
    <row r="1366" spans="1:3">
      <c r="A1366" s="11">
        <v>5041001100</v>
      </c>
      <c r="B1366" s="20" t="s">
        <v>2708</v>
      </c>
      <c r="C1366" s="28" t="e">
        <f t="shared" si="20"/>
        <v>#N/A</v>
      </c>
    </row>
    <row r="1367" spans="1:3">
      <c r="A1367" s="11" t="s">
        <v>1497</v>
      </c>
      <c r="B1367" s="20" t="s">
        <v>2709</v>
      </c>
      <c r="C1367" s="28" t="e">
        <f t="shared" si="20"/>
        <v>#N/A</v>
      </c>
    </row>
    <row r="1368" spans="1:3">
      <c r="A1368" s="11" t="s">
        <v>1497</v>
      </c>
      <c r="B1368" s="20" t="s">
        <v>2710</v>
      </c>
      <c r="C1368" s="28" t="e">
        <f t="shared" si="20"/>
        <v>#N/A</v>
      </c>
    </row>
    <row r="1369" spans="1:3">
      <c r="A1369" s="11">
        <v>5010000002</v>
      </c>
      <c r="B1369" s="20" t="s">
        <v>2711</v>
      </c>
      <c r="C1369" s="28" t="e">
        <f t="shared" si="20"/>
        <v>#N/A</v>
      </c>
    </row>
    <row r="1370" spans="1:3">
      <c r="A1370" s="11">
        <v>5010000012</v>
      </c>
      <c r="B1370" s="20" t="s">
        <v>2712</v>
      </c>
      <c r="C1370" s="28" t="e">
        <f t="shared" si="20"/>
        <v>#N/A</v>
      </c>
    </row>
    <row r="1371" spans="1:3">
      <c r="A1371" s="11">
        <v>5000100000</v>
      </c>
      <c r="B1371" s="20" t="s">
        <v>2713</v>
      </c>
      <c r="C1371" s="28" t="e">
        <f t="shared" si="20"/>
        <v>#N/A</v>
      </c>
    </row>
    <row r="1372" spans="1:3">
      <c r="A1372" s="11">
        <v>5010100001</v>
      </c>
      <c r="B1372" s="20" t="s">
        <v>2714</v>
      </c>
      <c r="C1372" s="28" t="e">
        <f t="shared" si="20"/>
        <v>#N/A</v>
      </c>
    </row>
    <row r="1373" spans="1:3">
      <c r="A1373" s="11">
        <v>5010100011</v>
      </c>
      <c r="B1373" s="20" t="s">
        <v>2715</v>
      </c>
      <c r="C1373" s="28" t="e">
        <f t="shared" si="20"/>
        <v>#N/A</v>
      </c>
    </row>
    <row r="1374" spans="1:3">
      <c r="A1374" s="11">
        <v>5010100000</v>
      </c>
      <c r="B1374" s="20" t="s">
        <v>2716</v>
      </c>
      <c r="C1374" s="28" t="e">
        <f t="shared" si="20"/>
        <v>#N/A</v>
      </c>
    </row>
    <row r="1375" spans="1:3">
      <c r="A1375" s="11">
        <v>5010100010</v>
      </c>
      <c r="B1375" s="20" t="s">
        <v>2717</v>
      </c>
      <c r="C1375" s="28" t="e">
        <f t="shared" si="20"/>
        <v>#N/A</v>
      </c>
    </row>
    <row r="1376" spans="1:3">
      <c r="A1376" s="11">
        <v>5041002100</v>
      </c>
      <c r="B1376" s="20" t="s">
        <v>2718</v>
      </c>
      <c r="C1376" s="28" t="e">
        <f t="shared" si="20"/>
        <v>#N/A</v>
      </c>
    </row>
    <row r="1377" spans="1:3">
      <c r="A1377" s="11">
        <v>5052000010</v>
      </c>
      <c r="B1377" s="20" t="s">
        <v>2719</v>
      </c>
      <c r="C1377" s="28" t="e">
        <f t="shared" si="20"/>
        <v>#N/A</v>
      </c>
    </row>
    <row r="1378" spans="1:3">
      <c r="A1378" s="11">
        <v>5010100002</v>
      </c>
      <c r="B1378" s="20" t="s">
        <v>2720</v>
      </c>
      <c r="C1378" s="28" t="e">
        <f t="shared" si="20"/>
        <v>#N/A</v>
      </c>
    </row>
    <row r="1379" spans="1:3">
      <c r="A1379" s="11">
        <v>5010100012</v>
      </c>
      <c r="B1379" s="20" t="s">
        <v>2721</v>
      </c>
      <c r="C1379" s="28" t="e">
        <f t="shared" si="20"/>
        <v>#N/A</v>
      </c>
    </row>
    <row r="1380" spans="1:3">
      <c r="A1380" s="11">
        <v>5000200000</v>
      </c>
      <c r="B1380" s="20" t="s">
        <v>2722</v>
      </c>
      <c r="C1380" s="28" t="e">
        <f t="shared" si="20"/>
        <v>#N/A</v>
      </c>
    </row>
    <row r="1381" spans="1:3">
      <c r="A1381" s="11">
        <v>5000200001</v>
      </c>
      <c r="B1381" s="20" t="s">
        <v>2723</v>
      </c>
      <c r="C1381" s="28" t="e">
        <f t="shared" si="20"/>
        <v>#N/A</v>
      </c>
    </row>
    <row r="1382" spans="1:3">
      <c r="A1382" s="11">
        <v>5000200002</v>
      </c>
      <c r="B1382" s="20" t="s">
        <v>2724</v>
      </c>
      <c r="C1382" s="28" t="e">
        <f t="shared" si="20"/>
        <v>#N/A</v>
      </c>
    </row>
    <row r="1383" spans="1:3">
      <c r="A1383" s="11">
        <v>5050000000</v>
      </c>
      <c r="B1383" s="20" t="s">
        <v>2725</v>
      </c>
      <c r="C1383" s="28" t="e">
        <f t="shared" si="20"/>
        <v>#N/A</v>
      </c>
    </row>
    <row r="1384" spans="1:3">
      <c r="A1384" s="11">
        <v>5050010000</v>
      </c>
      <c r="B1384" s="20" t="s">
        <v>2726</v>
      </c>
      <c r="C1384" s="28" t="e">
        <f t="shared" si="20"/>
        <v>#N/A</v>
      </c>
    </row>
    <row r="1385" spans="1:3">
      <c r="A1385" s="11">
        <v>5052000000</v>
      </c>
      <c r="B1385" s="20" t="s">
        <v>2727</v>
      </c>
      <c r="C1385" s="28" t="e">
        <f t="shared" si="20"/>
        <v>#N/A</v>
      </c>
    </row>
    <row r="1386" spans="1:3">
      <c r="A1386" s="11">
        <v>5052010000</v>
      </c>
      <c r="B1386" s="20" t="s">
        <v>2728</v>
      </c>
      <c r="C1386" s="28" t="e">
        <f t="shared" ref="C1386:C1449" si="21">VLOOKUP(B1386,F:G,2,0)</f>
        <v>#N/A</v>
      </c>
    </row>
    <row r="1387" spans="1:3">
      <c r="A1387" s="11">
        <v>5002000000</v>
      </c>
      <c r="B1387" s="20" t="s">
        <v>2729</v>
      </c>
      <c r="C1387" s="28" t="e">
        <f t="shared" si="21"/>
        <v>#N/A</v>
      </c>
    </row>
    <row r="1388" spans="1:3">
      <c r="A1388" s="11">
        <v>5002100000</v>
      </c>
      <c r="B1388" s="20" t="s">
        <v>2729</v>
      </c>
      <c r="C1388" s="28" t="e">
        <f t="shared" si="21"/>
        <v>#N/A</v>
      </c>
    </row>
    <row r="1389" spans="1:3">
      <c r="A1389" s="11">
        <v>5002200000</v>
      </c>
      <c r="B1389" s="20" t="s">
        <v>2729</v>
      </c>
      <c r="C1389" s="28" t="e">
        <f t="shared" si="21"/>
        <v>#N/A</v>
      </c>
    </row>
    <row r="1390" spans="1:3">
      <c r="A1390" s="11">
        <v>6100000000</v>
      </c>
      <c r="B1390" s="20" t="s">
        <v>2730</v>
      </c>
      <c r="C1390" s="28" t="e">
        <f t="shared" si="21"/>
        <v>#N/A</v>
      </c>
    </row>
    <row r="1391" spans="1:3">
      <c r="A1391" s="11">
        <v>6100100000</v>
      </c>
      <c r="B1391" s="20" t="s">
        <v>2730</v>
      </c>
      <c r="C1391" s="28" t="e">
        <f t="shared" si="21"/>
        <v>#N/A</v>
      </c>
    </row>
    <row r="1392" spans="1:3">
      <c r="A1392" s="11">
        <v>6102000000</v>
      </c>
      <c r="B1392" s="20" t="s">
        <v>2731</v>
      </c>
      <c r="C1392" s="28" t="e">
        <f t="shared" si="21"/>
        <v>#N/A</v>
      </c>
    </row>
    <row r="1393" spans="1:3">
      <c r="A1393" s="11">
        <v>6102100000</v>
      </c>
      <c r="B1393" s="20" t="s">
        <v>2731</v>
      </c>
      <c r="C1393" s="28" t="e">
        <f t="shared" si="21"/>
        <v>#N/A</v>
      </c>
    </row>
    <row r="1394" spans="1:3">
      <c r="A1394" s="11">
        <v>7040200000</v>
      </c>
      <c r="B1394" s="20" t="s">
        <v>2732</v>
      </c>
      <c r="C1394" s="28" t="e">
        <f t="shared" si="21"/>
        <v>#N/A</v>
      </c>
    </row>
    <row r="1395" spans="1:3">
      <c r="A1395" s="11">
        <v>7040210000</v>
      </c>
      <c r="B1395" s="20" t="s">
        <v>2732</v>
      </c>
      <c r="C1395" s="28" t="e">
        <f t="shared" si="21"/>
        <v>#N/A</v>
      </c>
    </row>
    <row r="1396" spans="1:3">
      <c r="A1396" s="11">
        <v>7040000000</v>
      </c>
      <c r="B1396" s="20" t="s">
        <v>2733</v>
      </c>
      <c r="C1396" s="28" t="e">
        <f t="shared" si="21"/>
        <v>#N/A</v>
      </c>
    </row>
    <row r="1397" spans="1:3">
      <c r="A1397" s="11">
        <v>7040010000</v>
      </c>
      <c r="B1397" s="20" t="s">
        <v>2733</v>
      </c>
      <c r="C1397" s="28" t="e">
        <f t="shared" si="21"/>
        <v>#N/A</v>
      </c>
    </row>
    <row r="1398" spans="1:3">
      <c r="A1398" s="11" t="s">
        <v>1408</v>
      </c>
      <c r="B1398" s="21" t="s">
        <v>2734</v>
      </c>
      <c r="C1398" s="28" t="e">
        <f t="shared" si="21"/>
        <v>#N/A</v>
      </c>
    </row>
    <row r="1399" spans="1:3">
      <c r="A1399" s="11" t="s">
        <v>1409</v>
      </c>
      <c r="B1399" s="21" t="s">
        <v>2734</v>
      </c>
      <c r="C1399" s="28" t="e">
        <f t="shared" si="21"/>
        <v>#N/A</v>
      </c>
    </row>
    <row r="1400" spans="1:3">
      <c r="A1400" s="11" t="s">
        <v>1497</v>
      </c>
      <c r="B1400" s="20" t="s">
        <v>2735</v>
      </c>
      <c r="C1400" s="28" t="e">
        <f t="shared" si="21"/>
        <v>#N/A</v>
      </c>
    </row>
    <row r="1401" spans="1:3">
      <c r="A1401" s="11">
        <v>7030011500</v>
      </c>
      <c r="B1401" s="20" t="s">
        <v>2736</v>
      </c>
      <c r="C1401" s="28" t="e">
        <f t="shared" si="21"/>
        <v>#N/A</v>
      </c>
    </row>
    <row r="1402" spans="1:3">
      <c r="A1402" s="11">
        <v>7144109000</v>
      </c>
      <c r="B1402" s="20" t="s">
        <v>2737</v>
      </c>
      <c r="C1402" s="28" t="e">
        <f t="shared" si="21"/>
        <v>#N/A</v>
      </c>
    </row>
    <row r="1403" spans="1:3">
      <c r="A1403" s="11">
        <v>7130011500</v>
      </c>
      <c r="B1403" s="20" t="s">
        <v>2737</v>
      </c>
      <c r="C1403" s="28" t="e">
        <f t="shared" si="21"/>
        <v>#N/A</v>
      </c>
    </row>
    <row r="1404" spans="1:3">
      <c r="A1404" s="11">
        <v>7133001500</v>
      </c>
      <c r="B1404" s="20" t="s">
        <v>2737</v>
      </c>
      <c r="C1404" s="28" t="e">
        <f t="shared" si="21"/>
        <v>#N/A</v>
      </c>
    </row>
    <row r="1405" spans="1:3">
      <c r="A1405" s="11">
        <v>7430001500</v>
      </c>
      <c r="B1405" s="20" t="s">
        <v>2738</v>
      </c>
      <c r="C1405" s="28" t="e">
        <f t="shared" si="21"/>
        <v>#N/A</v>
      </c>
    </row>
    <row r="1406" spans="1:3">
      <c r="A1406" s="11">
        <v>7330001500</v>
      </c>
      <c r="B1406" s="20" t="s">
        <v>2738</v>
      </c>
      <c r="C1406" s="28" t="e">
        <f t="shared" si="21"/>
        <v>#N/A</v>
      </c>
    </row>
    <row r="1407" spans="1:3">
      <c r="A1407" s="11">
        <v>7330001500</v>
      </c>
      <c r="B1407" s="20" t="s">
        <v>2738</v>
      </c>
      <c r="C1407" s="28" t="e">
        <f t="shared" si="21"/>
        <v>#N/A</v>
      </c>
    </row>
    <row r="1408" spans="1:3">
      <c r="A1408" s="11">
        <v>7330001500</v>
      </c>
      <c r="B1408" s="20" t="s">
        <v>2738</v>
      </c>
      <c r="C1408" s="28" t="e">
        <f t="shared" si="21"/>
        <v>#N/A</v>
      </c>
    </row>
    <row r="1409" spans="1:3">
      <c r="A1409" s="11">
        <v>7330001500</v>
      </c>
      <c r="B1409" s="20" t="s">
        <v>2738</v>
      </c>
      <c r="C1409" s="28" t="e">
        <f t="shared" si="21"/>
        <v>#N/A</v>
      </c>
    </row>
    <row r="1410" spans="1:3">
      <c r="A1410" s="11">
        <v>7433001500</v>
      </c>
      <c r="B1410" s="20" t="s">
        <v>2738</v>
      </c>
      <c r="C1410" s="28" t="e">
        <f t="shared" si="21"/>
        <v>#N/A</v>
      </c>
    </row>
    <row r="1411" spans="1:3">
      <c r="A1411" s="11">
        <v>7330001500</v>
      </c>
      <c r="B1411" s="20" t="s">
        <v>2738</v>
      </c>
      <c r="C1411" s="28" t="e">
        <f t="shared" si="21"/>
        <v>#N/A</v>
      </c>
    </row>
    <row r="1412" spans="1:3">
      <c r="A1412" s="11">
        <v>7030000000</v>
      </c>
      <c r="B1412" s="20" t="s">
        <v>2739</v>
      </c>
      <c r="C1412" s="28" t="e">
        <f t="shared" si="21"/>
        <v>#N/A</v>
      </c>
    </row>
    <row r="1413" spans="1:3">
      <c r="A1413" s="11">
        <v>7030010000</v>
      </c>
      <c r="B1413" s="20" t="s">
        <v>2739</v>
      </c>
      <c r="C1413" s="28" t="e">
        <f t="shared" si="21"/>
        <v>#N/A</v>
      </c>
    </row>
    <row r="1414" spans="1:3">
      <c r="A1414" s="11" t="s">
        <v>1497</v>
      </c>
      <c r="B1414" s="20" t="s">
        <v>2740</v>
      </c>
      <c r="C1414" s="28" t="e">
        <f t="shared" si="21"/>
        <v>#N/A</v>
      </c>
    </row>
    <row r="1415" spans="1:3">
      <c r="A1415" s="11" t="s">
        <v>1497</v>
      </c>
      <c r="B1415" s="20" t="s">
        <v>2741</v>
      </c>
      <c r="C1415" s="28" t="e">
        <f t="shared" si="21"/>
        <v>#N/A</v>
      </c>
    </row>
    <row r="1416" spans="1:3">
      <c r="A1416" s="11">
        <v>7360000000</v>
      </c>
      <c r="B1416" s="20" t="s">
        <v>2742</v>
      </c>
      <c r="C1416" s="28" t="e">
        <f t="shared" si="21"/>
        <v>#N/A</v>
      </c>
    </row>
    <row r="1417" spans="1:3">
      <c r="A1417" s="11">
        <v>7360010000</v>
      </c>
      <c r="B1417" s="20" t="s">
        <v>2742</v>
      </c>
      <c r="C1417" s="28" t="e">
        <f t="shared" si="21"/>
        <v>#N/A</v>
      </c>
    </row>
    <row r="1418" spans="1:3">
      <c r="A1418" s="11">
        <v>7043200000</v>
      </c>
      <c r="B1418" s="20" t="s">
        <v>2743</v>
      </c>
      <c r="C1418" s="28" t="e">
        <f t="shared" si="21"/>
        <v>#N/A</v>
      </c>
    </row>
    <row r="1419" spans="1:3">
      <c r="A1419" s="11">
        <v>7043210000</v>
      </c>
      <c r="B1419" s="20" t="s">
        <v>2743</v>
      </c>
      <c r="C1419" s="28" t="e">
        <f t="shared" si="21"/>
        <v>#N/A</v>
      </c>
    </row>
    <row r="1420" spans="1:3">
      <c r="A1420" s="11">
        <v>7043100000</v>
      </c>
      <c r="B1420" s="20" t="s">
        <v>2743</v>
      </c>
      <c r="C1420" s="28" t="e">
        <f t="shared" si="21"/>
        <v>#N/A</v>
      </c>
    </row>
    <row r="1421" spans="1:3">
      <c r="A1421" s="11">
        <v>7043110000</v>
      </c>
      <c r="B1421" s="20" t="s">
        <v>2743</v>
      </c>
      <c r="C1421" s="28" t="e">
        <f t="shared" si="21"/>
        <v>#N/A</v>
      </c>
    </row>
    <row r="1422" spans="1:3">
      <c r="A1422" s="11">
        <v>7043211500</v>
      </c>
      <c r="B1422" s="20" t="s">
        <v>2743</v>
      </c>
      <c r="C1422" s="28" t="e">
        <f t="shared" si="21"/>
        <v>#N/A</v>
      </c>
    </row>
    <row r="1423" spans="1:3">
      <c r="A1423" s="11">
        <v>7043101500</v>
      </c>
      <c r="B1423" s="20" t="s">
        <v>2743</v>
      </c>
      <c r="C1423" s="28" t="e">
        <f t="shared" si="21"/>
        <v>#N/A</v>
      </c>
    </row>
    <row r="1424" spans="1:3">
      <c r="A1424" s="11" t="s">
        <v>1497</v>
      </c>
      <c r="B1424" s="20" t="s">
        <v>2744</v>
      </c>
      <c r="C1424" s="28" t="e">
        <f t="shared" si="21"/>
        <v>#N/A</v>
      </c>
    </row>
    <row r="1425" spans="1:3">
      <c r="A1425" s="11">
        <v>7010000000</v>
      </c>
      <c r="B1425" s="20" t="s">
        <v>2745</v>
      </c>
      <c r="C1425" s="28" t="e">
        <f t="shared" si="21"/>
        <v>#N/A</v>
      </c>
    </row>
    <row r="1426" spans="1:3">
      <c r="A1426" s="11">
        <v>7010010000</v>
      </c>
      <c r="B1426" s="20" t="s">
        <v>2745</v>
      </c>
      <c r="C1426" s="28" t="e">
        <f t="shared" si="21"/>
        <v>#N/A</v>
      </c>
    </row>
    <row r="1427" spans="1:3">
      <c r="A1427" s="11">
        <v>7110000000</v>
      </c>
      <c r="B1427" s="20" t="s">
        <v>2746</v>
      </c>
      <c r="C1427" s="28" t="e">
        <f t="shared" si="21"/>
        <v>#N/A</v>
      </c>
    </row>
    <row r="1428" spans="1:3">
      <c r="A1428" s="11">
        <v>7110000000</v>
      </c>
      <c r="B1428" s="20" t="s">
        <v>2746</v>
      </c>
      <c r="C1428" s="28" t="e">
        <f t="shared" si="21"/>
        <v>#N/A</v>
      </c>
    </row>
    <row r="1429" spans="1:3">
      <c r="A1429" s="11">
        <v>7110000000</v>
      </c>
      <c r="B1429" s="20" t="s">
        <v>2746</v>
      </c>
      <c r="C1429" s="28" t="e">
        <f t="shared" si="21"/>
        <v>#N/A</v>
      </c>
    </row>
    <row r="1430" spans="1:3">
      <c r="A1430" s="11">
        <v>7111000000</v>
      </c>
      <c r="B1430" s="20" t="s">
        <v>2746</v>
      </c>
      <c r="C1430" s="28" t="e">
        <f t="shared" si="21"/>
        <v>#N/A</v>
      </c>
    </row>
    <row r="1431" spans="1:3">
      <c r="A1431" s="11">
        <v>7113000000</v>
      </c>
      <c r="B1431" s="20" t="s">
        <v>2746</v>
      </c>
      <c r="C1431" s="28" t="e">
        <f t="shared" si="21"/>
        <v>#N/A</v>
      </c>
    </row>
    <row r="1432" spans="1:3">
      <c r="A1432" s="11">
        <v>7113000000</v>
      </c>
      <c r="B1432" s="20" t="s">
        <v>2746</v>
      </c>
      <c r="C1432" s="28" t="e">
        <f t="shared" si="21"/>
        <v>#N/A</v>
      </c>
    </row>
    <row r="1433" spans="1:3">
      <c r="A1433" s="11">
        <v>7113000000</v>
      </c>
      <c r="B1433" s="20" t="s">
        <v>2746</v>
      </c>
      <c r="C1433" s="28" t="e">
        <f t="shared" si="21"/>
        <v>#N/A</v>
      </c>
    </row>
    <row r="1434" spans="1:3">
      <c r="A1434" s="11">
        <v>7144100000</v>
      </c>
      <c r="B1434" s="20" t="s">
        <v>2746</v>
      </c>
      <c r="C1434" s="28" t="e">
        <f t="shared" si="21"/>
        <v>#N/A</v>
      </c>
    </row>
    <row r="1435" spans="1:3">
      <c r="A1435" s="11">
        <v>7010020000</v>
      </c>
      <c r="B1435" s="20" t="s">
        <v>2747</v>
      </c>
      <c r="C1435" s="28" t="e">
        <f t="shared" si="21"/>
        <v>#N/A</v>
      </c>
    </row>
    <row r="1436" spans="1:3">
      <c r="A1436" s="11">
        <v>7310000000</v>
      </c>
      <c r="B1436" s="20" t="s">
        <v>2748</v>
      </c>
      <c r="C1436" s="28" t="e">
        <f t="shared" si="21"/>
        <v>#N/A</v>
      </c>
    </row>
    <row r="1437" spans="1:3">
      <c r="A1437" s="11">
        <v>7310000000</v>
      </c>
      <c r="B1437" s="20" t="s">
        <v>2748</v>
      </c>
      <c r="C1437" s="28" t="e">
        <f t="shared" si="21"/>
        <v>#N/A</v>
      </c>
    </row>
    <row r="1438" spans="1:3">
      <c r="A1438" s="11">
        <v>7310000000</v>
      </c>
      <c r="B1438" s="20" t="s">
        <v>2748</v>
      </c>
      <c r="C1438" s="28" t="e">
        <f t="shared" si="21"/>
        <v>#N/A</v>
      </c>
    </row>
    <row r="1439" spans="1:3">
      <c r="A1439" s="11">
        <v>7310010000</v>
      </c>
      <c r="B1439" s="20" t="s">
        <v>2748</v>
      </c>
      <c r="C1439" s="28" t="e">
        <f t="shared" si="21"/>
        <v>#N/A</v>
      </c>
    </row>
    <row r="1440" spans="1:3">
      <c r="A1440" s="11">
        <v>7310010000</v>
      </c>
      <c r="B1440" s="20" t="s">
        <v>2748</v>
      </c>
      <c r="C1440" s="28" t="e">
        <f t="shared" si="21"/>
        <v>#N/A</v>
      </c>
    </row>
    <row r="1441" spans="1:3">
      <c r="A1441" s="11">
        <v>7310010000</v>
      </c>
      <c r="B1441" s="20" t="s">
        <v>2748</v>
      </c>
      <c r="C1441" s="28" t="e">
        <f t="shared" si="21"/>
        <v>#N/A</v>
      </c>
    </row>
    <row r="1442" spans="1:3">
      <c r="A1442" s="11">
        <v>7410000000</v>
      </c>
      <c r="B1442" s="20" t="s">
        <v>2748</v>
      </c>
      <c r="C1442" s="28" t="e">
        <f t="shared" si="21"/>
        <v>#N/A</v>
      </c>
    </row>
    <row r="1443" spans="1:3">
      <c r="A1443" s="11">
        <v>7410000000</v>
      </c>
      <c r="B1443" s="20" t="s">
        <v>2748</v>
      </c>
      <c r="C1443" s="28" t="e">
        <f t="shared" si="21"/>
        <v>#N/A</v>
      </c>
    </row>
    <row r="1444" spans="1:3">
      <c r="A1444" s="11">
        <v>7410000000</v>
      </c>
      <c r="B1444" s="20" t="s">
        <v>2748</v>
      </c>
      <c r="C1444" s="28" t="e">
        <f t="shared" si="21"/>
        <v>#N/A</v>
      </c>
    </row>
    <row r="1445" spans="1:3">
      <c r="A1445" s="11">
        <v>7410010000</v>
      </c>
      <c r="B1445" s="20" t="s">
        <v>2748</v>
      </c>
      <c r="C1445" s="28" t="e">
        <f t="shared" si="21"/>
        <v>#N/A</v>
      </c>
    </row>
    <row r="1446" spans="1:3">
      <c r="A1446" s="11">
        <v>7410010000</v>
      </c>
      <c r="B1446" s="20" t="s">
        <v>2748</v>
      </c>
      <c r="C1446" s="28" t="e">
        <f t="shared" si="21"/>
        <v>#N/A</v>
      </c>
    </row>
    <row r="1447" spans="1:3">
      <c r="A1447" s="11">
        <v>7410010000</v>
      </c>
      <c r="B1447" s="20" t="s">
        <v>2748</v>
      </c>
      <c r="C1447" s="28" t="e">
        <f t="shared" si="21"/>
        <v>#N/A</v>
      </c>
    </row>
    <row r="1448" spans="1:3">
      <c r="A1448" s="11">
        <v>7413000000</v>
      </c>
      <c r="B1448" s="20" t="s">
        <v>2748</v>
      </c>
      <c r="C1448" s="28" t="e">
        <f t="shared" si="21"/>
        <v>#N/A</v>
      </c>
    </row>
    <row r="1449" spans="1:3">
      <c r="A1449" s="11">
        <v>7413000000</v>
      </c>
      <c r="B1449" s="20" t="s">
        <v>2748</v>
      </c>
      <c r="C1449" s="28" t="e">
        <f t="shared" si="21"/>
        <v>#N/A</v>
      </c>
    </row>
    <row r="1450" spans="1:3">
      <c r="A1450" s="11">
        <v>7413010000</v>
      </c>
      <c r="B1450" s="20" t="s">
        <v>2748</v>
      </c>
      <c r="C1450" s="28" t="e">
        <f t="shared" ref="C1450:C1513" si="22">VLOOKUP(B1450,F:G,2,0)</f>
        <v>#N/A</v>
      </c>
    </row>
    <row r="1451" spans="1:3">
      <c r="A1451" s="11">
        <v>7413010000</v>
      </c>
      <c r="B1451" s="20" t="s">
        <v>2748</v>
      </c>
      <c r="C1451" s="28" t="e">
        <f t="shared" si="22"/>
        <v>#N/A</v>
      </c>
    </row>
    <row r="1452" spans="1:3">
      <c r="A1452" s="11" t="s">
        <v>1497</v>
      </c>
      <c r="B1452" s="20" t="s">
        <v>2749</v>
      </c>
      <c r="C1452" s="28" t="e">
        <f t="shared" si="22"/>
        <v>#N/A</v>
      </c>
    </row>
    <row r="1453" spans="1:3">
      <c r="A1453" s="11">
        <v>7010010010</v>
      </c>
      <c r="B1453" s="20" t="s">
        <v>2750</v>
      </c>
      <c r="C1453" s="28" t="e">
        <f t="shared" si="22"/>
        <v>#N/A</v>
      </c>
    </row>
    <row r="1454" spans="1:3">
      <c r="A1454" s="11">
        <v>7000000000</v>
      </c>
      <c r="B1454" s="20" t="s">
        <v>2751</v>
      </c>
      <c r="C1454" s="28" t="e">
        <f t="shared" si="22"/>
        <v>#N/A</v>
      </c>
    </row>
    <row r="1455" spans="1:3">
      <c r="A1455" s="11">
        <v>7000010000</v>
      </c>
      <c r="B1455" s="20" t="s">
        <v>2751</v>
      </c>
      <c r="C1455" s="28" t="e">
        <f t="shared" si="22"/>
        <v>#N/A</v>
      </c>
    </row>
    <row r="1456" spans="1:3">
      <c r="A1456" s="11">
        <v>7000020000</v>
      </c>
      <c r="B1456" s="20" t="s">
        <v>2752</v>
      </c>
      <c r="C1456" s="28" t="e">
        <f t="shared" si="22"/>
        <v>#N/A</v>
      </c>
    </row>
    <row r="1457" spans="1:3">
      <c r="A1457" s="11">
        <v>7300000000</v>
      </c>
      <c r="B1457" s="20" t="s">
        <v>2753</v>
      </c>
      <c r="C1457" s="28" t="e">
        <f t="shared" si="22"/>
        <v>#N/A</v>
      </c>
    </row>
    <row r="1458" spans="1:3">
      <c r="A1458" s="11">
        <v>7300010000</v>
      </c>
      <c r="B1458" s="20" t="s">
        <v>2753</v>
      </c>
      <c r="C1458" s="28" t="e">
        <f t="shared" si="22"/>
        <v>#N/A</v>
      </c>
    </row>
    <row r="1459" spans="1:3">
      <c r="A1459" s="11">
        <v>7000011020</v>
      </c>
      <c r="B1459" s="20" t="s">
        <v>2754</v>
      </c>
      <c r="C1459" s="28" t="e">
        <f t="shared" si="22"/>
        <v>#N/A</v>
      </c>
    </row>
    <row r="1460" spans="1:3">
      <c r="A1460" s="11">
        <v>7050002000</v>
      </c>
      <c r="B1460" s="20" t="s">
        <v>2755</v>
      </c>
      <c r="C1460" s="28" t="e">
        <f t="shared" si="22"/>
        <v>#N/A</v>
      </c>
    </row>
    <row r="1461" spans="1:3">
      <c r="A1461" s="11">
        <v>7050012000</v>
      </c>
      <c r="B1461" s="20" t="s">
        <v>2755</v>
      </c>
      <c r="C1461" s="28" t="e">
        <f t="shared" si="22"/>
        <v>#N/A</v>
      </c>
    </row>
    <row r="1462" spans="1:3">
      <c r="A1462" s="11">
        <v>7055002000</v>
      </c>
      <c r="B1462" s="20" t="s">
        <v>2755</v>
      </c>
      <c r="C1462" s="28" t="e">
        <f t="shared" si="22"/>
        <v>#N/A</v>
      </c>
    </row>
    <row r="1463" spans="1:3">
      <c r="A1463" s="11">
        <v>7055010000</v>
      </c>
      <c r="B1463" s="20" t="s">
        <v>2755</v>
      </c>
      <c r="C1463" s="28" t="e">
        <f t="shared" si="22"/>
        <v>#N/A</v>
      </c>
    </row>
    <row r="1464" spans="1:3">
      <c r="A1464" s="11">
        <v>7050010010</v>
      </c>
      <c r="B1464" s="20" t="s">
        <v>2756</v>
      </c>
      <c r="C1464" s="28" t="e">
        <f t="shared" si="22"/>
        <v>#N/A</v>
      </c>
    </row>
    <row r="1465" spans="1:3">
      <c r="A1465" s="11" t="s">
        <v>1497</v>
      </c>
      <c r="B1465" s="20" t="s">
        <v>2757</v>
      </c>
      <c r="C1465" s="28" t="e">
        <f t="shared" si="22"/>
        <v>#N/A</v>
      </c>
    </row>
    <row r="1466" spans="1:3">
      <c r="A1466" s="11" t="s">
        <v>1497</v>
      </c>
      <c r="B1466" s="20" t="s">
        <v>2758</v>
      </c>
      <c r="C1466" s="28" t="e">
        <f t="shared" si="22"/>
        <v>#N/A</v>
      </c>
    </row>
    <row r="1467" spans="1:3">
      <c r="A1467" s="11">
        <v>7902000001</v>
      </c>
      <c r="B1467" s="20" t="s">
        <v>2759</v>
      </c>
      <c r="C1467" s="28" t="e">
        <f t="shared" si="22"/>
        <v>#N/A</v>
      </c>
    </row>
    <row r="1468" spans="1:3">
      <c r="A1468" s="11">
        <v>7902000000</v>
      </c>
      <c r="B1468" s="20" t="s">
        <v>2759</v>
      </c>
      <c r="C1468" s="28" t="e">
        <f t="shared" si="22"/>
        <v>#N/A</v>
      </c>
    </row>
    <row r="1469" spans="1:3">
      <c r="A1469" s="11">
        <v>7902000001</v>
      </c>
      <c r="B1469" s="20" t="s">
        <v>2760</v>
      </c>
      <c r="C1469" s="28" t="e">
        <f t="shared" si="22"/>
        <v>#N/A</v>
      </c>
    </row>
    <row r="1470" spans="1:3">
      <c r="A1470" s="11">
        <v>7902001043</v>
      </c>
      <c r="B1470" s="20" t="s">
        <v>2761</v>
      </c>
      <c r="C1470" s="28" t="e">
        <f t="shared" si="22"/>
        <v>#N/A</v>
      </c>
    </row>
    <row r="1471" spans="1:3">
      <c r="A1471" s="11">
        <v>8810002010</v>
      </c>
      <c r="B1471" s="20" t="s">
        <v>2762</v>
      </c>
      <c r="C1471" s="28" t="e">
        <f t="shared" si="22"/>
        <v>#N/A</v>
      </c>
    </row>
    <row r="1472" spans="1:3">
      <c r="A1472" s="11" t="s">
        <v>1497</v>
      </c>
      <c r="B1472" s="20" t="s">
        <v>2763</v>
      </c>
      <c r="C1472" s="28" t="e">
        <f t="shared" si="22"/>
        <v>#N/A</v>
      </c>
    </row>
    <row r="1473" spans="1:3">
      <c r="A1473" s="11">
        <v>7490000020</v>
      </c>
      <c r="B1473" s="20" t="s">
        <v>2764</v>
      </c>
      <c r="C1473" s="28" t="e">
        <f t="shared" si="22"/>
        <v>#N/A</v>
      </c>
    </row>
    <row r="1474" spans="1:3">
      <c r="A1474" s="11" t="s">
        <v>1497</v>
      </c>
      <c r="B1474" s="20" t="s">
        <v>2765</v>
      </c>
      <c r="C1474" s="28" t="e">
        <f t="shared" si="22"/>
        <v>#N/A</v>
      </c>
    </row>
    <row r="1475" spans="1:3">
      <c r="A1475" s="11" t="s">
        <v>1497</v>
      </c>
      <c r="B1475" s="20" t="s">
        <v>2766</v>
      </c>
      <c r="C1475" s="28" t="e">
        <f t="shared" si="22"/>
        <v>#N/A</v>
      </c>
    </row>
    <row r="1476" spans="1:3">
      <c r="A1476" s="11">
        <v>7902110000</v>
      </c>
      <c r="B1476" s="20" t="s">
        <v>2767</v>
      </c>
      <c r="C1476" s="28" t="e">
        <f t="shared" si="22"/>
        <v>#N/A</v>
      </c>
    </row>
    <row r="1477" spans="1:3">
      <c r="A1477" s="11">
        <v>7070310000</v>
      </c>
      <c r="B1477" s="20" t="s">
        <v>2768</v>
      </c>
      <c r="C1477" s="28" t="e">
        <f t="shared" si="22"/>
        <v>#N/A</v>
      </c>
    </row>
    <row r="1478" spans="1:3">
      <c r="A1478" s="11">
        <v>7142110000</v>
      </c>
      <c r="B1478" s="20" t="s">
        <v>2769</v>
      </c>
      <c r="C1478" s="28" t="e">
        <f t="shared" si="22"/>
        <v>#N/A</v>
      </c>
    </row>
    <row r="1479" spans="1:3">
      <c r="A1479" s="11" t="s">
        <v>1497</v>
      </c>
      <c r="B1479" s="20" t="s">
        <v>2770</v>
      </c>
      <c r="C1479" s="28" t="e">
        <f t="shared" si="22"/>
        <v>#N/A</v>
      </c>
    </row>
    <row r="1480" spans="1:3">
      <c r="A1480" s="11" t="s">
        <v>1497</v>
      </c>
      <c r="B1480" s="20" t="s">
        <v>2771</v>
      </c>
      <c r="C1480" s="28" t="e">
        <f t="shared" si="22"/>
        <v>#N/A</v>
      </c>
    </row>
    <row r="1481" spans="1:3">
      <c r="A1481" s="11" t="s">
        <v>1497</v>
      </c>
      <c r="B1481" s="20" t="s">
        <v>2772</v>
      </c>
      <c r="C1481" s="28" t="e">
        <f t="shared" si="22"/>
        <v>#N/A</v>
      </c>
    </row>
    <row r="1482" spans="1:3">
      <c r="A1482" s="11" t="s">
        <v>1497</v>
      </c>
      <c r="B1482" s="20" t="s">
        <v>2773</v>
      </c>
      <c r="C1482" s="28" t="e">
        <f t="shared" si="22"/>
        <v>#N/A</v>
      </c>
    </row>
    <row r="1483" spans="1:3">
      <c r="A1483" s="11" t="s">
        <v>1497</v>
      </c>
      <c r="B1483" s="20" t="s">
        <v>2774</v>
      </c>
      <c r="C1483" s="28" t="e">
        <f t="shared" si="22"/>
        <v>#N/A</v>
      </c>
    </row>
    <row r="1484" spans="1:3">
      <c r="A1484" s="11" t="s">
        <v>1497</v>
      </c>
      <c r="B1484" s="20" t="s">
        <v>2775</v>
      </c>
      <c r="C1484" s="28" t="e">
        <f t="shared" si="22"/>
        <v>#N/A</v>
      </c>
    </row>
    <row r="1485" spans="1:3">
      <c r="A1485" s="11">
        <v>7043810000</v>
      </c>
      <c r="B1485" s="20" t="s">
        <v>2776</v>
      </c>
      <c r="C1485" s="28" t="e">
        <f t="shared" si="22"/>
        <v>#N/A</v>
      </c>
    </row>
    <row r="1486" spans="1:3">
      <c r="A1486" s="11" t="s">
        <v>1497</v>
      </c>
      <c r="B1486" s="20" t="s">
        <v>2777</v>
      </c>
      <c r="C1486" s="28" t="e">
        <f t="shared" si="22"/>
        <v>#N/A</v>
      </c>
    </row>
    <row r="1487" spans="1:3">
      <c r="A1487" s="11">
        <v>6200000010</v>
      </c>
      <c r="B1487" s="20" t="s">
        <v>2778</v>
      </c>
      <c r="C1487" s="28" t="e">
        <f t="shared" si="22"/>
        <v>#N/A</v>
      </c>
    </row>
    <row r="1488" spans="1:3">
      <c r="A1488" s="11" t="s">
        <v>1497</v>
      </c>
      <c r="B1488" s="20" t="s">
        <v>2779</v>
      </c>
      <c r="C1488" s="28" t="e">
        <f t="shared" si="22"/>
        <v>#N/A</v>
      </c>
    </row>
    <row r="1489" spans="1:3">
      <c r="A1489" s="11">
        <v>7030020000</v>
      </c>
      <c r="B1489" s="20" t="s">
        <v>2780</v>
      </c>
      <c r="C1489" s="28" t="e">
        <f t="shared" si="22"/>
        <v>#N/A</v>
      </c>
    </row>
    <row r="1490" spans="1:3">
      <c r="A1490" s="11">
        <v>7330000000</v>
      </c>
      <c r="B1490" s="20" t="s">
        <v>2781</v>
      </c>
      <c r="C1490" s="28" t="e">
        <f t="shared" si="22"/>
        <v>#N/A</v>
      </c>
    </row>
    <row r="1491" spans="1:3">
      <c r="A1491" s="11">
        <v>7330000000</v>
      </c>
      <c r="B1491" s="20" t="s">
        <v>2781</v>
      </c>
      <c r="C1491" s="28" t="e">
        <f t="shared" si="22"/>
        <v>#N/A</v>
      </c>
    </row>
    <row r="1492" spans="1:3">
      <c r="A1492" s="11">
        <v>7330000000</v>
      </c>
      <c r="B1492" s="20" t="s">
        <v>2781</v>
      </c>
      <c r="C1492" s="28" t="e">
        <f t="shared" si="22"/>
        <v>#N/A</v>
      </c>
    </row>
    <row r="1493" spans="1:3">
      <c r="A1493" s="11">
        <v>7330000000</v>
      </c>
      <c r="B1493" s="20" t="s">
        <v>2781</v>
      </c>
      <c r="C1493" s="28" t="e">
        <f t="shared" si="22"/>
        <v>#N/A</v>
      </c>
    </row>
    <row r="1494" spans="1:3">
      <c r="A1494" s="11">
        <v>7330000000</v>
      </c>
      <c r="B1494" s="20" t="s">
        <v>2781</v>
      </c>
      <c r="C1494" s="28" t="e">
        <f t="shared" si="22"/>
        <v>#N/A</v>
      </c>
    </row>
    <row r="1495" spans="1:3">
      <c r="A1495" s="11">
        <v>7330000000</v>
      </c>
      <c r="B1495" s="20" t="s">
        <v>2781</v>
      </c>
      <c r="C1495" s="28" t="e">
        <f t="shared" si="22"/>
        <v>#N/A</v>
      </c>
    </row>
    <row r="1496" spans="1:3">
      <c r="A1496" s="11">
        <v>7330000000</v>
      </c>
      <c r="B1496" s="20" t="s">
        <v>2781</v>
      </c>
      <c r="C1496" s="28" t="e">
        <f t="shared" si="22"/>
        <v>#N/A</v>
      </c>
    </row>
    <row r="1497" spans="1:3">
      <c r="A1497" s="11">
        <v>7330000000</v>
      </c>
      <c r="B1497" s="20" t="s">
        <v>2781</v>
      </c>
      <c r="C1497" s="28" t="e">
        <f t="shared" si="22"/>
        <v>#N/A</v>
      </c>
    </row>
    <row r="1498" spans="1:3">
      <c r="A1498" s="11">
        <v>7330000000</v>
      </c>
      <c r="B1498" s="20" t="s">
        <v>2781</v>
      </c>
      <c r="C1498" s="28" t="e">
        <f t="shared" si="22"/>
        <v>#N/A</v>
      </c>
    </row>
    <row r="1499" spans="1:3">
      <c r="A1499" s="11">
        <v>7330010000</v>
      </c>
      <c r="B1499" s="20" t="s">
        <v>2781</v>
      </c>
      <c r="C1499" s="28" t="e">
        <f t="shared" si="22"/>
        <v>#N/A</v>
      </c>
    </row>
    <row r="1500" spans="1:3">
      <c r="A1500" s="11">
        <v>7330010000</v>
      </c>
      <c r="B1500" s="20" t="s">
        <v>2781</v>
      </c>
      <c r="C1500" s="28" t="e">
        <f t="shared" si="22"/>
        <v>#N/A</v>
      </c>
    </row>
    <row r="1501" spans="1:3">
      <c r="A1501" s="11">
        <v>7330010000</v>
      </c>
      <c r="B1501" s="20" t="s">
        <v>2781</v>
      </c>
      <c r="C1501" s="28" t="e">
        <f t="shared" si="22"/>
        <v>#N/A</v>
      </c>
    </row>
    <row r="1502" spans="1:3">
      <c r="A1502" s="11">
        <v>7330010000</v>
      </c>
      <c r="B1502" s="20" t="s">
        <v>2781</v>
      </c>
      <c r="C1502" s="28" t="e">
        <f t="shared" si="22"/>
        <v>#N/A</v>
      </c>
    </row>
    <row r="1503" spans="1:3">
      <c r="A1503" s="11">
        <v>7330010000</v>
      </c>
      <c r="B1503" s="20" t="s">
        <v>2781</v>
      </c>
      <c r="C1503" s="28" t="e">
        <f t="shared" si="22"/>
        <v>#N/A</v>
      </c>
    </row>
    <row r="1504" spans="1:3">
      <c r="A1504" s="11">
        <v>7330010000</v>
      </c>
      <c r="B1504" s="20" t="s">
        <v>2781</v>
      </c>
      <c r="C1504" s="28" t="e">
        <f t="shared" si="22"/>
        <v>#N/A</v>
      </c>
    </row>
    <row r="1505" spans="1:3">
      <c r="A1505" s="11">
        <v>7330010000</v>
      </c>
      <c r="B1505" s="20" t="s">
        <v>2781</v>
      </c>
      <c r="C1505" s="28" t="e">
        <f t="shared" si="22"/>
        <v>#N/A</v>
      </c>
    </row>
    <row r="1506" spans="1:3">
      <c r="A1506" s="11">
        <v>7330010000</v>
      </c>
      <c r="B1506" s="20" t="s">
        <v>2781</v>
      </c>
      <c r="C1506" s="28" t="e">
        <f t="shared" si="22"/>
        <v>#N/A</v>
      </c>
    </row>
    <row r="1507" spans="1:3">
      <c r="A1507" s="11">
        <v>7330010000</v>
      </c>
      <c r="B1507" s="20" t="s">
        <v>2781</v>
      </c>
      <c r="C1507" s="28" t="e">
        <f t="shared" si="22"/>
        <v>#N/A</v>
      </c>
    </row>
    <row r="1508" spans="1:3">
      <c r="A1508" s="11">
        <v>7430000000</v>
      </c>
      <c r="B1508" s="20" t="s">
        <v>2781</v>
      </c>
      <c r="C1508" s="28" t="e">
        <f t="shared" si="22"/>
        <v>#N/A</v>
      </c>
    </row>
    <row r="1509" spans="1:3">
      <c r="A1509" s="11">
        <v>7430000000</v>
      </c>
      <c r="B1509" s="20" t="s">
        <v>2781</v>
      </c>
      <c r="C1509" s="28" t="e">
        <f t="shared" si="22"/>
        <v>#N/A</v>
      </c>
    </row>
    <row r="1510" spans="1:3">
      <c r="A1510" s="11">
        <v>7430000000</v>
      </c>
      <c r="B1510" s="20" t="s">
        <v>2781</v>
      </c>
      <c r="C1510" s="28" t="e">
        <f t="shared" si="22"/>
        <v>#N/A</v>
      </c>
    </row>
    <row r="1511" spans="1:3">
      <c r="A1511" s="11">
        <v>7430010000</v>
      </c>
      <c r="B1511" s="20" t="s">
        <v>2781</v>
      </c>
      <c r="C1511" s="28" t="e">
        <f t="shared" si="22"/>
        <v>#N/A</v>
      </c>
    </row>
    <row r="1512" spans="1:3">
      <c r="A1512" s="11">
        <v>7430010000</v>
      </c>
      <c r="B1512" s="20" t="s">
        <v>2781</v>
      </c>
      <c r="C1512" s="28" t="e">
        <f t="shared" si="22"/>
        <v>#N/A</v>
      </c>
    </row>
    <row r="1513" spans="1:3">
      <c r="A1513" s="11">
        <v>7430010000</v>
      </c>
      <c r="B1513" s="20" t="s">
        <v>2781</v>
      </c>
      <c r="C1513" s="28" t="e">
        <f t="shared" si="22"/>
        <v>#N/A</v>
      </c>
    </row>
    <row r="1514" spans="1:3">
      <c r="A1514" s="11">
        <v>7433000000</v>
      </c>
      <c r="B1514" s="20" t="s">
        <v>2781</v>
      </c>
      <c r="C1514" s="28" t="e">
        <f t="shared" ref="C1514:C1577" si="23">VLOOKUP(B1514,F:G,2,0)</f>
        <v>#N/A</v>
      </c>
    </row>
    <row r="1515" spans="1:3">
      <c r="A1515" s="11">
        <v>7433000000</v>
      </c>
      <c r="B1515" s="20" t="s">
        <v>2781</v>
      </c>
      <c r="C1515" s="28" t="e">
        <f t="shared" si="23"/>
        <v>#N/A</v>
      </c>
    </row>
    <row r="1516" spans="1:3">
      <c r="A1516" s="11">
        <v>7433010000</v>
      </c>
      <c r="B1516" s="20" t="s">
        <v>2781</v>
      </c>
      <c r="C1516" s="28" t="e">
        <f t="shared" si="23"/>
        <v>#N/A</v>
      </c>
    </row>
    <row r="1517" spans="1:3">
      <c r="A1517" s="11">
        <v>7433010000</v>
      </c>
      <c r="B1517" s="20" t="s">
        <v>2781</v>
      </c>
      <c r="C1517" s="28" t="e">
        <f t="shared" si="23"/>
        <v>#N/A</v>
      </c>
    </row>
    <row r="1518" spans="1:3">
      <c r="A1518" s="11">
        <v>7130000000</v>
      </c>
      <c r="B1518" s="20" t="s">
        <v>2782</v>
      </c>
      <c r="C1518" s="28" t="e">
        <f t="shared" si="23"/>
        <v>#N/A</v>
      </c>
    </row>
    <row r="1519" spans="1:3">
      <c r="A1519" s="11">
        <v>7130000000</v>
      </c>
      <c r="B1519" s="20" t="s">
        <v>2782</v>
      </c>
      <c r="C1519" s="28" t="e">
        <f t="shared" si="23"/>
        <v>#N/A</v>
      </c>
    </row>
    <row r="1520" spans="1:3">
      <c r="A1520" s="11">
        <v>7130000000</v>
      </c>
      <c r="B1520" s="20" t="s">
        <v>2782</v>
      </c>
      <c r="C1520" s="28" t="e">
        <f t="shared" si="23"/>
        <v>#N/A</v>
      </c>
    </row>
    <row r="1521" spans="1:3">
      <c r="A1521" s="11">
        <v>7133000000</v>
      </c>
      <c r="B1521" s="20" t="s">
        <v>2782</v>
      </c>
      <c r="C1521" s="28" t="e">
        <f t="shared" si="23"/>
        <v>#N/A</v>
      </c>
    </row>
    <row r="1522" spans="1:3">
      <c r="A1522" s="11">
        <v>7133000000</v>
      </c>
      <c r="B1522" s="20" t="s">
        <v>2782</v>
      </c>
      <c r="C1522" s="28" t="e">
        <f t="shared" si="23"/>
        <v>#N/A</v>
      </c>
    </row>
    <row r="1523" spans="1:3">
      <c r="A1523" s="11">
        <v>7132000000</v>
      </c>
      <c r="B1523" s="20" t="s">
        <v>2782</v>
      </c>
      <c r="C1523" s="28" t="e">
        <f t="shared" si="23"/>
        <v>#N/A</v>
      </c>
    </row>
    <row r="1524" spans="1:3">
      <c r="A1524" s="11" t="s">
        <v>1497</v>
      </c>
      <c r="B1524" s="20" t="s">
        <v>2783</v>
      </c>
      <c r="C1524" s="28" t="e">
        <f t="shared" si="23"/>
        <v>#N/A</v>
      </c>
    </row>
    <row r="1525" spans="1:3">
      <c r="A1525" s="11" t="s">
        <v>1497</v>
      </c>
      <c r="B1525" s="20" t="s">
        <v>2784</v>
      </c>
      <c r="C1525" s="28" t="e">
        <f t="shared" si="23"/>
        <v>#N/A</v>
      </c>
    </row>
    <row r="1526" spans="1:3">
      <c r="A1526" s="11">
        <v>7530001000</v>
      </c>
      <c r="B1526" s="20" t="s">
        <v>2785</v>
      </c>
      <c r="C1526" s="28" t="e">
        <f t="shared" si="23"/>
        <v>#N/A</v>
      </c>
    </row>
    <row r="1527" spans="1:3">
      <c r="A1527" s="11">
        <v>7530001000</v>
      </c>
      <c r="B1527" s="20" t="s">
        <v>2785</v>
      </c>
      <c r="C1527" s="28" t="e">
        <f t="shared" si="23"/>
        <v>#N/A</v>
      </c>
    </row>
    <row r="1528" spans="1:3">
      <c r="A1528" s="11">
        <v>7530001000</v>
      </c>
      <c r="B1528" s="20" t="s">
        <v>2785</v>
      </c>
      <c r="C1528" s="28" t="e">
        <f t="shared" si="23"/>
        <v>#N/A</v>
      </c>
    </row>
    <row r="1529" spans="1:3">
      <c r="A1529" s="11">
        <v>7630001000</v>
      </c>
      <c r="B1529" s="20" t="s">
        <v>2785</v>
      </c>
      <c r="C1529" s="28" t="e">
        <f t="shared" si="23"/>
        <v>#N/A</v>
      </c>
    </row>
    <row r="1530" spans="1:3">
      <c r="A1530" s="11">
        <v>7530001000</v>
      </c>
      <c r="B1530" s="20" t="s">
        <v>2785</v>
      </c>
      <c r="C1530" s="28" t="e">
        <f t="shared" si="23"/>
        <v>#N/A</v>
      </c>
    </row>
    <row r="1531" spans="1:3">
      <c r="A1531" s="11">
        <v>7630001000</v>
      </c>
      <c r="B1531" s="20" t="s">
        <v>2785</v>
      </c>
      <c r="C1531" s="28" t="e">
        <f t="shared" si="23"/>
        <v>#N/A</v>
      </c>
    </row>
    <row r="1532" spans="1:3">
      <c r="A1532" s="11">
        <v>7633001500</v>
      </c>
      <c r="B1532" s="20" t="s">
        <v>2785</v>
      </c>
      <c r="C1532" s="28" t="e">
        <f t="shared" si="23"/>
        <v>#N/A</v>
      </c>
    </row>
    <row r="1533" spans="1:3">
      <c r="A1533" s="11">
        <v>7630000000</v>
      </c>
      <c r="B1533" s="20" t="s">
        <v>2786</v>
      </c>
      <c r="C1533" s="28" t="e">
        <f t="shared" si="23"/>
        <v>#N/A</v>
      </c>
    </row>
    <row r="1534" spans="1:3">
      <c r="A1534" s="11">
        <v>7630000000</v>
      </c>
      <c r="B1534" s="20" t="s">
        <v>2786</v>
      </c>
      <c r="C1534" s="28" t="e">
        <f t="shared" si="23"/>
        <v>#N/A</v>
      </c>
    </row>
    <row r="1535" spans="1:3">
      <c r="A1535" s="11">
        <v>7630000000</v>
      </c>
      <c r="B1535" s="20" t="s">
        <v>2786</v>
      </c>
      <c r="C1535" s="28" t="e">
        <f t="shared" si="23"/>
        <v>#N/A</v>
      </c>
    </row>
    <row r="1536" spans="1:3">
      <c r="A1536" s="11">
        <v>7630000000</v>
      </c>
      <c r="B1536" s="20" t="s">
        <v>2786</v>
      </c>
      <c r="C1536" s="28" t="e">
        <f t="shared" si="23"/>
        <v>#N/A</v>
      </c>
    </row>
    <row r="1537" spans="1:3">
      <c r="A1537" s="11">
        <v>7633000000</v>
      </c>
      <c r="B1537" s="20" t="s">
        <v>2786</v>
      </c>
      <c r="C1537" s="28" t="e">
        <f t="shared" si="23"/>
        <v>#N/A</v>
      </c>
    </row>
    <row r="1538" spans="1:3">
      <c r="A1538" s="11">
        <v>7633000000</v>
      </c>
      <c r="B1538" s="20" t="s">
        <v>2786</v>
      </c>
      <c r="C1538" s="28" t="e">
        <f t="shared" si="23"/>
        <v>#N/A</v>
      </c>
    </row>
    <row r="1539" spans="1:3">
      <c r="A1539" s="11">
        <v>7633000000</v>
      </c>
      <c r="B1539" s="20" t="s">
        <v>2786</v>
      </c>
      <c r="C1539" s="28" t="e">
        <f t="shared" si="23"/>
        <v>#N/A</v>
      </c>
    </row>
    <row r="1540" spans="1:3">
      <c r="A1540" s="11">
        <v>7530000000</v>
      </c>
      <c r="B1540" s="20" t="s">
        <v>2786</v>
      </c>
      <c r="C1540" s="28" t="e">
        <f t="shared" si="23"/>
        <v>#N/A</v>
      </c>
    </row>
    <row r="1541" spans="1:3">
      <c r="A1541" s="11">
        <v>7530000000</v>
      </c>
      <c r="B1541" s="20" t="s">
        <v>2786</v>
      </c>
      <c r="C1541" s="28" t="e">
        <f t="shared" si="23"/>
        <v>#N/A</v>
      </c>
    </row>
    <row r="1542" spans="1:3">
      <c r="A1542" s="11">
        <v>7530000000</v>
      </c>
      <c r="B1542" s="20" t="s">
        <v>2786</v>
      </c>
      <c r="C1542" s="28" t="e">
        <f t="shared" si="23"/>
        <v>#N/A</v>
      </c>
    </row>
    <row r="1543" spans="1:3">
      <c r="A1543" s="11">
        <v>7530000000</v>
      </c>
      <c r="B1543" s="20" t="s">
        <v>2786</v>
      </c>
      <c r="C1543" s="28" t="e">
        <f t="shared" si="23"/>
        <v>#N/A</v>
      </c>
    </row>
    <row r="1544" spans="1:3">
      <c r="A1544" s="11">
        <v>7530000000</v>
      </c>
      <c r="B1544" s="20" t="s">
        <v>2786</v>
      </c>
      <c r="C1544" s="28" t="e">
        <f t="shared" si="23"/>
        <v>#N/A</v>
      </c>
    </row>
    <row r="1545" spans="1:3">
      <c r="A1545" s="11">
        <v>7530000000</v>
      </c>
      <c r="B1545" s="20" t="s">
        <v>2786</v>
      </c>
      <c r="C1545" s="28" t="e">
        <f t="shared" si="23"/>
        <v>#N/A</v>
      </c>
    </row>
    <row r="1546" spans="1:3">
      <c r="A1546" s="11">
        <v>7530000000</v>
      </c>
      <c r="B1546" s="20" t="s">
        <v>2786</v>
      </c>
      <c r="C1546" s="28" t="e">
        <f t="shared" si="23"/>
        <v>#N/A</v>
      </c>
    </row>
    <row r="1547" spans="1:3">
      <c r="A1547" s="11">
        <v>7530000000</v>
      </c>
      <c r="B1547" s="20" t="s">
        <v>2786</v>
      </c>
      <c r="C1547" s="28" t="e">
        <f t="shared" si="23"/>
        <v>#N/A</v>
      </c>
    </row>
    <row r="1548" spans="1:3">
      <c r="A1548" s="11">
        <v>7530000000</v>
      </c>
      <c r="B1548" s="20" t="s">
        <v>2786</v>
      </c>
      <c r="C1548" s="28" t="e">
        <f t="shared" si="23"/>
        <v>#N/A</v>
      </c>
    </row>
    <row r="1549" spans="1:3">
      <c r="A1549" s="11">
        <v>7530000000</v>
      </c>
      <c r="B1549" s="20" t="s">
        <v>2786</v>
      </c>
      <c r="C1549" s="28" t="e">
        <f t="shared" si="23"/>
        <v>#N/A</v>
      </c>
    </row>
    <row r="1550" spans="1:3">
      <c r="A1550" s="11" t="s">
        <v>1497</v>
      </c>
      <c r="B1550" s="20" t="s">
        <v>2787</v>
      </c>
      <c r="C1550" s="28" t="e">
        <f t="shared" si="23"/>
        <v>#N/A</v>
      </c>
    </row>
    <row r="1551" spans="1:3">
      <c r="A1551" s="11" t="s">
        <v>1497</v>
      </c>
      <c r="B1551" s="20" t="s">
        <v>2788</v>
      </c>
      <c r="C1551" s="28" t="e">
        <f t="shared" si="23"/>
        <v>#N/A</v>
      </c>
    </row>
    <row r="1552" spans="1:3">
      <c r="A1552" s="11" t="s">
        <v>1497</v>
      </c>
      <c r="B1552" s="20" t="s">
        <v>2789</v>
      </c>
      <c r="C1552" s="28" t="e">
        <f t="shared" si="23"/>
        <v>#N/A</v>
      </c>
    </row>
    <row r="1553" spans="1:3">
      <c r="A1553" s="11" t="s">
        <v>1497</v>
      </c>
      <c r="B1553" s="20" t="s">
        <v>2789</v>
      </c>
      <c r="C1553" s="28" t="e">
        <f t="shared" si="23"/>
        <v>#N/A</v>
      </c>
    </row>
    <row r="1554" spans="1:3">
      <c r="A1554" s="11">
        <v>6121001500</v>
      </c>
      <c r="B1554" s="20" t="s">
        <v>2790</v>
      </c>
      <c r="C1554" s="28" t="e">
        <f t="shared" si="23"/>
        <v>#N/A</v>
      </c>
    </row>
    <row r="1555" spans="1:3">
      <c r="A1555" s="11" t="s">
        <v>1497</v>
      </c>
      <c r="B1555" s="20" t="s">
        <v>2791</v>
      </c>
      <c r="C1555" s="28" t="e">
        <f t="shared" si="23"/>
        <v>#N/A</v>
      </c>
    </row>
    <row r="1556" spans="1:3">
      <c r="A1556" s="11">
        <v>7980000000</v>
      </c>
      <c r="B1556" s="20" t="s">
        <v>2792</v>
      </c>
      <c r="C1556" s="28" t="e">
        <f t="shared" si="23"/>
        <v>#N/A</v>
      </c>
    </row>
    <row r="1557" spans="1:3">
      <c r="A1557" s="11" t="s">
        <v>1497</v>
      </c>
      <c r="B1557" s="20" t="s">
        <v>2793</v>
      </c>
      <c r="C1557" s="28" t="e">
        <f t="shared" si="23"/>
        <v>#N/A</v>
      </c>
    </row>
    <row r="1558" spans="1:3">
      <c r="A1558" s="11" t="s">
        <v>1497</v>
      </c>
      <c r="B1558" s="20" t="s">
        <v>2793</v>
      </c>
      <c r="C1558" s="28" t="e">
        <f t="shared" si="23"/>
        <v>#N/A</v>
      </c>
    </row>
    <row r="1559" spans="1:3">
      <c r="A1559" s="11">
        <v>7981000000</v>
      </c>
      <c r="B1559" s="20" t="s">
        <v>2794</v>
      </c>
      <c r="C1559" s="28" t="e">
        <f t="shared" si="23"/>
        <v>#N/A</v>
      </c>
    </row>
    <row r="1560" spans="1:3">
      <c r="A1560" s="11">
        <v>7070200000</v>
      </c>
      <c r="B1560" s="20" t="s">
        <v>2795</v>
      </c>
      <c r="C1560" s="28" t="e">
        <f t="shared" si="23"/>
        <v>#N/A</v>
      </c>
    </row>
    <row r="1561" spans="1:3">
      <c r="A1561" s="11">
        <v>7072100000</v>
      </c>
      <c r="B1561" s="20" t="s">
        <v>2795</v>
      </c>
      <c r="C1561" s="28" t="e">
        <f t="shared" si="23"/>
        <v>#N/A</v>
      </c>
    </row>
    <row r="1562" spans="1:3">
      <c r="A1562" s="11">
        <v>7072101000</v>
      </c>
      <c r="B1562" s="20" t="s">
        <v>2795</v>
      </c>
      <c r="C1562" s="28" t="e">
        <f t="shared" si="23"/>
        <v>#N/A</v>
      </c>
    </row>
    <row r="1563" spans="1:3">
      <c r="A1563" s="11">
        <v>7072101000</v>
      </c>
      <c r="B1563" s="20" t="s">
        <v>2795</v>
      </c>
      <c r="C1563" s="28" t="e">
        <f t="shared" si="23"/>
        <v>#N/A</v>
      </c>
    </row>
    <row r="1564" spans="1:3">
      <c r="A1564" s="11">
        <v>7073200000</v>
      </c>
      <c r="B1564" s="20" t="s">
        <v>2796</v>
      </c>
      <c r="C1564" s="28" t="e">
        <f t="shared" si="23"/>
        <v>#N/A</v>
      </c>
    </row>
    <row r="1565" spans="1:3">
      <c r="A1565" s="11">
        <v>7073210000</v>
      </c>
      <c r="B1565" s="20" t="s">
        <v>2796</v>
      </c>
      <c r="C1565" s="28" t="e">
        <f t="shared" si="23"/>
        <v>#N/A</v>
      </c>
    </row>
    <row r="1566" spans="1:3">
      <c r="A1566" s="11">
        <v>7073201000</v>
      </c>
      <c r="B1566" s="20" t="s">
        <v>2796</v>
      </c>
      <c r="C1566" s="28" t="e">
        <f t="shared" si="23"/>
        <v>#N/A</v>
      </c>
    </row>
    <row r="1567" spans="1:3">
      <c r="A1567" s="11">
        <v>7070201000</v>
      </c>
      <c r="B1567" s="20" t="s">
        <v>2797</v>
      </c>
      <c r="C1567" s="28" t="e">
        <f t="shared" si="23"/>
        <v>#N/A</v>
      </c>
    </row>
    <row r="1568" spans="1:3">
      <c r="A1568" s="11" t="s">
        <v>1497</v>
      </c>
      <c r="B1568" s="20" t="s">
        <v>2798</v>
      </c>
      <c r="C1568" s="28" t="e">
        <f t="shared" si="23"/>
        <v>#N/A</v>
      </c>
    </row>
    <row r="1569" spans="1:3">
      <c r="A1569" s="11" t="s">
        <v>1497</v>
      </c>
      <c r="B1569" s="20" t="s">
        <v>2799</v>
      </c>
      <c r="C1569" s="28" t="e">
        <f t="shared" si="23"/>
        <v>#N/A</v>
      </c>
    </row>
    <row r="1570" spans="1:3">
      <c r="A1570" s="11">
        <v>7202001040</v>
      </c>
      <c r="B1570" s="20" t="s">
        <v>2800</v>
      </c>
      <c r="C1570" s="28" t="e">
        <f t="shared" si="23"/>
        <v>#N/A</v>
      </c>
    </row>
    <row r="1571" spans="1:3">
      <c r="A1571" s="11">
        <v>7053001000</v>
      </c>
      <c r="B1571" s="20" t="s">
        <v>2801</v>
      </c>
      <c r="C1571" s="28" t="e">
        <f t="shared" si="23"/>
        <v>#N/A</v>
      </c>
    </row>
    <row r="1572" spans="1:3">
      <c r="A1572" s="11" t="s">
        <v>1408</v>
      </c>
      <c r="B1572" s="20" t="s">
        <v>2802</v>
      </c>
      <c r="C1572" s="28" t="e">
        <f t="shared" si="23"/>
        <v>#N/A</v>
      </c>
    </row>
    <row r="1573" spans="1:3">
      <c r="A1573" s="11" t="s">
        <v>1409</v>
      </c>
      <c r="B1573" s="20" t="s">
        <v>2802</v>
      </c>
      <c r="C1573" s="28" t="e">
        <f t="shared" si="23"/>
        <v>#N/A</v>
      </c>
    </row>
    <row r="1574" spans="1:3">
      <c r="A1574" s="11">
        <v>5930000000</v>
      </c>
      <c r="B1574" s="20" t="s">
        <v>2803</v>
      </c>
      <c r="C1574" s="28" t="e">
        <f t="shared" si="23"/>
        <v>#N/A</v>
      </c>
    </row>
    <row r="1575" spans="1:3">
      <c r="A1575" s="11">
        <v>5930000001</v>
      </c>
      <c r="B1575" s="20" t="s">
        <v>2804</v>
      </c>
      <c r="C1575" s="28" t="e">
        <f t="shared" si="23"/>
        <v>#N/A</v>
      </c>
    </row>
    <row r="1576" spans="1:3">
      <c r="A1576" s="11">
        <v>5930000002</v>
      </c>
      <c r="B1576" s="20" t="s">
        <v>2805</v>
      </c>
      <c r="C1576" s="28" t="e">
        <f t="shared" si="23"/>
        <v>#N/A</v>
      </c>
    </row>
    <row r="1577" spans="1:3">
      <c r="A1577" s="11" t="s">
        <v>1497</v>
      </c>
      <c r="B1577" s="20" t="s">
        <v>2806</v>
      </c>
      <c r="C1577" s="28" t="e">
        <f t="shared" si="23"/>
        <v>#N/A</v>
      </c>
    </row>
    <row r="1578" spans="1:3">
      <c r="A1578" s="11">
        <v>5045000000</v>
      </c>
      <c r="B1578" s="20" t="s">
        <v>2807</v>
      </c>
      <c r="C1578" s="28" t="e">
        <f t="shared" ref="C1578:C1641" si="24">VLOOKUP(B1578,F:G,2,0)</f>
        <v>#N/A</v>
      </c>
    </row>
    <row r="1579" spans="1:3">
      <c r="A1579" s="11">
        <v>5044000000</v>
      </c>
      <c r="B1579" s="20" t="s">
        <v>2808</v>
      </c>
      <c r="C1579" s="28" t="e">
        <f t="shared" si="24"/>
        <v>#N/A</v>
      </c>
    </row>
    <row r="1580" spans="1:3">
      <c r="A1580" s="11">
        <v>5042000000</v>
      </c>
      <c r="B1580" s="20" t="s">
        <v>2809</v>
      </c>
      <c r="C1580" s="28" t="e">
        <f t="shared" si="24"/>
        <v>#N/A</v>
      </c>
    </row>
    <row r="1581" spans="1:3">
      <c r="A1581" s="11">
        <v>5042000030</v>
      </c>
      <c r="B1581" s="20" t="s">
        <v>2810</v>
      </c>
      <c r="C1581" s="28" t="e">
        <f t="shared" si="24"/>
        <v>#N/A</v>
      </c>
    </row>
    <row r="1582" spans="1:3">
      <c r="A1582" s="11">
        <v>5920000000</v>
      </c>
      <c r="B1582" s="20" t="s">
        <v>2811</v>
      </c>
      <c r="C1582" s="28" t="e">
        <f t="shared" si="24"/>
        <v>#N/A</v>
      </c>
    </row>
    <row r="1583" spans="1:3">
      <c r="A1583" s="11">
        <v>5920000000</v>
      </c>
      <c r="B1583" s="20" t="s">
        <v>2811</v>
      </c>
      <c r="C1583" s="28" t="e">
        <f t="shared" si="24"/>
        <v>#N/A</v>
      </c>
    </row>
    <row r="1584" spans="1:3">
      <c r="A1584" s="11">
        <v>5040000000</v>
      </c>
      <c r="B1584" s="20" t="s">
        <v>2811</v>
      </c>
      <c r="C1584" s="28" t="e">
        <f t="shared" si="24"/>
        <v>#N/A</v>
      </c>
    </row>
    <row r="1585" spans="1:3">
      <c r="A1585" s="11">
        <v>5040000000</v>
      </c>
      <c r="B1585" s="20" t="s">
        <v>2811</v>
      </c>
      <c r="C1585" s="28" t="e">
        <f t="shared" si="24"/>
        <v>#N/A</v>
      </c>
    </row>
    <row r="1586" spans="1:3">
      <c r="A1586" s="11">
        <v>5040000000</v>
      </c>
      <c r="B1586" s="20" t="s">
        <v>2811</v>
      </c>
      <c r="C1586" s="28" t="e">
        <f t="shared" si="24"/>
        <v>#N/A</v>
      </c>
    </row>
    <row r="1587" spans="1:3">
      <c r="A1587" s="11">
        <v>5040000000</v>
      </c>
      <c r="B1587" s="20" t="s">
        <v>2811</v>
      </c>
      <c r="C1587" s="28" t="e">
        <f t="shared" si="24"/>
        <v>#N/A</v>
      </c>
    </row>
    <row r="1588" spans="1:3">
      <c r="A1588" s="11">
        <v>5040000000</v>
      </c>
      <c r="B1588" s="20" t="s">
        <v>2811</v>
      </c>
      <c r="C1588" s="28" t="e">
        <f t="shared" si="24"/>
        <v>#N/A</v>
      </c>
    </row>
    <row r="1589" spans="1:3">
      <c r="A1589" s="11">
        <v>5040000000</v>
      </c>
      <c r="B1589" s="20" t="s">
        <v>2811</v>
      </c>
      <c r="C1589" s="28" t="e">
        <f t="shared" si="24"/>
        <v>#N/A</v>
      </c>
    </row>
    <row r="1590" spans="1:3">
      <c r="A1590" s="11">
        <v>5040000000</v>
      </c>
      <c r="B1590" s="20" t="s">
        <v>2811</v>
      </c>
      <c r="C1590" s="28" t="e">
        <f t="shared" si="24"/>
        <v>#N/A</v>
      </c>
    </row>
    <row r="1591" spans="1:3">
      <c r="A1591" s="11">
        <v>5040000000</v>
      </c>
      <c r="B1591" s="20" t="s">
        <v>2811</v>
      </c>
      <c r="C1591" s="28" t="e">
        <f t="shared" si="24"/>
        <v>#N/A</v>
      </c>
    </row>
    <row r="1592" spans="1:3">
      <c r="A1592" s="11">
        <v>5048000000</v>
      </c>
      <c r="B1592" s="20" t="s">
        <v>2812</v>
      </c>
      <c r="C1592" s="28" t="e">
        <f t="shared" si="24"/>
        <v>#N/A</v>
      </c>
    </row>
    <row r="1593" spans="1:3">
      <c r="A1593" s="11">
        <v>5048100000</v>
      </c>
      <c r="B1593" s="20" t="s">
        <v>2812</v>
      </c>
      <c r="C1593" s="28" t="e">
        <f t="shared" si="24"/>
        <v>#N/A</v>
      </c>
    </row>
    <row r="1594" spans="1:3">
      <c r="A1594" s="11">
        <v>5048200000</v>
      </c>
      <c r="B1594" s="20" t="s">
        <v>2812</v>
      </c>
      <c r="C1594" s="28" t="e">
        <f t="shared" si="24"/>
        <v>#N/A</v>
      </c>
    </row>
    <row r="1595" spans="1:3">
      <c r="A1595" s="11" t="s">
        <v>1497</v>
      </c>
      <c r="B1595" s="20" t="s">
        <v>2813</v>
      </c>
      <c r="C1595" s="28" t="e">
        <f t="shared" si="24"/>
        <v>#N/A</v>
      </c>
    </row>
    <row r="1596" spans="1:3">
      <c r="A1596" s="11" t="s">
        <v>1497</v>
      </c>
      <c r="B1596" s="20" t="s">
        <v>2814</v>
      </c>
      <c r="C1596" s="28" t="e">
        <f t="shared" si="24"/>
        <v>#N/A</v>
      </c>
    </row>
    <row r="1597" spans="1:3">
      <c r="A1597" s="11">
        <v>5920000040</v>
      </c>
      <c r="B1597" s="20" t="s">
        <v>2815</v>
      </c>
      <c r="C1597" s="28" t="e">
        <f t="shared" si="24"/>
        <v>#N/A</v>
      </c>
    </row>
    <row r="1598" spans="1:3">
      <c r="A1598" s="11" t="s">
        <v>1497</v>
      </c>
      <c r="B1598" s="20" t="s">
        <v>2816</v>
      </c>
      <c r="C1598" s="28" t="e">
        <f t="shared" si="24"/>
        <v>#N/A</v>
      </c>
    </row>
    <row r="1599" spans="1:3">
      <c r="A1599" s="11" t="s">
        <v>1497</v>
      </c>
      <c r="B1599" s="20" t="s">
        <v>2817</v>
      </c>
      <c r="C1599" s="28" t="e">
        <f t="shared" si="24"/>
        <v>#N/A</v>
      </c>
    </row>
    <row r="1600" spans="1:3">
      <c r="A1600" s="11">
        <v>5910000000</v>
      </c>
      <c r="B1600" s="20" t="s">
        <v>2818</v>
      </c>
      <c r="C1600" s="28" t="e">
        <f t="shared" si="24"/>
        <v>#N/A</v>
      </c>
    </row>
    <row r="1601" spans="1:3">
      <c r="A1601" s="11">
        <v>7202000000</v>
      </c>
      <c r="B1601" s="20" t="s">
        <v>2819</v>
      </c>
      <c r="C1601" s="28" t="e">
        <f t="shared" si="24"/>
        <v>#N/A</v>
      </c>
    </row>
    <row r="1602" spans="1:3">
      <c r="A1602" s="11">
        <v>8700004010</v>
      </c>
      <c r="B1602" s="20" t="s">
        <v>2820</v>
      </c>
      <c r="C1602" s="28" t="e">
        <f t="shared" si="24"/>
        <v>#N/A</v>
      </c>
    </row>
    <row r="1603" spans="1:3">
      <c r="A1603" s="11" t="s">
        <v>9</v>
      </c>
      <c r="B1603" s="20" t="s">
        <v>2821</v>
      </c>
      <c r="C1603" s="28" t="e">
        <f t="shared" si="24"/>
        <v>#N/A</v>
      </c>
    </row>
    <row r="1604" spans="1:3">
      <c r="A1604" s="11" t="s">
        <v>9</v>
      </c>
      <c r="B1604" s="20" t="s">
        <v>2822</v>
      </c>
      <c r="C1604" s="28" t="e">
        <f t="shared" si="24"/>
        <v>#N/A</v>
      </c>
    </row>
    <row r="1605" spans="1:3">
      <c r="A1605" s="11" t="s">
        <v>9</v>
      </c>
      <c r="B1605" s="20" t="s">
        <v>2823</v>
      </c>
      <c r="C1605" s="28" t="e">
        <f t="shared" si="24"/>
        <v>#N/A</v>
      </c>
    </row>
    <row r="1606" spans="1:3">
      <c r="A1606" s="11" t="s">
        <v>9</v>
      </c>
      <c r="B1606" s="20" t="s">
        <v>2824</v>
      </c>
      <c r="C1606" s="28" t="e">
        <f t="shared" si="24"/>
        <v>#N/A</v>
      </c>
    </row>
    <row r="1607" spans="1:3">
      <c r="A1607" s="11" t="s">
        <v>9</v>
      </c>
      <c r="B1607" s="20" t="s">
        <v>2825</v>
      </c>
      <c r="C1607" s="28" t="e">
        <f t="shared" si="24"/>
        <v>#N/A</v>
      </c>
    </row>
    <row r="1608" spans="1:3">
      <c r="A1608" s="11" t="s">
        <v>9</v>
      </c>
      <c r="B1608" s="20" t="s">
        <v>2826</v>
      </c>
      <c r="C1608" s="28" t="e">
        <f t="shared" si="24"/>
        <v>#N/A</v>
      </c>
    </row>
    <row r="1609" spans="1:3">
      <c r="A1609" s="11" t="s">
        <v>1497</v>
      </c>
      <c r="B1609" s="20" t="s">
        <v>2827</v>
      </c>
      <c r="C1609" s="28" t="e">
        <f t="shared" si="24"/>
        <v>#N/A</v>
      </c>
    </row>
    <row r="1610" spans="1:3">
      <c r="A1610" s="11">
        <v>7596000000</v>
      </c>
      <c r="B1610" s="20" t="s">
        <v>2828</v>
      </c>
      <c r="C1610" s="28" t="e">
        <f t="shared" si="24"/>
        <v>#N/A</v>
      </c>
    </row>
    <row r="1611" spans="1:3">
      <c r="A1611" s="11" t="s">
        <v>1497</v>
      </c>
      <c r="B1611" s="20" t="s">
        <v>2829</v>
      </c>
      <c r="C1611" s="28" t="e">
        <f t="shared" si="24"/>
        <v>#N/A</v>
      </c>
    </row>
    <row r="1612" spans="1:3">
      <c r="A1612" s="11">
        <v>8470901010</v>
      </c>
      <c r="B1612" s="20" t="s">
        <v>2830</v>
      </c>
      <c r="C1612" s="28" t="e">
        <f t="shared" si="24"/>
        <v>#N/A</v>
      </c>
    </row>
    <row r="1613" spans="1:3">
      <c r="A1613" s="11">
        <v>6010000051</v>
      </c>
      <c r="B1613" s="20" t="s">
        <v>2831</v>
      </c>
      <c r="C1613" s="28" t="e">
        <f t="shared" si="24"/>
        <v>#N/A</v>
      </c>
    </row>
    <row r="1614" spans="1:3">
      <c r="A1614" s="11">
        <v>6050100050</v>
      </c>
      <c r="B1614" s="20" t="s">
        <v>2832</v>
      </c>
      <c r="C1614" s="28" t="e">
        <f t="shared" si="24"/>
        <v>#N/A</v>
      </c>
    </row>
    <row r="1615" spans="1:3">
      <c r="A1615" s="11">
        <v>6010000040</v>
      </c>
      <c r="B1615" s="20" t="s">
        <v>2833</v>
      </c>
      <c r="C1615" s="28" t="e">
        <f t="shared" si="24"/>
        <v>#N/A</v>
      </c>
    </row>
    <row r="1616" spans="1:3">
      <c r="A1616" s="11">
        <v>6050000040</v>
      </c>
      <c r="B1616" s="20" t="s">
        <v>2834</v>
      </c>
      <c r="C1616" s="28" t="e">
        <f t="shared" si="24"/>
        <v>#N/A</v>
      </c>
    </row>
    <row r="1617" spans="1:3">
      <c r="A1617" s="11">
        <v>6050100051</v>
      </c>
      <c r="B1617" s="20" t="s">
        <v>2835</v>
      </c>
      <c r="C1617" s="28" t="e">
        <f t="shared" si="24"/>
        <v>#N/A</v>
      </c>
    </row>
    <row r="1618" spans="1:3">
      <c r="A1618" s="11">
        <v>6050200031</v>
      </c>
      <c r="B1618" s="20" t="s">
        <v>2836</v>
      </c>
      <c r="C1618" s="28" t="e">
        <f t="shared" si="24"/>
        <v>#N/A</v>
      </c>
    </row>
    <row r="1619" spans="1:3">
      <c r="A1619" s="11">
        <v>6050000010</v>
      </c>
      <c r="B1619" s="20" t="s">
        <v>2837</v>
      </c>
      <c r="C1619" s="28" t="e">
        <f t="shared" si="24"/>
        <v>#N/A</v>
      </c>
    </row>
    <row r="1620" spans="1:3">
      <c r="A1620" s="11">
        <v>6600100730</v>
      </c>
      <c r="B1620" s="20" t="s">
        <v>2838</v>
      </c>
      <c r="C1620" s="28" t="e">
        <f t="shared" si="24"/>
        <v>#N/A</v>
      </c>
    </row>
    <row r="1621" spans="1:3">
      <c r="A1621" s="11">
        <v>6010000050</v>
      </c>
      <c r="B1621" s="20" t="s">
        <v>2839</v>
      </c>
      <c r="C1621" s="28" t="e">
        <f t="shared" si="24"/>
        <v>#N/A</v>
      </c>
    </row>
    <row r="1622" spans="1:3">
      <c r="A1622" s="11">
        <v>6050100010</v>
      </c>
      <c r="B1622" s="20" t="s">
        <v>2840</v>
      </c>
      <c r="C1622" s="28" t="e">
        <f t="shared" si="24"/>
        <v>#N/A</v>
      </c>
    </row>
    <row r="1623" spans="1:3">
      <c r="A1623" s="11">
        <v>6050100000</v>
      </c>
      <c r="B1623" s="20" t="s">
        <v>2841</v>
      </c>
      <c r="C1623" s="28" t="e">
        <f t="shared" si="24"/>
        <v>#N/A</v>
      </c>
    </row>
    <row r="1624" spans="1:3">
      <c r="A1624" s="11">
        <v>6050100000</v>
      </c>
      <c r="B1624" s="20" t="s">
        <v>2841</v>
      </c>
      <c r="C1624" s="28" t="e">
        <f t="shared" si="24"/>
        <v>#N/A</v>
      </c>
    </row>
    <row r="1625" spans="1:3">
      <c r="A1625" s="11">
        <v>6050100000</v>
      </c>
      <c r="B1625" s="20" t="s">
        <v>2841</v>
      </c>
      <c r="C1625" s="28" t="e">
        <f t="shared" si="24"/>
        <v>#N/A</v>
      </c>
    </row>
    <row r="1626" spans="1:3">
      <c r="A1626" s="11">
        <v>6050100000</v>
      </c>
      <c r="B1626" s="20" t="s">
        <v>2841</v>
      </c>
      <c r="C1626" s="28" t="e">
        <f t="shared" si="24"/>
        <v>#N/A</v>
      </c>
    </row>
    <row r="1627" spans="1:3">
      <c r="A1627" s="11">
        <v>6050100000</v>
      </c>
      <c r="B1627" s="20" t="s">
        <v>2841</v>
      </c>
      <c r="C1627" s="28" t="e">
        <f t="shared" si="24"/>
        <v>#N/A</v>
      </c>
    </row>
    <row r="1628" spans="1:3">
      <c r="A1628" s="11">
        <v>6050100000</v>
      </c>
      <c r="B1628" s="20" t="s">
        <v>2841</v>
      </c>
      <c r="C1628" s="28" t="e">
        <f t="shared" si="24"/>
        <v>#N/A</v>
      </c>
    </row>
    <row r="1629" spans="1:3">
      <c r="A1629" s="11">
        <v>6050100000</v>
      </c>
      <c r="B1629" s="20" t="s">
        <v>2841</v>
      </c>
      <c r="C1629" s="28" t="e">
        <f t="shared" si="24"/>
        <v>#N/A</v>
      </c>
    </row>
    <row r="1630" spans="1:3">
      <c r="A1630" s="11">
        <v>6050100000</v>
      </c>
      <c r="B1630" s="20" t="s">
        <v>2841</v>
      </c>
      <c r="C1630" s="28" t="e">
        <f t="shared" si="24"/>
        <v>#N/A</v>
      </c>
    </row>
    <row r="1631" spans="1:3">
      <c r="A1631" s="11">
        <v>6050100000</v>
      </c>
      <c r="B1631" s="20" t="s">
        <v>2841</v>
      </c>
      <c r="C1631" s="28" t="e">
        <f t="shared" si="24"/>
        <v>#N/A</v>
      </c>
    </row>
    <row r="1632" spans="1:3">
      <c r="A1632" s="11">
        <v>6050100000</v>
      </c>
      <c r="B1632" s="20" t="s">
        <v>2841</v>
      </c>
      <c r="C1632" s="28" t="e">
        <f t="shared" si="24"/>
        <v>#N/A</v>
      </c>
    </row>
    <row r="1633" spans="1:3">
      <c r="A1633" s="11">
        <v>6050100000</v>
      </c>
      <c r="B1633" s="20" t="s">
        <v>2841</v>
      </c>
      <c r="C1633" s="28" t="e">
        <f t="shared" si="24"/>
        <v>#N/A</v>
      </c>
    </row>
    <row r="1634" spans="1:3">
      <c r="A1634" s="11">
        <v>6050100000</v>
      </c>
      <c r="B1634" s="20" t="s">
        <v>2841</v>
      </c>
      <c r="C1634" s="28" t="e">
        <f t="shared" si="24"/>
        <v>#N/A</v>
      </c>
    </row>
    <row r="1635" spans="1:3">
      <c r="A1635" s="11">
        <v>6050100000</v>
      </c>
      <c r="B1635" s="20" t="s">
        <v>2841</v>
      </c>
      <c r="C1635" s="28" t="e">
        <f t="shared" si="24"/>
        <v>#N/A</v>
      </c>
    </row>
    <row r="1636" spans="1:3">
      <c r="A1636" s="11">
        <v>6050100000</v>
      </c>
      <c r="B1636" s="20" t="s">
        <v>2841</v>
      </c>
      <c r="C1636" s="28" t="e">
        <f t="shared" si="24"/>
        <v>#N/A</v>
      </c>
    </row>
    <row r="1637" spans="1:3">
      <c r="A1637" s="11">
        <v>6050100000</v>
      </c>
      <c r="B1637" s="20" t="s">
        <v>2841</v>
      </c>
      <c r="C1637" s="28" t="e">
        <f t="shared" si="24"/>
        <v>#N/A</v>
      </c>
    </row>
    <row r="1638" spans="1:3">
      <c r="A1638" s="11">
        <v>6050100000</v>
      </c>
      <c r="B1638" s="20" t="s">
        <v>2841</v>
      </c>
      <c r="C1638" s="28" t="e">
        <f t="shared" si="24"/>
        <v>#N/A</v>
      </c>
    </row>
    <row r="1639" spans="1:3">
      <c r="A1639" s="11">
        <v>6050100000</v>
      </c>
      <c r="B1639" s="20" t="s">
        <v>2841</v>
      </c>
      <c r="C1639" s="28" t="e">
        <f t="shared" si="24"/>
        <v>#N/A</v>
      </c>
    </row>
    <row r="1640" spans="1:3">
      <c r="A1640" s="11">
        <v>6050100000</v>
      </c>
      <c r="B1640" s="20" t="s">
        <v>2841</v>
      </c>
      <c r="C1640" s="28" t="e">
        <f t="shared" si="24"/>
        <v>#N/A</v>
      </c>
    </row>
    <row r="1641" spans="1:3">
      <c r="A1641" s="11">
        <v>6050100040</v>
      </c>
      <c r="B1641" s="20" t="s">
        <v>2842</v>
      </c>
      <c r="C1641" s="28" t="e">
        <f t="shared" si="24"/>
        <v>#N/A</v>
      </c>
    </row>
    <row r="1642" spans="1:3">
      <c r="A1642" s="11">
        <v>6050100040</v>
      </c>
      <c r="B1642" s="20" t="s">
        <v>2842</v>
      </c>
      <c r="C1642" s="28" t="e">
        <f t="shared" ref="C1642:C1705" si="25">VLOOKUP(B1642,F:G,2,0)</f>
        <v>#N/A</v>
      </c>
    </row>
    <row r="1643" spans="1:3">
      <c r="A1643" s="11">
        <v>6050100040</v>
      </c>
      <c r="B1643" s="20" t="s">
        <v>2842</v>
      </c>
      <c r="C1643" s="28" t="e">
        <f t="shared" si="25"/>
        <v>#N/A</v>
      </c>
    </row>
    <row r="1644" spans="1:3">
      <c r="A1644" s="11">
        <v>6050100040</v>
      </c>
      <c r="B1644" s="20" t="s">
        <v>2842</v>
      </c>
      <c r="C1644" s="28" t="e">
        <f t="shared" si="25"/>
        <v>#N/A</v>
      </c>
    </row>
    <row r="1645" spans="1:3">
      <c r="A1645" s="11">
        <v>6050100040</v>
      </c>
      <c r="B1645" s="20" t="s">
        <v>2842</v>
      </c>
      <c r="C1645" s="28" t="e">
        <f t="shared" si="25"/>
        <v>#N/A</v>
      </c>
    </row>
    <row r="1646" spans="1:3">
      <c r="A1646" s="11">
        <v>6050100040</v>
      </c>
      <c r="B1646" s="20" t="s">
        <v>2842</v>
      </c>
      <c r="C1646" s="28" t="e">
        <f t="shared" si="25"/>
        <v>#N/A</v>
      </c>
    </row>
    <row r="1647" spans="1:3">
      <c r="A1647" s="11">
        <v>6050100040</v>
      </c>
      <c r="B1647" s="20" t="s">
        <v>2842</v>
      </c>
      <c r="C1647" s="28" t="e">
        <f t="shared" si="25"/>
        <v>#N/A</v>
      </c>
    </row>
    <row r="1648" spans="1:3">
      <c r="A1648" s="11">
        <v>6050100040</v>
      </c>
      <c r="B1648" s="20" t="s">
        <v>2842</v>
      </c>
      <c r="C1648" s="28" t="e">
        <f t="shared" si="25"/>
        <v>#N/A</v>
      </c>
    </row>
    <row r="1649" spans="1:3">
      <c r="A1649" s="11">
        <v>6010000000</v>
      </c>
      <c r="B1649" s="20" t="s">
        <v>2843</v>
      </c>
      <c r="C1649" s="28" t="e">
        <f t="shared" si="25"/>
        <v>#N/A</v>
      </c>
    </row>
    <row r="1650" spans="1:3">
      <c r="A1650" s="11">
        <v>6050000000</v>
      </c>
      <c r="B1650" s="20" t="s">
        <v>2844</v>
      </c>
      <c r="C1650" s="28" t="e">
        <f t="shared" si="25"/>
        <v>#N/A</v>
      </c>
    </row>
    <row r="1651" spans="1:3">
      <c r="A1651" s="11">
        <v>6050000020</v>
      </c>
      <c r="B1651" s="20" t="s">
        <v>2845</v>
      </c>
      <c r="C1651" s="28" t="e">
        <f t="shared" si="25"/>
        <v>#N/A</v>
      </c>
    </row>
    <row r="1652" spans="1:3">
      <c r="A1652" s="11">
        <v>6050300000</v>
      </c>
      <c r="B1652" s="20" t="s">
        <v>2845</v>
      </c>
      <c r="C1652" s="28" t="e">
        <f t="shared" si="25"/>
        <v>#N/A</v>
      </c>
    </row>
    <row r="1653" spans="1:3">
      <c r="A1653" s="11">
        <v>6010000005</v>
      </c>
      <c r="B1653" s="20" t="s">
        <v>2846</v>
      </c>
      <c r="C1653" s="28" t="e">
        <f t="shared" si="25"/>
        <v>#N/A</v>
      </c>
    </row>
    <row r="1654" spans="1:3">
      <c r="A1654" s="11">
        <v>6010000011</v>
      </c>
      <c r="B1654" s="20" t="s">
        <v>2847</v>
      </c>
      <c r="C1654" s="28" t="e">
        <f t="shared" si="25"/>
        <v>#N/A</v>
      </c>
    </row>
    <row r="1655" spans="1:3">
      <c r="A1655" s="11">
        <v>6012000000</v>
      </c>
      <c r="B1655" s="20" t="s">
        <v>2848</v>
      </c>
      <c r="C1655" s="28" t="e">
        <f t="shared" si="25"/>
        <v>#N/A</v>
      </c>
    </row>
    <row r="1656" spans="1:3">
      <c r="A1656" s="11">
        <v>6012000100</v>
      </c>
      <c r="B1656" s="20" t="s">
        <v>2849</v>
      </c>
      <c r="C1656" s="28" t="e">
        <f t="shared" si="25"/>
        <v>#N/A</v>
      </c>
    </row>
    <row r="1657" spans="1:3">
      <c r="A1657" s="11">
        <v>6000000030</v>
      </c>
      <c r="B1657" s="20" t="s">
        <v>2850</v>
      </c>
      <c r="C1657" s="28" t="e">
        <f t="shared" si="25"/>
        <v>#N/A</v>
      </c>
    </row>
    <row r="1658" spans="1:3">
      <c r="A1658" s="11">
        <v>6070200000</v>
      </c>
      <c r="B1658" s="20" t="s">
        <v>2851</v>
      </c>
      <c r="C1658" s="28" t="e">
        <f t="shared" si="25"/>
        <v>#N/A</v>
      </c>
    </row>
    <row r="1659" spans="1:3">
      <c r="A1659" s="11">
        <v>6070200000</v>
      </c>
      <c r="B1659" s="20" t="s">
        <v>2851</v>
      </c>
      <c r="C1659" s="28" t="e">
        <f t="shared" si="25"/>
        <v>#N/A</v>
      </c>
    </row>
    <row r="1660" spans="1:3">
      <c r="A1660" s="11">
        <v>6070200000</v>
      </c>
      <c r="B1660" s="20" t="s">
        <v>2851</v>
      </c>
      <c r="C1660" s="28" t="e">
        <f t="shared" si="25"/>
        <v>#N/A</v>
      </c>
    </row>
    <row r="1661" spans="1:3">
      <c r="A1661" s="11" t="s">
        <v>1497</v>
      </c>
      <c r="B1661" s="20" t="s">
        <v>2852</v>
      </c>
      <c r="C1661" s="28" t="e">
        <f t="shared" si="25"/>
        <v>#N/A</v>
      </c>
    </row>
    <row r="1662" spans="1:3">
      <c r="A1662" s="11">
        <v>6020000000</v>
      </c>
      <c r="B1662" s="20" t="s">
        <v>2853</v>
      </c>
      <c r="C1662" s="28" t="e">
        <f t="shared" si="25"/>
        <v>#N/A</v>
      </c>
    </row>
    <row r="1663" spans="1:3">
      <c r="A1663" s="11">
        <v>6030000000</v>
      </c>
      <c r="B1663" s="20" t="s">
        <v>2854</v>
      </c>
      <c r="C1663" s="28" t="e">
        <f t="shared" si="25"/>
        <v>#N/A</v>
      </c>
    </row>
    <row r="1664" spans="1:3">
      <c r="A1664" s="11">
        <v>6020000500</v>
      </c>
      <c r="B1664" s="20" t="s">
        <v>2855</v>
      </c>
      <c r="C1664" s="28" t="e">
        <f t="shared" si="25"/>
        <v>#N/A</v>
      </c>
    </row>
    <row r="1665" spans="1:3">
      <c r="A1665" s="11">
        <v>6020000001</v>
      </c>
      <c r="B1665" s="20" t="s">
        <v>2856</v>
      </c>
      <c r="C1665" s="28" t="e">
        <f t="shared" si="25"/>
        <v>#N/A</v>
      </c>
    </row>
    <row r="1666" spans="1:3">
      <c r="A1666" s="11">
        <v>6030000010</v>
      </c>
      <c r="B1666" s="20" t="s">
        <v>2857</v>
      </c>
      <c r="C1666" s="28" t="e">
        <f t="shared" si="25"/>
        <v>#N/A</v>
      </c>
    </row>
    <row r="1667" spans="1:3">
      <c r="A1667" s="11">
        <v>6100000000</v>
      </c>
      <c r="B1667" s="20" t="s">
        <v>2858</v>
      </c>
      <c r="C1667" s="28" t="e">
        <f t="shared" si="25"/>
        <v>#N/A</v>
      </c>
    </row>
    <row r="1668" spans="1:3">
      <c r="A1668" s="11">
        <v>6100000002</v>
      </c>
      <c r="B1668" s="20" t="s">
        <v>2859</v>
      </c>
      <c r="C1668" s="28" t="e">
        <f t="shared" si="25"/>
        <v>#N/A</v>
      </c>
    </row>
    <row r="1669" spans="1:3">
      <c r="A1669" s="11">
        <v>6100000020</v>
      </c>
      <c r="B1669" s="20" t="s">
        <v>2860</v>
      </c>
      <c r="C1669" s="28" t="e">
        <f t="shared" si="25"/>
        <v>#N/A</v>
      </c>
    </row>
    <row r="1670" spans="1:3">
      <c r="A1670" s="11">
        <v>6100000080</v>
      </c>
      <c r="B1670" s="20" t="s">
        <v>2861</v>
      </c>
      <c r="C1670" s="28" t="e">
        <f t="shared" si="25"/>
        <v>#N/A</v>
      </c>
    </row>
    <row r="1671" spans="1:3">
      <c r="A1671" s="11">
        <v>6200000000</v>
      </c>
      <c r="B1671" s="20" t="s">
        <v>2862</v>
      </c>
      <c r="C1671" s="28" t="e">
        <f t="shared" si="25"/>
        <v>#N/A</v>
      </c>
    </row>
    <row r="1672" spans="1:3">
      <c r="A1672" s="11">
        <v>6100000090</v>
      </c>
      <c r="B1672" s="20" t="s">
        <v>2863</v>
      </c>
      <c r="C1672" s="28" t="e">
        <f t="shared" si="25"/>
        <v>#N/A</v>
      </c>
    </row>
    <row r="1673" spans="1:3">
      <c r="A1673" s="11">
        <v>6200100000</v>
      </c>
      <c r="B1673" s="20" t="s">
        <v>2864</v>
      </c>
      <c r="C1673" s="28" t="e">
        <f t="shared" si="25"/>
        <v>#N/A</v>
      </c>
    </row>
    <row r="1674" spans="1:3">
      <c r="A1674" s="11">
        <v>6180000000</v>
      </c>
      <c r="B1674" s="20" t="s">
        <v>2865</v>
      </c>
      <c r="C1674" s="28" t="e">
        <f t="shared" si="25"/>
        <v>#N/A</v>
      </c>
    </row>
    <row r="1675" spans="1:3">
      <c r="A1675" s="11">
        <v>6180000010</v>
      </c>
      <c r="B1675" s="20" t="s">
        <v>2866</v>
      </c>
      <c r="C1675" s="28" t="e">
        <f t="shared" si="25"/>
        <v>#N/A</v>
      </c>
    </row>
    <row r="1676" spans="1:3">
      <c r="A1676" s="11">
        <v>6100000003</v>
      </c>
      <c r="B1676" s="20" t="s">
        <v>2867</v>
      </c>
      <c r="C1676" s="28" t="e">
        <f t="shared" si="25"/>
        <v>#N/A</v>
      </c>
    </row>
    <row r="1677" spans="1:3">
      <c r="A1677" s="11">
        <v>6104000000</v>
      </c>
      <c r="B1677" s="20" t="s">
        <v>2868</v>
      </c>
      <c r="C1677" s="28" t="e">
        <f t="shared" si="25"/>
        <v>#N/A</v>
      </c>
    </row>
    <row r="1678" spans="1:3">
      <c r="A1678" s="11">
        <v>6104001000</v>
      </c>
      <c r="B1678" s="20" t="s">
        <v>2869</v>
      </c>
      <c r="C1678" s="28" t="e">
        <f t="shared" si="25"/>
        <v>#N/A</v>
      </c>
    </row>
    <row r="1679" spans="1:3">
      <c r="A1679" s="13">
        <v>6100000140</v>
      </c>
      <c r="B1679" s="20" t="s">
        <v>2870</v>
      </c>
      <c r="C1679" s="28" t="e">
        <f t="shared" si="25"/>
        <v>#N/A</v>
      </c>
    </row>
    <row r="1680" spans="1:3">
      <c r="A1680" s="13">
        <v>6100000000</v>
      </c>
      <c r="B1680" s="22" t="s">
        <v>2870</v>
      </c>
      <c r="C1680" s="28" t="e">
        <f t="shared" si="25"/>
        <v>#N/A</v>
      </c>
    </row>
    <row r="1681" spans="1:3">
      <c r="A1681" s="11">
        <v>6022000000</v>
      </c>
      <c r="B1681" s="20" t="s">
        <v>2871</v>
      </c>
      <c r="C1681" s="28" t="e">
        <f t="shared" si="25"/>
        <v>#N/A</v>
      </c>
    </row>
    <row r="1682" spans="1:3">
      <c r="A1682" s="11">
        <v>6032000000</v>
      </c>
      <c r="B1682" s="20" t="s">
        <v>2872</v>
      </c>
      <c r="C1682" s="28" t="e">
        <f t="shared" si="25"/>
        <v>#N/A</v>
      </c>
    </row>
    <row r="1683" spans="1:3">
      <c r="A1683" s="11">
        <v>6022000001</v>
      </c>
      <c r="B1683" s="20" t="s">
        <v>2873</v>
      </c>
      <c r="C1683" s="28" t="e">
        <f t="shared" si="25"/>
        <v>#N/A</v>
      </c>
    </row>
    <row r="1684" spans="1:3">
      <c r="A1684" s="11">
        <v>6102000000</v>
      </c>
      <c r="B1684" s="20" t="s">
        <v>2874</v>
      </c>
      <c r="C1684" s="28" t="e">
        <f t="shared" si="25"/>
        <v>#N/A</v>
      </c>
    </row>
    <row r="1685" spans="1:3">
      <c r="A1685" s="13">
        <v>6102000140</v>
      </c>
      <c r="B1685" s="20" t="s">
        <v>2875</v>
      </c>
      <c r="C1685" s="28" t="e">
        <f t="shared" si="25"/>
        <v>#N/A</v>
      </c>
    </row>
    <row r="1686" spans="1:3">
      <c r="A1686" s="13">
        <v>6102000000</v>
      </c>
      <c r="B1686" s="22" t="s">
        <v>2875</v>
      </c>
      <c r="C1686" s="28" t="e">
        <f t="shared" si="25"/>
        <v>#N/A</v>
      </c>
    </row>
    <row r="1687" spans="1:3">
      <c r="A1687" s="11">
        <v>6102000001</v>
      </c>
      <c r="B1687" s="20" t="s">
        <v>2876</v>
      </c>
      <c r="C1687" s="28" t="e">
        <f t="shared" si="25"/>
        <v>#N/A</v>
      </c>
    </row>
    <row r="1688" spans="1:3">
      <c r="A1688" s="11">
        <v>6050200005</v>
      </c>
      <c r="B1688" s="20" t="s">
        <v>2877</v>
      </c>
      <c r="C1688" s="28" t="e">
        <f t="shared" si="25"/>
        <v>#N/A</v>
      </c>
    </row>
    <row r="1689" spans="1:3">
      <c r="A1689" s="11">
        <v>6050200003</v>
      </c>
      <c r="B1689" s="20" t="s">
        <v>2878</v>
      </c>
      <c r="C1689" s="28" t="e">
        <f t="shared" si="25"/>
        <v>#N/A</v>
      </c>
    </row>
    <row r="1690" spans="1:3">
      <c r="A1690" s="11">
        <v>6050200000</v>
      </c>
      <c r="B1690" s="20" t="s">
        <v>2879</v>
      </c>
      <c r="C1690" s="28" t="e">
        <f t="shared" si="25"/>
        <v>#N/A</v>
      </c>
    </row>
    <row r="1691" spans="1:3">
      <c r="A1691" s="11">
        <v>6100000130</v>
      </c>
      <c r="B1691" s="20" t="s">
        <v>2880</v>
      </c>
      <c r="C1691" s="28" t="e">
        <f t="shared" si="25"/>
        <v>#N/A</v>
      </c>
    </row>
    <row r="1692" spans="1:3">
      <c r="A1692" s="11">
        <v>6060010020</v>
      </c>
      <c r="B1692" s="20" t="s">
        <v>2881</v>
      </c>
      <c r="C1692" s="28" t="e">
        <f t="shared" si="25"/>
        <v>#N/A</v>
      </c>
    </row>
    <row r="1693" spans="1:3">
      <c r="A1693" s="11">
        <v>6050200005</v>
      </c>
      <c r="B1693" s="20" t="s">
        <v>2882</v>
      </c>
      <c r="C1693" s="28" t="e">
        <f t="shared" si="25"/>
        <v>#N/A</v>
      </c>
    </row>
    <row r="1694" spans="1:3">
      <c r="A1694" s="11">
        <v>6050200003</v>
      </c>
      <c r="B1694" s="20" t="s">
        <v>2883</v>
      </c>
      <c r="C1694" s="28" t="e">
        <f t="shared" si="25"/>
        <v>#N/A</v>
      </c>
    </row>
    <row r="1695" spans="1:3">
      <c r="A1695" s="11">
        <v>6070100000</v>
      </c>
      <c r="B1695" s="20" t="s">
        <v>2884</v>
      </c>
      <c r="C1695" s="28" t="e">
        <f t="shared" si="25"/>
        <v>#N/A</v>
      </c>
    </row>
    <row r="1696" spans="1:3">
      <c r="A1696" s="11" t="s">
        <v>1497</v>
      </c>
      <c r="B1696" s="20" t="s">
        <v>2885</v>
      </c>
      <c r="C1696" s="28" t="e">
        <f t="shared" si="25"/>
        <v>#N/A</v>
      </c>
    </row>
    <row r="1697" spans="1:3">
      <c r="A1697" s="11">
        <v>6120000010</v>
      </c>
      <c r="B1697" s="20" t="s">
        <v>2886</v>
      </c>
      <c r="C1697" s="28" t="e">
        <f t="shared" si="25"/>
        <v>#N/A</v>
      </c>
    </row>
    <row r="1698" spans="1:3">
      <c r="A1698" s="11">
        <v>6120001500</v>
      </c>
      <c r="B1698" s="20" t="s">
        <v>2887</v>
      </c>
      <c r="C1698" s="28" t="e">
        <f t="shared" si="25"/>
        <v>#N/A</v>
      </c>
    </row>
    <row r="1699" spans="1:3">
      <c r="A1699" s="11">
        <v>6122100000</v>
      </c>
      <c r="B1699" s="20" t="s">
        <v>2888</v>
      </c>
      <c r="C1699" s="28" t="e">
        <f t="shared" si="25"/>
        <v>#N/A</v>
      </c>
    </row>
    <row r="1700" spans="1:3">
      <c r="A1700" s="11" t="s">
        <v>1497</v>
      </c>
      <c r="B1700" s="20" t="s">
        <v>2889</v>
      </c>
      <c r="C1700" s="28" t="e">
        <f t="shared" si="25"/>
        <v>#N/A</v>
      </c>
    </row>
    <row r="1701" spans="1:3">
      <c r="A1701" s="11" t="s">
        <v>1497</v>
      </c>
      <c r="B1701" s="20" t="s">
        <v>2890</v>
      </c>
      <c r="C1701" s="28" t="e">
        <f t="shared" si="25"/>
        <v>#N/A</v>
      </c>
    </row>
    <row r="1702" spans="1:3">
      <c r="A1702" s="11" t="s">
        <v>1497</v>
      </c>
      <c r="B1702" s="20" t="s">
        <v>2891</v>
      </c>
      <c r="C1702" s="28" t="e">
        <f t="shared" si="25"/>
        <v>#N/A</v>
      </c>
    </row>
    <row r="1703" spans="1:3">
      <c r="A1703" s="11">
        <v>6970000207</v>
      </c>
      <c r="B1703" s="20" t="s">
        <v>2892</v>
      </c>
      <c r="C1703" s="28" t="e">
        <f t="shared" si="25"/>
        <v>#N/A</v>
      </c>
    </row>
    <row r="1704" spans="1:3">
      <c r="A1704" s="11" t="s">
        <v>1497</v>
      </c>
      <c r="B1704" s="20" t="s">
        <v>2893</v>
      </c>
      <c r="C1704" s="28" t="e">
        <f t="shared" si="25"/>
        <v>#N/A</v>
      </c>
    </row>
    <row r="1705" spans="1:3">
      <c r="A1705" s="11" t="s">
        <v>1497</v>
      </c>
      <c r="B1705" s="20" t="s">
        <v>2894</v>
      </c>
      <c r="C1705" s="28" t="e">
        <f t="shared" si="25"/>
        <v>#N/A</v>
      </c>
    </row>
    <row r="1706" spans="1:3">
      <c r="A1706" s="11" t="s">
        <v>1497</v>
      </c>
      <c r="B1706" s="20" t="s">
        <v>2895</v>
      </c>
      <c r="C1706" s="28" t="e">
        <f t="shared" ref="C1706:C1769" si="26">VLOOKUP(B1706,F:G,2,0)</f>
        <v>#N/A</v>
      </c>
    </row>
    <row r="1707" spans="1:3">
      <c r="A1707" s="11">
        <v>6970000208</v>
      </c>
      <c r="B1707" s="20" t="s">
        <v>2896</v>
      </c>
      <c r="C1707" s="28" t="e">
        <f t="shared" si="26"/>
        <v>#N/A</v>
      </c>
    </row>
    <row r="1708" spans="1:3">
      <c r="A1708" s="11" t="s">
        <v>1497</v>
      </c>
      <c r="B1708" s="20" t="s">
        <v>2897</v>
      </c>
      <c r="C1708" s="28" t="e">
        <f t="shared" si="26"/>
        <v>#N/A</v>
      </c>
    </row>
    <row r="1709" spans="1:3">
      <c r="A1709" s="11" t="s">
        <v>1497</v>
      </c>
      <c r="B1709" s="20" t="s">
        <v>2898</v>
      </c>
      <c r="C1709" s="28" t="e">
        <f t="shared" si="26"/>
        <v>#N/A</v>
      </c>
    </row>
    <row r="1710" spans="1:3">
      <c r="A1710" s="11">
        <v>6970000209</v>
      </c>
      <c r="B1710" s="20" t="s">
        <v>2899</v>
      </c>
      <c r="C1710" s="28" t="e">
        <f t="shared" si="26"/>
        <v>#N/A</v>
      </c>
    </row>
    <row r="1711" spans="1:3">
      <c r="A1711" s="11">
        <v>7490000021</v>
      </c>
      <c r="B1711" s="20" t="s">
        <v>2900</v>
      </c>
      <c r="C1711" s="28" t="e">
        <f t="shared" si="26"/>
        <v>#N/A</v>
      </c>
    </row>
    <row r="1712" spans="1:3">
      <c r="A1712" s="11">
        <v>7010010020</v>
      </c>
      <c r="B1712" s="20" t="s">
        <v>1484</v>
      </c>
      <c r="C1712" s="28">
        <f t="shared" si="26"/>
        <v>4202001505</v>
      </c>
    </row>
    <row r="1713" spans="1:3">
      <c r="A1713" s="11">
        <v>7000011021</v>
      </c>
      <c r="B1713" s="20" t="s">
        <v>1484</v>
      </c>
      <c r="C1713" s="28">
        <f t="shared" si="26"/>
        <v>4202001505</v>
      </c>
    </row>
    <row r="1714" spans="1:3">
      <c r="A1714" s="11">
        <v>7030001501</v>
      </c>
      <c r="B1714" s="20" t="s">
        <v>1484</v>
      </c>
      <c r="C1714" s="28">
        <f t="shared" si="26"/>
        <v>4202001505</v>
      </c>
    </row>
    <row r="1715" spans="1:3">
      <c r="A1715" s="11" t="s">
        <v>1497</v>
      </c>
      <c r="B1715" s="20" t="s">
        <v>2901</v>
      </c>
      <c r="C1715" s="28" t="e">
        <f t="shared" si="26"/>
        <v>#N/A</v>
      </c>
    </row>
    <row r="1716" spans="1:3">
      <c r="A1716" s="11" t="s">
        <v>1497</v>
      </c>
      <c r="B1716" s="20" t="s">
        <v>2902</v>
      </c>
      <c r="C1716" s="28" t="e">
        <f t="shared" si="26"/>
        <v>#N/A</v>
      </c>
    </row>
    <row r="1717" spans="1:3">
      <c r="A1717" s="11">
        <v>6970000210</v>
      </c>
      <c r="B1717" s="20" t="s">
        <v>2903</v>
      </c>
      <c r="C1717" s="28" t="e">
        <f t="shared" si="26"/>
        <v>#N/A</v>
      </c>
    </row>
    <row r="1718" spans="1:3">
      <c r="A1718" s="11" t="s">
        <v>1497</v>
      </c>
      <c r="B1718" s="20" t="s">
        <v>2904</v>
      </c>
      <c r="C1718" s="28" t="e">
        <f t="shared" si="26"/>
        <v>#N/A</v>
      </c>
    </row>
    <row r="1719" spans="1:3">
      <c r="A1719" s="11" t="s">
        <v>1497</v>
      </c>
      <c r="B1719" s="20" t="s">
        <v>2905</v>
      </c>
      <c r="C1719" s="28" t="e">
        <f t="shared" si="26"/>
        <v>#N/A</v>
      </c>
    </row>
    <row r="1720" spans="1:3">
      <c r="A1720" s="11">
        <v>6970000211</v>
      </c>
      <c r="B1720" s="20" t="s">
        <v>2906</v>
      </c>
      <c r="C1720" s="28" t="e">
        <f t="shared" si="26"/>
        <v>#N/A</v>
      </c>
    </row>
    <row r="1721" spans="1:3">
      <c r="A1721" s="11">
        <v>7490000022</v>
      </c>
      <c r="B1721" s="20" t="s">
        <v>2907</v>
      </c>
      <c r="C1721" s="28" t="e">
        <f t="shared" si="26"/>
        <v>#N/A</v>
      </c>
    </row>
    <row r="1722" spans="1:3">
      <c r="A1722" s="11">
        <v>7010010021</v>
      </c>
      <c r="B1722" s="20" t="s">
        <v>1484</v>
      </c>
      <c r="C1722" s="28">
        <f t="shared" si="26"/>
        <v>4202001505</v>
      </c>
    </row>
    <row r="1723" spans="1:3">
      <c r="A1723" s="11">
        <v>7000011022</v>
      </c>
      <c r="B1723" s="20" t="s">
        <v>1484</v>
      </c>
      <c r="C1723" s="28">
        <f t="shared" si="26"/>
        <v>4202001505</v>
      </c>
    </row>
    <row r="1724" spans="1:3">
      <c r="A1724" s="11">
        <v>7030001502</v>
      </c>
      <c r="B1724" s="20" t="s">
        <v>1484</v>
      </c>
      <c r="C1724" s="28">
        <f t="shared" si="26"/>
        <v>4202001505</v>
      </c>
    </row>
    <row r="1725" spans="1:3">
      <c r="A1725" s="11" t="s">
        <v>1497</v>
      </c>
      <c r="B1725" s="20" t="s">
        <v>2908</v>
      </c>
      <c r="C1725" s="28" t="e">
        <f t="shared" si="26"/>
        <v>#N/A</v>
      </c>
    </row>
    <row r="1726" spans="1:3">
      <c r="A1726" s="11" t="s">
        <v>1497</v>
      </c>
      <c r="B1726" s="20" t="s">
        <v>2909</v>
      </c>
      <c r="C1726" s="28" t="e">
        <f t="shared" si="26"/>
        <v>#N/A</v>
      </c>
    </row>
    <row r="1727" spans="1:3">
      <c r="A1727" s="11" t="s">
        <v>1497</v>
      </c>
      <c r="B1727" s="20" t="s">
        <v>2910</v>
      </c>
      <c r="C1727" s="28" t="e">
        <f t="shared" si="26"/>
        <v>#N/A</v>
      </c>
    </row>
    <row r="1728" spans="1:3">
      <c r="A1728" s="11" t="s">
        <v>1497</v>
      </c>
      <c r="B1728" s="20" t="s">
        <v>2911</v>
      </c>
      <c r="C1728" s="28" t="e">
        <f t="shared" si="26"/>
        <v>#N/A</v>
      </c>
    </row>
    <row r="1729" spans="1:3">
      <c r="A1729" s="11" t="s">
        <v>1497</v>
      </c>
      <c r="B1729" s="20" t="s">
        <v>2912</v>
      </c>
      <c r="C1729" s="28" t="e">
        <f t="shared" si="26"/>
        <v>#N/A</v>
      </c>
    </row>
    <row r="1730" spans="1:3">
      <c r="A1730" s="11" t="s">
        <v>1497</v>
      </c>
      <c r="B1730" s="20" t="s">
        <v>2913</v>
      </c>
      <c r="C1730" s="28" t="e">
        <f t="shared" si="26"/>
        <v>#N/A</v>
      </c>
    </row>
    <row r="1731" spans="1:3">
      <c r="A1731" s="11" t="s">
        <v>1497</v>
      </c>
      <c r="B1731" s="20" t="s">
        <v>2914</v>
      </c>
      <c r="C1731" s="28" t="e">
        <f t="shared" si="26"/>
        <v>#N/A</v>
      </c>
    </row>
    <row r="1732" spans="1:3">
      <c r="A1732" s="11" t="s">
        <v>1497</v>
      </c>
      <c r="B1732" s="20" t="s">
        <v>2915</v>
      </c>
      <c r="C1732" s="28" t="e">
        <f t="shared" si="26"/>
        <v>#N/A</v>
      </c>
    </row>
    <row r="1733" spans="1:3">
      <c r="A1733" s="11" t="s">
        <v>1497</v>
      </c>
      <c r="B1733" s="20" t="s">
        <v>2916</v>
      </c>
      <c r="C1733" s="28" t="e">
        <f t="shared" si="26"/>
        <v>#N/A</v>
      </c>
    </row>
    <row r="1734" spans="1:3">
      <c r="A1734" s="11">
        <v>6970000212</v>
      </c>
      <c r="B1734" s="20" t="s">
        <v>2917</v>
      </c>
      <c r="C1734" s="28" t="e">
        <f t="shared" si="26"/>
        <v>#N/A</v>
      </c>
    </row>
    <row r="1735" spans="1:3">
      <c r="A1735" s="11" t="s">
        <v>1497</v>
      </c>
      <c r="B1735" s="20" t="s">
        <v>2918</v>
      </c>
      <c r="C1735" s="28" t="e">
        <f t="shared" si="26"/>
        <v>#N/A</v>
      </c>
    </row>
    <row r="1736" spans="1:3">
      <c r="A1736" s="11" t="s">
        <v>1497</v>
      </c>
      <c r="B1736" s="20" t="s">
        <v>2919</v>
      </c>
      <c r="C1736" s="28" t="e">
        <f t="shared" si="26"/>
        <v>#N/A</v>
      </c>
    </row>
    <row r="1737" spans="1:3">
      <c r="A1737" s="11" t="s">
        <v>1497</v>
      </c>
      <c r="B1737" s="20" t="s">
        <v>2920</v>
      </c>
      <c r="C1737" s="28" t="e">
        <f t="shared" si="26"/>
        <v>#N/A</v>
      </c>
    </row>
    <row r="1738" spans="1:3">
      <c r="A1738" s="11">
        <v>7490000023</v>
      </c>
      <c r="B1738" s="20" t="s">
        <v>2921</v>
      </c>
      <c r="C1738" s="28" t="e">
        <f t="shared" si="26"/>
        <v>#N/A</v>
      </c>
    </row>
    <row r="1739" spans="1:3">
      <c r="A1739" s="11" t="s">
        <v>1497</v>
      </c>
      <c r="B1739" s="20" t="s">
        <v>2922</v>
      </c>
      <c r="C1739" s="28" t="e">
        <f t="shared" si="26"/>
        <v>#N/A</v>
      </c>
    </row>
    <row r="1740" spans="1:3">
      <c r="A1740" s="11" t="s">
        <v>1497</v>
      </c>
      <c r="B1740" s="20" t="s">
        <v>2923</v>
      </c>
      <c r="C1740" s="28" t="e">
        <f t="shared" si="26"/>
        <v>#N/A</v>
      </c>
    </row>
    <row r="1741" spans="1:3">
      <c r="A1741" s="11">
        <v>6970000040</v>
      </c>
      <c r="B1741" s="20" t="s">
        <v>2924</v>
      </c>
      <c r="C1741" s="28" t="e">
        <f t="shared" si="26"/>
        <v>#N/A</v>
      </c>
    </row>
    <row r="1742" spans="1:3">
      <c r="A1742" s="11">
        <v>6970100040</v>
      </c>
      <c r="B1742" s="20" t="s">
        <v>2925</v>
      </c>
      <c r="C1742" s="28" t="e">
        <f t="shared" si="26"/>
        <v>#N/A</v>
      </c>
    </row>
    <row r="1743" spans="1:3">
      <c r="A1743" s="11">
        <v>6970200040</v>
      </c>
      <c r="B1743" s="20" t="s">
        <v>2926</v>
      </c>
      <c r="C1743" s="28" t="e">
        <f t="shared" si="26"/>
        <v>#N/A</v>
      </c>
    </row>
    <row r="1744" spans="1:3">
      <c r="A1744" s="11" t="s">
        <v>1497</v>
      </c>
      <c r="B1744" s="20" t="s">
        <v>2927</v>
      </c>
      <c r="C1744" s="28" t="e">
        <f t="shared" si="26"/>
        <v>#N/A</v>
      </c>
    </row>
    <row r="1745" spans="1:3">
      <c r="A1745" s="11">
        <v>8460101050</v>
      </c>
      <c r="B1745" s="20" t="s">
        <v>2928</v>
      </c>
      <c r="C1745" s="28" t="e">
        <f t="shared" si="26"/>
        <v>#N/A</v>
      </c>
    </row>
    <row r="1746" spans="1:3">
      <c r="A1746" s="11">
        <v>6955020010</v>
      </c>
      <c r="B1746" s="20" t="s">
        <v>2929</v>
      </c>
      <c r="C1746" s="28" t="e">
        <f t="shared" si="26"/>
        <v>#N/A</v>
      </c>
    </row>
    <row r="1747" spans="1:3">
      <c r="A1747" s="11">
        <v>6955030010</v>
      </c>
      <c r="B1747" s="20" t="s">
        <v>2930</v>
      </c>
      <c r="C1747" s="28" t="e">
        <f t="shared" si="26"/>
        <v>#N/A</v>
      </c>
    </row>
    <row r="1748" spans="1:3">
      <c r="A1748" s="11">
        <v>6600000070</v>
      </c>
      <c r="B1748" s="20" t="s">
        <v>2931</v>
      </c>
      <c r="C1748" s="28" t="e">
        <f t="shared" si="26"/>
        <v>#N/A</v>
      </c>
    </row>
    <row r="1749" spans="1:3">
      <c r="A1749" s="11">
        <v>6600100070</v>
      </c>
      <c r="B1749" s="20" t="s">
        <v>2932</v>
      </c>
      <c r="C1749" s="28" t="e">
        <f t="shared" si="26"/>
        <v>#N/A</v>
      </c>
    </row>
    <row r="1750" spans="1:3">
      <c r="A1750" s="11">
        <v>6600200070</v>
      </c>
      <c r="B1750" s="20" t="s">
        <v>2933</v>
      </c>
      <c r="C1750" s="28" t="e">
        <f t="shared" si="26"/>
        <v>#N/A</v>
      </c>
    </row>
    <row r="1751" spans="1:3">
      <c r="A1751" s="11">
        <v>6600000000</v>
      </c>
      <c r="B1751" s="20" t="s">
        <v>2934</v>
      </c>
      <c r="C1751" s="28" t="e">
        <f t="shared" si="26"/>
        <v>#N/A</v>
      </c>
    </row>
    <row r="1752" spans="1:3">
      <c r="A1752" s="11">
        <v>6610000000</v>
      </c>
      <c r="B1752" s="20" t="s">
        <v>2935</v>
      </c>
      <c r="C1752" s="28" t="e">
        <f t="shared" si="26"/>
        <v>#N/A</v>
      </c>
    </row>
    <row r="1753" spans="1:3">
      <c r="A1753" s="11">
        <v>6610000100</v>
      </c>
      <c r="B1753" s="20" t="s">
        <v>2936</v>
      </c>
      <c r="C1753" s="28" t="e">
        <f t="shared" si="26"/>
        <v>#N/A</v>
      </c>
    </row>
    <row r="1754" spans="1:3">
      <c r="A1754" s="11">
        <v>6600100000</v>
      </c>
      <c r="B1754" s="20" t="s">
        <v>2937</v>
      </c>
      <c r="C1754" s="28" t="e">
        <f t="shared" si="26"/>
        <v>#N/A</v>
      </c>
    </row>
    <row r="1755" spans="1:3">
      <c r="A1755" s="11">
        <v>6610100000</v>
      </c>
      <c r="B1755" s="20" t="s">
        <v>2938</v>
      </c>
      <c r="C1755" s="28" t="e">
        <f t="shared" si="26"/>
        <v>#N/A</v>
      </c>
    </row>
    <row r="1756" spans="1:3">
      <c r="A1756" s="11">
        <v>6610100100</v>
      </c>
      <c r="B1756" s="20" t="s">
        <v>2939</v>
      </c>
      <c r="C1756" s="28" t="e">
        <f t="shared" si="26"/>
        <v>#N/A</v>
      </c>
    </row>
    <row r="1757" spans="1:3">
      <c r="A1757" s="11">
        <v>6600200000</v>
      </c>
      <c r="B1757" s="20" t="s">
        <v>2940</v>
      </c>
      <c r="C1757" s="28" t="e">
        <f t="shared" si="26"/>
        <v>#N/A</v>
      </c>
    </row>
    <row r="1758" spans="1:3">
      <c r="A1758" s="11">
        <v>6901030160</v>
      </c>
      <c r="B1758" s="20" t="s">
        <v>2941</v>
      </c>
      <c r="C1758" s="28" t="e">
        <f t="shared" si="26"/>
        <v>#N/A</v>
      </c>
    </row>
    <row r="1759" spans="1:3">
      <c r="A1759" s="11">
        <v>6900000730</v>
      </c>
      <c r="B1759" s="20" t="s">
        <v>2942</v>
      </c>
      <c r="C1759" s="28" t="e">
        <f t="shared" si="26"/>
        <v>#N/A</v>
      </c>
    </row>
    <row r="1760" spans="1:3">
      <c r="A1760" s="11">
        <v>6900100360</v>
      </c>
      <c r="B1760" s="20" t="s">
        <v>2943</v>
      </c>
      <c r="C1760" s="28" t="e">
        <f t="shared" si="26"/>
        <v>#N/A</v>
      </c>
    </row>
    <row r="1761" spans="1:3">
      <c r="A1761" s="11">
        <v>6900000731</v>
      </c>
      <c r="B1761" s="20" t="s">
        <v>2944</v>
      </c>
      <c r="C1761" s="28" t="e">
        <f t="shared" si="26"/>
        <v>#N/A</v>
      </c>
    </row>
    <row r="1762" spans="1:3">
      <c r="A1762" s="11">
        <v>6900000732</v>
      </c>
      <c r="B1762" s="20" t="s">
        <v>2945</v>
      </c>
      <c r="C1762" s="28" t="e">
        <f t="shared" si="26"/>
        <v>#N/A</v>
      </c>
    </row>
    <row r="1763" spans="1:3">
      <c r="A1763" s="11">
        <v>6900100361</v>
      </c>
      <c r="B1763" s="20" t="s">
        <v>2946</v>
      </c>
      <c r="C1763" s="28" t="e">
        <f t="shared" si="26"/>
        <v>#N/A</v>
      </c>
    </row>
    <row r="1764" spans="1:3">
      <c r="A1764" s="11">
        <v>6901030161</v>
      </c>
      <c r="B1764" s="20" t="s">
        <v>2947</v>
      </c>
      <c r="C1764" s="28" t="e">
        <f t="shared" si="26"/>
        <v>#N/A</v>
      </c>
    </row>
    <row r="1765" spans="1:3">
      <c r="A1765" s="11">
        <v>6900000400</v>
      </c>
      <c r="B1765" s="20" t="s">
        <v>2948</v>
      </c>
      <c r="C1765" s="28" t="e">
        <f t="shared" si="26"/>
        <v>#N/A</v>
      </c>
    </row>
    <row r="1766" spans="1:3">
      <c r="A1766" s="11">
        <v>6900100120</v>
      </c>
      <c r="B1766" s="20" t="s">
        <v>2949</v>
      </c>
      <c r="C1766" s="28" t="e">
        <f t="shared" si="26"/>
        <v>#N/A</v>
      </c>
    </row>
    <row r="1767" spans="1:3">
      <c r="A1767" s="11">
        <v>6900000030</v>
      </c>
      <c r="B1767" s="20" t="s">
        <v>2950</v>
      </c>
      <c r="C1767" s="28" t="e">
        <f t="shared" si="26"/>
        <v>#N/A</v>
      </c>
    </row>
    <row r="1768" spans="1:3">
      <c r="A1768" s="11" t="s">
        <v>1497</v>
      </c>
      <c r="B1768" s="20" t="s">
        <v>2951</v>
      </c>
      <c r="C1768" s="28" t="e">
        <f t="shared" si="26"/>
        <v>#N/A</v>
      </c>
    </row>
    <row r="1769" spans="1:3">
      <c r="A1769" s="11">
        <v>6900000733</v>
      </c>
      <c r="B1769" s="20" t="s">
        <v>2952</v>
      </c>
      <c r="C1769" s="28" t="e">
        <f t="shared" si="26"/>
        <v>#N/A</v>
      </c>
    </row>
    <row r="1770" spans="1:3">
      <c r="A1770" s="11">
        <v>6900000734</v>
      </c>
      <c r="B1770" s="20" t="s">
        <v>2953</v>
      </c>
      <c r="C1770" s="28" t="e">
        <f t="shared" ref="C1770:C1833" si="27">VLOOKUP(B1770,F:G,2,0)</f>
        <v>#N/A</v>
      </c>
    </row>
    <row r="1771" spans="1:3">
      <c r="A1771" s="11">
        <v>6900000735</v>
      </c>
      <c r="B1771" s="20" t="s">
        <v>2954</v>
      </c>
      <c r="C1771" s="28" t="e">
        <f t="shared" si="27"/>
        <v>#N/A</v>
      </c>
    </row>
    <row r="1772" spans="1:3">
      <c r="A1772" s="11">
        <v>6901020010</v>
      </c>
      <c r="B1772" s="20" t="s">
        <v>2955</v>
      </c>
      <c r="C1772" s="28" t="e">
        <f t="shared" si="27"/>
        <v>#N/A</v>
      </c>
    </row>
    <row r="1773" spans="1:3">
      <c r="A1773" s="11">
        <v>6901230001</v>
      </c>
      <c r="B1773" s="20" t="s">
        <v>2956</v>
      </c>
      <c r="C1773" s="28" t="e">
        <f t="shared" si="27"/>
        <v>#N/A</v>
      </c>
    </row>
    <row r="1774" spans="1:3">
      <c r="A1774" s="11">
        <v>6900200000</v>
      </c>
      <c r="B1774" s="20" t="s">
        <v>2957</v>
      </c>
      <c r="C1774" s="28" t="e">
        <f t="shared" si="27"/>
        <v>#N/A</v>
      </c>
    </row>
    <row r="1775" spans="1:3">
      <c r="A1775" s="11">
        <v>6900200001</v>
      </c>
      <c r="B1775" s="20" t="s">
        <v>2958</v>
      </c>
      <c r="C1775" s="28" t="e">
        <f t="shared" si="27"/>
        <v>#N/A</v>
      </c>
    </row>
    <row r="1776" spans="1:3">
      <c r="A1776" s="11">
        <v>6900200002</v>
      </c>
      <c r="B1776" s="20" t="s">
        <v>2959</v>
      </c>
      <c r="C1776" s="28" t="e">
        <f t="shared" si="27"/>
        <v>#N/A</v>
      </c>
    </row>
    <row r="1777" spans="1:3">
      <c r="A1777" s="11">
        <v>6901230002</v>
      </c>
      <c r="B1777" s="20" t="s">
        <v>2960</v>
      </c>
      <c r="C1777" s="28" t="e">
        <f t="shared" si="27"/>
        <v>#N/A</v>
      </c>
    </row>
    <row r="1778" spans="1:3">
      <c r="A1778" s="11" t="s">
        <v>1497</v>
      </c>
      <c r="B1778" s="20" t="s">
        <v>2961</v>
      </c>
      <c r="C1778" s="28" t="e">
        <f t="shared" si="27"/>
        <v>#N/A</v>
      </c>
    </row>
    <row r="1779" spans="1:3">
      <c r="A1779" s="11" t="s">
        <v>1497</v>
      </c>
      <c r="B1779" s="20" t="s">
        <v>2962</v>
      </c>
      <c r="C1779" s="28" t="e">
        <f t="shared" si="27"/>
        <v>#N/A</v>
      </c>
    </row>
    <row r="1780" spans="1:3">
      <c r="A1780" s="11" t="s">
        <v>1497</v>
      </c>
      <c r="B1780" s="20" t="s">
        <v>2963</v>
      </c>
      <c r="C1780" s="28" t="e">
        <f t="shared" si="27"/>
        <v>#N/A</v>
      </c>
    </row>
    <row r="1781" spans="1:3">
      <c r="A1781" s="11" t="s">
        <v>1497</v>
      </c>
      <c r="B1781" s="20" t="s">
        <v>2964</v>
      </c>
      <c r="C1781" s="28" t="e">
        <f t="shared" si="27"/>
        <v>#N/A</v>
      </c>
    </row>
    <row r="1782" spans="1:3">
      <c r="A1782" s="11" t="s">
        <v>1497</v>
      </c>
      <c r="B1782" s="20" t="s">
        <v>2965</v>
      </c>
      <c r="C1782" s="28" t="e">
        <f t="shared" si="27"/>
        <v>#N/A</v>
      </c>
    </row>
    <row r="1783" spans="1:3">
      <c r="A1783" s="11">
        <v>6900200003</v>
      </c>
      <c r="B1783" s="20" t="s">
        <v>2966</v>
      </c>
      <c r="C1783" s="28" t="e">
        <f t="shared" si="27"/>
        <v>#N/A</v>
      </c>
    </row>
    <row r="1784" spans="1:3">
      <c r="A1784" s="11">
        <v>6900200004</v>
      </c>
      <c r="B1784" s="20" t="s">
        <v>2967</v>
      </c>
      <c r="C1784" s="28" t="e">
        <f t="shared" si="27"/>
        <v>#N/A</v>
      </c>
    </row>
    <row r="1785" spans="1:3">
      <c r="A1785" s="11">
        <v>6901020011</v>
      </c>
      <c r="B1785" s="20" t="s">
        <v>2968</v>
      </c>
      <c r="C1785" s="28" t="e">
        <f t="shared" si="27"/>
        <v>#N/A</v>
      </c>
    </row>
    <row r="1786" spans="1:3">
      <c r="A1786" s="11">
        <v>6901030162</v>
      </c>
      <c r="B1786" s="20" t="s">
        <v>2969</v>
      </c>
      <c r="C1786" s="28" t="e">
        <f t="shared" si="27"/>
        <v>#N/A</v>
      </c>
    </row>
    <row r="1787" spans="1:3">
      <c r="A1787" s="11">
        <v>6901230005</v>
      </c>
      <c r="B1787" s="20" t="s">
        <v>2970</v>
      </c>
      <c r="C1787" s="28" t="e">
        <f t="shared" si="27"/>
        <v>#N/A</v>
      </c>
    </row>
    <row r="1788" spans="1:3">
      <c r="A1788" s="11" t="s">
        <v>1497</v>
      </c>
      <c r="B1788" s="20" t="s">
        <v>2971</v>
      </c>
      <c r="C1788" s="28" t="e">
        <f t="shared" si="27"/>
        <v>#N/A</v>
      </c>
    </row>
    <row r="1789" spans="1:3">
      <c r="A1789" s="11" t="s">
        <v>1497</v>
      </c>
      <c r="B1789" s="20" t="s">
        <v>2972</v>
      </c>
      <c r="C1789" s="28" t="e">
        <f t="shared" si="27"/>
        <v>#N/A</v>
      </c>
    </row>
    <row r="1790" spans="1:3">
      <c r="A1790" s="11" t="s">
        <v>1497</v>
      </c>
      <c r="B1790" s="20" t="s">
        <v>2973</v>
      </c>
      <c r="C1790" s="28" t="e">
        <f t="shared" si="27"/>
        <v>#N/A</v>
      </c>
    </row>
    <row r="1791" spans="1:3">
      <c r="A1791" s="11" t="s">
        <v>1497</v>
      </c>
      <c r="B1791" s="20" t="s">
        <v>2974</v>
      </c>
      <c r="C1791" s="28" t="e">
        <f t="shared" si="27"/>
        <v>#N/A</v>
      </c>
    </row>
    <row r="1792" spans="1:3">
      <c r="A1792" s="11">
        <v>6901020012</v>
      </c>
      <c r="B1792" s="20" t="s">
        <v>2975</v>
      </c>
      <c r="C1792" s="28" t="e">
        <f t="shared" si="27"/>
        <v>#N/A</v>
      </c>
    </row>
    <row r="1793" spans="1:3">
      <c r="A1793" s="11">
        <v>6901020013</v>
      </c>
      <c r="B1793" s="20" t="s">
        <v>2976</v>
      </c>
      <c r="C1793" s="28" t="e">
        <f t="shared" si="27"/>
        <v>#N/A</v>
      </c>
    </row>
    <row r="1794" spans="1:3">
      <c r="A1794" s="11">
        <v>6901020018</v>
      </c>
      <c r="B1794" s="20" t="s">
        <v>2977</v>
      </c>
      <c r="C1794" s="28" t="e">
        <f t="shared" si="27"/>
        <v>#N/A</v>
      </c>
    </row>
    <row r="1795" spans="1:3">
      <c r="A1795" s="11">
        <v>6901020019</v>
      </c>
      <c r="B1795" s="20" t="s">
        <v>2978</v>
      </c>
      <c r="C1795" s="28" t="e">
        <f t="shared" si="27"/>
        <v>#N/A</v>
      </c>
    </row>
    <row r="1796" spans="1:3">
      <c r="A1796" s="11" t="s">
        <v>1497</v>
      </c>
      <c r="B1796" s="20" t="s">
        <v>2979</v>
      </c>
      <c r="C1796" s="28" t="e">
        <f t="shared" si="27"/>
        <v>#N/A</v>
      </c>
    </row>
    <row r="1797" spans="1:3">
      <c r="A1797" s="11">
        <v>6910000000</v>
      </c>
      <c r="B1797" s="20" t="s">
        <v>2980</v>
      </c>
      <c r="C1797" s="28" t="e">
        <f t="shared" si="27"/>
        <v>#N/A</v>
      </c>
    </row>
    <row r="1798" spans="1:3">
      <c r="A1798" s="11">
        <v>6910000001</v>
      </c>
      <c r="B1798" s="20" t="s">
        <v>2981</v>
      </c>
      <c r="C1798" s="28" t="e">
        <f t="shared" si="27"/>
        <v>#N/A</v>
      </c>
    </row>
    <row r="1799" spans="1:3">
      <c r="A1799" s="11" t="s">
        <v>1497</v>
      </c>
      <c r="B1799" s="20" t="s">
        <v>2982</v>
      </c>
      <c r="C1799" s="28" t="e">
        <f t="shared" si="27"/>
        <v>#N/A</v>
      </c>
    </row>
    <row r="1800" spans="1:3">
      <c r="A1800" s="11" t="s">
        <v>1497</v>
      </c>
      <c r="B1800" s="20" t="s">
        <v>2983</v>
      </c>
      <c r="C1800" s="28" t="e">
        <f t="shared" si="27"/>
        <v>#N/A</v>
      </c>
    </row>
    <row r="1801" spans="1:3">
      <c r="A1801" s="11">
        <v>6910000002</v>
      </c>
      <c r="B1801" s="20" t="s">
        <v>2984</v>
      </c>
      <c r="C1801" s="28" t="e">
        <f t="shared" si="27"/>
        <v>#N/A</v>
      </c>
    </row>
    <row r="1802" spans="1:3">
      <c r="A1802" s="11">
        <v>6901030163</v>
      </c>
      <c r="B1802" s="20" t="s">
        <v>2985</v>
      </c>
      <c r="C1802" s="28" t="e">
        <f t="shared" si="27"/>
        <v>#N/A</v>
      </c>
    </row>
    <row r="1803" spans="1:3">
      <c r="A1803" s="11">
        <v>6910000003</v>
      </c>
      <c r="B1803" s="20" t="s">
        <v>2986</v>
      </c>
      <c r="C1803" s="28" t="e">
        <f t="shared" si="27"/>
        <v>#N/A</v>
      </c>
    </row>
    <row r="1804" spans="1:3">
      <c r="A1804" s="11">
        <v>6910000004</v>
      </c>
      <c r="B1804" s="20" t="s">
        <v>2987</v>
      </c>
      <c r="C1804" s="28" t="e">
        <f t="shared" si="27"/>
        <v>#N/A</v>
      </c>
    </row>
    <row r="1805" spans="1:3">
      <c r="A1805" s="11">
        <v>6910000005</v>
      </c>
      <c r="B1805" s="20" t="s">
        <v>2988</v>
      </c>
      <c r="C1805" s="28" t="e">
        <f t="shared" si="27"/>
        <v>#N/A</v>
      </c>
    </row>
    <row r="1806" spans="1:3">
      <c r="A1806" s="11">
        <v>6910000006</v>
      </c>
      <c r="B1806" s="20" t="s">
        <v>2989</v>
      </c>
      <c r="C1806" s="28" t="e">
        <f t="shared" si="27"/>
        <v>#N/A</v>
      </c>
    </row>
    <row r="1807" spans="1:3">
      <c r="A1807" s="11">
        <v>6910000007</v>
      </c>
      <c r="B1807" s="20" t="s">
        <v>2990</v>
      </c>
      <c r="C1807" s="28" t="e">
        <f t="shared" si="27"/>
        <v>#N/A</v>
      </c>
    </row>
    <row r="1808" spans="1:3">
      <c r="A1808" s="11">
        <v>6910000008</v>
      </c>
      <c r="B1808" s="20" t="s">
        <v>2991</v>
      </c>
      <c r="C1808" s="28" t="e">
        <f t="shared" si="27"/>
        <v>#N/A</v>
      </c>
    </row>
    <row r="1809" spans="1:3">
      <c r="A1809" s="11">
        <v>6910000009</v>
      </c>
      <c r="B1809" s="20" t="s">
        <v>2992</v>
      </c>
      <c r="C1809" s="28" t="e">
        <f t="shared" si="27"/>
        <v>#N/A</v>
      </c>
    </row>
    <row r="1810" spans="1:3">
      <c r="A1810" s="11">
        <v>6910000010</v>
      </c>
      <c r="B1810" s="20" t="s">
        <v>2993</v>
      </c>
      <c r="C1810" s="28" t="e">
        <f t="shared" si="27"/>
        <v>#N/A</v>
      </c>
    </row>
    <row r="1811" spans="1:3">
      <c r="A1811" s="11">
        <v>6910000011</v>
      </c>
      <c r="B1811" s="20" t="s">
        <v>2994</v>
      </c>
      <c r="C1811" s="28" t="e">
        <f t="shared" si="27"/>
        <v>#N/A</v>
      </c>
    </row>
    <row r="1812" spans="1:3">
      <c r="A1812" s="11">
        <v>6910000012</v>
      </c>
      <c r="B1812" s="20" t="s">
        <v>2995</v>
      </c>
      <c r="C1812" s="28" t="e">
        <f t="shared" si="27"/>
        <v>#N/A</v>
      </c>
    </row>
    <row r="1813" spans="1:3">
      <c r="A1813" s="11">
        <v>6910000013</v>
      </c>
      <c r="B1813" s="20" t="s">
        <v>2996</v>
      </c>
      <c r="C1813" s="28" t="e">
        <f t="shared" si="27"/>
        <v>#N/A</v>
      </c>
    </row>
    <row r="1814" spans="1:3">
      <c r="A1814" s="11">
        <v>6910000014</v>
      </c>
      <c r="B1814" s="20" t="s">
        <v>2997</v>
      </c>
      <c r="C1814" s="28" t="e">
        <f t="shared" si="27"/>
        <v>#N/A</v>
      </c>
    </row>
    <row r="1815" spans="1:3">
      <c r="A1815" s="11">
        <v>6910000015</v>
      </c>
      <c r="B1815" s="20" t="s">
        <v>2998</v>
      </c>
      <c r="C1815" s="28" t="e">
        <f t="shared" si="27"/>
        <v>#N/A</v>
      </c>
    </row>
    <row r="1816" spans="1:3">
      <c r="A1816" s="11">
        <v>6910000016</v>
      </c>
      <c r="B1816" s="20" t="s">
        <v>2999</v>
      </c>
      <c r="C1816" s="28" t="e">
        <f t="shared" si="27"/>
        <v>#N/A</v>
      </c>
    </row>
    <row r="1817" spans="1:3">
      <c r="A1817" s="11" t="s">
        <v>1497</v>
      </c>
      <c r="B1817" s="20" t="s">
        <v>3000</v>
      </c>
      <c r="C1817" s="28" t="e">
        <f t="shared" si="27"/>
        <v>#N/A</v>
      </c>
    </row>
    <row r="1818" spans="1:3">
      <c r="A1818" s="11">
        <v>6901020014</v>
      </c>
      <c r="B1818" s="20" t="s">
        <v>3001</v>
      </c>
      <c r="C1818" s="28" t="e">
        <f t="shared" si="27"/>
        <v>#N/A</v>
      </c>
    </row>
    <row r="1819" spans="1:3">
      <c r="A1819" s="11">
        <v>6901020015</v>
      </c>
      <c r="B1819" s="20" t="s">
        <v>3002</v>
      </c>
      <c r="C1819" s="28" t="e">
        <f t="shared" si="27"/>
        <v>#N/A</v>
      </c>
    </row>
    <row r="1820" spans="1:3">
      <c r="A1820" s="11" t="s">
        <v>1497</v>
      </c>
      <c r="B1820" s="20" t="s">
        <v>3003</v>
      </c>
      <c r="C1820" s="28" t="e">
        <f t="shared" si="27"/>
        <v>#N/A</v>
      </c>
    </row>
    <row r="1821" spans="1:3">
      <c r="A1821" s="11">
        <v>6910200000</v>
      </c>
      <c r="B1821" s="20" t="s">
        <v>3004</v>
      </c>
      <c r="C1821" s="28" t="e">
        <f t="shared" si="27"/>
        <v>#N/A</v>
      </c>
    </row>
    <row r="1822" spans="1:3">
      <c r="A1822" s="11">
        <v>6910200001</v>
      </c>
      <c r="B1822" s="20" t="s">
        <v>3005</v>
      </c>
      <c r="C1822" s="28" t="e">
        <f t="shared" si="27"/>
        <v>#N/A</v>
      </c>
    </row>
    <row r="1823" spans="1:3">
      <c r="A1823" s="11" t="s">
        <v>1497</v>
      </c>
      <c r="B1823" s="20" t="s">
        <v>3006</v>
      </c>
      <c r="C1823" s="28" t="e">
        <f t="shared" si="27"/>
        <v>#N/A</v>
      </c>
    </row>
    <row r="1824" spans="1:3">
      <c r="A1824" s="11" t="s">
        <v>1497</v>
      </c>
      <c r="B1824" s="20" t="s">
        <v>3007</v>
      </c>
      <c r="C1824" s="28" t="e">
        <f t="shared" si="27"/>
        <v>#N/A</v>
      </c>
    </row>
    <row r="1825" spans="1:3">
      <c r="A1825" s="11">
        <v>6910200002</v>
      </c>
      <c r="B1825" s="20" t="s">
        <v>3008</v>
      </c>
      <c r="C1825" s="28" t="e">
        <f t="shared" si="27"/>
        <v>#N/A</v>
      </c>
    </row>
    <row r="1826" spans="1:3">
      <c r="A1826" s="11">
        <v>6901230003</v>
      </c>
      <c r="B1826" s="20" t="s">
        <v>3009</v>
      </c>
      <c r="C1826" s="28" t="e">
        <f t="shared" si="27"/>
        <v>#N/A</v>
      </c>
    </row>
    <row r="1827" spans="1:3">
      <c r="A1827" s="11">
        <v>6910200003</v>
      </c>
      <c r="B1827" s="20" t="s">
        <v>3010</v>
      </c>
      <c r="C1827" s="28" t="e">
        <f t="shared" si="27"/>
        <v>#N/A</v>
      </c>
    </row>
    <row r="1828" spans="1:3">
      <c r="A1828" s="11">
        <v>6910200004</v>
      </c>
      <c r="B1828" s="20" t="s">
        <v>3011</v>
      </c>
      <c r="C1828" s="28" t="e">
        <f t="shared" si="27"/>
        <v>#N/A</v>
      </c>
    </row>
    <row r="1829" spans="1:3">
      <c r="A1829" s="11">
        <v>6910200005</v>
      </c>
      <c r="B1829" s="20" t="s">
        <v>3012</v>
      </c>
      <c r="C1829" s="28" t="e">
        <f t="shared" si="27"/>
        <v>#N/A</v>
      </c>
    </row>
    <row r="1830" spans="1:3">
      <c r="A1830" s="11">
        <v>6910200006</v>
      </c>
      <c r="B1830" s="20" t="s">
        <v>3013</v>
      </c>
      <c r="C1830" s="28" t="e">
        <f t="shared" si="27"/>
        <v>#N/A</v>
      </c>
    </row>
    <row r="1831" spans="1:3">
      <c r="A1831" s="11">
        <v>6910200007</v>
      </c>
      <c r="B1831" s="20" t="s">
        <v>3014</v>
      </c>
      <c r="C1831" s="28" t="e">
        <f t="shared" si="27"/>
        <v>#N/A</v>
      </c>
    </row>
    <row r="1832" spans="1:3">
      <c r="A1832" s="11">
        <v>6910200008</v>
      </c>
      <c r="B1832" s="20" t="s">
        <v>3015</v>
      </c>
      <c r="C1832" s="28" t="e">
        <f t="shared" si="27"/>
        <v>#N/A</v>
      </c>
    </row>
    <row r="1833" spans="1:3">
      <c r="A1833" s="11">
        <v>6910200009</v>
      </c>
      <c r="B1833" s="20" t="s">
        <v>3016</v>
      </c>
      <c r="C1833" s="28" t="e">
        <f t="shared" si="27"/>
        <v>#N/A</v>
      </c>
    </row>
    <row r="1834" spans="1:3">
      <c r="A1834" s="11">
        <v>6910200010</v>
      </c>
      <c r="B1834" s="20" t="s">
        <v>3017</v>
      </c>
      <c r="C1834" s="28" t="e">
        <f t="shared" ref="C1834:C1897" si="28">VLOOKUP(B1834,F:G,2,0)</f>
        <v>#N/A</v>
      </c>
    </row>
    <row r="1835" spans="1:3">
      <c r="A1835" s="11">
        <v>6910200011</v>
      </c>
      <c r="B1835" s="20" t="s">
        <v>3018</v>
      </c>
      <c r="C1835" s="28" t="e">
        <f t="shared" si="28"/>
        <v>#N/A</v>
      </c>
    </row>
    <row r="1836" spans="1:3">
      <c r="A1836" s="11">
        <v>6910200012</v>
      </c>
      <c r="B1836" s="20" t="s">
        <v>3019</v>
      </c>
      <c r="C1836" s="28" t="e">
        <f t="shared" si="28"/>
        <v>#N/A</v>
      </c>
    </row>
    <row r="1837" spans="1:3">
      <c r="A1837" s="11">
        <v>6910200013</v>
      </c>
      <c r="B1837" s="20" t="s">
        <v>3020</v>
      </c>
      <c r="C1837" s="28" t="e">
        <f t="shared" si="28"/>
        <v>#N/A</v>
      </c>
    </row>
    <row r="1838" spans="1:3">
      <c r="A1838" s="11">
        <v>6910200014</v>
      </c>
      <c r="B1838" s="20" t="s">
        <v>3021</v>
      </c>
      <c r="C1838" s="28" t="e">
        <f t="shared" si="28"/>
        <v>#N/A</v>
      </c>
    </row>
    <row r="1839" spans="1:3">
      <c r="A1839" s="11">
        <v>6910200015</v>
      </c>
      <c r="B1839" s="20" t="s">
        <v>3022</v>
      </c>
      <c r="C1839" s="28" t="e">
        <f t="shared" si="28"/>
        <v>#N/A</v>
      </c>
    </row>
    <row r="1840" spans="1:3">
      <c r="A1840" s="11">
        <v>6910200016</v>
      </c>
      <c r="B1840" s="20" t="s">
        <v>3023</v>
      </c>
      <c r="C1840" s="28" t="e">
        <f t="shared" si="28"/>
        <v>#N/A</v>
      </c>
    </row>
    <row r="1841" spans="1:3">
      <c r="A1841" s="11">
        <v>6901020016</v>
      </c>
      <c r="B1841" s="20" t="s">
        <v>3024</v>
      </c>
      <c r="C1841" s="28" t="e">
        <f t="shared" si="28"/>
        <v>#N/A</v>
      </c>
    </row>
    <row r="1842" spans="1:3">
      <c r="A1842" s="11">
        <v>6901020017</v>
      </c>
      <c r="B1842" s="20" t="s">
        <v>3025</v>
      </c>
      <c r="C1842" s="28" t="e">
        <f t="shared" si="28"/>
        <v>#N/A</v>
      </c>
    </row>
    <row r="1843" spans="1:3">
      <c r="A1843" s="11">
        <v>6910000017</v>
      </c>
      <c r="B1843" s="20" t="s">
        <v>3026</v>
      </c>
      <c r="C1843" s="28" t="e">
        <f t="shared" si="28"/>
        <v>#N/A</v>
      </c>
    </row>
    <row r="1844" spans="1:3">
      <c r="A1844" s="11">
        <v>6910200017</v>
      </c>
      <c r="B1844" s="20" t="s">
        <v>3027</v>
      </c>
      <c r="C1844" s="28" t="e">
        <f t="shared" si="28"/>
        <v>#N/A</v>
      </c>
    </row>
    <row r="1845" spans="1:3">
      <c r="A1845" s="11" t="s">
        <v>1497</v>
      </c>
      <c r="B1845" s="20" t="s">
        <v>3028</v>
      </c>
      <c r="C1845" s="28" t="e">
        <f t="shared" si="28"/>
        <v>#N/A</v>
      </c>
    </row>
    <row r="1846" spans="1:3">
      <c r="A1846" s="11" t="s">
        <v>1497</v>
      </c>
      <c r="B1846" s="20" t="s">
        <v>3029</v>
      </c>
      <c r="C1846" s="28" t="e">
        <f t="shared" si="28"/>
        <v>#N/A</v>
      </c>
    </row>
    <row r="1847" spans="1:3">
      <c r="A1847" s="11" t="s">
        <v>1497</v>
      </c>
      <c r="B1847" s="20" t="s">
        <v>3030</v>
      </c>
      <c r="C1847" s="28" t="e">
        <f t="shared" si="28"/>
        <v>#N/A</v>
      </c>
    </row>
    <row r="1848" spans="1:3">
      <c r="A1848" s="11" t="s">
        <v>1497</v>
      </c>
      <c r="B1848" s="20" t="s">
        <v>3031</v>
      </c>
      <c r="C1848" s="28" t="e">
        <f t="shared" si="28"/>
        <v>#N/A</v>
      </c>
    </row>
    <row r="1849" spans="1:3">
      <c r="A1849" s="11">
        <v>6910000018</v>
      </c>
      <c r="B1849" s="20" t="s">
        <v>3032</v>
      </c>
      <c r="C1849" s="28" t="e">
        <f t="shared" si="28"/>
        <v>#N/A</v>
      </c>
    </row>
    <row r="1850" spans="1:3">
      <c r="A1850" s="11">
        <v>6910200018</v>
      </c>
      <c r="B1850" s="20" t="s">
        <v>3033</v>
      </c>
      <c r="C1850" s="28" t="e">
        <f t="shared" si="28"/>
        <v>#N/A</v>
      </c>
    </row>
    <row r="1851" spans="1:3">
      <c r="A1851" s="11">
        <v>6900000110</v>
      </c>
      <c r="B1851" s="20" t="s">
        <v>3034</v>
      </c>
      <c r="C1851" s="28" t="e">
        <f t="shared" si="28"/>
        <v>#N/A</v>
      </c>
    </row>
    <row r="1852" spans="1:3">
      <c r="A1852" s="11">
        <v>6901030164</v>
      </c>
      <c r="B1852" s="20" t="s">
        <v>3035</v>
      </c>
      <c r="C1852" s="28" t="e">
        <f t="shared" si="28"/>
        <v>#N/A</v>
      </c>
    </row>
    <row r="1853" spans="1:3">
      <c r="A1853" s="11">
        <v>6910000019</v>
      </c>
      <c r="B1853" s="20" t="s">
        <v>3036</v>
      </c>
      <c r="C1853" s="28" t="e">
        <f t="shared" si="28"/>
        <v>#N/A</v>
      </c>
    </row>
    <row r="1854" spans="1:3">
      <c r="A1854" s="11">
        <v>6900000736</v>
      </c>
      <c r="B1854" s="20" t="s">
        <v>3037</v>
      </c>
      <c r="C1854" s="28" t="e">
        <f t="shared" si="28"/>
        <v>#N/A</v>
      </c>
    </row>
    <row r="1855" spans="1:3">
      <c r="A1855" s="11">
        <v>6900000737</v>
      </c>
      <c r="B1855" s="20" t="s">
        <v>3038</v>
      </c>
      <c r="C1855" s="28" t="e">
        <f t="shared" si="28"/>
        <v>#N/A</v>
      </c>
    </row>
    <row r="1856" spans="1:3">
      <c r="A1856" s="11">
        <v>6900000738</v>
      </c>
      <c r="B1856" s="20" t="s">
        <v>3039</v>
      </c>
      <c r="C1856" s="28" t="e">
        <f t="shared" si="28"/>
        <v>#N/A</v>
      </c>
    </row>
    <row r="1857" spans="1:3">
      <c r="A1857" s="11">
        <v>6900000739</v>
      </c>
      <c r="B1857" s="20" t="s">
        <v>3040</v>
      </c>
      <c r="C1857" s="28" t="e">
        <f t="shared" si="28"/>
        <v>#N/A</v>
      </c>
    </row>
    <row r="1858" spans="1:3">
      <c r="A1858" s="11">
        <v>6900000740</v>
      </c>
      <c r="B1858" s="20" t="s">
        <v>3041</v>
      </c>
      <c r="C1858" s="28" t="e">
        <f t="shared" si="28"/>
        <v>#N/A</v>
      </c>
    </row>
    <row r="1859" spans="1:3">
      <c r="A1859" s="11">
        <v>6900200107</v>
      </c>
      <c r="B1859" s="20" t="s">
        <v>3042</v>
      </c>
      <c r="C1859" s="28" t="e">
        <f t="shared" si="28"/>
        <v>#N/A</v>
      </c>
    </row>
    <row r="1860" spans="1:3">
      <c r="A1860" s="11">
        <v>6901230004</v>
      </c>
      <c r="B1860" s="20" t="s">
        <v>3043</v>
      </c>
      <c r="C1860" s="28" t="e">
        <f t="shared" si="28"/>
        <v>#N/A</v>
      </c>
    </row>
    <row r="1861" spans="1:3">
      <c r="A1861" s="11">
        <v>6910200107</v>
      </c>
      <c r="B1861" s="20" t="s">
        <v>3044</v>
      </c>
      <c r="C1861" s="28" t="e">
        <f t="shared" si="28"/>
        <v>#N/A</v>
      </c>
    </row>
    <row r="1862" spans="1:3">
      <c r="A1862" s="11">
        <v>6900200005</v>
      </c>
      <c r="B1862" s="20" t="s">
        <v>3045</v>
      </c>
      <c r="C1862" s="28" t="e">
        <f t="shared" si="28"/>
        <v>#N/A</v>
      </c>
    </row>
    <row r="1863" spans="1:3">
      <c r="A1863" s="11">
        <v>6951000000</v>
      </c>
      <c r="B1863" s="20" t="s">
        <v>3046</v>
      </c>
      <c r="C1863" s="28" t="e">
        <f t="shared" si="28"/>
        <v>#N/A</v>
      </c>
    </row>
    <row r="1864" spans="1:3">
      <c r="A1864" s="11">
        <v>6952000000</v>
      </c>
      <c r="B1864" s="20" t="s">
        <v>3047</v>
      </c>
      <c r="C1864" s="28" t="e">
        <f t="shared" si="28"/>
        <v>#N/A</v>
      </c>
    </row>
    <row r="1865" spans="1:3">
      <c r="A1865" s="11">
        <v>6951200000</v>
      </c>
      <c r="B1865" s="20" t="s">
        <v>3048</v>
      </c>
      <c r="C1865" s="28" t="e">
        <f t="shared" si="28"/>
        <v>#N/A</v>
      </c>
    </row>
    <row r="1866" spans="1:3">
      <c r="A1866" s="11">
        <v>6952200000</v>
      </c>
      <c r="B1866" s="20" t="s">
        <v>3049</v>
      </c>
      <c r="C1866" s="28" t="e">
        <f t="shared" si="28"/>
        <v>#N/A</v>
      </c>
    </row>
    <row r="1867" spans="1:3">
      <c r="A1867" s="11">
        <v>6956010001</v>
      </c>
      <c r="B1867" s="20" t="s">
        <v>3050</v>
      </c>
      <c r="C1867" s="28" t="e">
        <f t="shared" si="28"/>
        <v>#N/A</v>
      </c>
    </row>
    <row r="1868" spans="1:3">
      <c r="A1868" s="11">
        <v>6956010002</v>
      </c>
      <c r="B1868" s="20" t="s">
        <v>3051</v>
      </c>
      <c r="C1868" s="28" t="e">
        <f t="shared" si="28"/>
        <v>#N/A</v>
      </c>
    </row>
    <row r="1869" spans="1:3">
      <c r="A1869" s="11">
        <v>6956010003</v>
      </c>
      <c r="B1869" s="20" t="s">
        <v>3052</v>
      </c>
      <c r="C1869" s="28" t="e">
        <f t="shared" si="28"/>
        <v>#N/A</v>
      </c>
    </row>
    <row r="1870" spans="1:3">
      <c r="A1870" s="11">
        <v>6700000000</v>
      </c>
      <c r="B1870" s="20" t="s">
        <v>3053</v>
      </c>
      <c r="C1870" s="28" t="e">
        <f t="shared" si="28"/>
        <v>#N/A</v>
      </c>
    </row>
    <row r="1871" spans="1:3">
      <c r="A1871" s="11">
        <v>6700100000</v>
      </c>
      <c r="B1871" s="20" t="s">
        <v>3054</v>
      </c>
      <c r="C1871" s="28" t="e">
        <f t="shared" si="28"/>
        <v>#N/A</v>
      </c>
    </row>
    <row r="1872" spans="1:3">
      <c r="A1872" s="11">
        <v>6700200000</v>
      </c>
      <c r="B1872" s="20" t="s">
        <v>3055</v>
      </c>
      <c r="C1872" s="28" t="e">
        <f t="shared" si="28"/>
        <v>#N/A</v>
      </c>
    </row>
    <row r="1873" spans="1:3">
      <c r="A1873" s="11">
        <v>6700300000</v>
      </c>
      <c r="B1873" s="20" t="s">
        <v>3056</v>
      </c>
      <c r="C1873" s="28" t="e">
        <f t="shared" si="28"/>
        <v>#N/A</v>
      </c>
    </row>
    <row r="1874" spans="1:3">
      <c r="A1874" s="11">
        <v>6700200010</v>
      </c>
      <c r="B1874" s="20" t="s">
        <v>3057</v>
      </c>
      <c r="C1874" s="28" t="e">
        <f t="shared" si="28"/>
        <v>#N/A</v>
      </c>
    </row>
    <row r="1875" spans="1:3">
      <c r="A1875" s="11">
        <v>6700200020</v>
      </c>
      <c r="B1875" s="20" t="s">
        <v>3058</v>
      </c>
      <c r="C1875" s="28" t="e">
        <f t="shared" si="28"/>
        <v>#N/A</v>
      </c>
    </row>
    <row r="1876" spans="1:3">
      <c r="A1876" s="11">
        <v>6700400000</v>
      </c>
      <c r="B1876" s="20" t="s">
        <v>3059</v>
      </c>
      <c r="C1876" s="28" t="e">
        <f t="shared" si="28"/>
        <v>#N/A</v>
      </c>
    </row>
    <row r="1877" spans="1:3">
      <c r="A1877" s="11">
        <v>6700500000</v>
      </c>
      <c r="B1877" s="20" t="s">
        <v>3060</v>
      </c>
      <c r="C1877" s="28" t="e">
        <f t="shared" si="28"/>
        <v>#N/A</v>
      </c>
    </row>
    <row r="1878" spans="1:3">
      <c r="A1878" s="11">
        <v>6700600000</v>
      </c>
      <c r="B1878" s="20" t="s">
        <v>3061</v>
      </c>
      <c r="C1878" s="28" t="e">
        <f t="shared" si="28"/>
        <v>#N/A</v>
      </c>
    </row>
    <row r="1879" spans="1:3">
      <c r="A1879" s="11">
        <v>6700700000</v>
      </c>
      <c r="B1879" s="20" t="s">
        <v>3062</v>
      </c>
      <c r="C1879" s="28" t="e">
        <f t="shared" si="28"/>
        <v>#N/A</v>
      </c>
    </row>
    <row r="1880" spans="1:3">
      <c r="A1880" s="11" t="s">
        <v>1497</v>
      </c>
      <c r="B1880" s="20" t="s">
        <v>3063</v>
      </c>
      <c r="C1880" s="28" t="e">
        <f t="shared" si="28"/>
        <v>#N/A</v>
      </c>
    </row>
    <row r="1881" spans="1:3">
      <c r="A1881" s="11" t="s">
        <v>1497</v>
      </c>
      <c r="B1881" s="20" t="s">
        <v>3064</v>
      </c>
      <c r="C1881" s="28" t="e">
        <f t="shared" si="28"/>
        <v>#N/A</v>
      </c>
    </row>
    <row r="1882" spans="1:3">
      <c r="A1882" s="11" t="s">
        <v>1497</v>
      </c>
      <c r="B1882" s="20" t="s">
        <v>3065</v>
      </c>
      <c r="C1882" s="28" t="e">
        <f t="shared" si="28"/>
        <v>#N/A</v>
      </c>
    </row>
    <row r="1883" spans="1:3">
      <c r="A1883" s="11" t="s">
        <v>1497</v>
      </c>
      <c r="B1883" s="20" t="s">
        <v>3066</v>
      </c>
      <c r="C1883" s="28" t="e">
        <f t="shared" si="28"/>
        <v>#N/A</v>
      </c>
    </row>
    <row r="1884" spans="1:3">
      <c r="A1884" s="11" t="s">
        <v>1497</v>
      </c>
      <c r="B1884" s="20" t="s">
        <v>3067</v>
      </c>
      <c r="C1884" s="28" t="e">
        <f t="shared" si="28"/>
        <v>#N/A</v>
      </c>
    </row>
    <row r="1885" spans="1:3">
      <c r="A1885" s="11" t="s">
        <v>1497</v>
      </c>
      <c r="B1885" s="20" t="s">
        <v>3068</v>
      </c>
      <c r="C1885" s="28" t="e">
        <f t="shared" si="28"/>
        <v>#N/A</v>
      </c>
    </row>
    <row r="1886" spans="1:3">
      <c r="A1886" s="11">
        <v>7810000000</v>
      </c>
      <c r="B1886" s="20" t="s">
        <v>3069</v>
      </c>
      <c r="C1886" s="28" t="e">
        <f t="shared" si="28"/>
        <v>#N/A</v>
      </c>
    </row>
    <row r="1887" spans="1:3">
      <c r="A1887" s="11">
        <v>7813000000</v>
      </c>
      <c r="B1887" s="20" t="s">
        <v>3069</v>
      </c>
      <c r="C1887" s="28" t="e">
        <f t="shared" si="28"/>
        <v>#N/A</v>
      </c>
    </row>
    <row r="1888" spans="1:3">
      <c r="A1888" s="11">
        <v>7700000000</v>
      </c>
      <c r="B1888" s="20" t="s">
        <v>3070</v>
      </c>
      <c r="C1888" s="28" t="e">
        <f t="shared" si="28"/>
        <v>#N/A</v>
      </c>
    </row>
    <row r="1889" spans="1:3">
      <c r="A1889" s="11" t="s">
        <v>1497</v>
      </c>
      <c r="B1889" s="20" t="s">
        <v>3071</v>
      </c>
      <c r="C1889" s="28" t="e">
        <f t="shared" si="28"/>
        <v>#N/A</v>
      </c>
    </row>
    <row r="1890" spans="1:3">
      <c r="A1890" s="11">
        <v>7059031000</v>
      </c>
      <c r="B1890" s="20" t="s">
        <v>3072</v>
      </c>
      <c r="C1890" s="28" t="e">
        <f t="shared" si="28"/>
        <v>#N/A</v>
      </c>
    </row>
    <row r="1891" spans="1:3">
      <c r="A1891" s="11" t="s">
        <v>1497</v>
      </c>
      <c r="B1891" s="20" t="s">
        <v>3073</v>
      </c>
      <c r="C1891" s="28" t="e">
        <f t="shared" si="28"/>
        <v>#N/A</v>
      </c>
    </row>
    <row r="1892" spans="1:3">
      <c r="A1892" s="11" t="s">
        <v>1497</v>
      </c>
      <c r="B1892" s="20" t="s">
        <v>3074</v>
      </c>
      <c r="C1892" s="28" t="e">
        <f t="shared" si="28"/>
        <v>#N/A</v>
      </c>
    </row>
    <row r="1893" spans="1:3">
      <c r="A1893" s="11" t="s">
        <v>1497</v>
      </c>
      <c r="B1893" s="20" t="s">
        <v>3075</v>
      </c>
      <c r="C1893" s="28" t="e">
        <f t="shared" si="28"/>
        <v>#N/A</v>
      </c>
    </row>
    <row r="1894" spans="1:3">
      <c r="A1894" s="11">
        <v>7059031010</v>
      </c>
      <c r="B1894" s="20" t="s">
        <v>3076</v>
      </c>
      <c r="C1894" s="28" t="e">
        <f t="shared" si="28"/>
        <v>#N/A</v>
      </c>
    </row>
    <row r="1895" spans="1:3">
      <c r="A1895" s="11">
        <v>7059031000</v>
      </c>
      <c r="B1895" s="20" t="s">
        <v>3077</v>
      </c>
      <c r="C1895" s="28" t="e">
        <f t="shared" si="28"/>
        <v>#N/A</v>
      </c>
    </row>
    <row r="1896" spans="1:3">
      <c r="A1896" s="11">
        <v>8000101010</v>
      </c>
      <c r="B1896" s="20" t="s">
        <v>3078</v>
      </c>
      <c r="C1896" s="28" t="e">
        <f t="shared" si="28"/>
        <v>#N/A</v>
      </c>
    </row>
    <row r="1897" spans="1:3">
      <c r="A1897" s="11">
        <v>8000201010</v>
      </c>
      <c r="B1897" s="20" t="s">
        <v>3079</v>
      </c>
      <c r="C1897" s="28" t="e">
        <f t="shared" si="28"/>
        <v>#N/A</v>
      </c>
    </row>
    <row r="1898" spans="1:3">
      <c r="A1898" s="11">
        <v>8000401010</v>
      </c>
      <c r="B1898" s="20" t="s">
        <v>3080</v>
      </c>
      <c r="C1898" s="28" t="e">
        <f t="shared" ref="C1898:C1961" si="29">VLOOKUP(B1898,F:G,2,0)</f>
        <v>#N/A</v>
      </c>
    </row>
    <row r="1899" spans="1:3">
      <c r="A1899" s="11">
        <v>8000401010</v>
      </c>
      <c r="B1899" s="20" t="s">
        <v>3081</v>
      </c>
      <c r="C1899" s="28" t="e">
        <f t="shared" si="29"/>
        <v>#N/A</v>
      </c>
    </row>
    <row r="1900" spans="1:3">
      <c r="A1900" s="11">
        <v>8000301010</v>
      </c>
      <c r="B1900" s="20" t="s">
        <v>3082</v>
      </c>
      <c r="C1900" s="28" t="e">
        <f t="shared" si="29"/>
        <v>#N/A</v>
      </c>
    </row>
    <row r="1901" spans="1:3">
      <c r="A1901" s="11">
        <v>8000101010</v>
      </c>
      <c r="B1901" s="20" t="s">
        <v>3083</v>
      </c>
      <c r="C1901" s="28" t="e">
        <f t="shared" si="29"/>
        <v>#N/A</v>
      </c>
    </row>
    <row r="1902" spans="1:3">
      <c r="A1902" s="11">
        <v>6956020000</v>
      </c>
      <c r="B1902" s="20" t="s">
        <v>3084</v>
      </c>
      <c r="C1902" s="28" t="e">
        <f t="shared" si="29"/>
        <v>#N/A</v>
      </c>
    </row>
    <row r="1903" spans="1:3">
      <c r="A1903" s="11">
        <v>6956220000</v>
      </c>
      <c r="B1903" s="20" t="s">
        <v>3085</v>
      </c>
      <c r="C1903" s="28" t="e">
        <f t="shared" si="29"/>
        <v>#N/A</v>
      </c>
    </row>
    <row r="1904" spans="1:3">
      <c r="A1904" s="11">
        <v>8000302020</v>
      </c>
      <c r="B1904" s="20" t="s">
        <v>3086</v>
      </c>
      <c r="C1904" s="28" t="e">
        <f t="shared" si="29"/>
        <v>#N/A</v>
      </c>
    </row>
    <row r="1905" spans="1:3">
      <c r="A1905" s="11">
        <v>8000302010</v>
      </c>
      <c r="B1905" s="20" t="s">
        <v>3087</v>
      </c>
      <c r="C1905" s="28" t="e">
        <f t="shared" si="29"/>
        <v>#N/A</v>
      </c>
    </row>
    <row r="1906" spans="1:3">
      <c r="A1906" s="11">
        <v>6956020010</v>
      </c>
      <c r="B1906" s="20" t="s">
        <v>3088</v>
      </c>
      <c r="C1906" s="28" t="e">
        <f t="shared" si="29"/>
        <v>#N/A</v>
      </c>
    </row>
    <row r="1907" spans="1:3">
      <c r="A1907" s="11">
        <v>6956220010</v>
      </c>
      <c r="B1907" s="20" t="s">
        <v>3089</v>
      </c>
      <c r="C1907" s="28" t="e">
        <f t="shared" si="29"/>
        <v>#N/A</v>
      </c>
    </row>
    <row r="1908" spans="1:3">
      <c r="A1908" s="11">
        <v>8450501010</v>
      </c>
      <c r="B1908" s="20" t="s">
        <v>3090</v>
      </c>
      <c r="C1908" s="28" t="e">
        <f t="shared" si="29"/>
        <v>#N/A</v>
      </c>
    </row>
    <row r="1909" spans="1:3">
      <c r="A1909" s="11">
        <v>8010501010</v>
      </c>
      <c r="B1909" s="20" t="s">
        <v>3091</v>
      </c>
      <c r="C1909" s="28" t="e">
        <f t="shared" si="29"/>
        <v>#N/A</v>
      </c>
    </row>
    <row r="1910" spans="1:3">
      <c r="A1910" s="11">
        <v>8010201020</v>
      </c>
      <c r="B1910" s="20" t="s">
        <v>3092</v>
      </c>
      <c r="C1910" s="28" t="e">
        <f t="shared" si="29"/>
        <v>#N/A</v>
      </c>
    </row>
    <row r="1911" spans="1:3">
      <c r="A1911" s="11">
        <v>8010501040</v>
      </c>
      <c r="B1911" s="20" t="s">
        <v>3093</v>
      </c>
      <c r="C1911" s="28" t="e">
        <f t="shared" si="29"/>
        <v>#N/A</v>
      </c>
    </row>
    <row r="1912" spans="1:3">
      <c r="A1912" s="11">
        <v>8010501050</v>
      </c>
      <c r="B1912" s="20" t="s">
        <v>3094</v>
      </c>
      <c r="C1912" s="28" t="e">
        <f t="shared" si="29"/>
        <v>#N/A</v>
      </c>
    </row>
    <row r="1913" spans="1:3">
      <c r="A1913" s="11">
        <v>8010501110</v>
      </c>
      <c r="B1913" s="20" t="s">
        <v>3095</v>
      </c>
      <c r="C1913" s="28" t="e">
        <f t="shared" si="29"/>
        <v>#N/A</v>
      </c>
    </row>
    <row r="1914" spans="1:3">
      <c r="A1914" s="11">
        <v>8010501060</v>
      </c>
      <c r="B1914" s="20" t="s">
        <v>3096</v>
      </c>
      <c r="C1914" s="28" t="e">
        <f t="shared" si="29"/>
        <v>#N/A</v>
      </c>
    </row>
    <row r="1915" spans="1:3">
      <c r="A1915" s="11">
        <v>8010201050</v>
      </c>
      <c r="B1915" s="20" t="s">
        <v>3097</v>
      </c>
      <c r="C1915" s="28" t="e">
        <f t="shared" si="29"/>
        <v>#N/A</v>
      </c>
    </row>
    <row r="1916" spans="1:3">
      <c r="A1916" s="11">
        <v>8010201051</v>
      </c>
      <c r="B1916" s="20" t="s">
        <v>3098</v>
      </c>
      <c r="C1916" s="28" t="e">
        <f t="shared" si="29"/>
        <v>#N/A</v>
      </c>
    </row>
    <row r="1917" spans="1:3">
      <c r="A1917" s="11">
        <v>8010505010</v>
      </c>
      <c r="B1917" s="20" t="s">
        <v>3099</v>
      </c>
      <c r="C1917" s="28" t="e">
        <f t="shared" si="29"/>
        <v>#N/A</v>
      </c>
    </row>
    <row r="1918" spans="1:3">
      <c r="A1918" s="11">
        <v>8010501220</v>
      </c>
      <c r="B1918" s="20" t="s">
        <v>3100</v>
      </c>
      <c r="C1918" s="28" t="e">
        <f t="shared" si="29"/>
        <v>#N/A</v>
      </c>
    </row>
    <row r="1919" spans="1:3">
      <c r="A1919" s="11">
        <v>8010501230</v>
      </c>
      <c r="B1919" s="20" t="s">
        <v>3101</v>
      </c>
      <c r="C1919" s="28" t="e">
        <f t="shared" si="29"/>
        <v>#N/A</v>
      </c>
    </row>
    <row r="1920" spans="1:3">
      <c r="A1920" s="11">
        <v>8480300010</v>
      </c>
      <c r="B1920" s="20" t="s">
        <v>3102</v>
      </c>
      <c r="C1920" s="28" t="e">
        <f t="shared" si="29"/>
        <v>#N/A</v>
      </c>
    </row>
    <row r="1921" spans="1:3">
      <c r="A1921" s="11">
        <v>8000801020</v>
      </c>
      <c r="B1921" s="20" t="s">
        <v>3103</v>
      </c>
      <c r="C1921" s="28" t="e">
        <f t="shared" si="29"/>
        <v>#N/A</v>
      </c>
    </row>
    <row r="1922" spans="1:3">
      <c r="A1922" s="11">
        <v>8000901020</v>
      </c>
      <c r="B1922" s="20" t="s">
        <v>3104</v>
      </c>
      <c r="C1922" s="28" t="e">
        <f t="shared" si="29"/>
        <v>#N/A</v>
      </c>
    </row>
    <row r="1923" spans="1:3">
      <c r="A1923" s="11">
        <v>8000603010</v>
      </c>
      <c r="B1923" s="20" t="s">
        <v>3105</v>
      </c>
      <c r="C1923" s="28" t="e">
        <f t="shared" si="29"/>
        <v>#N/A</v>
      </c>
    </row>
    <row r="1924" spans="1:3">
      <c r="A1924" s="11">
        <v>8000801030</v>
      </c>
      <c r="B1924" s="20" t="s">
        <v>3106</v>
      </c>
      <c r="C1924" s="28" t="e">
        <f t="shared" si="29"/>
        <v>#N/A</v>
      </c>
    </row>
    <row r="1925" spans="1:3">
      <c r="A1925" s="11">
        <v>6600000060</v>
      </c>
      <c r="B1925" s="20" t="s">
        <v>3107</v>
      </c>
      <c r="C1925" s="28" t="e">
        <f t="shared" si="29"/>
        <v>#N/A</v>
      </c>
    </row>
    <row r="1926" spans="1:3">
      <c r="A1926" s="11">
        <v>6600100090</v>
      </c>
      <c r="B1926" s="20" t="s">
        <v>3108</v>
      </c>
      <c r="C1926" s="28" t="e">
        <f t="shared" si="29"/>
        <v>#N/A</v>
      </c>
    </row>
    <row r="1927" spans="1:3">
      <c r="A1927" s="11">
        <v>6600200060</v>
      </c>
      <c r="B1927" s="20" t="s">
        <v>3109</v>
      </c>
      <c r="C1927" s="28" t="e">
        <f t="shared" si="29"/>
        <v>#N/A</v>
      </c>
    </row>
    <row r="1928" spans="1:3">
      <c r="A1928" s="11">
        <v>8450501013</v>
      </c>
      <c r="B1928" s="20" t="s">
        <v>3110</v>
      </c>
      <c r="C1928" s="28" t="e">
        <f t="shared" si="29"/>
        <v>#N/A</v>
      </c>
    </row>
    <row r="1929" spans="1:3">
      <c r="A1929" s="11">
        <v>8010501250</v>
      </c>
      <c r="B1929" s="20" t="s">
        <v>3111</v>
      </c>
      <c r="C1929" s="28" t="e">
        <f t="shared" si="29"/>
        <v>#N/A</v>
      </c>
    </row>
    <row r="1930" spans="1:3">
      <c r="A1930" s="11">
        <v>8010501260</v>
      </c>
      <c r="B1930" s="20" t="s">
        <v>3112</v>
      </c>
      <c r="C1930" s="28" t="e">
        <f t="shared" si="29"/>
        <v>#N/A</v>
      </c>
    </row>
    <row r="1931" spans="1:3">
      <c r="A1931" s="11">
        <v>8010501250</v>
      </c>
      <c r="B1931" s="20" t="s">
        <v>3113</v>
      </c>
      <c r="C1931" s="28" t="e">
        <f t="shared" si="29"/>
        <v>#N/A</v>
      </c>
    </row>
    <row r="1932" spans="1:3">
      <c r="A1932" s="11">
        <v>8010501260</v>
      </c>
      <c r="B1932" s="20" t="s">
        <v>3113</v>
      </c>
      <c r="C1932" s="28" t="e">
        <f t="shared" si="29"/>
        <v>#N/A</v>
      </c>
    </row>
    <row r="1933" spans="1:3">
      <c r="A1933" s="11">
        <v>8010503010</v>
      </c>
      <c r="B1933" s="20" t="s">
        <v>3114</v>
      </c>
      <c r="C1933" s="28" t="e">
        <f t="shared" si="29"/>
        <v>#N/A</v>
      </c>
    </row>
    <row r="1934" spans="1:3">
      <c r="A1934" s="11" t="s">
        <v>1497</v>
      </c>
      <c r="B1934" s="20" t="s">
        <v>3115</v>
      </c>
      <c r="C1934" s="28" t="e">
        <f t="shared" si="29"/>
        <v>#N/A</v>
      </c>
    </row>
    <row r="1935" spans="1:3">
      <c r="A1935" s="11">
        <v>8100101010</v>
      </c>
      <c r="B1935" s="20" t="s">
        <v>3116</v>
      </c>
      <c r="C1935" s="28" t="e">
        <f t="shared" si="29"/>
        <v>#N/A</v>
      </c>
    </row>
    <row r="1936" spans="1:3">
      <c r="A1936" s="11">
        <v>8100104010</v>
      </c>
      <c r="B1936" s="20" t="s">
        <v>1484</v>
      </c>
      <c r="C1936" s="28">
        <f t="shared" si="29"/>
        <v>4202001505</v>
      </c>
    </row>
    <row r="1937" spans="1:3">
      <c r="A1937" s="11">
        <v>8100102010</v>
      </c>
      <c r="B1937" s="20" t="s">
        <v>3117</v>
      </c>
      <c r="C1937" s="28" t="e">
        <f t="shared" si="29"/>
        <v>#N/A</v>
      </c>
    </row>
    <row r="1938" spans="1:3">
      <c r="A1938" s="11" t="s">
        <v>1497</v>
      </c>
      <c r="B1938" s="20" t="s">
        <v>3118</v>
      </c>
      <c r="C1938" s="28" t="e">
        <f t="shared" si="29"/>
        <v>#N/A</v>
      </c>
    </row>
    <row r="1939" spans="1:3">
      <c r="A1939" s="11">
        <v>8120601010</v>
      </c>
      <c r="B1939" s="20" t="s">
        <v>3119</v>
      </c>
      <c r="C1939" s="28" t="e">
        <f t="shared" si="29"/>
        <v>#N/A</v>
      </c>
    </row>
    <row r="1940" spans="1:3">
      <c r="A1940" s="11">
        <v>8120501010</v>
      </c>
      <c r="B1940" s="20" t="s">
        <v>3120</v>
      </c>
      <c r="C1940" s="28" t="e">
        <f t="shared" si="29"/>
        <v>#N/A</v>
      </c>
    </row>
    <row r="1941" spans="1:3">
      <c r="A1941" s="11">
        <v>8120201010</v>
      </c>
      <c r="B1941" s="20" t="s">
        <v>3121</v>
      </c>
      <c r="C1941" s="28" t="e">
        <f t="shared" si="29"/>
        <v>#N/A</v>
      </c>
    </row>
    <row r="1942" spans="1:3">
      <c r="A1942" s="11">
        <v>8120601040</v>
      </c>
      <c r="B1942" s="20" t="s">
        <v>3122</v>
      </c>
      <c r="C1942" s="28" t="e">
        <f t="shared" si="29"/>
        <v>#N/A</v>
      </c>
    </row>
    <row r="1943" spans="1:3">
      <c r="A1943" s="11">
        <v>8120601050</v>
      </c>
      <c r="B1943" s="20" t="s">
        <v>3123</v>
      </c>
      <c r="C1943" s="28" t="e">
        <f t="shared" si="29"/>
        <v>#N/A</v>
      </c>
    </row>
    <row r="1944" spans="1:3">
      <c r="A1944" s="11" t="s">
        <v>1497</v>
      </c>
      <c r="B1944" s="20" t="s">
        <v>3124</v>
      </c>
      <c r="C1944" s="28" t="e">
        <f t="shared" si="29"/>
        <v>#N/A</v>
      </c>
    </row>
    <row r="1945" spans="1:3">
      <c r="A1945" s="11">
        <v>8121001010</v>
      </c>
      <c r="B1945" s="20" t="s">
        <v>3125</v>
      </c>
      <c r="C1945" s="28" t="e">
        <f t="shared" si="29"/>
        <v>#N/A</v>
      </c>
    </row>
    <row r="1946" spans="1:3">
      <c r="A1946" s="11">
        <v>8121001010</v>
      </c>
      <c r="B1946" s="20" t="s">
        <v>3126</v>
      </c>
      <c r="C1946" s="28" t="e">
        <f t="shared" si="29"/>
        <v>#N/A</v>
      </c>
    </row>
    <row r="1947" spans="1:3">
      <c r="A1947" s="11">
        <v>8120801010</v>
      </c>
      <c r="B1947" s="20" t="s">
        <v>3127</v>
      </c>
      <c r="C1947" s="28" t="e">
        <f t="shared" si="29"/>
        <v>#N/A</v>
      </c>
    </row>
    <row r="1948" spans="1:3">
      <c r="A1948" s="13">
        <v>8121101040</v>
      </c>
      <c r="B1948" s="22" t="s">
        <v>3128</v>
      </c>
      <c r="C1948" s="28" t="e">
        <f t="shared" si="29"/>
        <v>#N/A</v>
      </c>
    </row>
    <row r="1949" spans="1:3">
      <c r="A1949" s="11">
        <v>8210101010</v>
      </c>
      <c r="B1949" s="20" t="s">
        <v>3129</v>
      </c>
      <c r="C1949" s="28" t="e">
        <f t="shared" si="29"/>
        <v>#N/A</v>
      </c>
    </row>
    <row r="1950" spans="1:3">
      <c r="A1950" s="11">
        <v>8120201030</v>
      </c>
      <c r="B1950" s="20" t="s">
        <v>3130</v>
      </c>
      <c r="C1950" s="28" t="e">
        <f t="shared" si="29"/>
        <v>#N/A</v>
      </c>
    </row>
    <row r="1951" spans="1:3">
      <c r="A1951" s="11">
        <v>8121101020</v>
      </c>
      <c r="B1951" s="20" t="s">
        <v>3131</v>
      </c>
      <c r="C1951" s="28" t="e">
        <f t="shared" si="29"/>
        <v>#N/A</v>
      </c>
    </row>
    <row r="1952" spans="1:3">
      <c r="A1952" s="11">
        <v>8121001010</v>
      </c>
      <c r="B1952" s="20" t="s">
        <v>3132</v>
      </c>
      <c r="C1952" s="28" t="e">
        <f t="shared" si="29"/>
        <v>#N/A</v>
      </c>
    </row>
    <row r="1953" spans="1:3">
      <c r="A1953" s="11">
        <v>6953000000</v>
      </c>
      <c r="B1953" s="20" t="s">
        <v>3133</v>
      </c>
      <c r="C1953" s="28" t="e">
        <f t="shared" si="29"/>
        <v>#N/A</v>
      </c>
    </row>
    <row r="1954" spans="1:3">
      <c r="A1954" s="11">
        <v>6952000002</v>
      </c>
      <c r="B1954" s="20" t="s">
        <v>3134</v>
      </c>
      <c r="C1954" s="28" t="e">
        <f t="shared" si="29"/>
        <v>#N/A</v>
      </c>
    </row>
    <row r="1955" spans="1:3">
      <c r="A1955" s="11">
        <v>8400101010</v>
      </c>
      <c r="B1955" s="20" t="s">
        <v>3135</v>
      </c>
      <c r="C1955" s="28" t="e">
        <f t="shared" si="29"/>
        <v>#N/A</v>
      </c>
    </row>
    <row r="1956" spans="1:3">
      <c r="A1956" s="11">
        <v>8400201010</v>
      </c>
      <c r="B1956" s="20" t="s">
        <v>3136</v>
      </c>
      <c r="C1956" s="28" t="e">
        <f t="shared" si="29"/>
        <v>#N/A</v>
      </c>
    </row>
    <row r="1957" spans="1:3">
      <c r="A1957" s="11">
        <v>6953000000</v>
      </c>
      <c r="B1957" s="20" t="s">
        <v>3137</v>
      </c>
      <c r="C1957" s="28" t="e">
        <f t="shared" si="29"/>
        <v>#N/A</v>
      </c>
    </row>
    <row r="1958" spans="1:3">
      <c r="A1958" s="11">
        <v>6953200000</v>
      </c>
      <c r="B1958" s="20" t="s">
        <v>3138</v>
      </c>
      <c r="C1958" s="28" t="e">
        <f t="shared" si="29"/>
        <v>#N/A</v>
      </c>
    </row>
    <row r="1959" spans="1:3">
      <c r="A1959" s="11">
        <v>6951000020</v>
      </c>
      <c r="B1959" s="20" t="s">
        <v>3139</v>
      </c>
      <c r="C1959" s="28" t="e">
        <f t="shared" si="29"/>
        <v>#N/A</v>
      </c>
    </row>
    <row r="1960" spans="1:3">
      <c r="A1960" s="11">
        <v>6953000000</v>
      </c>
      <c r="B1960" s="20" t="s">
        <v>3140</v>
      </c>
      <c r="C1960" s="28" t="e">
        <f t="shared" si="29"/>
        <v>#N/A</v>
      </c>
    </row>
    <row r="1961" spans="1:3">
      <c r="A1961" s="11">
        <v>6952000001</v>
      </c>
      <c r="B1961" s="20" t="s">
        <v>3141</v>
      </c>
      <c r="C1961" s="28" t="e">
        <f t="shared" si="29"/>
        <v>#N/A</v>
      </c>
    </row>
    <row r="1962" spans="1:3">
      <c r="A1962" s="11">
        <v>8400101011</v>
      </c>
      <c r="B1962" s="20" t="s">
        <v>3142</v>
      </c>
      <c r="C1962" s="28" t="e">
        <f t="shared" ref="C1962:C2025" si="30">VLOOKUP(B1962,F:G,2,0)</f>
        <v>#N/A</v>
      </c>
    </row>
    <row r="1963" spans="1:3">
      <c r="A1963" s="11">
        <v>6955000000</v>
      </c>
      <c r="B1963" s="20" t="s">
        <v>3143</v>
      </c>
      <c r="C1963" s="28" t="e">
        <f t="shared" si="30"/>
        <v>#N/A</v>
      </c>
    </row>
    <row r="1964" spans="1:3">
      <c r="A1964" s="11" t="s">
        <v>1497</v>
      </c>
      <c r="B1964" s="20" t="s">
        <v>3144</v>
      </c>
      <c r="C1964" s="28" t="e">
        <f t="shared" si="30"/>
        <v>#N/A</v>
      </c>
    </row>
    <row r="1965" spans="1:3">
      <c r="A1965" s="11">
        <v>8010520000</v>
      </c>
      <c r="B1965" s="20" t="s">
        <v>3145</v>
      </c>
      <c r="C1965" s="28" t="e">
        <f t="shared" si="30"/>
        <v>#N/A</v>
      </c>
    </row>
    <row r="1966" spans="1:3">
      <c r="A1966" s="11">
        <v>6951000001</v>
      </c>
      <c r="B1966" s="20" t="s">
        <v>3146</v>
      </c>
      <c r="C1966" s="28" t="e">
        <f t="shared" si="30"/>
        <v>#N/A</v>
      </c>
    </row>
    <row r="1967" spans="1:3">
      <c r="A1967" s="11">
        <v>6953200007</v>
      </c>
      <c r="B1967" s="20" t="s">
        <v>3147</v>
      </c>
      <c r="C1967" s="28" t="e">
        <f t="shared" si="30"/>
        <v>#N/A</v>
      </c>
    </row>
    <row r="1968" spans="1:3">
      <c r="A1968" s="11">
        <v>6952200002</v>
      </c>
      <c r="B1968" s="20" t="s">
        <v>3148</v>
      </c>
      <c r="C1968" s="28" t="e">
        <f t="shared" si="30"/>
        <v>#N/A</v>
      </c>
    </row>
    <row r="1969" spans="1:3">
      <c r="A1969" s="11">
        <v>6951200007</v>
      </c>
      <c r="B1969" s="20" t="s">
        <v>3149</v>
      </c>
      <c r="C1969" s="28" t="e">
        <f t="shared" si="30"/>
        <v>#N/A</v>
      </c>
    </row>
    <row r="1970" spans="1:3">
      <c r="A1970" s="11">
        <v>6952200001</v>
      </c>
      <c r="B1970" s="20" t="s">
        <v>3150</v>
      </c>
      <c r="C1970" s="28" t="e">
        <f t="shared" si="30"/>
        <v>#N/A</v>
      </c>
    </row>
    <row r="1971" spans="1:3">
      <c r="A1971" s="11">
        <v>6951200001</v>
      </c>
      <c r="B1971" s="20" t="s">
        <v>3151</v>
      </c>
      <c r="C1971" s="28" t="e">
        <f t="shared" si="30"/>
        <v>#N/A</v>
      </c>
    </row>
    <row r="1972" spans="1:3">
      <c r="A1972" s="11" t="s">
        <v>1497</v>
      </c>
      <c r="B1972" s="20" t="s">
        <v>3152</v>
      </c>
      <c r="C1972" s="28" t="e">
        <f t="shared" si="30"/>
        <v>#N/A</v>
      </c>
    </row>
    <row r="1973" spans="1:3">
      <c r="A1973" s="11" t="s">
        <v>1497</v>
      </c>
      <c r="B1973" s="20" t="s">
        <v>3153</v>
      </c>
      <c r="C1973" s="28" t="e">
        <f t="shared" si="30"/>
        <v>#N/A</v>
      </c>
    </row>
    <row r="1974" spans="1:3">
      <c r="A1974" s="11">
        <v>6930000001</v>
      </c>
      <c r="B1974" s="20" t="s">
        <v>3154</v>
      </c>
      <c r="C1974" s="28" t="e">
        <f t="shared" si="30"/>
        <v>#N/A</v>
      </c>
    </row>
    <row r="1975" spans="1:3">
      <c r="A1975" s="11">
        <v>6930000002</v>
      </c>
      <c r="B1975" s="20" t="s">
        <v>3155</v>
      </c>
      <c r="C1975" s="28" t="e">
        <f t="shared" si="30"/>
        <v>#N/A</v>
      </c>
    </row>
    <row r="1976" spans="1:3">
      <c r="A1976" s="11">
        <v>6930000003</v>
      </c>
      <c r="B1976" s="20" t="s">
        <v>3156</v>
      </c>
      <c r="C1976" s="28" t="e">
        <f t="shared" si="30"/>
        <v>#N/A</v>
      </c>
    </row>
    <row r="1977" spans="1:3">
      <c r="A1977" s="11">
        <v>6930100000</v>
      </c>
      <c r="B1977" s="20" t="s">
        <v>3157</v>
      </c>
      <c r="C1977" s="28" t="e">
        <f t="shared" si="30"/>
        <v>#N/A</v>
      </c>
    </row>
    <row r="1978" spans="1:3">
      <c r="A1978" s="11">
        <v>6930101500</v>
      </c>
      <c r="B1978" s="20" t="s">
        <v>3158</v>
      </c>
      <c r="C1978" s="28" t="e">
        <f t="shared" si="30"/>
        <v>#N/A</v>
      </c>
    </row>
    <row r="1979" spans="1:3">
      <c r="A1979" s="11">
        <v>6953000010</v>
      </c>
      <c r="B1979" s="20" t="s">
        <v>3159</v>
      </c>
      <c r="C1979" s="28" t="e">
        <f t="shared" si="30"/>
        <v>#N/A</v>
      </c>
    </row>
    <row r="1980" spans="1:3">
      <c r="A1980" s="11">
        <v>8420211010</v>
      </c>
      <c r="B1980" s="20" t="s">
        <v>3160</v>
      </c>
      <c r="C1980" s="28" t="e">
        <f t="shared" si="30"/>
        <v>#N/A</v>
      </c>
    </row>
    <row r="1981" spans="1:3">
      <c r="A1981" s="11">
        <v>6953200010</v>
      </c>
      <c r="B1981" s="20" t="s">
        <v>3161</v>
      </c>
      <c r="C1981" s="28" t="e">
        <f t="shared" si="30"/>
        <v>#N/A</v>
      </c>
    </row>
    <row r="1982" spans="1:3">
      <c r="A1982" s="11">
        <v>8420101030</v>
      </c>
      <c r="B1982" s="20" t="s">
        <v>3162</v>
      </c>
      <c r="C1982" s="28" t="e">
        <f t="shared" si="30"/>
        <v>#N/A</v>
      </c>
    </row>
    <row r="1983" spans="1:3">
      <c r="A1983" s="11">
        <v>8420201030</v>
      </c>
      <c r="B1983" s="20" t="s">
        <v>3163</v>
      </c>
      <c r="C1983" s="28" t="e">
        <f t="shared" si="30"/>
        <v>#N/A</v>
      </c>
    </row>
    <row r="1984" spans="1:3">
      <c r="A1984" s="11">
        <v>8470201080</v>
      </c>
      <c r="B1984" s="20" t="s">
        <v>3164</v>
      </c>
      <c r="C1984" s="28" t="e">
        <f t="shared" si="30"/>
        <v>#N/A</v>
      </c>
    </row>
    <row r="1985" spans="1:3">
      <c r="A1985" s="11">
        <v>8010520010</v>
      </c>
      <c r="B1985" s="20" t="s">
        <v>3165</v>
      </c>
      <c r="C1985" s="28" t="e">
        <f t="shared" si="30"/>
        <v>#N/A</v>
      </c>
    </row>
    <row r="1986" spans="1:3">
      <c r="A1986" s="11">
        <v>8010520001</v>
      </c>
      <c r="B1986" s="20" t="s">
        <v>3166</v>
      </c>
      <c r="C1986" s="28" t="e">
        <f t="shared" si="30"/>
        <v>#N/A</v>
      </c>
    </row>
    <row r="1987" spans="1:3">
      <c r="A1987" s="11">
        <v>8010520002</v>
      </c>
      <c r="B1987" s="20" t="s">
        <v>3167</v>
      </c>
      <c r="C1987" s="28" t="e">
        <f t="shared" si="30"/>
        <v>#N/A</v>
      </c>
    </row>
    <row r="1988" spans="1:3">
      <c r="A1988" s="11">
        <v>8010520020</v>
      </c>
      <c r="B1988" s="20" t="s">
        <v>3168</v>
      </c>
      <c r="C1988" s="28" t="e">
        <f t="shared" si="30"/>
        <v>#N/A</v>
      </c>
    </row>
    <row r="1989" spans="1:3">
      <c r="A1989" s="11">
        <v>8010520003</v>
      </c>
      <c r="B1989" s="20" t="s">
        <v>3169</v>
      </c>
      <c r="C1989" s="28" t="e">
        <f t="shared" si="30"/>
        <v>#N/A</v>
      </c>
    </row>
    <row r="1990" spans="1:3">
      <c r="A1990" s="11">
        <v>8210101010</v>
      </c>
      <c r="B1990" s="20" t="s">
        <v>3170</v>
      </c>
      <c r="C1990" s="28" t="e">
        <f t="shared" si="30"/>
        <v>#N/A</v>
      </c>
    </row>
    <row r="1991" spans="1:3">
      <c r="A1991" s="11">
        <v>8200101010</v>
      </c>
      <c r="B1991" s="20" t="s">
        <v>3170</v>
      </c>
      <c r="C1991" s="28" t="e">
        <f t="shared" si="30"/>
        <v>#N/A</v>
      </c>
    </row>
    <row r="1992" spans="1:3">
      <c r="A1992" s="11">
        <v>8210102010</v>
      </c>
      <c r="B1992" s="20" t="s">
        <v>3171</v>
      </c>
      <c r="C1992" s="28" t="e">
        <f t="shared" si="30"/>
        <v>#N/A</v>
      </c>
    </row>
    <row r="1993" spans="1:3">
      <c r="A1993" s="11">
        <v>8200102010</v>
      </c>
      <c r="B1993" s="20" t="s">
        <v>3171</v>
      </c>
      <c r="C1993" s="28" t="e">
        <f t="shared" si="30"/>
        <v>#N/A</v>
      </c>
    </row>
    <row r="1994" spans="1:3">
      <c r="A1994" s="11">
        <v>8220105010</v>
      </c>
      <c r="B1994" s="20" t="s">
        <v>3172</v>
      </c>
      <c r="C1994" s="28" t="e">
        <f t="shared" si="30"/>
        <v>#N/A</v>
      </c>
    </row>
    <row r="1995" spans="1:3">
      <c r="A1995" s="11">
        <v>8220101020</v>
      </c>
      <c r="B1995" s="20" t="s">
        <v>3173</v>
      </c>
      <c r="C1995" s="28" t="e">
        <f t="shared" si="30"/>
        <v>#N/A</v>
      </c>
    </row>
    <row r="1996" spans="1:3">
      <c r="A1996" s="11">
        <v>8220101030</v>
      </c>
      <c r="B1996" s="20" t="s">
        <v>3174</v>
      </c>
      <c r="C1996" s="28" t="e">
        <f t="shared" si="30"/>
        <v>#N/A</v>
      </c>
    </row>
    <row r="1997" spans="1:3">
      <c r="A1997" s="11">
        <v>8220101010</v>
      </c>
      <c r="B1997" s="20" t="s">
        <v>3175</v>
      </c>
      <c r="C1997" s="28" t="e">
        <f t="shared" si="30"/>
        <v>#N/A</v>
      </c>
    </row>
    <row r="1998" spans="1:3">
      <c r="A1998" s="11">
        <v>8210201010</v>
      </c>
      <c r="B1998" s="20" t="s">
        <v>3176</v>
      </c>
      <c r="C1998" s="28" t="e">
        <f t="shared" si="30"/>
        <v>#N/A</v>
      </c>
    </row>
    <row r="1999" spans="1:3">
      <c r="A1999" s="11">
        <v>8210201010</v>
      </c>
      <c r="B1999" s="20" t="s">
        <v>3177</v>
      </c>
      <c r="C1999" s="28" t="e">
        <f t="shared" si="30"/>
        <v>#N/A</v>
      </c>
    </row>
    <row r="2000" spans="1:3">
      <c r="A2000" s="11" t="s">
        <v>1497</v>
      </c>
      <c r="B2000" s="20" t="s">
        <v>3178</v>
      </c>
      <c r="C2000" s="28" t="e">
        <f t="shared" si="30"/>
        <v>#N/A</v>
      </c>
    </row>
    <row r="2001" spans="1:3">
      <c r="A2001" s="11">
        <v>8210201010</v>
      </c>
      <c r="B2001" s="20" t="s">
        <v>3179</v>
      </c>
      <c r="C2001" s="28" t="e">
        <f t="shared" si="30"/>
        <v>#N/A</v>
      </c>
    </row>
    <row r="2002" spans="1:3">
      <c r="A2002" s="11">
        <v>8220201010</v>
      </c>
      <c r="B2002" s="20" t="s">
        <v>1484</v>
      </c>
      <c r="C2002" s="28">
        <f t="shared" si="30"/>
        <v>4202001505</v>
      </c>
    </row>
    <row r="2003" spans="1:3">
      <c r="A2003" s="11">
        <v>8200150000</v>
      </c>
      <c r="B2003" s="20" t="s">
        <v>3180</v>
      </c>
      <c r="C2003" s="28" t="e">
        <f t="shared" si="30"/>
        <v>#N/A</v>
      </c>
    </row>
    <row r="2004" spans="1:3">
      <c r="A2004" s="11">
        <v>8480400000</v>
      </c>
      <c r="B2004" s="20" t="s">
        <v>3181</v>
      </c>
      <c r="C2004" s="28" t="e">
        <f t="shared" si="30"/>
        <v>#N/A</v>
      </c>
    </row>
    <row r="2005" spans="1:3">
      <c r="A2005" s="11">
        <v>8480300020</v>
      </c>
      <c r="B2005" s="20" t="s">
        <v>3182</v>
      </c>
      <c r="C2005" s="28" t="e">
        <f t="shared" si="30"/>
        <v>#N/A</v>
      </c>
    </row>
    <row r="2006" spans="1:3">
      <c r="A2006" s="11" t="s">
        <v>1497</v>
      </c>
      <c r="B2006" s="20" t="s">
        <v>3183</v>
      </c>
      <c r="C2006" s="28" t="e">
        <f t="shared" si="30"/>
        <v>#N/A</v>
      </c>
    </row>
    <row r="2007" spans="1:3">
      <c r="A2007" s="11">
        <v>8320101010</v>
      </c>
      <c r="B2007" s="20" t="s">
        <v>3184</v>
      </c>
      <c r="C2007" s="28" t="e">
        <f t="shared" si="30"/>
        <v>#N/A</v>
      </c>
    </row>
    <row r="2008" spans="1:3">
      <c r="A2008" s="11" t="s">
        <v>1497</v>
      </c>
      <c r="B2008" s="20" t="s">
        <v>3185</v>
      </c>
      <c r="C2008" s="28" t="e">
        <f t="shared" si="30"/>
        <v>#N/A</v>
      </c>
    </row>
    <row r="2009" spans="1:3">
      <c r="A2009" s="11" t="s">
        <v>1497</v>
      </c>
      <c r="B2009" s="20" t="s">
        <v>3186</v>
      </c>
      <c r="C2009" s="28" t="e">
        <f t="shared" si="30"/>
        <v>#N/A</v>
      </c>
    </row>
    <row r="2010" spans="1:3">
      <c r="A2010" s="11">
        <v>8320106010</v>
      </c>
      <c r="B2010" s="20" t="s">
        <v>3187</v>
      </c>
      <c r="C2010" s="28" t="e">
        <f t="shared" si="30"/>
        <v>#N/A</v>
      </c>
    </row>
    <row r="2011" spans="1:3">
      <c r="A2011" s="11">
        <v>6970000202</v>
      </c>
      <c r="B2011" s="20" t="s">
        <v>3188</v>
      </c>
      <c r="C2011" s="28" t="e">
        <f t="shared" si="30"/>
        <v>#N/A</v>
      </c>
    </row>
    <row r="2012" spans="1:3">
      <c r="A2012" s="11">
        <v>6970200050</v>
      </c>
      <c r="B2012" s="20" t="s">
        <v>3189</v>
      </c>
      <c r="C2012" s="28" t="e">
        <f t="shared" si="30"/>
        <v>#N/A</v>
      </c>
    </row>
    <row r="2013" spans="1:3">
      <c r="A2013" s="11">
        <v>6970100020</v>
      </c>
      <c r="B2013" s="20" t="s">
        <v>3190</v>
      </c>
      <c r="C2013" s="28" t="e">
        <f t="shared" si="30"/>
        <v>#N/A</v>
      </c>
    </row>
    <row r="2014" spans="1:3">
      <c r="A2014" s="11">
        <v>6010000012</v>
      </c>
      <c r="B2014" s="20" t="s">
        <v>3191</v>
      </c>
      <c r="C2014" s="28" t="e">
        <f t="shared" si="30"/>
        <v>#N/A</v>
      </c>
    </row>
    <row r="2015" spans="1:3">
      <c r="A2015" s="11">
        <v>6972000000</v>
      </c>
      <c r="B2015" s="20" t="s">
        <v>3192</v>
      </c>
      <c r="C2015" s="28" t="e">
        <f t="shared" si="30"/>
        <v>#N/A</v>
      </c>
    </row>
    <row r="2016" spans="1:3">
      <c r="A2016" s="11">
        <v>7902001000</v>
      </c>
      <c r="B2016" s="20" t="s">
        <v>3193</v>
      </c>
      <c r="C2016" s="28" t="e">
        <f t="shared" si="30"/>
        <v>#N/A</v>
      </c>
    </row>
    <row r="2017" spans="1:3">
      <c r="A2017" s="11">
        <v>8470801010</v>
      </c>
      <c r="B2017" s="20" t="s">
        <v>3194</v>
      </c>
      <c r="C2017" s="28" t="e">
        <f t="shared" si="30"/>
        <v>#N/A</v>
      </c>
    </row>
    <row r="2018" spans="1:3">
      <c r="A2018" s="11">
        <v>6972200000</v>
      </c>
      <c r="B2018" s="20" t="s">
        <v>3195</v>
      </c>
      <c r="C2018" s="28" t="e">
        <f t="shared" si="30"/>
        <v>#N/A</v>
      </c>
    </row>
    <row r="2019" spans="1:3">
      <c r="A2019" s="11">
        <v>6972100000</v>
      </c>
      <c r="B2019" s="20" t="s">
        <v>3196</v>
      </c>
      <c r="C2019" s="28" t="e">
        <f t="shared" si="30"/>
        <v>#N/A</v>
      </c>
    </row>
    <row r="2020" spans="1:3">
      <c r="A2020" s="11">
        <v>8440101010</v>
      </c>
      <c r="B2020" s="20" t="s">
        <v>3197</v>
      </c>
      <c r="C2020" s="28" t="e">
        <f t="shared" si="30"/>
        <v>#N/A</v>
      </c>
    </row>
    <row r="2021" spans="1:3">
      <c r="A2021" s="11">
        <v>8470601020</v>
      </c>
      <c r="B2021" s="20" t="s">
        <v>3198</v>
      </c>
      <c r="C2021" s="28" t="e">
        <f t="shared" si="30"/>
        <v>#N/A</v>
      </c>
    </row>
    <row r="2022" spans="1:3">
      <c r="A2022" s="11">
        <v>8470601020</v>
      </c>
      <c r="B2022" s="20" t="s">
        <v>3199</v>
      </c>
      <c r="C2022" s="28" t="e">
        <f t="shared" si="30"/>
        <v>#N/A</v>
      </c>
    </row>
    <row r="2023" spans="1:3">
      <c r="A2023" s="11">
        <v>8440102010</v>
      </c>
      <c r="B2023" s="20" t="s">
        <v>3200</v>
      </c>
      <c r="C2023" s="28" t="e">
        <f t="shared" si="30"/>
        <v>#N/A</v>
      </c>
    </row>
    <row r="2024" spans="1:3">
      <c r="A2024" s="11">
        <v>8100401010</v>
      </c>
      <c r="B2024" s="20" t="s">
        <v>3201</v>
      </c>
      <c r="C2024" s="28" t="e">
        <f t="shared" si="30"/>
        <v>#N/A</v>
      </c>
    </row>
    <row r="2025" spans="1:3">
      <c r="A2025" s="11">
        <v>8100201010</v>
      </c>
      <c r="B2025" s="20" t="s">
        <v>3202</v>
      </c>
      <c r="C2025" s="28" t="e">
        <f t="shared" si="30"/>
        <v>#N/A</v>
      </c>
    </row>
    <row r="2026" spans="1:3">
      <c r="A2026" s="11">
        <v>8110101010</v>
      </c>
      <c r="B2026" s="20" t="s">
        <v>3203</v>
      </c>
      <c r="C2026" s="28" t="e">
        <f t="shared" ref="C2026:C2089" si="31">VLOOKUP(B2026,F:G,2,0)</f>
        <v>#N/A</v>
      </c>
    </row>
    <row r="2027" spans="1:3">
      <c r="A2027" s="11">
        <v>8430201010</v>
      </c>
      <c r="B2027" s="20" t="s">
        <v>3204</v>
      </c>
      <c r="C2027" s="28" t="e">
        <f t="shared" si="31"/>
        <v>#N/A</v>
      </c>
    </row>
    <row r="2028" spans="1:3">
      <c r="A2028" s="11">
        <v>8430401010</v>
      </c>
      <c r="B2028" s="20" t="s">
        <v>3205</v>
      </c>
      <c r="C2028" s="28" t="e">
        <f t="shared" si="31"/>
        <v>#N/A</v>
      </c>
    </row>
    <row r="2029" spans="1:3">
      <c r="A2029" s="11">
        <v>8470301010</v>
      </c>
      <c r="B2029" s="20" t="s">
        <v>3206</v>
      </c>
      <c r="C2029" s="28" t="e">
        <f t="shared" si="31"/>
        <v>#N/A</v>
      </c>
    </row>
    <row r="2030" spans="1:3">
      <c r="A2030" s="11">
        <v>8450601010</v>
      </c>
      <c r="B2030" s="20" t="s">
        <v>3207</v>
      </c>
      <c r="C2030" s="28" t="e">
        <f t="shared" si="31"/>
        <v>#N/A</v>
      </c>
    </row>
    <row r="2031" spans="1:3">
      <c r="A2031" s="11">
        <v>8110102010</v>
      </c>
      <c r="B2031" s="20" t="s">
        <v>3208</v>
      </c>
      <c r="C2031" s="28" t="e">
        <f t="shared" si="31"/>
        <v>#N/A</v>
      </c>
    </row>
    <row r="2032" spans="1:3">
      <c r="A2032" s="11">
        <v>8470901070</v>
      </c>
      <c r="B2032" s="20" t="s">
        <v>3209</v>
      </c>
      <c r="C2032" s="28" t="e">
        <f t="shared" si="31"/>
        <v>#N/A</v>
      </c>
    </row>
    <row r="2033" spans="1:3">
      <c r="A2033" s="11">
        <v>8410103010</v>
      </c>
      <c r="B2033" s="20" t="s">
        <v>3210</v>
      </c>
      <c r="C2033" s="28" t="e">
        <f t="shared" si="31"/>
        <v>#N/A</v>
      </c>
    </row>
    <row r="2034" spans="1:3">
      <c r="A2034" s="11">
        <v>8430101010</v>
      </c>
      <c r="B2034" s="20" t="s">
        <v>3211</v>
      </c>
      <c r="C2034" s="28" t="e">
        <f t="shared" si="31"/>
        <v>#N/A</v>
      </c>
    </row>
    <row r="2035" spans="1:3">
      <c r="A2035" s="11">
        <v>6970000203</v>
      </c>
      <c r="B2035" s="20" t="s">
        <v>3212</v>
      </c>
      <c r="C2035" s="28" t="e">
        <f t="shared" si="31"/>
        <v>#N/A</v>
      </c>
    </row>
    <row r="2036" spans="1:3">
      <c r="A2036" s="11">
        <v>6970200003</v>
      </c>
      <c r="B2036" s="20" t="s">
        <v>3213</v>
      </c>
      <c r="C2036" s="28" t="e">
        <f t="shared" si="31"/>
        <v>#N/A</v>
      </c>
    </row>
    <row r="2037" spans="1:3">
      <c r="A2037" s="11">
        <v>8450101010</v>
      </c>
      <c r="B2037" s="20" t="s">
        <v>3214</v>
      </c>
      <c r="C2037" s="28" t="e">
        <f t="shared" si="31"/>
        <v>#N/A</v>
      </c>
    </row>
    <row r="2038" spans="1:3">
      <c r="A2038" s="11">
        <v>7902009010</v>
      </c>
      <c r="B2038" s="20" t="s">
        <v>3215</v>
      </c>
      <c r="C2038" s="28" t="e">
        <f t="shared" si="31"/>
        <v>#N/A</v>
      </c>
    </row>
    <row r="2039" spans="1:3">
      <c r="A2039" s="11">
        <v>8100301010</v>
      </c>
      <c r="B2039" s="20" t="s">
        <v>3216</v>
      </c>
      <c r="C2039" s="28" t="e">
        <f t="shared" si="31"/>
        <v>#N/A</v>
      </c>
    </row>
    <row r="2040" spans="1:3">
      <c r="A2040" s="11">
        <v>8450301010</v>
      </c>
      <c r="B2040" s="20" t="s">
        <v>3217</v>
      </c>
      <c r="C2040" s="28" t="e">
        <f t="shared" si="31"/>
        <v>#N/A</v>
      </c>
    </row>
    <row r="2041" spans="1:3">
      <c r="A2041" s="11">
        <v>7900000000</v>
      </c>
      <c r="B2041" s="20" t="s">
        <v>3218</v>
      </c>
      <c r="C2041" s="28" t="e">
        <f t="shared" si="31"/>
        <v>#N/A</v>
      </c>
    </row>
    <row r="2042" spans="1:3">
      <c r="A2042" s="11">
        <v>7900001500</v>
      </c>
      <c r="B2042" s="20" t="s">
        <v>3218</v>
      </c>
      <c r="C2042" s="28" t="e">
        <f t="shared" si="31"/>
        <v>#N/A</v>
      </c>
    </row>
    <row r="2043" spans="1:3">
      <c r="A2043" s="11" t="s">
        <v>1497</v>
      </c>
      <c r="B2043" s="20" t="s">
        <v>3219</v>
      </c>
      <c r="C2043" s="28" t="e">
        <f t="shared" si="31"/>
        <v>#N/A</v>
      </c>
    </row>
    <row r="2044" spans="1:3">
      <c r="A2044" s="11">
        <v>7900001500</v>
      </c>
      <c r="B2044" s="20" t="s">
        <v>3220</v>
      </c>
      <c r="C2044" s="28" t="e">
        <f t="shared" si="31"/>
        <v>#N/A</v>
      </c>
    </row>
    <row r="2045" spans="1:3">
      <c r="A2045" s="11">
        <v>7900000010</v>
      </c>
      <c r="B2045" s="20" t="s">
        <v>3221</v>
      </c>
      <c r="C2045" s="28" t="e">
        <f t="shared" si="31"/>
        <v>#N/A</v>
      </c>
    </row>
    <row r="2046" spans="1:3">
      <c r="A2046" s="11">
        <v>8470501010</v>
      </c>
      <c r="B2046" s="20" t="s">
        <v>3222</v>
      </c>
      <c r="C2046" s="28" t="e">
        <f t="shared" si="31"/>
        <v>#N/A</v>
      </c>
    </row>
    <row r="2047" spans="1:3">
      <c r="A2047" s="11">
        <v>8460101051</v>
      </c>
      <c r="B2047" s="20" t="s">
        <v>3223</v>
      </c>
      <c r="C2047" s="28" t="e">
        <f t="shared" si="31"/>
        <v>#N/A</v>
      </c>
    </row>
    <row r="2048" spans="1:3">
      <c r="A2048" s="11">
        <v>8470302010</v>
      </c>
      <c r="B2048" s="20" t="s">
        <v>3224</v>
      </c>
      <c r="C2048" s="28" t="e">
        <f t="shared" si="31"/>
        <v>#N/A</v>
      </c>
    </row>
    <row r="2049" spans="1:3">
      <c r="A2049" s="11" t="s">
        <v>1497</v>
      </c>
      <c r="B2049" s="20" t="s">
        <v>3225</v>
      </c>
      <c r="C2049" s="28" t="e">
        <f t="shared" si="31"/>
        <v>#N/A</v>
      </c>
    </row>
    <row r="2050" spans="1:3">
      <c r="A2050" s="11" t="s">
        <v>1497</v>
      </c>
      <c r="B2050" s="20" t="s">
        <v>3226</v>
      </c>
      <c r="C2050" s="28" t="e">
        <f t="shared" si="31"/>
        <v>#N/A</v>
      </c>
    </row>
    <row r="2051" spans="1:3">
      <c r="A2051" s="11">
        <v>8320211011</v>
      </c>
      <c r="B2051" s="20" t="s">
        <v>3227</v>
      </c>
      <c r="C2051" s="28" t="e">
        <f t="shared" si="31"/>
        <v>#N/A</v>
      </c>
    </row>
    <row r="2052" spans="1:3">
      <c r="A2052" s="11">
        <v>6910000167</v>
      </c>
      <c r="B2052" s="20" t="s">
        <v>3228</v>
      </c>
      <c r="C2052" s="28" t="e">
        <f t="shared" si="31"/>
        <v>#N/A</v>
      </c>
    </row>
    <row r="2053" spans="1:3">
      <c r="A2053" s="11">
        <v>6970000010</v>
      </c>
      <c r="B2053" s="20" t="s">
        <v>3229</v>
      </c>
      <c r="C2053" s="28" t="e">
        <f t="shared" si="31"/>
        <v>#N/A</v>
      </c>
    </row>
    <row r="2054" spans="1:3">
      <c r="A2054" s="11">
        <v>6010000013</v>
      </c>
      <c r="B2054" s="20" t="s">
        <v>3230</v>
      </c>
      <c r="C2054" s="28" t="e">
        <f t="shared" si="31"/>
        <v>#N/A</v>
      </c>
    </row>
    <row r="2055" spans="1:3">
      <c r="A2055" s="11">
        <v>8470904020</v>
      </c>
      <c r="B2055" s="20" t="s">
        <v>3231</v>
      </c>
      <c r="C2055" s="28" t="e">
        <f t="shared" si="31"/>
        <v>#N/A</v>
      </c>
    </row>
    <row r="2056" spans="1:3">
      <c r="A2056" s="11">
        <v>8450501014</v>
      </c>
      <c r="B2056" s="20" t="s">
        <v>3232</v>
      </c>
      <c r="C2056" s="28" t="e">
        <f t="shared" si="31"/>
        <v>#N/A</v>
      </c>
    </row>
    <row r="2057" spans="1:3">
      <c r="A2057" s="11">
        <v>8450001030</v>
      </c>
      <c r="B2057" s="20" t="s">
        <v>3233</v>
      </c>
      <c r="C2057" s="28" t="e">
        <f t="shared" si="31"/>
        <v>#N/A</v>
      </c>
    </row>
    <row r="2058" spans="1:3">
      <c r="A2058" s="11">
        <v>8450010000</v>
      </c>
      <c r="B2058" s="20" t="s">
        <v>3234</v>
      </c>
      <c r="C2058" s="28" t="e">
        <f t="shared" si="31"/>
        <v>#N/A</v>
      </c>
    </row>
    <row r="2059" spans="1:3">
      <c r="A2059" s="11">
        <v>6956020020</v>
      </c>
      <c r="B2059" s="20" t="s">
        <v>3235</v>
      </c>
      <c r="C2059" s="28" t="e">
        <f t="shared" si="31"/>
        <v>#N/A</v>
      </c>
    </row>
    <row r="2060" spans="1:3">
      <c r="A2060" s="11">
        <v>8320211010</v>
      </c>
      <c r="B2060" s="20" t="s">
        <v>3236</v>
      </c>
      <c r="C2060" s="28" t="e">
        <f t="shared" si="31"/>
        <v>#N/A</v>
      </c>
    </row>
    <row r="2061" spans="1:3">
      <c r="A2061" s="11">
        <v>8320305010</v>
      </c>
      <c r="B2061" s="20" t="s">
        <v>3237</v>
      </c>
      <c r="C2061" s="28" t="e">
        <f t="shared" si="31"/>
        <v>#N/A</v>
      </c>
    </row>
    <row r="2062" spans="1:3">
      <c r="A2062" s="11" t="s">
        <v>1497</v>
      </c>
      <c r="B2062" s="20" t="s">
        <v>3238</v>
      </c>
      <c r="C2062" s="28" t="e">
        <f t="shared" si="31"/>
        <v>#N/A</v>
      </c>
    </row>
    <row r="2063" spans="1:3">
      <c r="A2063" s="11">
        <v>8320305010</v>
      </c>
      <c r="B2063" s="20" t="s">
        <v>3239</v>
      </c>
      <c r="C2063" s="28" t="e">
        <f t="shared" si="31"/>
        <v>#N/A</v>
      </c>
    </row>
    <row r="2064" spans="1:3">
      <c r="A2064" s="11">
        <v>8320305010</v>
      </c>
      <c r="B2064" s="20" t="s">
        <v>3240</v>
      </c>
      <c r="C2064" s="28" t="e">
        <f t="shared" si="31"/>
        <v>#N/A</v>
      </c>
    </row>
    <row r="2065" spans="1:3">
      <c r="A2065" s="11">
        <v>8320305010</v>
      </c>
      <c r="B2065" s="20" t="s">
        <v>3241</v>
      </c>
      <c r="C2065" s="28" t="e">
        <f t="shared" si="31"/>
        <v>#N/A</v>
      </c>
    </row>
    <row r="2066" spans="1:3">
      <c r="A2066" s="11">
        <v>6910200167</v>
      </c>
      <c r="B2066" s="20" t="s">
        <v>3242</v>
      </c>
      <c r="C2066" s="28" t="e">
        <f t="shared" si="31"/>
        <v>#N/A</v>
      </c>
    </row>
    <row r="2067" spans="1:3">
      <c r="A2067" s="11">
        <v>6956220020</v>
      </c>
      <c r="B2067" s="20" t="s">
        <v>3243</v>
      </c>
      <c r="C2067" s="28" t="e">
        <f t="shared" si="31"/>
        <v>#N/A</v>
      </c>
    </row>
    <row r="2068" spans="1:3">
      <c r="A2068" s="11" t="s">
        <v>1497</v>
      </c>
      <c r="B2068" s="20" t="s">
        <v>3244</v>
      </c>
      <c r="C2068" s="28" t="e">
        <f t="shared" si="31"/>
        <v>#N/A</v>
      </c>
    </row>
    <row r="2069" spans="1:3">
      <c r="A2069" s="11">
        <v>8450020000</v>
      </c>
      <c r="B2069" s="20" t="s">
        <v>3245</v>
      </c>
      <c r="C2069" s="28" t="e">
        <f t="shared" si="31"/>
        <v>#N/A</v>
      </c>
    </row>
    <row r="2070" spans="1:3">
      <c r="A2070" s="11">
        <v>8450010000</v>
      </c>
      <c r="B2070" s="20" t="s">
        <v>3246</v>
      </c>
      <c r="C2070" s="28" t="e">
        <f t="shared" si="31"/>
        <v>#N/A</v>
      </c>
    </row>
    <row r="2071" spans="1:3">
      <c r="A2071" s="11" t="s">
        <v>1497</v>
      </c>
      <c r="B2071" s="20" t="s">
        <v>3247</v>
      </c>
      <c r="C2071" s="28" t="e">
        <f t="shared" si="31"/>
        <v>#N/A</v>
      </c>
    </row>
    <row r="2072" spans="1:3">
      <c r="A2072" s="11">
        <v>6600100081</v>
      </c>
      <c r="B2072" s="20" t="s">
        <v>3248</v>
      </c>
      <c r="C2072" s="28" t="e">
        <f t="shared" si="31"/>
        <v>#N/A</v>
      </c>
    </row>
    <row r="2073" spans="1:3">
      <c r="A2073" s="11">
        <v>8470901080</v>
      </c>
      <c r="B2073" s="20" t="s">
        <v>3249</v>
      </c>
      <c r="C2073" s="28" t="e">
        <f t="shared" si="31"/>
        <v>#N/A</v>
      </c>
    </row>
    <row r="2074" spans="1:3">
      <c r="A2074" s="11">
        <v>8450001060</v>
      </c>
      <c r="B2074" s="20" t="s">
        <v>3250</v>
      </c>
      <c r="C2074" s="28" t="e">
        <f t="shared" si="31"/>
        <v>#N/A</v>
      </c>
    </row>
    <row r="2075" spans="1:3">
      <c r="A2075" s="11">
        <v>6970200020</v>
      </c>
      <c r="B2075" s="20" t="s">
        <v>3251</v>
      </c>
      <c r="C2075" s="28" t="e">
        <f t="shared" si="31"/>
        <v>#N/A</v>
      </c>
    </row>
    <row r="2076" spans="1:3">
      <c r="A2076" s="11">
        <v>6972000010</v>
      </c>
      <c r="B2076" s="20" t="s">
        <v>3252</v>
      </c>
      <c r="C2076" s="28" t="e">
        <f t="shared" si="31"/>
        <v>#N/A</v>
      </c>
    </row>
    <row r="2077" spans="1:3">
      <c r="A2077" s="11">
        <v>6972200010</v>
      </c>
      <c r="B2077" s="20" t="s">
        <v>3253</v>
      </c>
      <c r="C2077" s="28" t="e">
        <f t="shared" si="31"/>
        <v>#N/A</v>
      </c>
    </row>
    <row r="2078" spans="1:3">
      <c r="A2078" s="11">
        <v>8701000000</v>
      </c>
      <c r="B2078" s="20" t="s">
        <v>3254</v>
      </c>
      <c r="C2078" s="28" t="e">
        <f t="shared" si="31"/>
        <v>#N/A</v>
      </c>
    </row>
    <row r="2079" spans="1:3">
      <c r="A2079" s="11">
        <v>8450040000</v>
      </c>
      <c r="B2079" s="20" t="s">
        <v>3255</v>
      </c>
      <c r="C2079" s="28" t="e">
        <f t="shared" si="31"/>
        <v>#N/A</v>
      </c>
    </row>
    <row r="2080" spans="1:3">
      <c r="A2080" s="11">
        <v>6010000070</v>
      </c>
      <c r="B2080" s="20" t="s">
        <v>3256</v>
      </c>
      <c r="C2080" s="28" t="e">
        <f t="shared" si="31"/>
        <v>#N/A</v>
      </c>
    </row>
    <row r="2081" spans="1:3">
      <c r="A2081" s="11">
        <v>8450501015</v>
      </c>
      <c r="B2081" s="20" t="s">
        <v>3257</v>
      </c>
      <c r="C2081" s="28" t="e">
        <f t="shared" si="31"/>
        <v>#N/A</v>
      </c>
    </row>
    <row r="2082" spans="1:3">
      <c r="A2082" s="11" t="s">
        <v>1497</v>
      </c>
      <c r="B2082" s="20" t="s">
        <v>3258</v>
      </c>
      <c r="C2082" s="28" t="e">
        <f t="shared" si="31"/>
        <v>#N/A</v>
      </c>
    </row>
    <row r="2083" spans="1:3">
      <c r="A2083" s="11" t="s">
        <v>1497</v>
      </c>
      <c r="B2083" s="20" t="s">
        <v>3259</v>
      </c>
      <c r="C2083" s="28" t="e">
        <f t="shared" si="31"/>
        <v>#N/A</v>
      </c>
    </row>
    <row r="2084" spans="1:3">
      <c r="A2084" s="11">
        <v>8460101052</v>
      </c>
      <c r="B2084" s="20" t="s">
        <v>3260</v>
      </c>
      <c r="C2084" s="28" t="e">
        <f t="shared" si="31"/>
        <v>#N/A</v>
      </c>
    </row>
    <row r="2085" spans="1:3">
      <c r="A2085" s="11">
        <v>6970000200</v>
      </c>
      <c r="B2085" s="20" t="s">
        <v>3261</v>
      </c>
      <c r="C2085" s="28" t="e">
        <f t="shared" si="31"/>
        <v>#N/A</v>
      </c>
    </row>
    <row r="2086" spans="1:3">
      <c r="A2086" s="11">
        <v>6970100200</v>
      </c>
      <c r="B2086" s="20" t="s">
        <v>3262</v>
      </c>
      <c r="C2086" s="28" t="e">
        <f t="shared" si="31"/>
        <v>#N/A</v>
      </c>
    </row>
    <row r="2087" spans="1:3">
      <c r="A2087" s="11">
        <v>6970200200</v>
      </c>
      <c r="B2087" s="20" t="s">
        <v>3263</v>
      </c>
      <c r="C2087" s="28" t="e">
        <f t="shared" si="31"/>
        <v>#N/A</v>
      </c>
    </row>
    <row r="2088" spans="1:3">
      <c r="A2088" s="11">
        <v>6970200080</v>
      </c>
      <c r="B2088" s="20" t="s">
        <v>3264</v>
      </c>
      <c r="C2088" s="28" t="e">
        <f t="shared" si="31"/>
        <v>#N/A</v>
      </c>
    </row>
    <row r="2089" spans="1:3">
      <c r="A2089" s="11">
        <v>8460101053</v>
      </c>
      <c r="B2089" s="20" t="s">
        <v>3265</v>
      </c>
      <c r="C2089" s="28" t="e">
        <f t="shared" si="31"/>
        <v>#N/A</v>
      </c>
    </row>
    <row r="2090" spans="1:3">
      <c r="A2090" s="11">
        <v>6970000600</v>
      </c>
      <c r="B2090" s="20" t="s">
        <v>3266</v>
      </c>
      <c r="C2090" s="28" t="e">
        <f t="shared" ref="C2090:C2153" si="32">VLOOKUP(B2090,F:G,2,0)</f>
        <v>#N/A</v>
      </c>
    </row>
    <row r="2091" spans="1:3">
      <c r="A2091" s="11">
        <v>6970100600</v>
      </c>
      <c r="B2091" s="20" t="s">
        <v>3267</v>
      </c>
      <c r="C2091" s="28" t="e">
        <f t="shared" si="32"/>
        <v>#N/A</v>
      </c>
    </row>
    <row r="2092" spans="1:3">
      <c r="A2092" s="11">
        <v>6970200600</v>
      </c>
      <c r="B2092" s="20" t="s">
        <v>3268</v>
      </c>
      <c r="C2092" s="28" t="e">
        <f t="shared" si="32"/>
        <v>#N/A</v>
      </c>
    </row>
    <row r="2093" spans="1:3">
      <c r="A2093" s="11" t="s">
        <v>1497</v>
      </c>
      <c r="B2093" s="20" t="s">
        <v>3269</v>
      </c>
      <c r="C2093" s="28" t="e">
        <f t="shared" si="32"/>
        <v>#N/A</v>
      </c>
    </row>
    <row r="2094" spans="1:3">
      <c r="A2094" s="11" t="s">
        <v>1497</v>
      </c>
      <c r="B2094" s="20" t="s">
        <v>3270</v>
      </c>
      <c r="C2094" s="28" t="e">
        <f t="shared" si="32"/>
        <v>#N/A</v>
      </c>
    </row>
    <row r="2095" spans="1:3">
      <c r="A2095" s="11" t="s">
        <v>1497</v>
      </c>
      <c r="B2095" s="20" t="s">
        <v>3271</v>
      </c>
      <c r="C2095" s="28" t="e">
        <f t="shared" si="32"/>
        <v>#N/A</v>
      </c>
    </row>
    <row r="2096" spans="1:3">
      <c r="A2096" s="11">
        <v>8450501016</v>
      </c>
      <c r="B2096" s="20" t="s">
        <v>3272</v>
      </c>
      <c r="C2096" s="28" t="e">
        <f t="shared" si="32"/>
        <v>#N/A</v>
      </c>
    </row>
    <row r="2097" spans="1:3">
      <c r="A2097" s="11">
        <v>6901030000</v>
      </c>
      <c r="B2097" s="20" t="s">
        <v>3273</v>
      </c>
      <c r="C2097" s="28" t="e">
        <f t="shared" si="32"/>
        <v>#N/A</v>
      </c>
    </row>
    <row r="2098" spans="1:3">
      <c r="A2098" s="11">
        <v>8450501017</v>
      </c>
      <c r="B2098" s="20" t="s">
        <v>3274</v>
      </c>
      <c r="C2098" s="28" t="e">
        <f t="shared" si="32"/>
        <v>#N/A</v>
      </c>
    </row>
    <row r="2099" spans="1:3">
      <c r="A2099" s="11">
        <v>6602100000</v>
      </c>
      <c r="B2099" s="20" t="s">
        <v>3275</v>
      </c>
      <c r="C2099" s="28" t="e">
        <f t="shared" si="32"/>
        <v>#N/A</v>
      </c>
    </row>
    <row r="2100" spans="1:3">
      <c r="A2100" s="11">
        <v>5022010000</v>
      </c>
      <c r="B2100" s="20" t="s">
        <v>3276</v>
      </c>
      <c r="C2100" s="28" t="e">
        <f t="shared" si="32"/>
        <v>#N/A</v>
      </c>
    </row>
    <row r="2101" spans="1:3">
      <c r="A2101" s="11">
        <v>5022110000</v>
      </c>
      <c r="B2101" s="20" t="s">
        <v>3276</v>
      </c>
      <c r="C2101" s="28" t="e">
        <f t="shared" si="32"/>
        <v>#N/A</v>
      </c>
    </row>
    <row r="2102" spans="1:3">
      <c r="A2102" s="11">
        <v>5022210000</v>
      </c>
      <c r="B2102" s="20" t="s">
        <v>3276</v>
      </c>
      <c r="C2102" s="28" t="e">
        <f t="shared" si="32"/>
        <v>#N/A</v>
      </c>
    </row>
    <row r="2103" spans="1:3">
      <c r="A2103" s="11">
        <v>8470501020</v>
      </c>
      <c r="B2103" s="20" t="s">
        <v>3277</v>
      </c>
      <c r="C2103" s="28" t="e">
        <f t="shared" si="32"/>
        <v>#N/A</v>
      </c>
    </row>
    <row r="2104" spans="1:3">
      <c r="A2104" s="11">
        <v>7043900000</v>
      </c>
      <c r="B2104" s="20" t="s">
        <v>3278</v>
      </c>
      <c r="C2104" s="28" t="e">
        <f t="shared" si="32"/>
        <v>#N/A</v>
      </c>
    </row>
    <row r="2105" spans="1:3">
      <c r="A2105" s="11">
        <v>7043910000</v>
      </c>
      <c r="B2105" s="20" t="s">
        <v>3278</v>
      </c>
      <c r="C2105" s="28" t="e">
        <f t="shared" si="32"/>
        <v>#N/A</v>
      </c>
    </row>
    <row r="2106" spans="1:3">
      <c r="A2106" s="11">
        <v>7043901500</v>
      </c>
      <c r="B2106" s="20" t="s">
        <v>3278</v>
      </c>
      <c r="C2106" s="28" t="e">
        <f t="shared" si="32"/>
        <v>#N/A</v>
      </c>
    </row>
    <row r="2107" spans="1:3">
      <c r="A2107" s="11" t="s">
        <v>1497</v>
      </c>
      <c r="B2107" s="20" t="s">
        <v>3279</v>
      </c>
      <c r="C2107" s="28" t="e">
        <f t="shared" si="32"/>
        <v>#N/A</v>
      </c>
    </row>
    <row r="2108" spans="1:3">
      <c r="A2108" s="11" t="s">
        <v>1497</v>
      </c>
      <c r="B2108" s="20" t="s">
        <v>3280</v>
      </c>
      <c r="C2108" s="28" t="e">
        <f t="shared" si="32"/>
        <v>#N/A</v>
      </c>
    </row>
    <row r="2109" spans="1:3">
      <c r="A2109" s="11">
        <v>7902001050</v>
      </c>
      <c r="B2109" s="20" t="s">
        <v>3281</v>
      </c>
      <c r="C2109" s="28" t="e">
        <f t="shared" si="32"/>
        <v>#N/A</v>
      </c>
    </row>
    <row r="2110" spans="1:3">
      <c r="A2110" s="11">
        <v>7043920000</v>
      </c>
      <c r="B2110" s="20" t="s">
        <v>3282</v>
      </c>
      <c r="C2110" s="28" t="e">
        <f t="shared" si="32"/>
        <v>#N/A</v>
      </c>
    </row>
    <row r="2111" spans="1:3">
      <c r="A2111" s="11">
        <v>7043930000</v>
      </c>
      <c r="B2111" s="20" t="s">
        <v>3282</v>
      </c>
      <c r="C2111" s="28" t="e">
        <f t="shared" si="32"/>
        <v>#N/A</v>
      </c>
    </row>
    <row r="2112" spans="1:3">
      <c r="A2112" s="11" t="s">
        <v>1497</v>
      </c>
      <c r="B2112" s="20" t="s">
        <v>3283</v>
      </c>
      <c r="C2112" s="28" t="e">
        <f t="shared" si="32"/>
        <v>#N/A</v>
      </c>
    </row>
    <row r="2113" spans="1:3">
      <c r="A2113" s="11">
        <v>6600100071</v>
      </c>
      <c r="B2113" s="20" t="s">
        <v>3284</v>
      </c>
      <c r="C2113" s="28" t="e">
        <f t="shared" si="32"/>
        <v>#N/A</v>
      </c>
    </row>
    <row r="2114" spans="1:3">
      <c r="A2114" s="11">
        <v>8700001030</v>
      </c>
      <c r="B2114" s="20" t="s">
        <v>3285</v>
      </c>
      <c r="C2114" s="28" t="e">
        <f t="shared" si="32"/>
        <v>#N/A</v>
      </c>
    </row>
    <row r="2115" spans="1:3">
      <c r="A2115" s="11">
        <v>6600100060</v>
      </c>
      <c r="B2115" s="20" t="s">
        <v>3286</v>
      </c>
      <c r="C2115" s="28" t="e">
        <f t="shared" si="32"/>
        <v>#N/A</v>
      </c>
    </row>
    <row r="2116" spans="1:3">
      <c r="A2116" s="11">
        <v>7902001060</v>
      </c>
      <c r="B2116" s="20" t="s">
        <v>3287</v>
      </c>
      <c r="C2116" s="28" t="e">
        <f t="shared" si="32"/>
        <v>#N/A</v>
      </c>
    </row>
    <row r="2117" spans="1:3">
      <c r="A2117" s="11">
        <v>7902001061</v>
      </c>
      <c r="B2117" s="20" t="s">
        <v>3288</v>
      </c>
      <c r="C2117" s="28" t="e">
        <f t="shared" si="32"/>
        <v>#N/A</v>
      </c>
    </row>
    <row r="2118" spans="1:3">
      <c r="A2118" s="11">
        <v>5000000001</v>
      </c>
      <c r="B2118" s="20" t="s">
        <v>3289</v>
      </c>
      <c r="C2118" s="28" t="e">
        <f t="shared" si="32"/>
        <v>#N/A</v>
      </c>
    </row>
    <row r="2119" spans="1:3">
      <c r="A2119" s="11">
        <v>5000100001</v>
      </c>
      <c r="B2119" s="20" t="s">
        <v>3290</v>
      </c>
      <c r="C2119" s="28" t="e">
        <f t="shared" si="32"/>
        <v>#N/A</v>
      </c>
    </row>
    <row r="2120" spans="1:3">
      <c r="A2120" s="11">
        <v>5000200003</v>
      </c>
      <c r="B2120" s="20" t="s">
        <v>3291</v>
      </c>
      <c r="C2120" s="28" t="e">
        <f t="shared" si="32"/>
        <v>#N/A</v>
      </c>
    </row>
    <row r="2121" spans="1:3">
      <c r="A2121" s="11">
        <v>5000200010</v>
      </c>
      <c r="B2121" s="20" t="s">
        <v>3292</v>
      </c>
      <c r="C2121" s="28" t="e">
        <f t="shared" si="32"/>
        <v>#N/A</v>
      </c>
    </row>
    <row r="2122" spans="1:3">
      <c r="A2122" s="11" t="s">
        <v>1497</v>
      </c>
      <c r="B2122" s="20" t="s">
        <v>3293</v>
      </c>
      <c r="C2122" s="28" t="e">
        <f t="shared" si="32"/>
        <v>#N/A</v>
      </c>
    </row>
    <row r="2123" spans="1:3">
      <c r="A2123" s="11">
        <v>5920000070</v>
      </c>
      <c r="B2123" s="20" t="s">
        <v>3294</v>
      </c>
      <c r="C2123" s="28" t="e">
        <f t="shared" si="32"/>
        <v>#N/A</v>
      </c>
    </row>
    <row r="2124" spans="1:3">
      <c r="A2124" s="11" t="s">
        <v>1497</v>
      </c>
      <c r="B2124" s="20" t="s">
        <v>3295</v>
      </c>
      <c r="C2124" s="28" t="e">
        <f t="shared" si="32"/>
        <v>#N/A</v>
      </c>
    </row>
    <row r="2125" spans="1:3">
      <c r="A2125" s="11">
        <v>6600000030</v>
      </c>
      <c r="B2125" s="20" t="s">
        <v>3296</v>
      </c>
      <c r="C2125" s="28" t="e">
        <f t="shared" si="32"/>
        <v>#N/A</v>
      </c>
    </row>
    <row r="2126" spans="1:3">
      <c r="A2126" s="11">
        <v>6600100040</v>
      </c>
      <c r="B2126" s="20" t="s">
        <v>3297</v>
      </c>
      <c r="C2126" s="28" t="e">
        <f t="shared" si="32"/>
        <v>#N/A</v>
      </c>
    </row>
    <row r="2127" spans="1:3">
      <c r="A2127" s="11">
        <v>6600200030</v>
      </c>
      <c r="B2127" s="20" t="s">
        <v>3298</v>
      </c>
      <c r="C2127" s="28" t="e">
        <f t="shared" si="32"/>
        <v>#N/A</v>
      </c>
    </row>
    <row r="2128" spans="1:3">
      <c r="A2128" s="11" t="s">
        <v>1497</v>
      </c>
      <c r="B2128" s="20" t="s">
        <v>3299</v>
      </c>
      <c r="C2128" s="28" t="e">
        <f t="shared" si="32"/>
        <v>#N/A</v>
      </c>
    </row>
    <row r="2129" spans="1:3">
      <c r="A2129" s="11">
        <v>6600100050</v>
      </c>
      <c r="B2129" s="20" t="s">
        <v>3300</v>
      </c>
      <c r="C2129" s="28" t="e">
        <f t="shared" si="32"/>
        <v>#N/A</v>
      </c>
    </row>
    <row r="2130" spans="1:3">
      <c r="A2130" s="11" t="s">
        <v>1497</v>
      </c>
      <c r="B2130" s="20" t="s">
        <v>3301</v>
      </c>
      <c r="C2130" s="28" t="e">
        <f t="shared" si="32"/>
        <v>#N/A</v>
      </c>
    </row>
    <row r="2131" spans="1:3">
      <c r="A2131" s="11" t="s">
        <v>1497</v>
      </c>
      <c r="B2131" s="20" t="s">
        <v>3302</v>
      </c>
      <c r="C2131" s="28" t="e">
        <f t="shared" si="32"/>
        <v>#N/A</v>
      </c>
    </row>
    <row r="2132" spans="1:3">
      <c r="A2132" s="11">
        <v>6900200052</v>
      </c>
      <c r="B2132" s="20" t="s">
        <v>3303</v>
      </c>
      <c r="C2132" s="28" t="e">
        <f t="shared" si="32"/>
        <v>#N/A</v>
      </c>
    </row>
    <row r="2133" spans="1:3">
      <c r="A2133" s="11" t="s">
        <v>1497</v>
      </c>
      <c r="B2133" s="20" t="s">
        <v>3304</v>
      </c>
      <c r="C2133" s="28" t="e">
        <f t="shared" si="32"/>
        <v>#N/A</v>
      </c>
    </row>
    <row r="2134" spans="1:3">
      <c r="A2134" s="11">
        <v>6050100060</v>
      </c>
      <c r="B2134" s="20" t="s">
        <v>3305</v>
      </c>
      <c r="C2134" s="28" t="e">
        <f t="shared" si="32"/>
        <v>#N/A</v>
      </c>
    </row>
    <row r="2135" spans="1:3">
      <c r="A2135" s="11">
        <v>5920000001</v>
      </c>
      <c r="B2135" s="20" t="s">
        <v>3305</v>
      </c>
      <c r="C2135" s="28" t="e">
        <f t="shared" si="32"/>
        <v>#N/A</v>
      </c>
    </row>
    <row r="2136" spans="1:3">
      <c r="A2136" s="11">
        <v>6050100061</v>
      </c>
      <c r="B2136" s="20" t="s">
        <v>3306</v>
      </c>
      <c r="C2136" s="28" t="e">
        <f t="shared" si="32"/>
        <v>#N/A</v>
      </c>
    </row>
    <row r="2137" spans="1:3">
      <c r="A2137" s="11">
        <v>6050100062</v>
      </c>
      <c r="B2137" s="20" t="s">
        <v>3307</v>
      </c>
      <c r="C2137" s="28" t="e">
        <f t="shared" si="32"/>
        <v>#N/A</v>
      </c>
    </row>
    <row r="2138" spans="1:3">
      <c r="A2138" s="11" t="s">
        <v>1497</v>
      </c>
      <c r="B2138" s="20" t="s">
        <v>3308</v>
      </c>
      <c r="C2138" s="28" t="e">
        <f t="shared" si="32"/>
        <v>#N/A</v>
      </c>
    </row>
    <row r="2139" spans="1:3">
      <c r="A2139" s="11">
        <v>6050100063</v>
      </c>
      <c r="B2139" s="20" t="s">
        <v>3309</v>
      </c>
      <c r="C2139" s="28" t="e">
        <f t="shared" si="32"/>
        <v>#N/A</v>
      </c>
    </row>
    <row r="2140" spans="1:3">
      <c r="A2140" s="11">
        <v>6050100060</v>
      </c>
      <c r="B2140" s="20" t="s">
        <v>3310</v>
      </c>
      <c r="C2140" s="28" t="e">
        <f t="shared" si="32"/>
        <v>#N/A</v>
      </c>
    </row>
    <row r="2141" spans="1:3">
      <c r="A2141" s="11">
        <v>6100000060</v>
      </c>
      <c r="B2141" s="20" t="s">
        <v>3311</v>
      </c>
      <c r="C2141" s="28" t="e">
        <f t="shared" si="32"/>
        <v>#N/A</v>
      </c>
    </row>
    <row r="2142" spans="1:3">
      <c r="A2142" s="11">
        <v>6100000060</v>
      </c>
      <c r="B2142" s="20" t="s">
        <v>3312</v>
      </c>
      <c r="C2142" s="28" t="e">
        <f t="shared" si="32"/>
        <v>#N/A</v>
      </c>
    </row>
    <row r="2143" spans="1:3">
      <c r="A2143" s="11">
        <v>6100000060</v>
      </c>
      <c r="B2143" s="20" t="s">
        <v>3313</v>
      </c>
      <c r="C2143" s="28" t="e">
        <f t="shared" si="32"/>
        <v>#N/A</v>
      </c>
    </row>
    <row r="2144" spans="1:3">
      <c r="A2144" s="11">
        <v>6050200021</v>
      </c>
      <c r="B2144" s="20" t="s">
        <v>3314</v>
      </c>
      <c r="C2144" s="28" t="e">
        <f t="shared" si="32"/>
        <v>#N/A</v>
      </c>
    </row>
    <row r="2145" spans="1:3">
      <c r="A2145" s="11">
        <v>6050200028</v>
      </c>
      <c r="B2145" s="20" t="s">
        <v>3315</v>
      </c>
      <c r="C2145" s="28" t="e">
        <f t="shared" si="32"/>
        <v>#N/A</v>
      </c>
    </row>
    <row r="2146" spans="1:3">
      <c r="A2146" s="11">
        <v>6060110000</v>
      </c>
      <c r="B2146" s="20" t="s">
        <v>3316</v>
      </c>
      <c r="C2146" s="28" t="e">
        <f t="shared" si="32"/>
        <v>#N/A</v>
      </c>
    </row>
    <row r="2147" spans="1:3">
      <c r="A2147" s="11">
        <v>6100000061</v>
      </c>
      <c r="B2147" s="20" t="s">
        <v>3317</v>
      </c>
      <c r="C2147" s="28" t="e">
        <f t="shared" si="32"/>
        <v>#N/A</v>
      </c>
    </row>
    <row r="2148" spans="1:3">
      <c r="A2148" s="11" t="s">
        <v>1497</v>
      </c>
      <c r="B2148" s="20" t="s">
        <v>3318</v>
      </c>
      <c r="C2148" s="28" t="e">
        <f t="shared" si="32"/>
        <v>#N/A</v>
      </c>
    </row>
    <row r="2149" spans="1:3">
      <c r="A2149" s="11">
        <v>6070300000</v>
      </c>
      <c r="B2149" s="20" t="s">
        <v>3319</v>
      </c>
      <c r="C2149" s="28" t="e">
        <f t="shared" si="32"/>
        <v>#N/A</v>
      </c>
    </row>
    <row r="2150" spans="1:3">
      <c r="A2150" s="11">
        <v>6070100001</v>
      </c>
      <c r="B2150" s="20" t="s">
        <v>3320</v>
      </c>
      <c r="C2150" s="28" t="e">
        <f t="shared" si="32"/>
        <v>#N/A</v>
      </c>
    </row>
    <row r="2151" spans="1:3">
      <c r="A2151" s="11">
        <v>6070100002</v>
      </c>
      <c r="B2151" s="20" t="s">
        <v>3321</v>
      </c>
      <c r="C2151" s="28" t="e">
        <f t="shared" si="32"/>
        <v>#N/A</v>
      </c>
    </row>
    <row r="2152" spans="1:3">
      <c r="A2152" s="11">
        <v>6070100003</v>
      </c>
      <c r="B2152" s="20" t="s">
        <v>3322</v>
      </c>
      <c r="C2152" s="28" t="e">
        <f t="shared" si="32"/>
        <v>#N/A</v>
      </c>
    </row>
    <row r="2153" spans="1:3">
      <c r="A2153" s="11" t="s">
        <v>1497</v>
      </c>
      <c r="B2153" s="20" t="s">
        <v>3323</v>
      </c>
      <c r="C2153" s="28" t="e">
        <f t="shared" si="32"/>
        <v>#N/A</v>
      </c>
    </row>
    <row r="2154" spans="1:3">
      <c r="A2154" s="11">
        <v>6070300004</v>
      </c>
      <c r="B2154" s="20" t="s">
        <v>3324</v>
      </c>
      <c r="C2154" s="28" t="e">
        <f t="shared" ref="C2154:C2207" si="33">VLOOKUP(B2154,F:G,2,0)</f>
        <v>#N/A</v>
      </c>
    </row>
    <row r="2155" spans="1:3">
      <c r="A2155" s="11">
        <v>6150000000</v>
      </c>
      <c r="B2155" s="20" t="s">
        <v>3325</v>
      </c>
      <c r="C2155" s="28" t="e">
        <f t="shared" si="33"/>
        <v>#N/A</v>
      </c>
    </row>
    <row r="2156" spans="1:3">
      <c r="A2156" s="11" t="s">
        <v>1497</v>
      </c>
      <c r="B2156" s="20" t="s">
        <v>3326</v>
      </c>
      <c r="C2156" s="28" t="e">
        <f t="shared" si="33"/>
        <v>#N/A</v>
      </c>
    </row>
    <row r="2157" spans="1:3">
      <c r="A2157" s="11">
        <v>5920000071</v>
      </c>
      <c r="B2157" s="20" t="s">
        <v>3327</v>
      </c>
      <c r="C2157" s="28" t="e">
        <f t="shared" si="33"/>
        <v>#N/A</v>
      </c>
    </row>
    <row r="2158" spans="1:3">
      <c r="A2158" s="11" t="s">
        <v>1497</v>
      </c>
      <c r="B2158" s="20" t="s">
        <v>3328</v>
      </c>
      <c r="C2158" s="28" t="e">
        <f t="shared" si="33"/>
        <v>#N/A</v>
      </c>
    </row>
    <row r="2159" spans="1:3">
      <c r="A2159" s="11" t="s">
        <v>1497</v>
      </c>
      <c r="B2159" s="20" t="s">
        <v>3329</v>
      </c>
      <c r="C2159" s="28" t="e">
        <f t="shared" si="33"/>
        <v>#N/A</v>
      </c>
    </row>
    <row r="2160" spans="1:3">
      <c r="A2160" s="11">
        <v>6050100064</v>
      </c>
      <c r="B2160" s="20" t="s">
        <v>3330</v>
      </c>
      <c r="C2160" s="28" t="e">
        <f t="shared" si="33"/>
        <v>#N/A</v>
      </c>
    </row>
    <row r="2161" spans="1:3">
      <c r="A2161" s="11">
        <v>6070300005</v>
      </c>
      <c r="B2161" s="20" t="s">
        <v>3331</v>
      </c>
      <c r="C2161" s="28" t="e">
        <f t="shared" si="33"/>
        <v>#N/A</v>
      </c>
    </row>
    <row r="2162" spans="1:3">
      <c r="A2162" s="11">
        <v>6100000061</v>
      </c>
      <c r="B2162" s="20" t="s">
        <v>3332</v>
      </c>
      <c r="C2162" s="28" t="e">
        <f t="shared" si="33"/>
        <v>#N/A</v>
      </c>
    </row>
    <row r="2163" spans="1:3">
      <c r="A2163" s="11">
        <v>6180000020</v>
      </c>
      <c r="B2163" s="20" t="s">
        <v>3333</v>
      </c>
      <c r="C2163" s="28" t="e">
        <f t="shared" si="33"/>
        <v>#N/A</v>
      </c>
    </row>
    <row r="2164" spans="1:3">
      <c r="A2164" s="11">
        <v>6070100004</v>
      </c>
      <c r="B2164" s="20" t="s">
        <v>3334</v>
      </c>
      <c r="C2164" s="28" t="e">
        <f t="shared" si="33"/>
        <v>#N/A</v>
      </c>
    </row>
    <row r="2165" spans="1:3">
      <c r="A2165" s="11">
        <v>7590000000</v>
      </c>
      <c r="B2165" s="20" t="s">
        <v>3335</v>
      </c>
      <c r="C2165" s="28" t="e">
        <f t="shared" si="33"/>
        <v>#N/A</v>
      </c>
    </row>
    <row r="2166" spans="1:3">
      <c r="A2166" s="11">
        <v>8470101080</v>
      </c>
      <c r="B2166" s="20" t="s">
        <v>3336</v>
      </c>
      <c r="C2166" s="28" t="e">
        <f t="shared" si="33"/>
        <v>#N/A</v>
      </c>
    </row>
    <row r="2167" spans="1:3">
      <c r="A2167" s="11">
        <v>8470901050</v>
      </c>
      <c r="B2167" s="20" t="s">
        <v>3337</v>
      </c>
      <c r="C2167" s="28" t="e">
        <f t="shared" si="33"/>
        <v>#N/A</v>
      </c>
    </row>
    <row r="2168" spans="1:3">
      <c r="A2168" s="11">
        <v>8700002010</v>
      </c>
      <c r="B2168" s="20" t="s">
        <v>3338</v>
      </c>
      <c r="C2168" s="28" t="e">
        <f t="shared" si="33"/>
        <v>#N/A</v>
      </c>
    </row>
    <row r="2169" spans="1:3">
      <c r="A2169" s="11">
        <v>6010000080</v>
      </c>
      <c r="B2169" s="20" t="s">
        <v>3339</v>
      </c>
      <c r="C2169" s="28" t="e">
        <f t="shared" si="33"/>
        <v>#N/A</v>
      </c>
    </row>
    <row r="2170" spans="1:3">
      <c r="A2170" s="11">
        <v>6600100740</v>
      </c>
      <c r="B2170" s="20" t="s">
        <v>3340</v>
      </c>
      <c r="C2170" s="28" t="e">
        <f t="shared" si="33"/>
        <v>#N/A</v>
      </c>
    </row>
    <row r="2171" spans="1:3">
      <c r="A2171" s="11">
        <v>6050100210</v>
      </c>
      <c r="B2171" s="20" t="s">
        <v>3341</v>
      </c>
      <c r="C2171" s="28" t="e">
        <f t="shared" si="33"/>
        <v>#N/A</v>
      </c>
    </row>
    <row r="2172" spans="1:3">
      <c r="A2172" s="11">
        <v>6010000007</v>
      </c>
      <c r="B2172" s="20" t="s">
        <v>3342</v>
      </c>
      <c r="C2172" s="28" t="e">
        <f t="shared" si="33"/>
        <v>#N/A</v>
      </c>
    </row>
    <row r="2173" spans="1:3">
      <c r="A2173" s="11">
        <v>6050000041</v>
      </c>
      <c r="B2173" s="20" t="s">
        <v>3343</v>
      </c>
      <c r="C2173" s="28" t="e">
        <f t="shared" si="33"/>
        <v>#N/A</v>
      </c>
    </row>
    <row r="2174" spans="1:3">
      <c r="A2174" s="11">
        <v>6050100211</v>
      </c>
      <c r="B2174" s="20" t="s">
        <v>3344</v>
      </c>
      <c r="C2174" s="28" t="e">
        <f t="shared" si="33"/>
        <v>#N/A</v>
      </c>
    </row>
    <row r="2175" spans="1:3">
      <c r="A2175" s="11">
        <v>6050200030</v>
      </c>
      <c r="B2175" s="20" t="s">
        <v>3345</v>
      </c>
      <c r="C2175" s="28" t="e">
        <f t="shared" si="33"/>
        <v>#N/A</v>
      </c>
    </row>
    <row r="2176" spans="1:3">
      <c r="A2176" s="11">
        <v>6050000042</v>
      </c>
      <c r="B2176" s="20" t="s">
        <v>3346</v>
      </c>
      <c r="C2176" s="28" t="e">
        <f t="shared" si="33"/>
        <v>#N/A</v>
      </c>
    </row>
    <row r="2177" spans="1:3">
      <c r="A2177" s="11" t="s">
        <v>1497</v>
      </c>
      <c r="B2177" s="20" t="s">
        <v>3347</v>
      </c>
      <c r="C2177" s="28" t="e">
        <f t="shared" si="33"/>
        <v>#N/A</v>
      </c>
    </row>
    <row r="2178" spans="1:3">
      <c r="A2178" s="11">
        <v>6970000206</v>
      </c>
      <c r="B2178" s="20" t="s">
        <v>3348</v>
      </c>
      <c r="C2178" s="28" t="e">
        <f t="shared" si="33"/>
        <v>#N/A</v>
      </c>
    </row>
    <row r="2179" spans="1:3">
      <c r="A2179" s="11">
        <v>8810000000</v>
      </c>
      <c r="B2179" s="20" t="s">
        <v>3349</v>
      </c>
      <c r="C2179" s="28" t="e">
        <f t="shared" si="33"/>
        <v>#N/A</v>
      </c>
    </row>
    <row r="2180" spans="1:3">
      <c r="A2180" s="11">
        <v>8810100000</v>
      </c>
      <c r="B2180" s="20" t="s">
        <v>3350</v>
      </c>
      <c r="C2180" s="28" t="e">
        <f t="shared" si="33"/>
        <v>#N/A</v>
      </c>
    </row>
    <row r="2181" spans="1:3">
      <c r="A2181" s="11">
        <v>8812000000</v>
      </c>
      <c r="B2181" s="20" t="s">
        <v>3351</v>
      </c>
      <c r="C2181" s="28" t="e">
        <f t="shared" si="33"/>
        <v>#N/A</v>
      </c>
    </row>
    <row r="2182" spans="1:3">
      <c r="A2182" s="11">
        <v>8820000000</v>
      </c>
      <c r="B2182" s="20" t="s">
        <v>3352</v>
      </c>
      <c r="C2182" s="28" t="e">
        <f t="shared" si="33"/>
        <v>#N/A</v>
      </c>
    </row>
    <row r="2183" spans="1:3">
      <c r="A2183" s="11">
        <v>8820100000</v>
      </c>
      <c r="B2183" s="20" t="s">
        <v>3353</v>
      </c>
      <c r="C2183" s="28" t="e">
        <f t="shared" si="33"/>
        <v>#N/A</v>
      </c>
    </row>
    <row r="2184" spans="1:3">
      <c r="A2184" s="11">
        <v>8822000000</v>
      </c>
      <c r="B2184" s="20" t="s">
        <v>3354</v>
      </c>
      <c r="C2184" s="28" t="e">
        <f t="shared" si="33"/>
        <v>#N/A</v>
      </c>
    </row>
    <row r="2185" spans="1:3">
      <c r="A2185" s="11" t="s">
        <v>1497</v>
      </c>
      <c r="B2185" s="20" t="s">
        <v>3355</v>
      </c>
      <c r="C2185" s="28" t="e">
        <f t="shared" si="33"/>
        <v>#N/A</v>
      </c>
    </row>
    <row r="2186" spans="1:3">
      <c r="A2186" s="11" t="s">
        <v>11</v>
      </c>
      <c r="B2186" s="20" t="s">
        <v>3356</v>
      </c>
      <c r="C2186" s="28" t="e">
        <f t="shared" si="33"/>
        <v>#N/A</v>
      </c>
    </row>
    <row r="2187" spans="1:3">
      <c r="A2187" s="11" t="s">
        <v>1497</v>
      </c>
      <c r="B2187" s="20" t="s">
        <v>3357</v>
      </c>
      <c r="C2187" s="28" t="e">
        <f t="shared" si="33"/>
        <v>#N/A</v>
      </c>
    </row>
    <row r="2188" spans="1:3">
      <c r="A2188" s="11" t="s">
        <v>12</v>
      </c>
      <c r="B2188" s="20" t="s">
        <v>3358</v>
      </c>
      <c r="C2188" s="28" t="e">
        <f t="shared" si="33"/>
        <v>#N/A</v>
      </c>
    </row>
    <row r="2189" spans="1:3">
      <c r="A2189" s="11" t="s">
        <v>13</v>
      </c>
      <c r="B2189" s="20" t="s">
        <v>3359</v>
      </c>
      <c r="C2189" s="28" t="e">
        <f t="shared" si="33"/>
        <v>#N/A</v>
      </c>
    </row>
    <row r="2190" spans="1:3">
      <c r="A2190" s="11">
        <v>3812000000</v>
      </c>
      <c r="B2190" s="20" t="s">
        <v>1484</v>
      </c>
      <c r="C2190" s="28">
        <f t="shared" si="33"/>
        <v>4202001505</v>
      </c>
    </row>
    <row r="2191" spans="1:3">
      <c r="A2191" s="11">
        <v>6102000020</v>
      </c>
      <c r="B2191" s="20" t="s">
        <v>1484</v>
      </c>
      <c r="C2191" s="28">
        <f t="shared" si="33"/>
        <v>4202001505</v>
      </c>
    </row>
    <row r="2192" spans="1:3">
      <c r="A2192" s="37">
        <v>7470000000</v>
      </c>
      <c r="B2192" s="20" t="s">
        <v>1485</v>
      </c>
      <c r="C2192" s="28">
        <f t="shared" si="33"/>
        <v>7470000000</v>
      </c>
    </row>
    <row r="2193" spans="1:3">
      <c r="A2193" s="38">
        <v>7474000000</v>
      </c>
      <c r="B2193" s="20" t="s">
        <v>1485</v>
      </c>
      <c r="C2193" s="28">
        <f t="shared" si="33"/>
        <v>7470000000</v>
      </c>
    </row>
    <row r="2194" spans="1:3">
      <c r="A2194" s="38">
        <v>7475000000</v>
      </c>
      <c r="B2194" s="20" t="s">
        <v>1485</v>
      </c>
      <c r="C2194" s="28">
        <f t="shared" si="33"/>
        <v>7470000000</v>
      </c>
    </row>
    <row r="2195" spans="1:3">
      <c r="A2195" s="38">
        <v>8820010000</v>
      </c>
      <c r="B2195" s="20" t="s">
        <v>1485</v>
      </c>
      <c r="C2195" s="28">
        <f t="shared" si="33"/>
        <v>7470000000</v>
      </c>
    </row>
    <row r="2196" spans="1:3">
      <c r="A2196" s="38">
        <v>8820300000</v>
      </c>
      <c r="B2196" s="20" t="s">
        <v>1485</v>
      </c>
      <c r="C2196" s="28">
        <f t="shared" si="33"/>
        <v>7470000000</v>
      </c>
    </row>
    <row r="2197" spans="1:3">
      <c r="A2197" s="38">
        <v>6120010000</v>
      </c>
      <c r="B2197" s="20" t="s">
        <v>1485</v>
      </c>
      <c r="C2197" s="28">
        <f t="shared" si="33"/>
        <v>7470000000</v>
      </c>
    </row>
    <row r="2198" spans="1:3">
      <c r="A2198" s="38">
        <v>6120050000</v>
      </c>
      <c r="B2198" s="20" t="s">
        <v>1485</v>
      </c>
      <c r="C2198" s="28">
        <f t="shared" si="33"/>
        <v>7470000000</v>
      </c>
    </row>
    <row r="2199" spans="1:3">
      <c r="A2199" s="38">
        <v>6121200000</v>
      </c>
      <c r="B2199" s="20" t="s">
        <v>1485</v>
      </c>
      <c r="C2199" s="28">
        <f t="shared" si="33"/>
        <v>7470000000</v>
      </c>
    </row>
    <row r="2200" spans="1:3">
      <c r="A2200" s="38">
        <v>4032001500</v>
      </c>
      <c r="B2200" s="20" t="s">
        <v>1485</v>
      </c>
      <c r="C2200" s="28">
        <f t="shared" si="33"/>
        <v>7470000000</v>
      </c>
    </row>
    <row r="2201" spans="1:3">
      <c r="A2201" s="38">
        <v>4032012000</v>
      </c>
      <c r="B2201" s="20" t="s">
        <v>1485</v>
      </c>
      <c r="C2201" s="28">
        <f t="shared" si="33"/>
        <v>7470000000</v>
      </c>
    </row>
    <row r="2202" spans="1:3">
      <c r="A2202" s="38">
        <v>7043920000</v>
      </c>
      <c r="B2202" s="20" t="s">
        <v>1485</v>
      </c>
      <c r="C2202" s="28">
        <f t="shared" si="33"/>
        <v>7470000000</v>
      </c>
    </row>
    <row r="2203" spans="1:3">
      <c r="A2203" s="38">
        <v>7043930000</v>
      </c>
      <c r="B2203" s="20" t="s">
        <v>1485</v>
      </c>
      <c r="C2203" s="28">
        <f t="shared" si="33"/>
        <v>7470000000</v>
      </c>
    </row>
    <row r="2204" spans="1:3">
      <c r="A2204" s="38">
        <v>7043940000</v>
      </c>
      <c r="B2204" s="20" t="s">
        <v>1485</v>
      </c>
      <c r="C2204" s="28">
        <f t="shared" si="33"/>
        <v>7470000000</v>
      </c>
    </row>
    <row r="2205" spans="1:3">
      <c r="A2205" s="38">
        <v>7043950000</v>
      </c>
      <c r="B2205" s="20" t="s">
        <v>1485</v>
      </c>
      <c r="C2205" s="28">
        <f t="shared" si="33"/>
        <v>7470000000</v>
      </c>
    </row>
    <row r="2206" spans="1:3">
      <c r="A2206" s="38">
        <v>7043960000</v>
      </c>
      <c r="B2206" s="20" t="s">
        <v>1485</v>
      </c>
      <c r="C2206" s="28">
        <f t="shared" si="33"/>
        <v>7470000000</v>
      </c>
    </row>
    <row r="2207" spans="1:3">
      <c r="A2207" s="38">
        <v>7043970000</v>
      </c>
      <c r="B2207" s="20" t="s">
        <v>1485</v>
      </c>
      <c r="C2207" s="28">
        <f t="shared" si="33"/>
        <v>7470000000</v>
      </c>
    </row>
    <row r="2208" spans="1:3">
      <c r="A2208" s="37"/>
      <c r="B2208" s="39"/>
    </row>
  </sheetData>
  <autoFilter ref="F1:I965"/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1"/>
  </sheetPr>
  <dimension ref="A1:B73"/>
  <sheetViews>
    <sheetView workbookViewId="0">
      <selection activeCell="I944" sqref="I944"/>
    </sheetView>
  </sheetViews>
  <sheetFormatPr defaultRowHeight="12"/>
  <cols>
    <col min="1" max="1" width="10.25" style="28" bestFit="1" customWidth="1"/>
    <col min="2" max="16384" width="9" style="28"/>
  </cols>
  <sheetData>
    <row r="1" spans="1:2">
      <c r="A1" s="23" t="s">
        <v>3390</v>
      </c>
    </row>
    <row r="2" spans="1:2">
      <c r="A2" s="24" t="s">
        <v>2192</v>
      </c>
      <c r="B2" s="28" t="str">
        <f ca="1">VLOOKUP(A2,'V1'!E:E,1,0)</f>
        <v>120506</v>
      </c>
    </row>
    <row r="3" spans="1:2">
      <c r="A3" s="24" t="s">
        <v>2203</v>
      </c>
      <c r="B3" s="28" t="str">
        <f ca="1">VLOOKUP(A3,'V1'!E:E,1,0)</f>
        <v>121001</v>
      </c>
    </row>
    <row r="4" spans="1:2">
      <c r="A4" s="24" t="s">
        <v>2222</v>
      </c>
      <c r="B4" s="28" t="str">
        <f ca="1">VLOOKUP(A4,'V1'!E:E,1,0)</f>
        <v>130315</v>
      </c>
    </row>
    <row r="5" spans="1:2">
      <c r="A5" s="24" t="s">
        <v>2258</v>
      </c>
      <c r="B5" s="28" t="str">
        <f ca="1">VLOOKUP(A5,'V1'!E:E,1,0)</f>
        <v>13070106</v>
      </c>
    </row>
    <row r="6" spans="1:2">
      <c r="A6" s="24" t="s">
        <v>2393</v>
      </c>
      <c r="B6" s="28" t="str">
        <f ca="1">VLOOKUP(A6,'V1'!E:E,1,0)</f>
        <v>16050501</v>
      </c>
    </row>
    <row r="7" spans="1:2">
      <c r="A7" s="24" t="s">
        <v>2394</v>
      </c>
      <c r="B7" s="28" t="str">
        <f ca="1">VLOOKUP(A7,'V1'!E:E,1,0)</f>
        <v>16050502</v>
      </c>
    </row>
    <row r="8" spans="1:2">
      <c r="A8" s="24" t="s">
        <v>2412</v>
      </c>
      <c r="B8" s="28" t="str">
        <f ca="1">VLOOKUP(A8,'V1'!E:E,1,0)</f>
        <v>160001</v>
      </c>
    </row>
    <row r="9" spans="1:2">
      <c r="A9" s="24" t="s">
        <v>2413</v>
      </c>
      <c r="B9" s="28" t="str">
        <f ca="1">VLOOKUP(A9,'V1'!E:E,1,0)</f>
        <v>160002</v>
      </c>
    </row>
    <row r="10" spans="1:2">
      <c r="A10" s="24" t="s">
        <v>2414</v>
      </c>
      <c r="B10" s="28" t="str">
        <f ca="1">VLOOKUP(A10,'V1'!E:E,1,0)</f>
        <v>160003</v>
      </c>
    </row>
    <row r="11" spans="1:2">
      <c r="A11" s="24" t="s">
        <v>2415</v>
      </c>
      <c r="B11" s="28" t="str">
        <f ca="1">VLOOKUP(A11,'V1'!E:E,1,0)</f>
        <v>160004</v>
      </c>
    </row>
    <row r="12" spans="1:2">
      <c r="A12" s="24" t="s">
        <v>2416</v>
      </c>
      <c r="B12" s="28" t="str">
        <f ca="1">VLOOKUP(A12,'V1'!E:E,1,0)</f>
        <v>160005</v>
      </c>
    </row>
    <row r="13" spans="1:2">
      <c r="A13" s="24" t="s">
        <v>2417</v>
      </c>
      <c r="B13" s="28" t="str">
        <f ca="1">VLOOKUP(A13,'V1'!E:E,1,0)</f>
        <v>160006</v>
      </c>
    </row>
    <row r="14" spans="1:2">
      <c r="A14" s="24" t="s">
        <v>2418</v>
      </c>
      <c r="B14" s="28" t="str">
        <f ca="1">VLOOKUP(A14,'V1'!E:E,1,0)</f>
        <v>160007</v>
      </c>
    </row>
    <row r="15" spans="1:2">
      <c r="A15" s="24" t="s">
        <v>2419</v>
      </c>
      <c r="B15" s="28" t="str">
        <f ca="1">VLOOKUP(A15,'V1'!E:E,1,0)</f>
        <v>160008</v>
      </c>
    </row>
    <row r="16" spans="1:2">
      <c r="A16" s="24" t="s">
        <v>2441</v>
      </c>
      <c r="B16" s="28" t="str">
        <f ca="1">VLOOKUP(A16,'V1'!E:E,1,0)</f>
        <v>220307</v>
      </c>
    </row>
    <row r="17" spans="1:2">
      <c r="A17" s="24" t="s">
        <v>2442</v>
      </c>
      <c r="B17" s="28" t="str">
        <f ca="1">VLOOKUP(A17,'V1'!E:E,1,0)</f>
        <v>220308</v>
      </c>
    </row>
    <row r="18" spans="1:2">
      <c r="A18" s="24" t="s">
        <v>2443</v>
      </c>
      <c r="B18" s="28" t="str">
        <f ca="1">VLOOKUP(A18,'V1'!E:E,1,0)</f>
        <v>220309</v>
      </c>
    </row>
    <row r="19" spans="1:2">
      <c r="A19" s="24" t="s">
        <v>2445</v>
      </c>
      <c r="B19" s="28" t="str">
        <f ca="1">VLOOKUP(A19,'V1'!E:E,1,0)</f>
        <v>220314</v>
      </c>
    </row>
    <row r="20" spans="1:2">
      <c r="A20" s="24" t="s">
        <v>2446</v>
      </c>
      <c r="B20" s="28" t="str">
        <f ca="1">VLOOKUP(A20,'V1'!E:E,1,0)</f>
        <v>220315</v>
      </c>
    </row>
    <row r="21" spans="1:2">
      <c r="A21" s="24" t="s">
        <v>2447</v>
      </c>
      <c r="B21" s="28" t="str">
        <f ca="1">VLOOKUP(A21,'V1'!E:E,1,0)</f>
        <v>220317</v>
      </c>
    </row>
    <row r="22" spans="1:2">
      <c r="A22" s="24" t="s">
        <v>2448</v>
      </c>
      <c r="B22" s="28" t="str">
        <f ca="1">VLOOKUP(A22,'V1'!E:E,1,0)</f>
        <v>220318</v>
      </c>
    </row>
    <row r="23" spans="1:2">
      <c r="A23" s="24" t="s">
        <v>2449</v>
      </c>
      <c r="B23" s="28" t="str">
        <f ca="1">VLOOKUP(A23,'V1'!E:E,1,0)</f>
        <v>220319</v>
      </c>
    </row>
    <row r="24" spans="1:2">
      <c r="A24" s="24" t="s">
        <v>2450</v>
      </c>
      <c r="B24" s="28" t="str">
        <f ca="1">VLOOKUP(A24,'V1'!E:E,1,0)</f>
        <v>220320</v>
      </c>
    </row>
    <row r="25" spans="1:2">
      <c r="A25" s="24" t="s">
        <v>2451</v>
      </c>
      <c r="B25" s="28" t="str">
        <f ca="1">VLOOKUP(A25,'V1'!E:E,1,0)</f>
        <v>220321</v>
      </c>
    </row>
    <row r="26" spans="1:2">
      <c r="A26" s="24" t="s">
        <v>2668</v>
      </c>
      <c r="B26" s="28" t="str">
        <f ca="1">VLOOKUP(A26,'V1'!E:E,1,0)</f>
        <v>240112</v>
      </c>
    </row>
    <row r="27" spans="1:2">
      <c r="A27" s="24" t="s">
        <v>2688</v>
      </c>
      <c r="B27" s="28" t="str">
        <f ca="1">VLOOKUP(A27,'V1'!E:E,1,0)</f>
        <v>310102</v>
      </c>
    </row>
    <row r="28" spans="1:2">
      <c r="A28" s="24" t="s">
        <v>2694</v>
      </c>
      <c r="B28" s="28" t="str">
        <f ca="1">VLOOKUP(A28,'V1'!E:E,1,0)</f>
        <v>320302</v>
      </c>
    </row>
    <row r="29" spans="1:2">
      <c r="A29" s="24" t="s">
        <v>2695</v>
      </c>
      <c r="B29" s="28" t="str">
        <f ca="1">VLOOKUP(A29,'V1'!E:E,1,0)</f>
        <v>320303</v>
      </c>
    </row>
    <row r="30" spans="1:2">
      <c r="A30" s="24" t="s">
        <v>2696</v>
      </c>
      <c r="B30" s="28" t="str">
        <f ca="1">VLOOKUP(A30,'V1'!E:E,1,0)</f>
        <v>320304</v>
      </c>
    </row>
    <row r="31" spans="1:2">
      <c r="A31" s="24" t="s">
        <v>2697</v>
      </c>
      <c r="B31" s="28" t="str">
        <f ca="1">VLOOKUP(A31,'V1'!E:E,1,0)</f>
        <v>320305</v>
      </c>
    </row>
    <row r="32" spans="1:2">
      <c r="A32" s="24" t="s">
        <v>2719</v>
      </c>
      <c r="B32" s="28" t="str">
        <f ca="1">VLOOKUP(A32,'V1'!E:E,1,0)</f>
        <v>410207</v>
      </c>
    </row>
    <row r="33" spans="1:2">
      <c r="A33" s="24" t="s">
        <v>2725</v>
      </c>
      <c r="B33" s="28" t="str">
        <f ca="1">VLOOKUP(A33,'V1'!E:E,1,0)</f>
        <v>410305</v>
      </c>
    </row>
    <row r="34" spans="1:2">
      <c r="A34" s="24" t="s">
        <v>2726</v>
      </c>
      <c r="B34" s="28" t="str">
        <f ca="1">VLOOKUP(A34,'V1'!E:E,1,0)</f>
        <v>410306</v>
      </c>
    </row>
    <row r="35" spans="1:2">
      <c r="A35" s="24" t="s">
        <v>2727</v>
      </c>
      <c r="B35" s="28" t="str">
        <f ca="1">VLOOKUP(A35,'V1'!E:E,1,0)</f>
        <v>410307</v>
      </c>
    </row>
    <row r="36" spans="1:2">
      <c r="A36" s="24" t="s">
        <v>2728</v>
      </c>
      <c r="B36" s="28" t="str">
        <f ca="1">VLOOKUP(A36,'V1'!E:E,1,0)</f>
        <v>410308</v>
      </c>
    </row>
    <row r="37" spans="1:2">
      <c r="A37" s="24" t="s">
        <v>2739</v>
      </c>
      <c r="B37" s="28" t="str">
        <f ca="1">VLOOKUP(A37,'V1'!E:E,1,0)</f>
        <v>420301</v>
      </c>
    </row>
    <row r="38" spans="1:2">
      <c r="A38" s="24" t="s">
        <v>2761</v>
      </c>
      <c r="B38" s="28" t="str">
        <f ca="1">VLOOKUP(A38,'V1'!E:E,1,0)</f>
        <v>421003</v>
      </c>
    </row>
    <row r="39" spans="1:2">
      <c r="A39" s="24" t="s">
        <v>2780</v>
      </c>
      <c r="B39" s="28" t="str">
        <f ca="1">VLOOKUP(A39,'V1'!E:E,1,0)</f>
        <v>421402</v>
      </c>
    </row>
    <row r="40" spans="1:2">
      <c r="A40" s="24" t="s">
        <v>2781</v>
      </c>
      <c r="B40" s="28" t="str">
        <f ca="1">VLOOKUP(A40,'V1'!E:E,1,0)</f>
        <v>421403</v>
      </c>
    </row>
    <row r="41" spans="1:2">
      <c r="A41" s="24" t="s">
        <v>2782</v>
      </c>
      <c r="B41" s="28" t="str">
        <f ca="1">VLOOKUP(A41,'V1'!E:E,1,0)</f>
        <v>421404</v>
      </c>
    </row>
    <row r="42" spans="1:2">
      <c r="A42" s="24" t="s">
        <v>2786</v>
      </c>
      <c r="B42" s="28" t="str">
        <f ca="1">VLOOKUP(A42,'V1'!E:E,1,0)</f>
        <v>430201</v>
      </c>
    </row>
    <row r="43" spans="1:2">
      <c r="A43" s="24" t="s">
        <v>2790</v>
      </c>
      <c r="B43" s="28" t="str">
        <f ca="1">VLOOKUP(A43,'V1'!E:E,1,0)</f>
        <v>430401</v>
      </c>
    </row>
    <row r="44" spans="1:2">
      <c r="A44" s="24" t="s">
        <v>2821</v>
      </c>
      <c r="B44" s="28" t="e">
        <f ca="1">VLOOKUP(A44,'V1'!E:E,1,0)</f>
        <v>#N/A</v>
      </c>
    </row>
    <row r="45" spans="1:2">
      <c r="A45" s="24" t="s">
        <v>2860</v>
      </c>
      <c r="B45" s="28" t="str">
        <f ca="1">VLOOKUP(A45,'V1'!E:E,1,0)</f>
        <v>51030220</v>
      </c>
    </row>
    <row r="46" spans="1:2">
      <c r="A46" s="24" t="s">
        <v>2861</v>
      </c>
      <c r="B46" s="28" t="e">
        <f ca="1">VLOOKUP(A46,'V1'!E:E,1,0)</f>
        <v>#N/A</v>
      </c>
    </row>
    <row r="47" spans="1:2">
      <c r="A47" s="24" t="s">
        <v>2862</v>
      </c>
      <c r="B47" s="28" t="str">
        <f ca="1">VLOOKUP(A47,'V1'!E:E,1,0)</f>
        <v>5103022202</v>
      </c>
    </row>
    <row r="48" spans="1:2">
      <c r="A48" s="24" t="s">
        <v>2863</v>
      </c>
      <c r="B48" s="28" t="str">
        <f ca="1">VLOOKUP(A48,'V1'!E:E,1,0)</f>
        <v>5103022203</v>
      </c>
    </row>
    <row r="49" spans="1:2">
      <c r="A49" s="24" t="s">
        <v>2864</v>
      </c>
      <c r="B49" s="28" t="str">
        <f ca="1">VLOOKUP(A49,'V1'!E:E,1,0)</f>
        <v>5103022204</v>
      </c>
    </row>
    <row r="50" spans="1:2">
      <c r="A50" s="24" t="s">
        <v>2865</v>
      </c>
      <c r="B50" s="28" t="str">
        <f ca="1">VLOOKUP(A50,'V1'!E:E,1,0)</f>
        <v>5103022205</v>
      </c>
    </row>
    <row r="51" spans="1:2">
      <c r="A51" s="24" t="s">
        <v>2866</v>
      </c>
      <c r="B51" s="28" t="str">
        <f ca="1">VLOOKUP(A51,'V1'!E:E,1,0)</f>
        <v>5103022206</v>
      </c>
    </row>
    <row r="52" spans="1:2">
      <c r="A52" s="24" t="s">
        <v>2868</v>
      </c>
      <c r="B52" s="28" t="str">
        <f ca="1">VLOOKUP(A52,'V1'!E:E,1,0)</f>
        <v>51030226</v>
      </c>
    </row>
    <row r="53" spans="1:2">
      <c r="A53" s="24" t="s">
        <v>2869</v>
      </c>
      <c r="B53" s="28" t="str">
        <f ca="1">VLOOKUP(A53,'V1'!E:E,1,0)</f>
        <v>51030227</v>
      </c>
    </row>
    <row r="54" spans="1:2">
      <c r="A54" s="24" t="s">
        <v>2881</v>
      </c>
      <c r="B54" s="28" t="str">
        <f ca="1">VLOOKUP(A54,'V1'!E:E,1,0)</f>
        <v>51040203</v>
      </c>
    </row>
    <row r="55" spans="1:2">
      <c r="A55" s="24" t="s">
        <v>2887</v>
      </c>
      <c r="B55" s="28" t="str">
        <f ca="1">VLOOKUP(A55,'V1'!E:E,1,0)</f>
        <v>51040503</v>
      </c>
    </row>
    <row r="56" spans="1:2">
      <c r="A56" s="24" t="s">
        <v>2929</v>
      </c>
      <c r="B56" s="28" t="str">
        <f ca="1">VLOOKUP(A56,'V1'!E:E,1,0)</f>
        <v>51060001</v>
      </c>
    </row>
    <row r="57" spans="1:2">
      <c r="A57" s="24" t="s">
        <v>2930</v>
      </c>
      <c r="B57" s="28" t="str">
        <f ca="1">VLOOKUP(A57,'V1'!E:E,1,0)</f>
        <v>51060002</v>
      </c>
    </row>
    <row r="58" spans="1:2">
      <c r="A58" s="24" t="s">
        <v>3053</v>
      </c>
      <c r="B58" s="28" t="str">
        <f ca="1">VLOOKUP(A58,'V1'!E:E,1,0)</f>
        <v>5106050501</v>
      </c>
    </row>
    <row r="59" spans="1:2">
      <c r="A59" s="24" t="s">
        <v>3054</v>
      </c>
      <c r="B59" s="28" t="str">
        <f ca="1">VLOOKUP(A59,'V1'!E:E,1,0)</f>
        <v>5106050502</v>
      </c>
    </row>
    <row r="60" spans="1:2">
      <c r="A60" s="24" t="s">
        <v>3055</v>
      </c>
      <c r="B60" s="28" t="str">
        <f ca="1">VLOOKUP(A60,'V1'!E:E,1,0)</f>
        <v>5106050503</v>
      </c>
    </row>
    <row r="61" spans="1:2">
      <c r="A61" s="24" t="s">
        <v>3057</v>
      </c>
      <c r="B61" s="28" t="str">
        <f ca="1">VLOOKUP(A61,'V1'!E:E,1,0)</f>
        <v>5106050505</v>
      </c>
    </row>
    <row r="62" spans="1:2">
      <c r="A62" s="24" t="s">
        <v>3058</v>
      </c>
      <c r="B62" s="28" t="str">
        <f ca="1">VLOOKUP(A62,'V1'!E:E,1,0)</f>
        <v>5106050506</v>
      </c>
    </row>
    <row r="63" spans="1:2">
      <c r="A63" s="24" t="s">
        <v>3059</v>
      </c>
      <c r="B63" s="28" t="str">
        <f ca="1">VLOOKUP(A63,'V1'!E:E,1,0)</f>
        <v>5106050507</v>
      </c>
    </row>
    <row r="64" spans="1:2">
      <c r="A64" s="24" t="s">
        <v>3060</v>
      </c>
      <c r="B64" s="28" t="str">
        <f ca="1">VLOOKUP(A64,'V1'!E:E,1,0)</f>
        <v>5106050508</v>
      </c>
    </row>
    <row r="65" spans="1:2">
      <c r="A65" s="24" t="s">
        <v>3061</v>
      </c>
      <c r="B65" s="28" t="str">
        <f ca="1">VLOOKUP(A65,'V1'!E:E,1,0)</f>
        <v>5106050509</v>
      </c>
    </row>
    <row r="66" spans="1:2">
      <c r="A66" s="24" t="s">
        <v>3062</v>
      </c>
      <c r="B66" s="28" t="str">
        <f ca="1">VLOOKUP(A66,'V1'!E:E,1,0)</f>
        <v>5106050510</v>
      </c>
    </row>
    <row r="67" spans="1:2">
      <c r="A67" s="24" t="s">
        <v>3233</v>
      </c>
      <c r="B67" s="28" t="str">
        <f ca="1">VLOOKUP(A67,'V1'!E:E,1,0)</f>
        <v>520014</v>
      </c>
    </row>
    <row r="68" spans="1:2">
      <c r="A68" s="24" t="s">
        <v>3250</v>
      </c>
      <c r="B68" s="28" t="str">
        <f ca="1">VLOOKUP(A68,'V1'!E:E,1,0)</f>
        <v>520027</v>
      </c>
    </row>
    <row r="69" spans="1:2">
      <c r="A69" s="24" t="s">
        <v>3316</v>
      </c>
      <c r="B69" s="28" t="str">
        <f ca="1">VLOOKUP(A69,'V1'!E:E,1,0)</f>
        <v>53050404</v>
      </c>
    </row>
    <row r="70" spans="1:2">
      <c r="A70" s="24" t="s">
        <v>3333</v>
      </c>
      <c r="B70" s="28" t="str">
        <f ca="1">VLOOKUP(A70,'V1'!E:E,1,0)</f>
        <v>53050419</v>
      </c>
    </row>
    <row r="71" spans="1:2">
      <c r="A71" s="24" t="s">
        <v>3351</v>
      </c>
      <c r="B71" s="28" t="str">
        <f ca="1">VLOOKUP(A71,'V1'!E:E,1,0)</f>
        <v>550103</v>
      </c>
    </row>
    <row r="72" spans="1:2">
      <c r="A72" s="24" t="s">
        <v>3353</v>
      </c>
      <c r="B72" s="28" t="str">
        <f ca="1">VLOOKUP(A72,'V1'!E:E,1,0)</f>
        <v>550202</v>
      </c>
    </row>
    <row r="73" spans="1:2">
      <c r="A73" s="24" t="s">
        <v>3354</v>
      </c>
      <c r="B73" s="28" t="str">
        <f ca="1">VLOOKUP(A73,'V1'!E:E,1,0)</f>
        <v>550203</v>
      </c>
    </row>
  </sheetData>
  <autoFilter ref="A1:B73"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1"/>
  </sheetPr>
  <dimension ref="A1:K7947"/>
  <sheetViews>
    <sheetView workbookViewId="0">
      <pane ySplit="1" topLeftCell="A2" activePane="bottomLeft" state="frozen"/>
      <selection activeCell="I944" sqref="I944"/>
      <selection pane="bottomLeft" activeCell="I7" sqref="I7"/>
    </sheetView>
  </sheetViews>
  <sheetFormatPr defaultRowHeight="14.25"/>
  <cols>
    <col min="1" max="1" width="12.25" style="16" bestFit="1" customWidth="1"/>
    <col min="2" max="2" width="9" style="16"/>
    <col min="3" max="4" width="12.25" style="16" bestFit="1" customWidth="1"/>
    <col min="5" max="5" width="9" style="43"/>
    <col min="6" max="6" width="15.25" style="28" customWidth="1"/>
    <col min="7" max="7" width="17" style="28" customWidth="1"/>
    <col min="8" max="8" width="9" style="28"/>
    <col min="9" max="9" width="12.75" style="28" bestFit="1" customWidth="1"/>
    <col min="10" max="10" width="23.875" style="34" bestFit="1" customWidth="1"/>
    <col min="11" max="16384" width="9" style="28"/>
  </cols>
  <sheetData>
    <row r="1" spans="1:11">
      <c r="A1" s="16" t="s">
        <v>3399</v>
      </c>
      <c r="B1" s="16" t="s">
        <v>3433</v>
      </c>
      <c r="C1" s="16" t="s">
        <v>3400</v>
      </c>
      <c r="D1" s="16" t="s">
        <v>3401</v>
      </c>
      <c r="F1" s="40" t="s">
        <v>3434</v>
      </c>
      <c r="G1" s="16" t="s">
        <v>3437</v>
      </c>
      <c r="H1" s="16"/>
      <c r="I1" s="40" t="s">
        <v>3434</v>
      </c>
      <c r="J1" s="27" t="s">
        <v>3437</v>
      </c>
    </row>
    <row r="2" spans="1:11">
      <c r="A2" s="16">
        <v>3710000000</v>
      </c>
      <c r="B2" s="16">
        <v>-185807</v>
      </c>
      <c r="C2" s="16" t="s">
        <v>3402</v>
      </c>
      <c r="D2" s="16" t="s">
        <v>3403</v>
      </c>
      <c r="F2" s="41">
        <v>2201000000</v>
      </c>
      <c r="G2" s="42">
        <v>15661221387</v>
      </c>
      <c r="H2" s="16"/>
      <c r="I2" s="41">
        <v>2201000000</v>
      </c>
      <c r="J2" s="27">
        <v>15661221387</v>
      </c>
      <c r="K2" s="28" t="str">
        <f ca="1">VLOOKUP(I2,'Data-WK'!A:B,2,0)</f>
        <v>160001</v>
      </c>
    </row>
    <row r="3" spans="1:11">
      <c r="A3" s="16">
        <v>6700000000</v>
      </c>
      <c r="B3" s="16">
        <v>0</v>
      </c>
      <c r="C3" s="16" t="s">
        <v>3404</v>
      </c>
      <c r="D3" s="16" t="s">
        <v>3405</v>
      </c>
      <c r="F3" s="41">
        <v>2201000010</v>
      </c>
      <c r="G3" s="42">
        <v>32296507</v>
      </c>
      <c r="H3" s="16"/>
      <c r="I3" s="41">
        <v>2201000010</v>
      </c>
      <c r="J3" s="27">
        <v>32296507</v>
      </c>
      <c r="K3" s="28" t="str">
        <f ca="1">VLOOKUP(I3,'Data-WK'!A:B,2,0)</f>
        <v>160005</v>
      </c>
    </row>
    <row r="4" spans="1:11">
      <c r="A4" s="16">
        <v>5010100000</v>
      </c>
      <c r="B4" s="16">
        <v>0</v>
      </c>
      <c r="C4" s="16" t="s">
        <v>3406</v>
      </c>
      <c r="D4" s="16" t="s">
        <v>3407</v>
      </c>
      <c r="F4" s="41">
        <v>2201000030</v>
      </c>
      <c r="G4" s="42">
        <v>49205146</v>
      </c>
      <c r="H4" s="16"/>
      <c r="I4" s="41">
        <v>2201000030</v>
      </c>
      <c r="J4" s="27">
        <v>49205146</v>
      </c>
      <c r="K4" s="28" t="str">
        <f ca="1">VLOOKUP(I4,'Data-WK'!A:B,2,0)</f>
        <v>160003</v>
      </c>
    </row>
    <row r="5" spans="1:11">
      <c r="A5" s="16">
        <v>6700400000</v>
      </c>
      <c r="B5" s="16">
        <v>0</v>
      </c>
      <c r="C5" s="16" t="s">
        <v>3404</v>
      </c>
      <c r="D5" s="16" t="s">
        <v>3405</v>
      </c>
      <c r="F5" s="41">
        <v>2201200030</v>
      </c>
      <c r="G5" s="42">
        <v>-15126751</v>
      </c>
      <c r="H5" s="16"/>
      <c r="I5" s="41">
        <v>2201200030</v>
      </c>
      <c r="J5" s="27">
        <v>-15126751</v>
      </c>
      <c r="K5" s="28" t="str">
        <f ca="1">VLOOKUP(I5,'Data-WK'!A:B,2,0)</f>
        <v>160004</v>
      </c>
    </row>
    <row r="6" spans="1:11">
      <c r="A6" s="16">
        <v>4203000000</v>
      </c>
      <c r="B6" s="16">
        <v>0</v>
      </c>
      <c r="C6" s="16" t="s">
        <v>3408</v>
      </c>
      <c r="D6" s="16" t="s">
        <v>3403</v>
      </c>
      <c r="F6" s="41">
        <v>2201300000</v>
      </c>
      <c r="G6" s="42">
        <v>49088979</v>
      </c>
      <c r="H6" s="16"/>
      <c r="I6" s="41">
        <v>2201300000</v>
      </c>
      <c r="J6" s="27">
        <v>49088979</v>
      </c>
      <c r="K6" s="28" t="str">
        <f ca="1">VLOOKUP(I6,'Data-WK'!A:B,2,0)</f>
        <v>160007</v>
      </c>
    </row>
    <row r="7" spans="1:11">
      <c r="A7" s="16">
        <v>6700200000</v>
      </c>
      <c r="B7" s="16">
        <v>0</v>
      </c>
      <c r="C7" s="16" t="s">
        <v>3404</v>
      </c>
      <c r="D7" s="16" t="s">
        <v>3409</v>
      </c>
      <c r="F7" s="41">
        <v>2201400000</v>
      </c>
      <c r="G7" s="42">
        <v>134968552</v>
      </c>
      <c r="H7" s="16"/>
      <c r="I7" s="41">
        <v>2201400000</v>
      </c>
      <c r="J7" s="27">
        <v>134968552</v>
      </c>
      <c r="K7" s="28" t="str">
        <f ca="1">VLOOKUP(I7,'Data-WK'!A:B,2,0)</f>
        <v>160008</v>
      </c>
    </row>
    <row r="8" spans="1:11">
      <c r="A8" s="16">
        <v>3103000000</v>
      </c>
      <c r="B8" s="16">
        <v>0</v>
      </c>
      <c r="C8" s="16" t="s">
        <v>3402</v>
      </c>
      <c r="D8" s="16" t="s">
        <v>3403</v>
      </c>
      <c r="F8" s="41">
        <v>2203000000</v>
      </c>
      <c r="G8" s="42">
        <v>12049381</v>
      </c>
      <c r="H8" s="16"/>
      <c r="I8" s="41">
        <v>2203000000</v>
      </c>
      <c r="J8" s="27">
        <v>12049381</v>
      </c>
      <c r="K8" s="28" t="str">
        <f ca="1">VLOOKUP(I8,'Data-WK'!A:B,2,0)</f>
        <v>160002</v>
      </c>
    </row>
    <row r="9" spans="1:11">
      <c r="A9" s="16">
        <v>6700100000</v>
      </c>
      <c r="B9" s="16">
        <v>0</v>
      </c>
      <c r="C9" s="16" t="s">
        <v>3404</v>
      </c>
      <c r="D9" s="16" t="s">
        <v>3410</v>
      </c>
      <c r="F9" s="41">
        <v>2203000010</v>
      </c>
      <c r="G9" s="42">
        <v>3244274</v>
      </c>
      <c r="H9" s="16"/>
      <c r="I9" s="41">
        <v>2203000010</v>
      </c>
      <c r="J9" s="27">
        <v>3244274</v>
      </c>
      <c r="K9" s="28" t="str">
        <f ca="1">VLOOKUP(I9,'Data-WK'!A:B,2,0)</f>
        <v>160006</v>
      </c>
    </row>
    <row r="10" spans="1:11">
      <c r="A10" s="16">
        <v>4203000000</v>
      </c>
      <c r="B10" s="16">
        <v>0</v>
      </c>
      <c r="C10" s="16" t="s">
        <v>3408</v>
      </c>
      <c r="D10" s="16" t="s">
        <v>3403</v>
      </c>
      <c r="F10" s="41">
        <v>2500000000</v>
      </c>
      <c r="G10" s="42">
        <v>1912514542</v>
      </c>
      <c r="H10" s="16"/>
      <c r="I10" s="41">
        <v>2500000000</v>
      </c>
      <c r="J10" s="27">
        <v>1912514542</v>
      </c>
      <c r="K10" s="28" t="str">
        <f ca="1">VLOOKUP(I10,'Data-WK'!A:B,2,0)</f>
        <v>13040101</v>
      </c>
    </row>
    <row r="11" spans="1:11">
      <c r="A11" s="16">
        <v>6700400000</v>
      </c>
      <c r="B11" s="16">
        <v>0</v>
      </c>
      <c r="C11" s="16" t="s">
        <v>3404</v>
      </c>
      <c r="D11" s="16" t="s">
        <v>3405</v>
      </c>
      <c r="F11" s="41">
        <v>2750010000</v>
      </c>
      <c r="G11" s="42">
        <v>1592476</v>
      </c>
      <c r="H11" s="16"/>
      <c r="I11" s="41">
        <v>2750010000</v>
      </c>
      <c r="J11" s="27">
        <v>1592476</v>
      </c>
      <c r="K11" s="28" t="str">
        <f ca="1">VLOOKUP(I11,'Data-WK'!A:B,2,0)</f>
        <v>13070101</v>
      </c>
    </row>
    <row r="12" spans="1:11">
      <c r="A12" s="16">
        <v>5010000000</v>
      </c>
      <c r="B12" s="16">
        <v>0</v>
      </c>
      <c r="C12" s="16" t="s">
        <v>3406</v>
      </c>
      <c r="D12" s="16" t="s">
        <v>3411</v>
      </c>
      <c r="F12" s="41">
        <v>3030000000</v>
      </c>
      <c r="G12" s="42">
        <v>-489209887</v>
      </c>
      <c r="H12" s="16"/>
      <c r="I12" s="41">
        <v>3030000000</v>
      </c>
      <c r="J12" s="27">
        <v>-489209887</v>
      </c>
      <c r="K12" s="28" t="str">
        <f ca="1">VLOOKUP(I12,'Data-WK'!A:B,2,0)</f>
        <v>22020201</v>
      </c>
    </row>
    <row r="13" spans="1:11">
      <c r="A13" s="16">
        <v>4203000000</v>
      </c>
      <c r="B13" s="16">
        <v>0</v>
      </c>
      <c r="C13" s="16" t="s">
        <v>3408</v>
      </c>
      <c r="D13" s="16" t="s">
        <v>3403</v>
      </c>
      <c r="F13" s="41">
        <v>3032000000</v>
      </c>
      <c r="G13" s="42">
        <v>180946158</v>
      </c>
      <c r="H13" s="16"/>
      <c r="I13" s="41">
        <v>3032000000</v>
      </c>
      <c r="J13" s="27">
        <v>180946158</v>
      </c>
      <c r="K13" s="28" t="str">
        <f ca="1">VLOOKUP(I13,'Data-WK'!A:B,2,0)</f>
        <v>14020201</v>
      </c>
    </row>
    <row r="14" spans="1:11">
      <c r="A14" s="16">
        <v>5010100010</v>
      </c>
      <c r="B14" s="16">
        <v>185807</v>
      </c>
      <c r="C14" s="16" t="s">
        <v>3406</v>
      </c>
      <c r="D14" s="16" t="s">
        <v>3407</v>
      </c>
      <c r="F14" s="41">
        <v>3100000000</v>
      </c>
      <c r="G14" s="42">
        <v>-238564120819</v>
      </c>
      <c r="H14" s="16"/>
      <c r="I14" s="41">
        <v>3100000000</v>
      </c>
      <c r="J14" s="27">
        <v>-238564120819</v>
      </c>
      <c r="K14" s="28" t="str">
        <f ca="1">VLOOKUP(I14,'Data-WK'!A:B,2,0)</f>
        <v>220306</v>
      </c>
    </row>
    <row r="15" spans="1:11">
      <c r="A15" s="16">
        <v>6700200000</v>
      </c>
      <c r="B15" s="16">
        <v>0</v>
      </c>
      <c r="C15" s="16" t="s">
        <v>3404</v>
      </c>
      <c r="D15" s="16" t="s">
        <v>3409</v>
      </c>
      <c r="F15" s="41">
        <v>3102000000</v>
      </c>
      <c r="G15" s="42">
        <v>4147209106</v>
      </c>
      <c r="H15" s="16"/>
      <c r="I15" s="41">
        <v>3102000000</v>
      </c>
      <c r="J15" s="27">
        <v>4147209106</v>
      </c>
      <c r="K15" s="28" t="str">
        <f ca="1">VLOOKUP(I15,'Data-WK'!A:B,2,0)</f>
        <v>140302</v>
      </c>
    </row>
    <row r="16" spans="1:11">
      <c r="A16" s="16">
        <v>2500000000</v>
      </c>
      <c r="B16" s="16">
        <v>0</v>
      </c>
      <c r="C16" s="16" t="s">
        <v>3412</v>
      </c>
      <c r="D16" s="16" t="s">
        <v>3403</v>
      </c>
      <c r="F16" s="41">
        <v>3103000000</v>
      </c>
      <c r="G16" s="42">
        <v>-15475247808</v>
      </c>
      <c r="H16" s="16"/>
      <c r="I16" s="41">
        <v>3103000000</v>
      </c>
      <c r="J16" s="27">
        <v>-15475247808</v>
      </c>
      <c r="K16" s="28" t="str">
        <f ca="1">VLOOKUP(I16,'Data-WK'!A:B,2,0)</f>
        <v>220318</v>
      </c>
    </row>
    <row r="17" spans="1:11">
      <c r="A17" s="16">
        <v>6700600000</v>
      </c>
      <c r="B17" s="16">
        <v>0</v>
      </c>
      <c r="C17" s="16" t="s">
        <v>3404</v>
      </c>
      <c r="D17" s="16" t="s">
        <v>3409</v>
      </c>
      <c r="F17" s="41">
        <v>3103001000</v>
      </c>
      <c r="G17" s="42">
        <v>845812211</v>
      </c>
      <c r="H17" s="16"/>
      <c r="I17" s="41">
        <v>3103001000</v>
      </c>
      <c r="J17" s="27">
        <v>845812211</v>
      </c>
      <c r="K17" s="28" t="str">
        <f ca="1">VLOOKUP(I17,'Data-WK'!A:B,2,0)</f>
        <v>220319</v>
      </c>
    </row>
    <row r="18" spans="1:11">
      <c r="A18" s="16">
        <v>6610100000</v>
      </c>
      <c r="B18" s="16">
        <v>0</v>
      </c>
      <c r="C18" s="16" t="s">
        <v>3413</v>
      </c>
      <c r="D18" s="16" t="s">
        <v>3414</v>
      </c>
      <c r="F18" s="41">
        <v>3510000000</v>
      </c>
      <c r="G18" s="42">
        <v>-1380404</v>
      </c>
      <c r="H18" s="16"/>
      <c r="I18" s="41">
        <v>3510000000</v>
      </c>
      <c r="J18" s="27">
        <v>-1380404</v>
      </c>
      <c r="K18" s="28" t="str">
        <f ca="1">VLOOKUP(I18,'Data-WK'!A:B,2,0)</f>
        <v>23100407</v>
      </c>
    </row>
    <row r="19" spans="1:11">
      <c r="A19" s="16">
        <v>2201000000</v>
      </c>
      <c r="B19" s="16">
        <v>0</v>
      </c>
      <c r="C19" s="16" t="s">
        <v>3415</v>
      </c>
      <c r="D19" s="16" t="s">
        <v>3403</v>
      </c>
      <c r="F19" s="41">
        <v>3710000000</v>
      </c>
      <c r="G19" s="42">
        <v>-2798714</v>
      </c>
      <c r="I19" s="41">
        <v>3710000000</v>
      </c>
      <c r="J19" s="27">
        <v>-2798714</v>
      </c>
      <c r="K19" s="28" t="str">
        <f ca="1">VLOOKUP(I19,'Data-WK'!A:B,2,0)</f>
        <v>230102</v>
      </c>
    </row>
    <row r="20" spans="1:11">
      <c r="A20" s="16">
        <v>6104000000</v>
      </c>
      <c r="B20" s="16">
        <v>0</v>
      </c>
      <c r="C20" s="16" t="s">
        <v>3416</v>
      </c>
      <c r="D20" s="16" t="s">
        <v>3417</v>
      </c>
      <c r="F20" s="41">
        <v>3800000000</v>
      </c>
      <c r="G20" s="42">
        <v>-653806245</v>
      </c>
      <c r="I20" s="41">
        <v>3800000000</v>
      </c>
      <c r="J20" s="27">
        <v>-653806245</v>
      </c>
      <c r="K20" s="28" t="str">
        <f ca="1">VLOOKUP(I20,'Data-WK'!A:B,2,0)</f>
        <v>220307</v>
      </c>
    </row>
    <row r="21" spans="1:11">
      <c r="A21" s="16">
        <v>6700200000</v>
      </c>
      <c r="B21" s="16">
        <v>0</v>
      </c>
      <c r="C21" s="16" t="s">
        <v>3404</v>
      </c>
      <c r="D21" s="16" t="s">
        <v>3409</v>
      </c>
      <c r="F21" s="41">
        <v>3800000010</v>
      </c>
      <c r="G21" s="42">
        <v>-41441262</v>
      </c>
      <c r="I21" s="41">
        <v>3800000010</v>
      </c>
      <c r="J21" s="27">
        <v>-41441262</v>
      </c>
      <c r="K21" s="28" t="str">
        <f ca="1">VLOOKUP(I21,'Data-WK'!A:B,2,0)</f>
        <v>220308</v>
      </c>
    </row>
    <row r="22" spans="1:11">
      <c r="A22" s="16">
        <v>6610000000</v>
      </c>
      <c r="B22" s="16">
        <v>0</v>
      </c>
      <c r="C22" s="16" t="s">
        <v>3413</v>
      </c>
      <c r="D22" s="16" t="s">
        <v>3418</v>
      </c>
      <c r="F22" s="41">
        <v>3810000000</v>
      </c>
      <c r="G22" s="42">
        <v>-3291586</v>
      </c>
      <c r="I22" s="41">
        <v>3810000000</v>
      </c>
      <c r="J22" s="27">
        <v>-3291586</v>
      </c>
      <c r="K22" s="28" t="str">
        <f ca="1">VLOOKUP(I22,'Data-WK'!A:B,2,0)</f>
        <v>220309</v>
      </c>
    </row>
    <row r="23" spans="1:11">
      <c r="A23" s="16">
        <v>6700600000</v>
      </c>
      <c r="B23" s="16">
        <v>0</v>
      </c>
      <c r="C23" s="16" t="s">
        <v>3404</v>
      </c>
      <c r="D23" s="16" t="s">
        <v>3409</v>
      </c>
      <c r="F23" s="41">
        <v>3812000000</v>
      </c>
      <c r="G23" s="42">
        <v>0</v>
      </c>
      <c r="I23" s="41">
        <v>3812000000</v>
      </c>
      <c r="J23" s="27">
        <v>0</v>
      </c>
      <c r="K23" s="28" t="str">
        <f ca="1">VLOOKUP(I23,'Data-WK'!A:B,2,0)</f>
        <v>新增</v>
      </c>
    </row>
    <row r="24" spans="1:11">
      <c r="A24" s="16">
        <v>2500000000</v>
      </c>
      <c r="B24" s="16">
        <v>0</v>
      </c>
      <c r="C24" s="16" t="s">
        <v>3412</v>
      </c>
      <c r="D24" s="16" t="s">
        <v>3403</v>
      </c>
      <c r="F24" s="41">
        <v>4010000000</v>
      </c>
      <c r="G24" s="42">
        <v>-546008</v>
      </c>
      <c r="I24" s="41">
        <v>4010000000</v>
      </c>
      <c r="J24" s="27">
        <v>-546008</v>
      </c>
      <c r="K24" s="28" t="str">
        <f ca="1">VLOOKUP(I24,'Data-WK'!A:B,2,0)</f>
        <v>220314</v>
      </c>
    </row>
    <row r="25" spans="1:11">
      <c r="A25" s="16">
        <v>6610000000</v>
      </c>
      <c r="B25" s="16">
        <v>0</v>
      </c>
      <c r="C25" s="16" t="s">
        <v>3413</v>
      </c>
      <c r="D25" s="16" t="s">
        <v>3418</v>
      </c>
      <c r="F25" s="41">
        <v>4010100000</v>
      </c>
      <c r="G25" s="42">
        <v>-3093728346</v>
      </c>
      <c r="I25" s="41">
        <v>4010100000</v>
      </c>
      <c r="J25" s="27">
        <v>-3093728346</v>
      </c>
      <c r="K25" s="28" t="str">
        <f ca="1">VLOOKUP(I25,'Data-WK'!A:B,2,0)</f>
        <v>220315</v>
      </c>
    </row>
    <row r="26" spans="1:11">
      <c r="A26" s="16">
        <v>6610100000</v>
      </c>
      <c r="B26" s="16">
        <v>0</v>
      </c>
      <c r="C26" s="16" t="s">
        <v>3413</v>
      </c>
      <c r="D26" s="16" t="s">
        <v>3414</v>
      </c>
      <c r="F26" s="41">
        <v>4011000000</v>
      </c>
      <c r="G26" s="42">
        <v>-3587768</v>
      </c>
      <c r="I26" s="41">
        <v>4011000000</v>
      </c>
      <c r="J26" s="27">
        <v>-3587768</v>
      </c>
      <c r="K26" s="28" t="str">
        <f ca="1">VLOOKUP(I26,'Data-WK'!A:B,2,0)</f>
        <v>220320</v>
      </c>
    </row>
    <row r="27" spans="1:11">
      <c r="A27" s="16">
        <v>6100000020</v>
      </c>
      <c r="B27" s="16">
        <v>0</v>
      </c>
      <c r="C27" s="16" t="s">
        <v>3416</v>
      </c>
      <c r="D27" s="16" t="s">
        <v>3417</v>
      </c>
      <c r="F27" s="41">
        <v>4203000000</v>
      </c>
      <c r="G27" s="42">
        <v>-150496042</v>
      </c>
      <c r="I27" s="41">
        <v>4203000000</v>
      </c>
      <c r="J27" s="27">
        <v>-150496042</v>
      </c>
      <c r="K27" s="28" t="str">
        <f ca="1">VLOOKUP(I27,'Data-WK'!A:B,2,0)</f>
        <v>23020208</v>
      </c>
    </row>
    <row r="28" spans="1:11">
      <c r="A28" s="16">
        <v>2750010000</v>
      </c>
      <c r="B28" s="16">
        <v>0</v>
      </c>
      <c r="C28" s="16" t="s">
        <v>3419</v>
      </c>
      <c r="D28" s="16" t="s">
        <v>3403</v>
      </c>
      <c r="F28" s="41">
        <v>4610000000</v>
      </c>
      <c r="G28" s="42">
        <v>-32296507</v>
      </c>
      <c r="I28" s="41">
        <v>4610000000</v>
      </c>
      <c r="J28" s="27">
        <v>-32296507</v>
      </c>
      <c r="K28" s="28" t="str">
        <f ca="1">VLOOKUP(I28,'Data-WK'!A:B,2,0)</f>
        <v>320302</v>
      </c>
    </row>
    <row r="29" spans="1:11">
      <c r="A29" s="16">
        <v>6060010000</v>
      </c>
      <c r="B29" s="16">
        <v>0</v>
      </c>
      <c r="C29" s="16" t="s">
        <v>3420</v>
      </c>
      <c r="D29" s="16" t="s">
        <v>3421</v>
      </c>
      <c r="F29" s="41">
        <v>4611000000</v>
      </c>
      <c r="G29" s="42">
        <v>41441262</v>
      </c>
      <c r="I29" s="41">
        <v>4611000000</v>
      </c>
      <c r="J29" s="27">
        <v>41441262</v>
      </c>
      <c r="K29" s="28" t="str">
        <f ca="1">VLOOKUP(I29,'Data-WK'!A:B,2,0)</f>
        <v>320304</v>
      </c>
    </row>
    <row r="30" spans="1:11">
      <c r="A30" s="16">
        <v>5010100010</v>
      </c>
      <c r="B30" s="16">
        <v>123</v>
      </c>
      <c r="C30" s="16" t="s">
        <v>3406</v>
      </c>
      <c r="D30" s="16" t="s">
        <v>3407</v>
      </c>
      <c r="F30" s="41">
        <v>4612000000</v>
      </c>
      <c r="G30" s="42">
        <v>-3244274</v>
      </c>
      <c r="I30" s="41">
        <v>4612000000</v>
      </c>
      <c r="J30" s="27">
        <v>-3244274</v>
      </c>
      <c r="K30" s="28" t="str">
        <f ca="1">VLOOKUP(I30,'Data-WK'!A:B,2,0)</f>
        <v>320303</v>
      </c>
    </row>
    <row r="31" spans="1:11">
      <c r="A31" s="16">
        <v>2750010000</v>
      </c>
      <c r="B31" s="16">
        <v>59</v>
      </c>
      <c r="C31" s="16" t="s">
        <v>3419</v>
      </c>
      <c r="D31" s="16" t="s">
        <v>3403</v>
      </c>
      <c r="F31" s="41">
        <v>5010000000</v>
      </c>
      <c r="G31" s="42">
        <v>-30480962</v>
      </c>
      <c r="I31" s="41">
        <v>5010000000</v>
      </c>
      <c r="J31" s="27">
        <v>-30480962</v>
      </c>
      <c r="K31" s="28" t="str">
        <f ca="1">VLOOKUP(I31,'Data-WK'!A:B,2,0)</f>
        <v>410104</v>
      </c>
    </row>
    <row r="32" spans="1:11">
      <c r="A32" s="16">
        <v>6700200000</v>
      </c>
      <c r="B32" s="16">
        <v>0</v>
      </c>
      <c r="C32" s="16" t="s">
        <v>3404</v>
      </c>
      <c r="D32" s="16" t="s">
        <v>3409</v>
      </c>
      <c r="F32" s="41">
        <v>5010000010</v>
      </c>
      <c r="G32" s="42">
        <v>2119524</v>
      </c>
      <c r="I32" s="41">
        <v>5010000010</v>
      </c>
      <c r="J32" s="27">
        <v>2119524</v>
      </c>
      <c r="K32" s="28" t="str">
        <f ca="1">VLOOKUP(I32,'Data-WK'!A:B,2,0)</f>
        <v>410105</v>
      </c>
    </row>
    <row r="33" spans="1:11">
      <c r="A33" s="16">
        <v>6700600000</v>
      </c>
      <c r="B33" s="16">
        <v>0</v>
      </c>
      <c r="C33" s="16" t="s">
        <v>3404</v>
      </c>
      <c r="D33" s="16" t="s">
        <v>3409</v>
      </c>
      <c r="F33" s="41">
        <v>5010100000</v>
      </c>
      <c r="G33" s="42">
        <v>-1882033580</v>
      </c>
      <c r="I33" s="41">
        <v>5010100000</v>
      </c>
      <c r="J33" s="27">
        <v>-1882033580</v>
      </c>
      <c r="K33" s="28" t="str">
        <f ca="1">VLOOKUP(I33,'Data-WK'!A:B,2,0)</f>
        <v>410204</v>
      </c>
    </row>
    <row r="34" spans="1:11">
      <c r="A34" s="16">
        <v>6700200000</v>
      </c>
      <c r="B34" s="16">
        <v>0</v>
      </c>
      <c r="C34" s="16" t="s">
        <v>3404</v>
      </c>
      <c r="D34" s="16" t="s">
        <v>3409</v>
      </c>
      <c r="F34" s="41">
        <v>5010100010</v>
      </c>
      <c r="G34" s="42">
        <v>679190</v>
      </c>
      <c r="I34" s="41">
        <v>5010100010</v>
      </c>
      <c r="J34" s="27">
        <v>679190</v>
      </c>
      <c r="K34" s="28" t="str">
        <f ca="1">VLOOKUP(I34,'Data-WK'!A:B,2,0)</f>
        <v>410205</v>
      </c>
    </row>
    <row r="35" spans="1:11">
      <c r="A35" s="16">
        <v>4203000000</v>
      </c>
      <c r="B35" s="16">
        <v>0</v>
      </c>
      <c r="C35" s="16" t="s">
        <v>3408</v>
      </c>
      <c r="D35" s="16" t="s">
        <v>3403</v>
      </c>
      <c r="F35" s="41">
        <v>5050000000</v>
      </c>
      <c r="G35" s="42">
        <v>515121918</v>
      </c>
      <c r="I35" s="41">
        <v>5050000000</v>
      </c>
      <c r="J35" s="27">
        <v>515121918</v>
      </c>
      <c r="K35" s="28" t="str">
        <f ca="1">VLOOKUP(I35,'Data-WK'!A:B,2,0)</f>
        <v>410305</v>
      </c>
    </row>
    <row r="36" spans="1:11">
      <c r="A36" s="16">
        <v>3810000000</v>
      </c>
      <c r="B36" s="16">
        <v>0</v>
      </c>
      <c r="C36" s="16" t="s">
        <v>3402</v>
      </c>
      <c r="D36" s="16" t="s">
        <v>3403</v>
      </c>
      <c r="F36" s="41">
        <v>5050010000</v>
      </c>
      <c r="G36" s="42">
        <v>138684327</v>
      </c>
      <c r="I36" s="41">
        <v>5050010000</v>
      </c>
      <c r="J36" s="27">
        <v>138684327</v>
      </c>
      <c r="K36" s="28" t="str">
        <f ca="1">VLOOKUP(I36,'Data-WK'!A:B,2,0)</f>
        <v>410306</v>
      </c>
    </row>
    <row r="37" spans="1:11">
      <c r="A37" s="16">
        <v>6700600000</v>
      </c>
      <c r="B37" s="16">
        <v>0</v>
      </c>
      <c r="C37" s="16" t="s">
        <v>3404</v>
      </c>
      <c r="D37" s="16" t="s">
        <v>3409</v>
      </c>
      <c r="F37" s="41">
        <v>5052000000</v>
      </c>
      <c r="G37" s="42">
        <v>-737946309</v>
      </c>
      <c r="I37" s="41">
        <v>5052000000</v>
      </c>
      <c r="J37" s="27">
        <v>-737946309</v>
      </c>
      <c r="K37" s="28" t="str">
        <f ca="1">VLOOKUP(I37,'Data-WK'!A:B,2,0)</f>
        <v>410307</v>
      </c>
    </row>
    <row r="38" spans="1:11">
      <c r="A38" s="16">
        <v>6610000100</v>
      </c>
      <c r="B38" s="16">
        <v>0</v>
      </c>
      <c r="C38" s="16" t="s">
        <v>3413</v>
      </c>
      <c r="D38" s="16" t="s">
        <v>3418</v>
      </c>
      <c r="F38" s="41">
        <v>5052010000</v>
      </c>
      <c r="G38" s="42">
        <v>3725750</v>
      </c>
      <c r="I38" s="41">
        <v>5052010000</v>
      </c>
      <c r="J38" s="27">
        <v>3725750</v>
      </c>
      <c r="K38" s="28" t="str">
        <f ca="1">VLOOKUP(I38,'Data-WK'!A:B,2,0)</f>
        <v>410308</v>
      </c>
    </row>
    <row r="39" spans="1:11">
      <c r="A39" s="16">
        <v>5052000000</v>
      </c>
      <c r="B39" s="16">
        <v>0</v>
      </c>
      <c r="C39" s="16" t="s">
        <v>3406</v>
      </c>
      <c r="D39" s="16" t="s">
        <v>3422</v>
      </c>
      <c r="F39" s="41">
        <v>6030000000</v>
      </c>
      <c r="G39" s="42">
        <v>489209887</v>
      </c>
      <c r="I39" s="41">
        <v>6030000000</v>
      </c>
      <c r="J39" s="27">
        <v>489209887</v>
      </c>
      <c r="K39" s="28" t="str">
        <f ca="1">VLOOKUP(I39,'Data-WK'!A:B,2,0)</f>
        <v>51030102</v>
      </c>
    </row>
    <row r="40" spans="1:11">
      <c r="A40" s="16">
        <v>3710000000</v>
      </c>
      <c r="B40" s="16">
        <v>-123</v>
      </c>
      <c r="C40" s="16" t="s">
        <v>3402</v>
      </c>
      <c r="D40" s="16" t="s">
        <v>3403</v>
      </c>
      <c r="F40" s="41">
        <v>6032000000</v>
      </c>
      <c r="G40" s="42">
        <v>-180946158</v>
      </c>
      <c r="I40" s="41">
        <v>6032000000</v>
      </c>
      <c r="J40" s="27">
        <v>-180946158</v>
      </c>
      <c r="K40" s="28" t="str">
        <f ca="1">VLOOKUP(I40,'Data-WK'!A:B,2,0)</f>
        <v>51030402</v>
      </c>
    </row>
    <row r="41" spans="1:11">
      <c r="A41" s="16">
        <v>5010100010</v>
      </c>
      <c r="B41" s="16">
        <v>0</v>
      </c>
      <c r="C41" s="16" t="s">
        <v>3406</v>
      </c>
      <c r="D41" s="16" t="s">
        <v>3407</v>
      </c>
      <c r="F41" s="41">
        <v>6060010000</v>
      </c>
      <c r="G41" s="42">
        <v>737808327</v>
      </c>
      <c r="I41" s="45">
        <v>6060010000</v>
      </c>
      <c r="J41" s="46">
        <v>737808327</v>
      </c>
      <c r="K41" s="47" t="e">
        <f ca="1">VLOOKUP(I41,'Data-WK'!A:B,2,0)</f>
        <v>#N/A</v>
      </c>
    </row>
    <row r="42" spans="1:11">
      <c r="A42" s="16">
        <v>2201000000</v>
      </c>
      <c r="B42" s="16">
        <v>0</v>
      </c>
      <c r="C42" s="16" t="s">
        <v>3415</v>
      </c>
      <c r="D42" s="16" t="s">
        <v>3403</v>
      </c>
      <c r="F42" s="41">
        <v>6060110000</v>
      </c>
      <c r="G42" s="42">
        <v>-12049381</v>
      </c>
      <c r="I42" s="41">
        <v>6060110000</v>
      </c>
      <c r="J42" s="27">
        <v>-12049381</v>
      </c>
      <c r="K42" s="28" t="str">
        <f ca="1">VLOOKUP(I42,'Data-WK'!A:B,2,0)</f>
        <v>53050404</v>
      </c>
    </row>
    <row r="43" spans="1:11">
      <c r="A43" s="16">
        <v>6030000000</v>
      </c>
      <c r="B43" s="16">
        <v>0</v>
      </c>
      <c r="C43" s="16" t="s">
        <v>3420</v>
      </c>
      <c r="D43" s="16" t="s">
        <v>3423</v>
      </c>
      <c r="F43" s="41">
        <v>6100000000</v>
      </c>
      <c r="G43" s="42">
        <v>241657849165</v>
      </c>
      <c r="I43" s="41">
        <v>6100000000</v>
      </c>
      <c r="J43" s="27">
        <v>241657849165</v>
      </c>
      <c r="K43" s="28" t="str">
        <f ca="1">VLOOKUP(I43,'Data-WK'!A:B,2,0)</f>
        <v>410501</v>
      </c>
    </row>
    <row r="44" spans="1:11">
      <c r="A44" s="16">
        <v>6700600000</v>
      </c>
      <c r="B44" s="16">
        <v>0</v>
      </c>
      <c r="C44" s="16" t="s">
        <v>3404</v>
      </c>
      <c r="D44" s="16" t="s">
        <v>3409</v>
      </c>
      <c r="F44" s="41">
        <v>6100000020</v>
      </c>
      <c r="G44" s="42">
        <v>3291586</v>
      </c>
      <c r="I44" s="41">
        <v>6100000020</v>
      </c>
      <c r="J44" s="27">
        <v>3291586</v>
      </c>
      <c r="K44" s="28" t="str">
        <f ca="1">VLOOKUP(I44,'Data-WK'!A:B,2,0)</f>
        <v>51030220</v>
      </c>
    </row>
    <row r="45" spans="1:11">
      <c r="A45" s="16">
        <v>6610100100</v>
      </c>
      <c r="B45" s="16">
        <v>-59</v>
      </c>
      <c r="C45" s="16" t="s">
        <v>3413</v>
      </c>
      <c r="D45" s="16" t="s">
        <v>3414</v>
      </c>
      <c r="F45" s="41">
        <v>6102000000</v>
      </c>
      <c r="G45" s="42">
        <v>-4147209106</v>
      </c>
      <c r="I45" s="41">
        <v>6102000000</v>
      </c>
      <c r="J45" s="27">
        <v>-4147209106</v>
      </c>
      <c r="K45" s="28" t="str">
        <f ca="1">VLOOKUP(I45,'Data-WK'!A:B,2,0)</f>
        <v>410502</v>
      </c>
    </row>
    <row r="46" spans="1:11">
      <c r="A46" s="16">
        <v>2500000000</v>
      </c>
      <c r="B46" s="16">
        <v>24023364</v>
      </c>
      <c r="C46" s="16" t="s">
        <v>3412</v>
      </c>
      <c r="D46" s="16" t="s">
        <v>3403</v>
      </c>
      <c r="F46" s="41">
        <v>6102000020</v>
      </c>
      <c r="G46" s="42">
        <v>0</v>
      </c>
      <c r="I46" s="41">
        <v>6102000020</v>
      </c>
      <c r="J46" s="27">
        <v>0</v>
      </c>
      <c r="K46" s="28" t="str">
        <f ca="1">VLOOKUP(I46,'Data-WK'!A:B,2,0)</f>
        <v>新增</v>
      </c>
    </row>
    <row r="47" spans="1:11">
      <c r="A47" s="16">
        <v>2201200030</v>
      </c>
      <c r="B47" s="16">
        <v>0</v>
      </c>
      <c r="C47" s="16" t="s">
        <v>3415</v>
      </c>
      <c r="D47" s="16" t="s">
        <v>3403</v>
      </c>
      <c r="F47" s="41">
        <v>6104000000</v>
      </c>
      <c r="G47" s="42">
        <v>15475247808</v>
      </c>
      <c r="I47" s="41">
        <v>6104000000</v>
      </c>
      <c r="J47" s="27">
        <v>15475247808</v>
      </c>
      <c r="K47" s="28" t="str">
        <f ca="1">VLOOKUP(I47,'Data-WK'!A:B,2,0)</f>
        <v>51030226</v>
      </c>
    </row>
    <row r="48" spans="1:11">
      <c r="A48" s="16">
        <v>6700400000</v>
      </c>
      <c r="B48" s="16">
        <v>0</v>
      </c>
      <c r="C48" s="16" t="s">
        <v>3404</v>
      </c>
      <c r="D48" s="16" t="s">
        <v>3405</v>
      </c>
      <c r="F48" s="41">
        <v>6104001000</v>
      </c>
      <c r="G48" s="42">
        <v>-845812211</v>
      </c>
      <c r="I48" s="41">
        <v>6104001000</v>
      </c>
      <c r="J48" s="27">
        <v>-845812211</v>
      </c>
      <c r="K48" s="28" t="str">
        <f ca="1">VLOOKUP(I48,'Data-WK'!A:B,2,0)</f>
        <v>51030227</v>
      </c>
    </row>
    <row r="49" spans="1:11">
      <c r="A49" s="16">
        <v>6700000000</v>
      </c>
      <c r="B49" s="16">
        <v>0</v>
      </c>
      <c r="C49" s="16" t="s">
        <v>3404</v>
      </c>
      <c r="D49" s="16" t="s">
        <v>3405</v>
      </c>
      <c r="F49" s="41">
        <v>6150000000</v>
      </c>
      <c r="G49" s="42">
        <v>1380404</v>
      </c>
      <c r="I49" s="41">
        <v>6150000000</v>
      </c>
      <c r="J49" s="27">
        <v>1380404</v>
      </c>
      <c r="K49" s="28" t="str">
        <f ca="1">VLOOKUP(I49,'Data-WK'!A:B,2,0)</f>
        <v>53050413</v>
      </c>
    </row>
    <row r="50" spans="1:11">
      <c r="A50" s="16">
        <v>6700400000</v>
      </c>
      <c r="B50" s="16">
        <v>0</v>
      </c>
      <c r="C50" s="16" t="s">
        <v>3404</v>
      </c>
      <c r="D50" s="16" t="s">
        <v>3405</v>
      </c>
      <c r="F50" s="41">
        <v>6160000000</v>
      </c>
      <c r="G50" s="42">
        <v>546008</v>
      </c>
      <c r="I50" s="45">
        <v>6160000000</v>
      </c>
      <c r="J50" s="46">
        <v>546008</v>
      </c>
      <c r="K50" s="47" t="e">
        <f ca="1">VLOOKUP(I50,'Data-WK'!A:B,2,0)</f>
        <v>#N/A</v>
      </c>
    </row>
    <row r="51" spans="1:11">
      <c r="A51" s="16">
        <v>3710000000</v>
      </c>
      <c r="B51" s="16">
        <v>0</v>
      </c>
      <c r="C51" s="16" t="s">
        <v>3402</v>
      </c>
      <c r="D51" s="16" t="s">
        <v>3403</v>
      </c>
      <c r="F51" s="41">
        <v>6610000000</v>
      </c>
      <c r="G51" s="42">
        <v>18587518</v>
      </c>
      <c r="I51" s="41">
        <v>6610000000</v>
      </c>
      <c r="J51" s="27">
        <v>18587518</v>
      </c>
      <c r="K51" s="28" t="str">
        <f ca="1">VLOOKUP(I51,'Data-WK'!A:B,2,0)</f>
        <v>51060402</v>
      </c>
    </row>
    <row r="52" spans="1:11">
      <c r="A52" s="16">
        <v>6700200000</v>
      </c>
      <c r="B52" s="16">
        <v>0</v>
      </c>
      <c r="C52" s="16" t="s">
        <v>3404</v>
      </c>
      <c r="D52" s="16" t="s">
        <v>3409</v>
      </c>
      <c r="F52" s="41">
        <v>6610000100</v>
      </c>
      <c r="G52" s="42">
        <v>-1557278</v>
      </c>
      <c r="I52" s="41">
        <v>6610000100</v>
      </c>
      <c r="J52" s="27">
        <v>-1557278</v>
      </c>
      <c r="K52" s="28" t="str">
        <f ca="1">VLOOKUP(I52,'Data-WK'!A:B,2,0)</f>
        <v>51060403</v>
      </c>
    </row>
    <row r="53" spans="1:11">
      <c r="A53" s="16">
        <v>3030000000</v>
      </c>
      <c r="B53" s="16">
        <v>0</v>
      </c>
      <c r="C53" s="16" t="s">
        <v>3402</v>
      </c>
      <c r="D53" s="16" t="s">
        <v>3403</v>
      </c>
      <c r="F53" s="41">
        <v>6610100000</v>
      </c>
      <c r="G53" s="42">
        <v>131908524</v>
      </c>
      <c r="I53" s="41">
        <v>6610100000</v>
      </c>
      <c r="J53" s="27">
        <v>131908524</v>
      </c>
      <c r="K53" s="28" t="str">
        <f ca="1">VLOOKUP(I53,'Data-WK'!A:B,2,0)</f>
        <v>51060405</v>
      </c>
    </row>
    <row r="54" spans="1:11">
      <c r="A54" s="16">
        <v>6610000000</v>
      </c>
      <c r="B54" s="16">
        <v>0</v>
      </c>
      <c r="C54" s="16" t="s">
        <v>3413</v>
      </c>
      <c r="D54" s="16" t="s">
        <v>3418</v>
      </c>
      <c r="F54" s="41">
        <v>6610100100</v>
      </c>
      <c r="G54" s="42">
        <v>-35198</v>
      </c>
      <c r="I54" s="41">
        <v>6610100100</v>
      </c>
      <c r="J54" s="27">
        <v>-35198</v>
      </c>
      <c r="K54" s="28" t="str">
        <f ca="1">VLOOKUP(I54,'Data-WK'!A:B,2,0)</f>
        <v>51060406</v>
      </c>
    </row>
    <row r="55" spans="1:11">
      <c r="A55" s="16">
        <v>6700700000</v>
      </c>
      <c r="B55" s="16">
        <v>0</v>
      </c>
      <c r="C55" s="16" t="s">
        <v>3404</v>
      </c>
      <c r="D55" s="16" t="s">
        <v>3409</v>
      </c>
      <c r="F55" s="41">
        <v>6700000000</v>
      </c>
      <c r="G55" s="42">
        <v>-6544614423</v>
      </c>
      <c r="I55" s="41">
        <v>6700000000</v>
      </c>
      <c r="J55" s="27">
        <v>-6544614423</v>
      </c>
      <c r="K55" s="28" t="str">
        <f ca="1">VLOOKUP(I55,'Data-WK'!A:B,2,0)</f>
        <v>5106050501</v>
      </c>
    </row>
    <row r="56" spans="1:11">
      <c r="A56" s="16">
        <v>6700400000</v>
      </c>
      <c r="B56" s="16">
        <v>0</v>
      </c>
      <c r="C56" s="16" t="s">
        <v>3404</v>
      </c>
      <c r="D56" s="16" t="s">
        <v>3405</v>
      </c>
      <c r="F56" s="41">
        <v>6700100000</v>
      </c>
      <c r="G56" s="42">
        <v>-1025162165</v>
      </c>
      <c r="I56" s="41">
        <v>6700100000</v>
      </c>
      <c r="J56" s="27">
        <v>-1025162165</v>
      </c>
      <c r="K56" s="28" t="str">
        <f ca="1">VLOOKUP(I56,'Data-WK'!A:B,2,0)</f>
        <v>5106050502</v>
      </c>
    </row>
    <row r="57" spans="1:11">
      <c r="A57" s="16">
        <v>6700200000</v>
      </c>
      <c r="B57" s="16">
        <v>0</v>
      </c>
      <c r="C57" s="16" t="s">
        <v>3404</v>
      </c>
      <c r="D57" s="16" t="s">
        <v>3409</v>
      </c>
      <c r="F57" s="41">
        <v>6700200000</v>
      </c>
      <c r="G57" s="42">
        <v>-8125523194</v>
      </c>
      <c r="I57" s="41">
        <v>6700200000</v>
      </c>
      <c r="J57" s="27">
        <v>-8125523194</v>
      </c>
      <c r="K57" s="28" t="str">
        <f ca="1">VLOOKUP(I57,'Data-WK'!A:B,2,0)</f>
        <v>5106050503</v>
      </c>
    </row>
    <row r="58" spans="1:11">
      <c r="A58" s="16">
        <v>5050000000</v>
      </c>
      <c r="B58" s="16">
        <v>0</v>
      </c>
      <c r="C58" s="16" t="s">
        <v>3406</v>
      </c>
      <c r="D58" s="16" t="s">
        <v>3422</v>
      </c>
      <c r="F58" s="41">
        <v>6700400000</v>
      </c>
      <c r="G58" s="42">
        <v>-5086984</v>
      </c>
      <c r="I58" s="41">
        <v>6700400000</v>
      </c>
      <c r="J58" s="27">
        <v>-5086984</v>
      </c>
      <c r="K58" s="28" t="str">
        <f ca="1">VLOOKUP(I58,'Data-WK'!A:B,2,0)</f>
        <v>5106050507</v>
      </c>
    </row>
    <row r="59" spans="1:11">
      <c r="A59" s="16">
        <v>2500000000</v>
      </c>
      <c r="B59" s="16">
        <v>0</v>
      </c>
      <c r="C59" s="16" t="s">
        <v>3412</v>
      </c>
      <c r="D59" s="16" t="s">
        <v>3403</v>
      </c>
      <c r="F59" s="41">
        <v>6700500000</v>
      </c>
      <c r="G59" s="42">
        <v>-13988202</v>
      </c>
      <c r="I59" s="41">
        <v>6700500000</v>
      </c>
      <c r="J59" s="27">
        <v>-13988202</v>
      </c>
      <c r="K59" s="28" t="str">
        <f ca="1">VLOOKUP(I59,'Data-WK'!A:B,2,0)</f>
        <v>5106050508</v>
      </c>
    </row>
    <row r="60" spans="1:11">
      <c r="A60" s="16">
        <v>5010100000</v>
      </c>
      <c r="B60" s="16">
        <v>-24023364</v>
      </c>
      <c r="C60" s="16" t="s">
        <v>3406</v>
      </c>
      <c r="D60" s="16" t="s">
        <v>3407</v>
      </c>
      <c r="F60" s="41">
        <v>6700600000</v>
      </c>
      <c r="G60" s="42">
        <v>-44001995</v>
      </c>
      <c r="I60" s="41">
        <v>6700600000</v>
      </c>
      <c r="J60" s="27">
        <v>-44001995</v>
      </c>
      <c r="K60" s="28" t="str">
        <f ca="1">VLOOKUP(I60,'Data-WK'!A:B,2,0)</f>
        <v>5106050509</v>
      </c>
    </row>
    <row r="61" spans="1:11">
      <c r="A61" s="16">
        <v>3102000000</v>
      </c>
      <c r="B61" s="16">
        <v>0</v>
      </c>
      <c r="C61" s="16" t="s">
        <v>3424</v>
      </c>
      <c r="D61" s="16" t="s">
        <v>3403</v>
      </c>
      <c r="F61" s="41">
        <v>6700700000</v>
      </c>
      <c r="G61" s="42">
        <v>-120980350</v>
      </c>
      <c r="I61" s="41">
        <v>6700700000</v>
      </c>
      <c r="J61" s="27">
        <v>-120980350</v>
      </c>
      <c r="K61" s="28" t="str">
        <f ca="1">VLOOKUP(I61,'Data-WK'!A:B,2,0)</f>
        <v>5106050510</v>
      </c>
    </row>
    <row r="62" spans="1:11">
      <c r="A62" s="16">
        <v>6700200000</v>
      </c>
      <c r="B62" s="16">
        <v>0</v>
      </c>
      <c r="C62" s="16" t="s">
        <v>3404</v>
      </c>
      <c r="D62" s="16" t="s">
        <v>3409</v>
      </c>
      <c r="F62" s="41" t="s">
        <v>3435</v>
      </c>
      <c r="G62" s="42"/>
      <c r="I62" s="41" t="s">
        <v>3435</v>
      </c>
      <c r="J62" s="27"/>
    </row>
    <row r="63" spans="1:11">
      <c r="A63" s="16">
        <v>2500000000</v>
      </c>
      <c r="B63" s="16">
        <v>0</v>
      </c>
      <c r="C63" s="16" t="s">
        <v>3412</v>
      </c>
      <c r="D63" s="16" t="s">
        <v>3403</v>
      </c>
      <c r="F63" s="41" t="s">
        <v>3436</v>
      </c>
      <c r="G63" s="42">
        <v>0</v>
      </c>
      <c r="I63" s="41" t="s">
        <v>3436</v>
      </c>
      <c r="J63" s="27">
        <v>0</v>
      </c>
    </row>
    <row r="64" spans="1:11">
      <c r="A64" s="16">
        <v>4203000000</v>
      </c>
      <c r="B64" s="16">
        <v>0</v>
      </c>
      <c r="C64" s="16" t="s">
        <v>3408</v>
      </c>
      <c r="D64" s="16" t="s">
        <v>3403</v>
      </c>
      <c r="F64" s="16"/>
    </row>
    <row r="65" spans="1:6">
      <c r="A65" s="16">
        <v>6700700000</v>
      </c>
      <c r="B65" s="16">
        <v>0</v>
      </c>
      <c r="C65" s="16" t="s">
        <v>3404</v>
      </c>
      <c r="D65" s="16" t="s">
        <v>3409</v>
      </c>
      <c r="F65" s="16"/>
    </row>
    <row r="66" spans="1:6">
      <c r="A66" s="16">
        <v>6700500000</v>
      </c>
      <c r="B66" s="16">
        <v>0</v>
      </c>
      <c r="C66" s="16" t="s">
        <v>3404</v>
      </c>
      <c r="D66" s="16" t="s">
        <v>3405</v>
      </c>
      <c r="F66" s="16"/>
    </row>
    <row r="67" spans="1:6">
      <c r="A67" s="16">
        <v>5052010000</v>
      </c>
      <c r="B67" s="16">
        <v>0</v>
      </c>
      <c r="C67" s="16" t="s">
        <v>3406</v>
      </c>
      <c r="D67" s="16" t="s">
        <v>3422</v>
      </c>
      <c r="F67" s="16"/>
    </row>
    <row r="68" spans="1:6">
      <c r="A68" s="16">
        <v>2203000000</v>
      </c>
      <c r="B68" s="16">
        <v>0</v>
      </c>
      <c r="C68" s="16" t="s">
        <v>3415</v>
      </c>
      <c r="D68" s="16" t="s">
        <v>3403</v>
      </c>
      <c r="F68" s="16"/>
    </row>
    <row r="69" spans="1:6">
      <c r="A69" s="16">
        <v>6700000000</v>
      </c>
      <c r="B69" s="16">
        <v>0</v>
      </c>
      <c r="C69" s="16" t="s">
        <v>3404</v>
      </c>
      <c r="D69" s="16" t="s">
        <v>3405</v>
      </c>
      <c r="F69" s="16"/>
    </row>
    <row r="70" spans="1:6">
      <c r="A70" s="16">
        <v>3800000000</v>
      </c>
      <c r="B70" s="16">
        <v>0</v>
      </c>
      <c r="C70" s="16" t="s">
        <v>3402</v>
      </c>
      <c r="D70" s="16" t="s">
        <v>3403</v>
      </c>
      <c r="F70" s="16"/>
    </row>
    <row r="71" spans="1:6">
      <c r="A71" s="16">
        <v>6104001000</v>
      </c>
      <c r="B71" s="16">
        <v>-114928</v>
      </c>
      <c r="C71" s="16" t="s">
        <v>3416</v>
      </c>
      <c r="D71" s="16" t="s">
        <v>3417</v>
      </c>
      <c r="F71" s="16"/>
    </row>
    <row r="72" spans="1:6">
      <c r="A72" s="16">
        <v>5010000000</v>
      </c>
      <c r="B72" s="16">
        <v>0</v>
      </c>
      <c r="C72" s="16" t="s">
        <v>3406</v>
      </c>
      <c r="D72" s="16" t="s">
        <v>3411</v>
      </c>
      <c r="F72" s="16"/>
    </row>
    <row r="73" spans="1:6">
      <c r="A73" s="16">
        <v>6102000000</v>
      </c>
      <c r="B73" s="16">
        <v>0</v>
      </c>
      <c r="C73" s="16" t="s">
        <v>3425</v>
      </c>
      <c r="D73" s="16" t="s">
        <v>3426</v>
      </c>
      <c r="F73" s="16"/>
    </row>
    <row r="74" spans="1:6">
      <c r="A74" s="16">
        <v>5010000010</v>
      </c>
      <c r="B74" s="16">
        <v>0</v>
      </c>
      <c r="C74" s="16" t="s">
        <v>3406</v>
      </c>
      <c r="D74" s="16" t="s">
        <v>3411</v>
      </c>
      <c r="F74" s="16"/>
    </row>
    <row r="75" spans="1:6">
      <c r="A75" s="16">
        <v>6700200000</v>
      </c>
      <c r="B75" s="16">
        <v>0</v>
      </c>
      <c r="C75" s="16" t="s">
        <v>3404</v>
      </c>
      <c r="D75" s="16" t="s">
        <v>3409</v>
      </c>
      <c r="F75" s="16"/>
    </row>
    <row r="76" spans="1:6">
      <c r="A76" s="16">
        <v>2201000000</v>
      </c>
      <c r="B76" s="16">
        <v>0</v>
      </c>
      <c r="C76" s="16" t="s">
        <v>3415</v>
      </c>
      <c r="D76" s="16" t="s">
        <v>3403</v>
      </c>
      <c r="F76" s="16"/>
    </row>
    <row r="77" spans="1:6">
      <c r="A77" s="16">
        <v>6700200000</v>
      </c>
      <c r="B77" s="16">
        <v>0</v>
      </c>
      <c r="C77" s="16" t="s">
        <v>3404</v>
      </c>
      <c r="D77" s="16" t="s">
        <v>3409</v>
      </c>
      <c r="F77" s="16"/>
    </row>
    <row r="78" spans="1:6">
      <c r="A78" s="16">
        <v>6700100000</v>
      </c>
      <c r="B78" s="16">
        <v>0</v>
      </c>
      <c r="C78" s="16" t="s">
        <v>3404</v>
      </c>
      <c r="D78" s="16" t="s">
        <v>3410</v>
      </c>
      <c r="F78" s="16"/>
    </row>
    <row r="79" spans="1:6">
      <c r="A79" s="16">
        <v>2750010000</v>
      </c>
      <c r="B79" s="16">
        <v>160074</v>
      </c>
      <c r="C79" s="16" t="s">
        <v>3419</v>
      </c>
      <c r="D79" s="16" t="s">
        <v>3403</v>
      </c>
      <c r="F79" s="16"/>
    </row>
    <row r="80" spans="1:6">
      <c r="A80" s="16">
        <v>6700600000</v>
      </c>
      <c r="B80" s="16">
        <v>0</v>
      </c>
      <c r="C80" s="16" t="s">
        <v>3404</v>
      </c>
      <c r="D80" s="16" t="s">
        <v>3409</v>
      </c>
      <c r="F80" s="16"/>
    </row>
    <row r="81" spans="1:6">
      <c r="A81" s="16">
        <v>2750010000</v>
      </c>
      <c r="B81" s="16">
        <v>0</v>
      </c>
      <c r="C81" s="16" t="s">
        <v>3419</v>
      </c>
      <c r="D81" s="16" t="s">
        <v>3403</v>
      </c>
      <c r="F81" s="16"/>
    </row>
    <row r="82" spans="1:6">
      <c r="A82" s="16">
        <v>6104000000</v>
      </c>
      <c r="B82" s="16">
        <v>0</v>
      </c>
      <c r="C82" s="16" t="s">
        <v>3427</v>
      </c>
      <c r="D82" s="16" t="s">
        <v>3417</v>
      </c>
      <c r="F82" s="16"/>
    </row>
    <row r="83" spans="1:6">
      <c r="A83" s="16">
        <v>2500000000</v>
      </c>
      <c r="B83" s="16">
        <v>0</v>
      </c>
      <c r="C83" s="16" t="s">
        <v>3412</v>
      </c>
      <c r="D83" s="16" t="s">
        <v>3403</v>
      </c>
      <c r="F83" s="16"/>
    </row>
    <row r="84" spans="1:6">
      <c r="A84" s="16">
        <v>5010100000</v>
      </c>
      <c r="B84" s="16">
        <v>0</v>
      </c>
      <c r="C84" s="16" t="s">
        <v>3406</v>
      </c>
      <c r="D84" s="16" t="s">
        <v>3407</v>
      </c>
      <c r="F84" s="16"/>
    </row>
    <row r="85" spans="1:6">
      <c r="A85" s="16">
        <v>6700500000</v>
      </c>
      <c r="B85" s="16">
        <v>0</v>
      </c>
      <c r="C85" s="16" t="s">
        <v>3404</v>
      </c>
      <c r="D85" s="16" t="s">
        <v>3405</v>
      </c>
      <c r="F85" s="16"/>
    </row>
    <row r="86" spans="1:6">
      <c r="A86" s="16">
        <v>5052000000</v>
      </c>
      <c r="B86" s="16">
        <v>0</v>
      </c>
      <c r="C86" s="16" t="s">
        <v>3406</v>
      </c>
      <c r="D86" s="16" t="s">
        <v>3422</v>
      </c>
      <c r="F86" s="16"/>
    </row>
    <row r="87" spans="1:6">
      <c r="A87" s="16">
        <v>6060110000</v>
      </c>
      <c r="B87" s="16">
        <v>0</v>
      </c>
      <c r="C87" s="16" t="s">
        <v>3420</v>
      </c>
      <c r="D87" s="16" t="s">
        <v>3421</v>
      </c>
      <c r="F87" s="16"/>
    </row>
    <row r="88" spans="1:6">
      <c r="A88" s="16">
        <v>3103001000</v>
      </c>
      <c r="B88" s="16">
        <v>114928</v>
      </c>
      <c r="C88" s="16" t="s">
        <v>3402</v>
      </c>
      <c r="D88" s="16" t="s">
        <v>3403</v>
      </c>
      <c r="F88" s="16"/>
    </row>
    <row r="89" spans="1:6">
      <c r="A89" s="16">
        <v>3710000000</v>
      </c>
      <c r="B89" s="16">
        <v>0</v>
      </c>
      <c r="C89" s="16" t="s">
        <v>3402</v>
      </c>
      <c r="D89" s="16" t="s">
        <v>3403</v>
      </c>
      <c r="F89" s="16"/>
    </row>
    <row r="90" spans="1:6">
      <c r="A90" s="16">
        <v>6700000000</v>
      </c>
      <c r="B90" s="16">
        <v>0</v>
      </c>
      <c r="C90" s="16" t="s">
        <v>3404</v>
      </c>
      <c r="D90" s="16" t="s">
        <v>3405</v>
      </c>
      <c r="F90" s="16"/>
    </row>
    <row r="91" spans="1:6">
      <c r="A91" s="16">
        <v>6700200000</v>
      </c>
      <c r="B91" s="16">
        <v>0</v>
      </c>
      <c r="C91" s="16" t="s">
        <v>3404</v>
      </c>
      <c r="D91" s="16" t="s">
        <v>3409</v>
      </c>
      <c r="F91" s="16"/>
    </row>
    <row r="92" spans="1:6">
      <c r="A92" s="16">
        <v>6700200000</v>
      </c>
      <c r="B92" s="16">
        <v>0</v>
      </c>
      <c r="C92" s="16" t="s">
        <v>3404</v>
      </c>
      <c r="D92" s="16" t="s">
        <v>3409</v>
      </c>
      <c r="F92" s="16"/>
    </row>
    <row r="93" spans="1:6">
      <c r="A93" s="16">
        <v>6700100000</v>
      </c>
      <c r="B93" s="16">
        <v>0</v>
      </c>
      <c r="C93" s="16" t="s">
        <v>3404</v>
      </c>
      <c r="D93" s="16" t="s">
        <v>3410</v>
      </c>
      <c r="F93" s="16"/>
    </row>
    <row r="94" spans="1:6">
      <c r="A94" s="16">
        <v>6610000100</v>
      </c>
      <c r="B94" s="16">
        <v>-160074</v>
      </c>
      <c r="C94" s="16" t="s">
        <v>3413</v>
      </c>
      <c r="D94" s="16" t="s">
        <v>3418</v>
      </c>
      <c r="F94" s="16"/>
    </row>
    <row r="95" spans="1:6">
      <c r="A95" s="16">
        <v>6700400000</v>
      </c>
      <c r="B95" s="16">
        <v>0</v>
      </c>
      <c r="C95" s="16" t="s">
        <v>3404</v>
      </c>
      <c r="D95" s="16" t="s">
        <v>3405</v>
      </c>
      <c r="F95" s="16"/>
    </row>
    <row r="96" spans="1:6">
      <c r="A96" s="16">
        <v>6700600000</v>
      </c>
      <c r="B96" s="16">
        <v>0</v>
      </c>
      <c r="C96" s="16" t="s">
        <v>3404</v>
      </c>
      <c r="D96" s="16" t="s">
        <v>3409</v>
      </c>
      <c r="F96" s="16"/>
    </row>
    <row r="97" spans="1:6">
      <c r="A97" s="16">
        <v>6610100100</v>
      </c>
      <c r="B97" s="16">
        <v>0</v>
      </c>
      <c r="C97" s="16" t="s">
        <v>3413</v>
      </c>
      <c r="D97" s="16" t="s">
        <v>3414</v>
      </c>
      <c r="F97" s="16"/>
    </row>
    <row r="98" spans="1:6">
      <c r="A98" s="16">
        <v>2500000000</v>
      </c>
      <c r="B98" s="16">
        <v>0</v>
      </c>
      <c r="C98" s="16" t="s">
        <v>3412</v>
      </c>
      <c r="D98" s="16" t="s">
        <v>3403</v>
      </c>
      <c r="F98" s="16"/>
    </row>
    <row r="99" spans="1:6">
      <c r="A99" s="16">
        <v>6104000000</v>
      </c>
      <c r="B99" s="16">
        <v>1152</v>
      </c>
      <c r="C99" s="16" t="s">
        <v>3416</v>
      </c>
      <c r="D99" s="16" t="s">
        <v>3417</v>
      </c>
      <c r="F99" s="16"/>
    </row>
    <row r="100" spans="1:6">
      <c r="A100" s="16">
        <v>3103000000</v>
      </c>
      <c r="B100" s="16">
        <v>0</v>
      </c>
      <c r="C100" s="16" t="s">
        <v>3402</v>
      </c>
      <c r="D100" s="16" t="s">
        <v>3403</v>
      </c>
      <c r="F100" s="16"/>
    </row>
    <row r="101" spans="1:6">
      <c r="A101" s="16">
        <v>6610000000</v>
      </c>
      <c r="B101" s="16">
        <v>0</v>
      </c>
      <c r="C101" s="16" t="s">
        <v>3413</v>
      </c>
      <c r="D101" s="16" t="s">
        <v>3418</v>
      </c>
      <c r="F101" s="16"/>
    </row>
    <row r="102" spans="1:6">
      <c r="A102" s="16">
        <v>5010000000</v>
      </c>
      <c r="B102" s="16">
        <v>0</v>
      </c>
      <c r="C102" s="16" t="s">
        <v>3406</v>
      </c>
      <c r="D102" s="16" t="s">
        <v>3411</v>
      </c>
      <c r="F102" s="16"/>
    </row>
    <row r="103" spans="1:6">
      <c r="A103" s="16">
        <v>2201000030</v>
      </c>
      <c r="B103" s="16">
        <v>3385</v>
      </c>
      <c r="C103" s="16" t="s">
        <v>3415</v>
      </c>
      <c r="D103" s="16" t="s">
        <v>3403</v>
      </c>
      <c r="F103" s="16"/>
    </row>
    <row r="104" spans="1:6">
      <c r="A104" s="16">
        <v>6610100000</v>
      </c>
      <c r="B104" s="16">
        <v>30799920</v>
      </c>
      <c r="C104" s="16" t="s">
        <v>3413</v>
      </c>
      <c r="D104" s="16" t="s">
        <v>3414</v>
      </c>
      <c r="F104" s="16"/>
    </row>
    <row r="105" spans="1:6">
      <c r="A105" s="16">
        <v>3102000000</v>
      </c>
      <c r="B105" s="16">
        <v>0</v>
      </c>
      <c r="C105" s="16" t="s">
        <v>3424</v>
      </c>
      <c r="D105" s="16" t="s">
        <v>3403</v>
      </c>
      <c r="F105" s="16"/>
    </row>
    <row r="106" spans="1:6">
      <c r="A106" s="16">
        <v>2203000010</v>
      </c>
      <c r="B106" s="16">
        <v>0</v>
      </c>
      <c r="C106" s="16" t="s">
        <v>3415</v>
      </c>
      <c r="D106" s="16" t="s">
        <v>3403</v>
      </c>
      <c r="F106" s="16"/>
    </row>
    <row r="107" spans="1:6">
      <c r="A107" s="16">
        <v>2750010000</v>
      </c>
      <c r="B107" s="16">
        <v>0</v>
      </c>
      <c r="C107" s="16" t="s">
        <v>3419</v>
      </c>
      <c r="D107" s="16" t="s">
        <v>3403</v>
      </c>
      <c r="F107" s="16"/>
    </row>
    <row r="108" spans="1:6">
      <c r="A108" s="16">
        <v>5010100010</v>
      </c>
      <c r="B108" s="16">
        <v>0</v>
      </c>
      <c r="C108" s="16" t="s">
        <v>3406</v>
      </c>
      <c r="D108" s="16" t="s">
        <v>3407</v>
      </c>
      <c r="F108" s="16"/>
    </row>
    <row r="109" spans="1:6">
      <c r="A109" s="16">
        <v>6610000000</v>
      </c>
      <c r="B109" s="16">
        <v>0</v>
      </c>
      <c r="C109" s="16" t="s">
        <v>3413</v>
      </c>
      <c r="D109" s="16" t="s">
        <v>3418</v>
      </c>
      <c r="F109" s="16"/>
    </row>
    <row r="110" spans="1:6">
      <c r="A110" s="16">
        <v>6700100000</v>
      </c>
      <c r="B110" s="16">
        <v>0</v>
      </c>
      <c r="C110" s="16" t="s">
        <v>3404</v>
      </c>
      <c r="D110" s="16" t="s">
        <v>3410</v>
      </c>
      <c r="F110" s="16"/>
    </row>
    <row r="111" spans="1:6">
      <c r="A111" s="16">
        <v>6104001000</v>
      </c>
      <c r="B111" s="16">
        <v>0</v>
      </c>
      <c r="C111" s="16" t="s">
        <v>3416</v>
      </c>
      <c r="D111" s="16" t="s">
        <v>3417</v>
      </c>
      <c r="F111" s="16"/>
    </row>
    <row r="112" spans="1:6">
      <c r="A112" s="16">
        <v>2750010000</v>
      </c>
      <c r="B112" s="16">
        <v>0</v>
      </c>
      <c r="C112" s="16" t="s">
        <v>3419</v>
      </c>
      <c r="D112" s="16" t="s">
        <v>3403</v>
      </c>
      <c r="F112" s="16"/>
    </row>
    <row r="113" spans="1:6">
      <c r="A113" s="16">
        <v>6700400000</v>
      </c>
      <c r="B113" s="16">
        <v>0</v>
      </c>
      <c r="C113" s="16" t="s">
        <v>3404</v>
      </c>
      <c r="D113" s="16" t="s">
        <v>3405</v>
      </c>
      <c r="F113" s="16"/>
    </row>
    <row r="114" spans="1:6">
      <c r="A114" s="16">
        <v>5010000000</v>
      </c>
      <c r="B114" s="16">
        <v>0</v>
      </c>
      <c r="C114" s="16" t="s">
        <v>3406</v>
      </c>
      <c r="D114" s="16" t="s">
        <v>3411</v>
      </c>
      <c r="F114" s="16"/>
    </row>
    <row r="115" spans="1:6">
      <c r="A115" s="16">
        <v>3103000000</v>
      </c>
      <c r="B115" s="16">
        <v>-1152</v>
      </c>
      <c r="C115" s="16" t="s">
        <v>3402</v>
      </c>
      <c r="D115" s="16" t="s">
        <v>3403</v>
      </c>
      <c r="F115" s="16"/>
    </row>
    <row r="116" spans="1:6">
      <c r="A116" s="16">
        <v>2500000000</v>
      </c>
      <c r="B116" s="16">
        <v>0</v>
      </c>
      <c r="C116" s="16" t="s">
        <v>3412</v>
      </c>
      <c r="D116" s="16" t="s">
        <v>3403</v>
      </c>
      <c r="F116" s="16"/>
    </row>
    <row r="117" spans="1:6">
      <c r="A117" s="16">
        <v>2201000000</v>
      </c>
      <c r="B117" s="16">
        <v>0</v>
      </c>
      <c r="C117" s="16" t="s">
        <v>3415</v>
      </c>
      <c r="D117" s="16" t="s">
        <v>3403</v>
      </c>
      <c r="F117" s="16"/>
    </row>
    <row r="118" spans="1:6">
      <c r="A118" s="16">
        <v>4203000000</v>
      </c>
      <c r="B118" s="16">
        <v>0</v>
      </c>
      <c r="C118" s="16" t="s">
        <v>3408</v>
      </c>
      <c r="D118" s="16" t="s">
        <v>3403</v>
      </c>
      <c r="F118" s="16"/>
    </row>
    <row r="119" spans="1:6">
      <c r="A119" s="16">
        <v>6700200000</v>
      </c>
      <c r="B119" s="16">
        <v>-3385</v>
      </c>
      <c r="C119" s="16" t="s">
        <v>3404</v>
      </c>
      <c r="D119" s="16" t="s">
        <v>3409</v>
      </c>
      <c r="F119" s="16"/>
    </row>
    <row r="120" spans="1:6">
      <c r="A120" s="16">
        <v>6100000000</v>
      </c>
      <c r="B120" s="16">
        <v>326</v>
      </c>
      <c r="C120" s="16" t="s">
        <v>3416</v>
      </c>
      <c r="D120" s="16" t="s">
        <v>3417</v>
      </c>
      <c r="F120" s="16"/>
    </row>
    <row r="121" spans="1:6">
      <c r="A121" s="16">
        <v>5010100010</v>
      </c>
      <c r="B121" s="16">
        <v>0</v>
      </c>
      <c r="C121" s="16" t="s">
        <v>3406</v>
      </c>
      <c r="D121" s="16" t="s">
        <v>3407</v>
      </c>
      <c r="F121" s="16"/>
    </row>
    <row r="122" spans="1:6">
      <c r="A122" s="16">
        <v>6610000000</v>
      </c>
      <c r="B122" s="16">
        <v>0</v>
      </c>
      <c r="C122" s="16" t="s">
        <v>3413</v>
      </c>
      <c r="D122" s="16" t="s">
        <v>3418</v>
      </c>
      <c r="F122" s="16"/>
    </row>
    <row r="123" spans="1:6">
      <c r="A123" s="16">
        <v>4203000000</v>
      </c>
      <c r="B123" s="16">
        <v>-30799920</v>
      </c>
      <c r="C123" s="16" t="s">
        <v>3408</v>
      </c>
      <c r="D123" s="16" t="s">
        <v>3403</v>
      </c>
      <c r="F123" s="16"/>
    </row>
    <row r="124" spans="1:6">
      <c r="A124" s="16">
        <v>5050010000</v>
      </c>
      <c r="B124" s="16">
        <v>0</v>
      </c>
      <c r="C124" s="16" t="s">
        <v>3406</v>
      </c>
      <c r="D124" s="16" t="s">
        <v>3422</v>
      </c>
      <c r="F124" s="16"/>
    </row>
    <row r="125" spans="1:6">
      <c r="A125" s="16">
        <v>6102000000</v>
      </c>
      <c r="B125" s="16">
        <v>0</v>
      </c>
      <c r="C125" s="16" t="s">
        <v>3425</v>
      </c>
      <c r="D125" s="16" t="s">
        <v>3426</v>
      </c>
      <c r="F125" s="16"/>
    </row>
    <row r="126" spans="1:6">
      <c r="A126" s="16">
        <v>4612000000</v>
      </c>
      <c r="B126" s="16">
        <v>0</v>
      </c>
      <c r="C126" s="16" t="s">
        <v>3428</v>
      </c>
      <c r="D126" s="16" t="s">
        <v>3403</v>
      </c>
      <c r="F126" s="16"/>
    </row>
    <row r="127" spans="1:6">
      <c r="A127" s="16">
        <v>6610100000</v>
      </c>
      <c r="B127" s="16">
        <v>0</v>
      </c>
      <c r="C127" s="16" t="s">
        <v>3413</v>
      </c>
      <c r="D127" s="16" t="s">
        <v>3414</v>
      </c>
      <c r="F127" s="16"/>
    </row>
    <row r="128" spans="1:6">
      <c r="A128" s="16">
        <v>6610000100</v>
      </c>
      <c r="B128" s="16">
        <v>0</v>
      </c>
      <c r="C128" s="16" t="s">
        <v>3413</v>
      </c>
      <c r="D128" s="16" t="s">
        <v>3418</v>
      </c>
      <c r="F128" s="16"/>
    </row>
    <row r="129" spans="1:6">
      <c r="A129" s="16">
        <v>3710000000</v>
      </c>
      <c r="B129" s="16">
        <v>0</v>
      </c>
      <c r="C129" s="16" t="s">
        <v>3402</v>
      </c>
      <c r="D129" s="16" t="s">
        <v>3403</v>
      </c>
      <c r="F129" s="16"/>
    </row>
    <row r="130" spans="1:6">
      <c r="A130" s="16">
        <v>4203000000</v>
      </c>
      <c r="B130" s="16">
        <v>0</v>
      </c>
      <c r="C130" s="16" t="s">
        <v>3408</v>
      </c>
      <c r="D130" s="16" t="s">
        <v>3403</v>
      </c>
      <c r="F130" s="16"/>
    </row>
    <row r="131" spans="1:6">
      <c r="A131" s="16">
        <v>3103001000</v>
      </c>
      <c r="B131" s="16">
        <v>0</v>
      </c>
      <c r="C131" s="16" t="s">
        <v>3402</v>
      </c>
      <c r="D131" s="16" t="s">
        <v>3403</v>
      </c>
      <c r="F131" s="16"/>
    </row>
    <row r="132" spans="1:6">
      <c r="A132" s="16">
        <v>6610100100</v>
      </c>
      <c r="B132" s="16">
        <v>0</v>
      </c>
      <c r="C132" s="16" t="s">
        <v>3413</v>
      </c>
      <c r="D132" s="16" t="s">
        <v>3414</v>
      </c>
      <c r="F132" s="16"/>
    </row>
    <row r="133" spans="1:6">
      <c r="A133" s="16">
        <v>6610100000</v>
      </c>
      <c r="B133" s="16">
        <v>113350</v>
      </c>
      <c r="C133" s="16" t="s">
        <v>3413</v>
      </c>
      <c r="D133" s="16" t="s">
        <v>3414</v>
      </c>
      <c r="F133" s="16"/>
    </row>
    <row r="134" spans="1:6">
      <c r="A134" s="16">
        <v>5010100000</v>
      </c>
      <c r="B134" s="16">
        <v>0</v>
      </c>
      <c r="C134" s="16" t="s">
        <v>3406</v>
      </c>
      <c r="D134" s="16" t="s">
        <v>3407</v>
      </c>
      <c r="F134" s="16"/>
    </row>
    <row r="135" spans="1:6">
      <c r="A135" s="16">
        <v>6700200000</v>
      </c>
      <c r="B135" s="16">
        <v>0</v>
      </c>
      <c r="C135" s="16" t="s">
        <v>3404</v>
      </c>
      <c r="D135" s="16" t="s">
        <v>3409</v>
      </c>
      <c r="F135" s="16"/>
    </row>
    <row r="136" spans="1:6">
      <c r="A136" s="16">
        <v>3100000000</v>
      </c>
      <c r="B136" s="16">
        <v>-326</v>
      </c>
      <c r="C136" s="16" t="s">
        <v>3402</v>
      </c>
      <c r="D136" s="16" t="s">
        <v>3403</v>
      </c>
      <c r="F136" s="16"/>
    </row>
    <row r="137" spans="1:6">
      <c r="A137" s="16">
        <v>6100000020</v>
      </c>
      <c r="B137" s="16">
        <v>0</v>
      </c>
      <c r="C137" s="16" t="s">
        <v>3416</v>
      </c>
      <c r="D137" s="16" t="s">
        <v>3417</v>
      </c>
      <c r="F137" s="16"/>
    </row>
    <row r="138" spans="1:6">
      <c r="A138" s="16">
        <v>6700200000</v>
      </c>
      <c r="B138" s="16">
        <v>0</v>
      </c>
      <c r="C138" s="16" t="s">
        <v>3404</v>
      </c>
      <c r="D138" s="16" t="s">
        <v>3409</v>
      </c>
      <c r="F138" s="16"/>
    </row>
    <row r="139" spans="1:6">
      <c r="A139" s="16">
        <v>3710000000</v>
      </c>
      <c r="B139" s="16">
        <v>0</v>
      </c>
      <c r="C139" s="16" t="s">
        <v>3402</v>
      </c>
      <c r="D139" s="16" t="s">
        <v>3403</v>
      </c>
      <c r="F139" s="16"/>
    </row>
    <row r="140" spans="1:6">
      <c r="A140" s="16">
        <v>4203000000</v>
      </c>
      <c r="B140" s="16">
        <v>0</v>
      </c>
      <c r="C140" s="16" t="s">
        <v>3408</v>
      </c>
      <c r="D140" s="16" t="s">
        <v>3403</v>
      </c>
      <c r="F140" s="16"/>
    </row>
    <row r="141" spans="1:6">
      <c r="A141" s="16">
        <v>6030000000</v>
      </c>
      <c r="B141" s="16">
        <v>0</v>
      </c>
      <c r="C141" s="16" t="s">
        <v>3420</v>
      </c>
      <c r="D141" s="16" t="s">
        <v>3423</v>
      </c>
      <c r="F141" s="16"/>
    </row>
    <row r="142" spans="1:6">
      <c r="A142" s="16">
        <v>5050000000</v>
      </c>
      <c r="B142" s="16">
        <v>0</v>
      </c>
      <c r="C142" s="16" t="s">
        <v>3406</v>
      </c>
      <c r="D142" s="16" t="s">
        <v>3422</v>
      </c>
      <c r="F142" s="16"/>
    </row>
    <row r="143" spans="1:6">
      <c r="A143" s="16">
        <v>6610000000</v>
      </c>
      <c r="B143" s="16">
        <v>0</v>
      </c>
      <c r="C143" s="16" t="s">
        <v>3413</v>
      </c>
      <c r="D143" s="16" t="s">
        <v>3418</v>
      </c>
      <c r="F143" s="16"/>
    </row>
    <row r="144" spans="1:6">
      <c r="A144" s="16">
        <v>5010000010</v>
      </c>
      <c r="B144" s="16">
        <v>221706</v>
      </c>
      <c r="C144" s="16" t="s">
        <v>3406</v>
      </c>
      <c r="D144" s="16" t="s">
        <v>3411</v>
      </c>
      <c r="F144" s="16"/>
    </row>
    <row r="145" spans="1:6">
      <c r="A145" s="16">
        <v>4203000000</v>
      </c>
      <c r="B145" s="16">
        <v>0</v>
      </c>
      <c r="C145" s="16" t="s">
        <v>3408</v>
      </c>
      <c r="D145" s="16" t="s">
        <v>3403</v>
      </c>
      <c r="F145" s="16"/>
    </row>
    <row r="146" spans="1:6">
      <c r="A146" s="16">
        <v>2750010000</v>
      </c>
      <c r="B146" s="16">
        <v>0</v>
      </c>
      <c r="C146" s="16" t="s">
        <v>3419</v>
      </c>
      <c r="D146" s="16" t="s">
        <v>3403</v>
      </c>
      <c r="F146" s="16"/>
    </row>
    <row r="147" spans="1:6">
      <c r="A147" s="16">
        <v>2201000030</v>
      </c>
      <c r="B147" s="16">
        <v>0</v>
      </c>
      <c r="C147" s="16" t="s">
        <v>3415</v>
      </c>
      <c r="D147" s="16" t="s">
        <v>3403</v>
      </c>
      <c r="F147" s="16"/>
    </row>
    <row r="148" spans="1:6">
      <c r="A148" s="16">
        <v>4203000000</v>
      </c>
      <c r="B148" s="16">
        <v>-113350</v>
      </c>
      <c r="C148" s="16" t="s">
        <v>3408</v>
      </c>
      <c r="D148" s="16" t="s">
        <v>3403</v>
      </c>
      <c r="F148" s="16"/>
    </row>
    <row r="149" spans="1:6">
      <c r="A149" s="16">
        <v>2750010000</v>
      </c>
      <c r="B149" s="16">
        <v>0</v>
      </c>
      <c r="C149" s="16" t="s">
        <v>3419</v>
      </c>
      <c r="D149" s="16" t="s">
        <v>3403</v>
      </c>
      <c r="F149" s="16"/>
    </row>
    <row r="150" spans="1:6">
      <c r="A150" s="16">
        <v>5050000000</v>
      </c>
      <c r="B150" s="16">
        <v>0</v>
      </c>
      <c r="C150" s="16" t="s">
        <v>3406</v>
      </c>
      <c r="D150" s="16" t="s">
        <v>3422</v>
      </c>
      <c r="F150" s="16"/>
    </row>
    <row r="151" spans="1:6">
      <c r="A151" s="16">
        <v>6610100000</v>
      </c>
      <c r="B151" s="16">
        <v>0</v>
      </c>
      <c r="C151" s="16" t="s">
        <v>3413</v>
      </c>
      <c r="D151" s="16" t="s">
        <v>3414</v>
      </c>
      <c r="F151" s="16"/>
    </row>
    <row r="152" spans="1:6">
      <c r="A152" s="16">
        <v>6060010000</v>
      </c>
      <c r="B152" s="16">
        <v>0</v>
      </c>
      <c r="C152" s="16" t="s">
        <v>3420</v>
      </c>
      <c r="D152" s="16" t="s">
        <v>3421</v>
      </c>
      <c r="F152" s="16"/>
    </row>
    <row r="153" spans="1:6">
      <c r="A153" s="16">
        <v>3810000000</v>
      </c>
      <c r="B153" s="16">
        <v>0</v>
      </c>
      <c r="C153" s="16" t="s">
        <v>3402</v>
      </c>
      <c r="D153" s="16" t="s">
        <v>3403</v>
      </c>
      <c r="F153" s="16"/>
    </row>
    <row r="154" spans="1:6">
      <c r="A154" s="16">
        <v>6700100000</v>
      </c>
      <c r="B154" s="16">
        <v>0</v>
      </c>
      <c r="C154" s="16" t="s">
        <v>3404</v>
      </c>
      <c r="D154" s="16" t="s">
        <v>3410</v>
      </c>
      <c r="F154" s="16"/>
    </row>
    <row r="155" spans="1:6">
      <c r="A155" s="16">
        <v>3030000000</v>
      </c>
      <c r="B155" s="16">
        <v>0</v>
      </c>
      <c r="C155" s="16" t="s">
        <v>3402</v>
      </c>
      <c r="D155" s="16" t="s">
        <v>3403</v>
      </c>
      <c r="F155" s="16"/>
    </row>
    <row r="156" spans="1:6">
      <c r="A156" s="16">
        <v>3102000000</v>
      </c>
      <c r="B156" s="16">
        <v>0</v>
      </c>
      <c r="C156" s="16" t="s">
        <v>3424</v>
      </c>
      <c r="D156" s="16" t="s">
        <v>3403</v>
      </c>
      <c r="F156" s="16"/>
    </row>
    <row r="157" spans="1:6">
      <c r="A157" s="16">
        <v>4203000000</v>
      </c>
      <c r="B157" s="16">
        <v>0</v>
      </c>
      <c r="C157" s="16" t="s">
        <v>3408</v>
      </c>
      <c r="D157" s="16" t="s">
        <v>3403</v>
      </c>
      <c r="F157" s="16"/>
    </row>
    <row r="158" spans="1:6">
      <c r="A158" s="16">
        <v>3710000000</v>
      </c>
      <c r="B158" s="16">
        <v>-221706</v>
      </c>
      <c r="C158" s="16" t="s">
        <v>3402</v>
      </c>
      <c r="D158" s="16" t="s">
        <v>3403</v>
      </c>
      <c r="F158" s="16"/>
    </row>
    <row r="159" spans="1:6">
      <c r="A159" s="16">
        <v>2201000000</v>
      </c>
      <c r="B159" s="16">
        <v>0</v>
      </c>
      <c r="C159" s="16" t="s">
        <v>3415</v>
      </c>
      <c r="D159" s="16" t="s">
        <v>3403</v>
      </c>
      <c r="F159" s="16"/>
    </row>
    <row r="160" spans="1:6">
      <c r="A160" s="16">
        <v>6610100100</v>
      </c>
      <c r="B160" s="16">
        <v>0</v>
      </c>
      <c r="C160" s="16" t="s">
        <v>3413</v>
      </c>
      <c r="D160" s="16" t="s">
        <v>3414</v>
      </c>
      <c r="F160" s="16"/>
    </row>
    <row r="161" spans="1:6">
      <c r="A161" s="16">
        <v>6700200000</v>
      </c>
      <c r="B161" s="16">
        <v>0</v>
      </c>
      <c r="C161" s="16" t="s">
        <v>3404</v>
      </c>
      <c r="D161" s="16" t="s">
        <v>3409</v>
      </c>
      <c r="F161" s="16"/>
    </row>
    <row r="162" spans="1:6">
      <c r="A162" s="16">
        <v>6610000100</v>
      </c>
      <c r="B162" s="16">
        <v>0</v>
      </c>
      <c r="C162" s="16" t="s">
        <v>3413</v>
      </c>
      <c r="D162" s="16" t="s">
        <v>3418</v>
      </c>
      <c r="F162" s="16"/>
    </row>
    <row r="163" spans="1:6">
      <c r="A163" s="16">
        <v>3800000000</v>
      </c>
      <c r="B163" s="16">
        <v>0</v>
      </c>
      <c r="C163" s="16" t="s">
        <v>3402</v>
      </c>
      <c r="D163" s="16" t="s">
        <v>3403</v>
      </c>
      <c r="F163" s="16"/>
    </row>
    <row r="164" spans="1:6">
      <c r="A164" s="16">
        <v>4203000000</v>
      </c>
      <c r="B164" s="16">
        <v>0</v>
      </c>
      <c r="C164" s="16" t="s">
        <v>3408</v>
      </c>
      <c r="D164" s="16" t="s">
        <v>3403</v>
      </c>
      <c r="F164" s="16"/>
    </row>
    <row r="165" spans="1:6">
      <c r="A165" s="16">
        <v>5010000010</v>
      </c>
      <c r="B165" s="16">
        <v>0</v>
      </c>
      <c r="C165" s="16" t="s">
        <v>3406</v>
      </c>
      <c r="D165" s="16" t="s">
        <v>3411</v>
      </c>
      <c r="F165" s="16"/>
    </row>
    <row r="166" spans="1:6">
      <c r="A166" s="16">
        <v>6700700000</v>
      </c>
      <c r="B166" s="16">
        <v>0</v>
      </c>
      <c r="C166" s="16" t="s">
        <v>3404</v>
      </c>
      <c r="D166" s="16" t="s">
        <v>3409</v>
      </c>
      <c r="F166" s="16"/>
    </row>
    <row r="167" spans="1:6">
      <c r="A167" s="16">
        <v>5010100010</v>
      </c>
      <c r="B167" s="16">
        <v>0</v>
      </c>
      <c r="C167" s="16" t="s">
        <v>3406</v>
      </c>
      <c r="D167" s="16" t="s">
        <v>3407</v>
      </c>
      <c r="F167" s="16"/>
    </row>
    <row r="168" spans="1:6">
      <c r="A168" s="16">
        <v>2201000010</v>
      </c>
      <c r="B168" s="16">
        <v>26732</v>
      </c>
      <c r="C168" s="16" t="s">
        <v>3415</v>
      </c>
      <c r="D168" s="16" t="s">
        <v>3403</v>
      </c>
      <c r="F168" s="16"/>
    </row>
    <row r="169" spans="1:6">
      <c r="A169" s="16">
        <v>5052000000</v>
      </c>
      <c r="B169" s="16">
        <v>0</v>
      </c>
      <c r="C169" s="16" t="s">
        <v>3406</v>
      </c>
      <c r="D169" s="16" t="s">
        <v>3422</v>
      </c>
      <c r="F169" s="16"/>
    </row>
    <row r="170" spans="1:6">
      <c r="A170" s="16">
        <v>6102000000</v>
      </c>
      <c r="B170" s="16">
        <v>0</v>
      </c>
      <c r="C170" s="16" t="s">
        <v>3425</v>
      </c>
      <c r="D170" s="16" t="s">
        <v>3426</v>
      </c>
      <c r="F170" s="16"/>
    </row>
    <row r="171" spans="1:6">
      <c r="A171" s="16">
        <v>6700200000</v>
      </c>
      <c r="B171" s="16">
        <v>0</v>
      </c>
      <c r="C171" s="16" t="s">
        <v>3404</v>
      </c>
      <c r="D171" s="16" t="s">
        <v>3409</v>
      </c>
      <c r="F171" s="16"/>
    </row>
    <row r="172" spans="1:6">
      <c r="A172" s="16">
        <v>6610000000</v>
      </c>
      <c r="B172" s="16">
        <v>0</v>
      </c>
      <c r="C172" s="16" t="s">
        <v>3413</v>
      </c>
      <c r="D172" s="16" t="s">
        <v>3418</v>
      </c>
      <c r="F172" s="16"/>
    </row>
    <row r="173" spans="1:6">
      <c r="A173" s="16">
        <v>2201000000</v>
      </c>
      <c r="B173" s="16">
        <v>94738</v>
      </c>
      <c r="C173" s="16" t="s">
        <v>3415</v>
      </c>
      <c r="D173" s="16" t="s">
        <v>3403</v>
      </c>
      <c r="F173" s="16"/>
    </row>
    <row r="174" spans="1:6">
      <c r="A174" s="16">
        <v>6700600000</v>
      </c>
      <c r="B174" s="16">
        <v>0</v>
      </c>
      <c r="C174" s="16" t="s">
        <v>3404</v>
      </c>
      <c r="D174" s="16" t="s">
        <v>3409</v>
      </c>
      <c r="F174" s="16"/>
    </row>
    <row r="175" spans="1:6">
      <c r="A175" s="16">
        <v>3710000000</v>
      </c>
      <c r="B175" s="16">
        <v>0</v>
      </c>
      <c r="C175" s="16" t="s">
        <v>3402</v>
      </c>
      <c r="D175" s="16" t="s">
        <v>3403</v>
      </c>
      <c r="F175" s="16"/>
    </row>
    <row r="176" spans="1:6">
      <c r="A176" s="16">
        <v>6700500000</v>
      </c>
      <c r="B176" s="16">
        <v>0</v>
      </c>
      <c r="C176" s="16" t="s">
        <v>3404</v>
      </c>
      <c r="D176" s="16" t="s">
        <v>3405</v>
      </c>
      <c r="F176" s="16"/>
    </row>
    <row r="177" spans="1:6">
      <c r="A177" s="16">
        <v>3710000000</v>
      </c>
      <c r="B177" s="16">
        <v>0</v>
      </c>
      <c r="C177" s="16" t="s">
        <v>3402</v>
      </c>
      <c r="D177" s="16" t="s">
        <v>3403</v>
      </c>
      <c r="F177" s="16"/>
    </row>
    <row r="178" spans="1:6">
      <c r="A178" s="16">
        <v>2750010000</v>
      </c>
      <c r="B178" s="16">
        <v>0</v>
      </c>
      <c r="C178" s="16" t="s">
        <v>3419</v>
      </c>
      <c r="D178" s="16" t="s">
        <v>3403</v>
      </c>
      <c r="F178" s="16"/>
    </row>
    <row r="179" spans="1:6">
      <c r="A179" s="16">
        <v>4610000000</v>
      </c>
      <c r="B179" s="16">
        <v>-26732</v>
      </c>
      <c r="C179" s="16" t="s">
        <v>3428</v>
      </c>
      <c r="D179" s="16" t="s">
        <v>3403</v>
      </c>
      <c r="F179" s="16"/>
    </row>
    <row r="180" spans="1:6">
      <c r="A180" s="16">
        <v>6700200000</v>
      </c>
      <c r="B180" s="16">
        <v>0</v>
      </c>
      <c r="C180" s="16" t="s">
        <v>3404</v>
      </c>
      <c r="D180" s="16" t="s">
        <v>3409</v>
      </c>
      <c r="F180" s="16"/>
    </row>
    <row r="181" spans="1:6">
      <c r="A181" s="16">
        <v>6700600000</v>
      </c>
      <c r="B181" s="16">
        <v>0</v>
      </c>
      <c r="C181" s="16" t="s">
        <v>3404</v>
      </c>
      <c r="D181" s="16" t="s">
        <v>3409</v>
      </c>
      <c r="F181" s="16"/>
    </row>
    <row r="182" spans="1:6">
      <c r="A182" s="16">
        <v>2201000000</v>
      </c>
      <c r="B182" s="16">
        <v>0</v>
      </c>
      <c r="C182" s="16" t="s">
        <v>3415</v>
      </c>
      <c r="D182" s="16" t="s">
        <v>3403</v>
      </c>
      <c r="F182" s="16"/>
    </row>
    <row r="183" spans="1:6">
      <c r="A183" s="16">
        <v>6700200000</v>
      </c>
      <c r="B183" s="16">
        <v>0</v>
      </c>
      <c r="C183" s="16" t="s">
        <v>3404</v>
      </c>
      <c r="D183" s="16" t="s">
        <v>3409</v>
      </c>
      <c r="F183" s="16"/>
    </row>
    <row r="184" spans="1:6">
      <c r="A184" s="16">
        <v>6700600000</v>
      </c>
      <c r="B184" s="16">
        <v>0</v>
      </c>
      <c r="C184" s="16" t="s">
        <v>3404</v>
      </c>
      <c r="D184" s="16" t="s">
        <v>3409</v>
      </c>
      <c r="F184" s="16"/>
    </row>
    <row r="185" spans="1:6">
      <c r="A185" s="16">
        <v>5050010000</v>
      </c>
      <c r="B185" s="16">
        <v>1286230</v>
      </c>
      <c r="C185" s="16" t="s">
        <v>3406</v>
      </c>
      <c r="D185" s="16" t="s">
        <v>3422</v>
      </c>
      <c r="F185" s="16"/>
    </row>
    <row r="186" spans="1:6">
      <c r="A186" s="16">
        <v>2500000000</v>
      </c>
      <c r="B186" s="16">
        <v>0</v>
      </c>
      <c r="C186" s="16" t="s">
        <v>3412</v>
      </c>
      <c r="D186" s="16" t="s">
        <v>3403</v>
      </c>
      <c r="F186" s="16"/>
    </row>
    <row r="187" spans="1:6">
      <c r="A187" s="16">
        <v>4203000000</v>
      </c>
      <c r="B187" s="16">
        <v>0</v>
      </c>
      <c r="C187" s="16" t="s">
        <v>3408</v>
      </c>
      <c r="D187" s="16" t="s">
        <v>3403</v>
      </c>
      <c r="F187" s="16"/>
    </row>
    <row r="188" spans="1:6">
      <c r="A188" s="16">
        <v>2203000010</v>
      </c>
      <c r="B188" s="16">
        <v>0</v>
      </c>
      <c r="C188" s="16" t="s">
        <v>3415</v>
      </c>
      <c r="D188" s="16" t="s">
        <v>3403</v>
      </c>
      <c r="F188" s="16"/>
    </row>
    <row r="189" spans="1:6">
      <c r="A189" s="16">
        <v>6700600000</v>
      </c>
      <c r="B189" s="16">
        <v>0</v>
      </c>
      <c r="C189" s="16" t="s">
        <v>3404</v>
      </c>
      <c r="D189" s="16" t="s">
        <v>3409</v>
      </c>
      <c r="F189" s="16"/>
    </row>
    <row r="190" spans="1:6">
      <c r="A190" s="16">
        <v>3032000000</v>
      </c>
      <c r="B190" s="16">
        <v>0</v>
      </c>
      <c r="C190" s="16" t="s">
        <v>3424</v>
      </c>
      <c r="D190" s="16" t="s">
        <v>3403</v>
      </c>
      <c r="F190" s="16"/>
    </row>
    <row r="191" spans="1:6">
      <c r="A191" s="16">
        <v>5010100010</v>
      </c>
      <c r="B191" s="16">
        <v>0</v>
      </c>
      <c r="C191" s="16" t="s">
        <v>3406</v>
      </c>
      <c r="D191" s="16" t="s">
        <v>3407</v>
      </c>
      <c r="F191" s="16"/>
    </row>
    <row r="192" spans="1:6">
      <c r="A192" s="16">
        <v>3102000000</v>
      </c>
      <c r="B192" s="16">
        <v>0</v>
      </c>
      <c r="C192" s="16" t="s">
        <v>3424</v>
      </c>
      <c r="D192" s="16" t="s">
        <v>3403</v>
      </c>
      <c r="F192" s="16"/>
    </row>
    <row r="193" spans="1:6">
      <c r="A193" s="16">
        <v>6700200000</v>
      </c>
      <c r="B193" s="16">
        <v>-94738</v>
      </c>
      <c r="C193" s="16" t="s">
        <v>3404</v>
      </c>
      <c r="D193" s="16" t="s">
        <v>3409</v>
      </c>
      <c r="F193" s="16"/>
    </row>
    <row r="194" spans="1:6">
      <c r="A194" s="16">
        <v>6700400000</v>
      </c>
      <c r="B194" s="16">
        <v>0</v>
      </c>
      <c r="C194" s="16" t="s">
        <v>3404</v>
      </c>
      <c r="D194" s="16" t="s">
        <v>3405</v>
      </c>
      <c r="F194" s="16"/>
    </row>
    <row r="195" spans="1:6">
      <c r="A195" s="16">
        <v>6700200000</v>
      </c>
      <c r="B195" s="16">
        <v>0</v>
      </c>
      <c r="C195" s="16" t="s">
        <v>3404</v>
      </c>
      <c r="D195" s="16" t="s">
        <v>3409</v>
      </c>
      <c r="F195" s="16"/>
    </row>
    <row r="196" spans="1:6">
      <c r="A196" s="16">
        <v>6030000000</v>
      </c>
      <c r="B196" s="16">
        <v>0</v>
      </c>
      <c r="C196" s="16" t="s">
        <v>3420</v>
      </c>
      <c r="D196" s="16" t="s">
        <v>3423</v>
      </c>
      <c r="F196" s="16"/>
    </row>
    <row r="197" spans="1:6">
      <c r="A197" s="16">
        <v>6610100100</v>
      </c>
      <c r="B197" s="16">
        <v>0</v>
      </c>
      <c r="C197" s="16" t="s">
        <v>3413</v>
      </c>
      <c r="D197" s="16" t="s">
        <v>3414</v>
      </c>
      <c r="F197" s="16"/>
    </row>
    <row r="198" spans="1:6">
      <c r="A198" s="16">
        <v>3032000000</v>
      </c>
      <c r="B198" s="16">
        <v>0</v>
      </c>
      <c r="C198" s="16" t="s">
        <v>3424</v>
      </c>
      <c r="D198" s="16" t="s">
        <v>3403</v>
      </c>
      <c r="F198" s="16"/>
    </row>
    <row r="199" spans="1:6">
      <c r="A199" s="16">
        <v>2500000000</v>
      </c>
      <c r="B199" s="16">
        <v>0</v>
      </c>
      <c r="C199" s="16" t="s">
        <v>3412</v>
      </c>
      <c r="D199" s="16" t="s">
        <v>3403</v>
      </c>
      <c r="F199" s="16"/>
    </row>
    <row r="200" spans="1:6">
      <c r="A200" s="16">
        <v>6610000000</v>
      </c>
      <c r="B200" s="16">
        <v>0</v>
      </c>
      <c r="C200" s="16" t="s">
        <v>3413</v>
      </c>
      <c r="D200" s="16" t="s">
        <v>3418</v>
      </c>
      <c r="F200" s="16"/>
    </row>
    <row r="201" spans="1:6">
      <c r="A201" s="16">
        <v>5010000010</v>
      </c>
      <c r="B201" s="16">
        <v>0</v>
      </c>
      <c r="C201" s="16" t="s">
        <v>3406</v>
      </c>
      <c r="D201" s="16" t="s">
        <v>3411</v>
      </c>
      <c r="F201" s="16"/>
    </row>
    <row r="202" spans="1:6">
      <c r="A202" s="16">
        <v>6610100000</v>
      </c>
      <c r="B202" s="16">
        <v>0</v>
      </c>
      <c r="C202" s="16" t="s">
        <v>3413</v>
      </c>
      <c r="D202" s="16" t="s">
        <v>3414</v>
      </c>
      <c r="F202" s="16"/>
    </row>
    <row r="203" spans="1:6">
      <c r="A203" s="16">
        <v>6700000000</v>
      </c>
      <c r="B203" s="16">
        <v>0</v>
      </c>
      <c r="C203" s="16" t="s">
        <v>3404</v>
      </c>
      <c r="D203" s="16" t="s">
        <v>3405</v>
      </c>
      <c r="F203" s="16"/>
    </row>
    <row r="204" spans="1:6">
      <c r="A204" s="16">
        <v>6700400000</v>
      </c>
      <c r="B204" s="16">
        <v>0</v>
      </c>
      <c r="C204" s="16" t="s">
        <v>3404</v>
      </c>
      <c r="D204" s="16" t="s">
        <v>3405</v>
      </c>
      <c r="F204" s="16"/>
    </row>
    <row r="205" spans="1:6">
      <c r="A205" s="16">
        <v>6700200000</v>
      </c>
      <c r="B205" s="16">
        <v>0</v>
      </c>
      <c r="C205" s="16" t="s">
        <v>3404</v>
      </c>
      <c r="D205" s="16" t="s">
        <v>3409</v>
      </c>
      <c r="F205" s="16"/>
    </row>
    <row r="206" spans="1:6">
      <c r="A206" s="16">
        <v>6700100000</v>
      </c>
      <c r="B206" s="16">
        <v>0</v>
      </c>
      <c r="C206" s="16" t="s">
        <v>3404</v>
      </c>
      <c r="D206" s="16" t="s">
        <v>3410</v>
      </c>
      <c r="F206" s="16"/>
    </row>
    <row r="207" spans="1:6">
      <c r="A207" s="16">
        <v>6700400000</v>
      </c>
      <c r="B207" s="16">
        <v>0</v>
      </c>
      <c r="C207" s="16" t="s">
        <v>3404</v>
      </c>
      <c r="D207" s="16" t="s">
        <v>3405</v>
      </c>
      <c r="F207" s="16"/>
    </row>
    <row r="208" spans="1:6">
      <c r="A208" s="16">
        <v>3102000000</v>
      </c>
      <c r="B208" s="16">
        <v>0</v>
      </c>
      <c r="C208" s="16" t="s">
        <v>3424</v>
      </c>
      <c r="D208" s="16" t="s">
        <v>3403</v>
      </c>
      <c r="F208" s="16"/>
    </row>
    <row r="209" spans="1:6">
      <c r="A209" s="16">
        <v>5050000000</v>
      </c>
      <c r="B209" s="16">
        <v>-1286230</v>
      </c>
      <c r="C209" s="16" t="s">
        <v>3406</v>
      </c>
      <c r="D209" s="16" t="s">
        <v>3422</v>
      </c>
      <c r="F209" s="16"/>
    </row>
    <row r="210" spans="1:6">
      <c r="A210" s="16">
        <v>6104000000</v>
      </c>
      <c r="B210" s="16">
        <v>0</v>
      </c>
      <c r="C210" s="16" t="s">
        <v>3427</v>
      </c>
      <c r="D210" s="16" t="s">
        <v>3417</v>
      </c>
      <c r="F210" s="16"/>
    </row>
    <row r="211" spans="1:6">
      <c r="A211" s="16">
        <v>6104000000</v>
      </c>
      <c r="B211" s="16">
        <v>0</v>
      </c>
      <c r="C211" s="16" t="s">
        <v>3416</v>
      </c>
      <c r="D211" s="16" t="s">
        <v>3417</v>
      </c>
      <c r="F211" s="16"/>
    </row>
    <row r="212" spans="1:6">
      <c r="A212" s="16">
        <v>5010000000</v>
      </c>
      <c r="B212" s="16">
        <v>0</v>
      </c>
      <c r="C212" s="16" t="s">
        <v>3406</v>
      </c>
      <c r="D212" s="16" t="s">
        <v>3411</v>
      </c>
      <c r="F212" s="16"/>
    </row>
    <row r="213" spans="1:6">
      <c r="A213" s="16">
        <v>6610100000</v>
      </c>
      <c r="B213" s="16">
        <v>8146</v>
      </c>
      <c r="C213" s="16" t="s">
        <v>3413</v>
      </c>
      <c r="D213" s="16" t="s">
        <v>3414</v>
      </c>
      <c r="F213" s="16"/>
    </row>
    <row r="214" spans="1:6">
      <c r="A214" s="16">
        <v>4612000000</v>
      </c>
      <c r="B214" s="16">
        <v>0</v>
      </c>
      <c r="C214" s="16" t="s">
        <v>3428</v>
      </c>
      <c r="D214" s="16" t="s">
        <v>3403</v>
      </c>
      <c r="F214" s="16"/>
    </row>
    <row r="215" spans="1:6">
      <c r="A215" s="16">
        <v>6700400000</v>
      </c>
      <c r="B215" s="16">
        <v>0</v>
      </c>
      <c r="C215" s="16" t="s">
        <v>3404</v>
      </c>
      <c r="D215" s="16" t="s">
        <v>3405</v>
      </c>
      <c r="F215" s="16"/>
    </row>
    <row r="216" spans="1:6">
      <c r="A216" s="16">
        <v>6032000000</v>
      </c>
      <c r="B216" s="16">
        <v>0</v>
      </c>
      <c r="C216" s="16" t="s">
        <v>3429</v>
      </c>
      <c r="D216" s="16" t="s">
        <v>3430</v>
      </c>
      <c r="F216" s="16"/>
    </row>
    <row r="217" spans="1:6">
      <c r="A217" s="16">
        <v>6030000000</v>
      </c>
      <c r="B217" s="16">
        <v>87471</v>
      </c>
      <c r="C217" s="16" t="s">
        <v>3420</v>
      </c>
      <c r="D217" s="16" t="s">
        <v>3423</v>
      </c>
      <c r="F217" s="16"/>
    </row>
    <row r="218" spans="1:6">
      <c r="A218" s="16">
        <v>6610100000</v>
      </c>
      <c r="B218" s="16">
        <v>0</v>
      </c>
      <c r="C218" s="16" t="s">
        <v>3413</v>
      </c>
      <c r="D218" s="16" t="s">
        <v>3414</v>
      </c>
      <c r="F218" s="16"/>
    </row>
    <row r="219" spans="1:6">
      <c r="A219" s="16">
        <v>2500000000</v>
      </c>
      <c r="B219" s="16">
        <v>0</v>
      </c>
      <c r="C219" s="16" t="s">
        <v>3412</v>
      </c>
      <c r="D219" s="16" t="s">
        <v>3403</v>
      </c>
      <c r="F219" s="16"/>
    </row>
    <row r="220" spans="1:6">
      <c r="A220" s="16">
        <v>2500000000</v>
      </c>
      <c r="B220" s="16">
        <v>0</v>
      </c>
      <c r="C220" s="16" t="s">
        <v>3412</v>
      </c>
      <c r="D220" s="16" t="s">
        <v>3403</v>
      </c>
      <c r="F220" s="16"/>
    </row>
    <row r="221" spans="1:6">
      <c r="A221" s="16">
        <v>6700600000</v>
      </c>
      <c r="B221" s="16">
        <v>0</v>
      </c>
      <c r="C221" s="16" t="s">
        <v>3404</v>
      </c>
      <c r="D221" s="16" t="s">
        <v>3409</v>
      </c>
      <c r="F221" s="16"/>
    </row>
    <row r="222" spans="1:6">
      <c r="A222" s="16">
        <v>6700600000</v>
      </c>
      <c r="B222" s="16">
        <v>0</v>
      </c>
      <c r="C222" s="16" t="s">
        <v>3404</v>
      </c>
      <c r="D222" s="16" t="s">
        <v>3409</v>
      </c>
      <c r="F222" s="16"/>
    </row>
    <row r="223" spans="1:6">
      <c r="A223" s="16">
        <v>6030000000</v>
      </c>
      <c r="B223" s="16">
        <v>0</v>
      </c>
      <c r="C223" s="16" t="s">
        <v>3420</v>
      </c>
      <c r="D223" s="16" t="s">
        <v>3423</v>
      </c>
      <c r="F223" s="16"/>
    </row>
    <row r="224" spans="1:6">
      <c r="A224" s="16">
        <v>6700200000</v>
      </c>
      <c r="B224" s="16">
        <v>0</v>
      </c>
      <c r="C224" s="16" t="s">
        <v>3404</v>
      </c>
      <c r="D224" s="16" t="s">
        <v>3409</v>
      </c>
      <c r="F224" s="16"/>
    </row>
    <row r="225" spans="1:6">
      <c r="A225" s="16">
        <v>6104000000</v>
      </c>
      <c r="B225" s="16">
        <v>5571617923</v>
      </c>
      <c r="C225" s="16" t="s">
        <v>3416</v>
      </c>
      <c r="D225" s="16" t="s">
        <v>3417</v>
      </c>
      <c r="F225" s="16"/>
    </row>
    <row r="226" spans="1:6">
      <c r="A226" s="16">
        <v>3030000000</v>
      </c>
      <c r="B226" s="16">
        <v>-87471</v>
      </c>
      <c r="C226" s="16" t="s">
        <v>3402</v>
      </c>
      <c r="D226" s="16" t="s">
        <v>3403</v>
      </c>
      <c r="F226" s="16"/>
    </row>
    <row r="227" spans="1:6">
      <c r="A227" s="16">
        <v>4203000000</v>
      </c>
      <c r="B227" s="16">
        <v>0</v>
      </c>
      <c r="C227" s="16" t="s">
        <v>3408</v>
      </c>
      <c r="D227" s="16" t="s">
        <v>3403</v>
      </c>
      <c r="F227" s="16"/>
    </row>
    <row r="228" spans="1:6">
      <c r="A228" s="16">
        <v>5010100000</v>
      </c>
      <c r="B228" s="16">
        <v>0</v>
      </c>
      <c r="C228" s="16" t="s">
        <v>3406</v>
      </c>
      <c r="D228" s="16" t="s">
        <v>3407</v>
      </c>
      <c r="F228" s="16"/>
    </row>
    <row r="229" spans="1:6">
      <c r="A229" s="16">
        <v>5010000000</v>
      </c>
      <c r="B229" s="16">
        <v>0</v>
      </c>
      <c r="C229" s="16" t="s">
        <v>3406</v>
      </c>
      <c r="D229" s="16" t="s">
        <v>3411</v>
      </c>
      <c r="F229" s="16"/>
    </row>
    <row r="230" spans="1:6">
      <c r="A230" s="16">
        <v>6700400000</v>
      </c>
      <c r="B230" s="16">
        <v>0</v>
      </c>
      <c r="C230" s="16" t="s">
        <v>3404</v>
      </c>
      <c r="D230" s="16" t="s">
        <v>3405</v>
      </c>
      <c r="F230" s="16"/>
    </row>
    <row r="231" spans="1:6">
      <c r="A231" s="16">
        <v>6700400000</v>
      </c>
      <c r="B231" s="16">
        <v>0</v>
      </c>
      <c r="C231" s="16" t="s">
        <v>3404</v>
      </c>
      <c r="D231" s="16" t="s">
        <v>3405</v>
      </c>
      <c r="F231" s="16"/>
    </row>
    <row r="232" spans="1:6">
      <c r="A232" s="16">
        <v>3030000000</v>
      </c>
      <c r="B232" s="16">
        <v>0</v>
      </c>
      <c r="C232" s="16" t="s">
        <v>3402</v>
      </c>
      <c r="D232" s="16" t="s">
        <v>3403</v>
      </c>
      <c r="F232" s="16"/>
    </row>
    <row r="233" spans="1:6">
      <c r="A233" s="16">
        <v>6700000000</v>
      </c>
      <c r="B233" s="16">
        <v>0</v>
      </c>
      <c r="C233" s="16" t="s">
        <v>3404</v>
      </c>
      <c r="D233" s="16" t="s">
        <v>3405</v>
      </c>
      <c r="F233" s="16"/>
    </row>
    <row r="234" spans="1:6">
      <c r="A234" s="16">
        <v>3103000000</v>
      </c>
      <c r="B234" s="16">
        <v>-5571617923</v>
      </c>
      <c r="C234" s="16" t="s">
        <v>3402</v>
      </c>
      <c r="D234" s="16" t="s">
        <v>3403</v>
      </c>
      <c r="F234" s="16"/>
    </row>
    <row r="235" spans="1:6">
      <c r="A235" s="16">
        <v>6700700000</v>
      </c>
      <c r="B235" s="16">
        <v>0</v>
      </c>
      <c r="C235" s="16" t="s">
        <v>3404</v>
      </c>
      <c r="D235" s="16" t="s">
        <v>3409</v>
      </c>
      <c r="F235" s="16"/>
    </row>
    <row r="236" spans="1:6">
      <c r="A236" s="16">
        <v>6030000000</v>
      </c>
      <c r="B236" s="16">
        <v>2807659</v>
      </c>
      <c r="C236" s="16" t="s">
        <v>3420</v>
      </c>
      <c r="D236" s="16" t="s">
        <v>3423</v>
      </c>
      <c r="F236" s="16"/>
    </row>
    <row r="237" spans="1:6">
      <c r="A237" s="16">
        <v>6700700000</v>
      </c>
      <c r="B237" s="16">
        <v>0</v>
      </c>
      <c r="C237" s="16" t="s">
        <v>3404</v>
      </c>
      <c r="D237" s="16" t="s">
        <v>3409</v>
      </c>
      <c r="F237" s="16"/>
    </row>
    <row r="238" spans="1:6">
      <c r="A238" s="16">
        <v>2500000000</v>
      </c>
      <c r="B238" s="16">
        <v>0</v>
      </c>
      <c r="C238" s="16" t="s">
        <v>3412</v>
      </c>
      <c r="D238" s="16" t="s">
        <v>3403</v>
      </c>
      <c r="F238" s="16"/>
    </row>
    <row r="239" spans="1:6">
      <c r="A239" s="16">
        <v>6104000000</v>
      </c>
      <c r="B239" s="16">
        <v>0</v>
      </c>
      <c r="C239" s="16" t="s">
        <v>3427</v>
      </c>
      <c r="D239" s="16" t="s">
        <v>3417</v>
      </c>
      <c r="F239" s="16"/>
    </row>
    <row r="240" spans="1:6">
      <c r="A240" s="16">
        <v>2500000000</v>
      </c>
      <c r="B240" s="16">
        <v>0</v>
      </c>
      <c r="C240" s="16" t="s">
        <v>3412</v>
      </c>
      <c r="D240" s="16" t="s">
        <v>3403</v>
      </c>
      <c r="F240" s="16"/>
    </row>
    <row r="241" spans="1:6">
      <c r="A241" s="16">
        <v>6700700000</v>
      </c>
      <c r="B241" s="16">
        <v>0</v>
      </c>
      <c r="C241" s="16" t="s">
        <v>3404</v>
      </c>
      <c r="D241" s="16" t="s">
        <v>3409</v>
      </c>
      <c r="F241" s="16"/>
    </row>
    <row r="242" spans="1:6">
      <c r="A242" s="16">
        <v>6700500000</v>
      </c>
      <c r="B242" s="16">
        <v>0</v>
      </c>
      <c r="C242" s="16" t="s">
        <v>3404</v>
      </c>
      <c r="D242" s="16" t="s">
        <v>3405</v>
      </c>
      <c r="F242" s="16"/>
    </row>
    <row r="243" spans="1:6">
      <c r="A243" s="16">
        <v>3030000000</v>
      </c>
      <c r="B243" s="16">
        <v>-2807659</v>
      </c>
      <c r="C243" s="16" t="s">
        <v>3402</v>
      </c>
      <c r="D243" s="16" t="s">
        <v>3403</v>
      </c>
      <c r="F243" s="16"/>
    </row>
    <row r="244" spans="1:6">
      <c r="A244" s="16">
        <v>6700500000</v>
      </c>
      <c r="B244" s="16">
        <v>0</v>
      </c>
      <c r="C244" s="16" t="s">
        <v>3404</v>
      </c>
      <c r="D244" s="16" t="s">
        <v>3405</v>
      </c>
      <c r="F244" s="16"/>
    </row>
    <row r="245" spans="1:6">
      <c r="A245" s="16">
        <v>5010100000</v>
      </c>
      <c r="B245" s="16">
        <v>0</v>
      </c>
      <c r="C245" s="16" t="s">
        <v>3406</v>
      </c>
      <c r="D245" s="16" t="s">
        <v>3407</v>
      </c>
      <c r="F245" s="16"/>
    </row>
    <row r="246" spans="1:6">
      <c r="A246" s="16">
        <v>3103000000</v>
      </c>
      <c r="B246" s="16">
        <v>0</v>
      </c>
      <c r="C246" s="16" t="s">
        <v>3402</v>
      </c>
      <c r="D246" s="16" t="s">
        <v>3403</v>
      </c>
      <c r="F246" s="16"/>
    </row>
    <row r="247" spans="1:6">
      <c r="A247" s="16">
        <v>5010000000</v>
      </c>
      <c r="B247" s="16">
        <v>0</v>
      </c>
      <c r="C247" s="16" t="s">
        <v>3406</v>
      </c>
      <c r="D247" s="16" t="s">
        <v>3411</v>
      </c>
      <c r="F247" s="16"/>
    </row>
    <row r="248" spans="1:6">
      <c r="A248" s="16">
        <v>6700500000</v>
      </c>
      <c r="B248" s="16">
        <v>0</v>
      </c>
      <c r="C248" s="16" t="s">
        <v>3404</v>
      </c>
      <c r="D248" s="16" t="s">
        <v>3405</v>
      </c>
      <c r="F248" s="16"/>
    </row>
    <row r="249" spans="1:6">
      <c r="A249" s="16">
        <v>6104000000</v>
      </c>
      <c r="B249" s="16">
        <v>0</v>
      </c>
      <c r="C249" s="16" t="s">
        <v>3416</v>
      </c>
      <c r="D249" s="16" t="s">
        <v>3417</v>
      </c>
      <c r="F249" s="16"/>
    </row>
    <row r="250" spans="1:6">
      <c r="A250" s="16">
        <v>3103000000</v>
      </c>
      <c r="B250" s="16">
        <v>0</v>
      </c>
      <c r="C250" s="16" t="s">
        <v>3402</v>
      </c>
      <c r="D250" s="16" t="s">
        <v>3403</v>
      </c>
      <c r="F250" s="16"/>
    </row>
    <row r="251" spans="1:6">
      <c r="A251" s="16">
        <v>4611000000</v>
      </c>
      <c r="B251" s="16">
        <v>0</v>
      </c>
      <c r="C251" s="16" t="s">
        <v>3428</v>
      </c>
      <c r="D251" s="16" t="s">
        <v>3403</v>
      </c>
      <c r="F251" s="16"/>
    </row>
    <row r="252" spans="1:6">
      <c r="A252" s="16">
        <v>3800000010</v>
      </c>
      <c r="B252" s="16">
        <v>0</v>
      </c>
      <c r="C252" s="16" t="s">
        <v>3402</v>
      </c>
      <c r="D252" s="16" t="s">
        <v>3403</v>
      </c>
      <c r="F252" s="16"/>
    </row>
    <row r="253" spans="1:6">
      <c r="A253" s="16">
        <v>6610000000</v>
      </c>
      <c r="B253" s="16">
        <v>0</v>
      </c>
      <c r="C253" s="16" t="s">
        <v>3413</v>
      </c>
      <c r="D253" s="16" t="s">
        <v>3418</v>
      </c>
      <c r="F253" s="16"/>
    </row>
    <row r="254" spans="1:6">
      <c r="A254" s="16">
        <v>4203000000</v>
      </c>
      <c r="B254" s="16">
        <v>0</v>
      </c>
      <c r="C254" s="16" t="s">
        <v>3408</v>
      </c>
      <c r="D254" s="16" t="s">
        <v>3403</v>
      </c>
      <c r="F254" s="16"/>
    </row>
    <row r="255" spans="1:6">
      <c r="A255" s="16">
        <v>2500000000</v>
      </c>
      <c r="B255" s="16">
        <v>0</v>
      </c>
      <c r="C255" s="16" t="s">
        <v>3412</v>
      </c>
      <c r="D255" s="16" t="s">
        <v>3403</v>
      </c>
      <c r="F255" s="16"/>
    </row>
    <row r="256" spans="1:6">
      <c r="A256" s="16">
        <v>5010000000</v>
      </c>
      <c r="B256" s="16">
        <v>0</v>
      </c>
      <c r="C256" s="16" t="s">
        <v>3406</v>
      </c>
      <c r="D256" s="16" t="s">
        <v>3411</v>
      </c>
      <c r="F256" s="16"/>
    </row>
    <row r="257" spans="1:6">
      <c r="A257" s="16">
        <v>5010100010</v>
      </c>
      <c r="B257" s="16">
        <v>0</v>
      </c>
      <c r="C257" s="16" t="s">
        <v>3406</v>
      </c>
      <c r="D257" s="16" t="s">
        <v>3407</v>
      </c>
      <c r="F257" s="16"/>
    </row>
    <row r="258" spans="1:6">
      <c r="A258" s="16">
        <v>3710000000</v>
      </c>
      <c r="B258" s="16">
        <v>0</v>
      </c>
      <c r="C258" s="16" t="s">
        <v>3402</v>
      </c>
      <c r="D258" s="16" t="s">
        <v>3403</v>
      </c>
      <c r="F258" s="16"/>
    </row>
    <row r="259" spans="1:6">
      <c r="A259" s="16">
        <v>5010100010</v>
      </c>
      <c r="B259" s="16">
        <v>0</v>
      </c>
      <c r="C259" s="16" t="s">
        <v>3406</v>
      </c>
      <c r="D259" s="16" t="s">
        <v>3407</v>
      </c>
      <c r="F259" s="16"/>
    </row>
    <row r="260" spans="1:6">
      <c r="A260" s="16">
        <v>3710000000</v>
      </c>
      <c r="B260" s="16">
        <v>0</v>
      </c>
      <c r="C260" s="16" t="s">
        <v>3402</v>
      </c>
      <c r="D260" s="16" t="s">
        <v>3403</v>
      </c>
      <c r="F260" s="16"/>
    </row>
    <row r="261" spans="1:6">
      <c r="A261" s="16">
        <v>6100000000</v>
      </c>
      <c r="B261" s="16">
        <v>0</v>
      </c>
      <c r="C261" s="16" t="s">
        <v>3416</v>
      </c>
      <c r="D261" s="16" t="s">
        <v>3417</v>
      </c>
      <c r="F261" s="16"/>
    </row>
    <row r="262" spans="1:6">
      <c r="A262" s="16">
        <v>3100000000</v>
      </c>
      <c r="B262" s="16">
        <v>0</v>
      </c>
      <c r="C262" s="16" t="s">
        <v>3402</v>
      </c>
      <c r="D262" s="16" t="s">
        <v>3403</v>
      </c>
      <c r="F262" s="16"/>
    </row>
    <row r="263" spans="1:6">
      <c r="A263" s="16">
        <v>6700200000</v>
      </c>
      <c r="B263" s="16">
        <v>0</v>
      </c>
      <c r="C263" s="16" t="s">
        <v>3404</v>
      </c>
      <c r="D263" s="16" t="s">
        <v>3409</v>
      </c>
      <c r="F263" s="16"/>
    </row>
    <row r="264" spans="1:6">
      <c r="A264" s="16">
        <v>2201200030</v>
      </c>
      <c r="B264" s="16">
        <v>0</v>
      </c>
      <c r="C264" s="16" t="s">
        <v>3415</v>
      </c>
      <c r="D264" s="16" t="s">
        <v>3403</v>
      </c>
      <c r="F264" s="16"/>
    </row>
    <row r="265" spans="1:6">
      <c r="A265" s="16">
        <v>6150000000</v>
      </c>
      <c r="B265" s="16">
        <v>0</v>
      </c>
      <c r="C265" s="16" t="s">
        <v>3416</v>
      </c>
      <c r="D265" s="16" t="s">
        <v>3417</v>
      </c>
      <c r="F265" s="16"/>
    </row>
    <row r="266" spans="1:6">
      <c r="A266" s="16">
        <v>3510000000</v>
      </c>
      <c r="B266" s="16">
        <v>0</v>
      </c>
      <c r="C266" s="16" t="s">
        <v>3402</v>
      </c>
      <c r="D266" s="16" t="s">
        <v>3403</v>
      </c>
      <c r="F266" s="16"/>
    </row>
    <row r="267" spans="1:6">
      <c r="A267" s="16">
        <v>6100000000</v>
      </c>
      <c r="B267" s="16">
        <v>0</v>
      </c>
      <c r="C267" s="16" t="s">
        <v>3416</v>
      </c>
      <c r="D267" s="16" t="s">
        <v>3417</v>
      </c>
      <c r="F267" s="16"/>
    </row>
    <row r="268" spans="1:6">
      <c r="A268" s="16">
        <v>3100000000</v>
      </c>
      <c r="B268" s="16">
        <v>0</v>
      </c>
      <c r="C268" s="16" t="s">
        <v>3402</v>
      </c>
      <c r="D268" s="16" t="s">
        <v>3403</v>
      </c>
      <c r="F268" s="16"/>
    </row>
    <row r="269" spans="1:6">
      <c r="A269" s="16">
        <v>6610100000</v>
      </c>
      <c r="B269" s="16">
        <v>0</v>
      </c>
      <c r="C269" s="16" t="s">
        <v>3413</v>
      </c>
      <c r="D269" s="16" t="s">
        <v>3414</v>
      </c>
      <c r="F269" s="16"/>
    </row>
    <row r="270" spans="1:6">
      <c r="A270" s="16">
        <v>4203000000</v>
      </c>
      <c r="B270" s="16">
        <v>0</v>
      </c>
      <c r="C270" s="16" t="s">
        <v>3408</v>
      </c>
      <c r="D270" s="16" t="s">
        <v>3403</v>
      </c>
      <c r="F270" s="16"/>
    </row>
    <row r="271" spans="1:6">
      <c r="A271" s="16">
        <v>6030000000</v>
      </c>
      <c r="B271" s="16">
        <v>0</v>
      </c>
      <c r="C271" s="16" t="s">
        <v>3420</v>
      </c>
      <c r="D271" s="16" t="s">
        <v>3423</v>
      </c>
      <c r="F271" s="16"/>
    </row>
    <row r="272" spans="1:6">
      <c r="A272" s="16">
        <v>3030000000</v>
      </c>
      <c r="B272" s="16">
        <v>0</v>
      </c>
      <c r="C272" s="16" t="s">
        <v>3402</v>
      </c>
      <c r="D272" s="16" t="s">
        <v>3403</v>
      </c>
      <c r="F272" s="16"/>
    </row>
    <row r="273" spans="1:6">
      <c r="A273" s="16">
        <v>6610000000</v>
      </c>
      <c r="B273" s="16">
        <v>0</v>
      </c>
      <c r="C273" s="16" t="s">
        <v>3413</v>
      </c>
      <c r="D273" s="16" t="s">
        <v>3418</v>
      </c>
      <c r="F273" s="16"/>
    </row>
    <row r="274" spans="1:6">
      <c r="A274" s="16">
        <v>4203000000</v>
      </c>
      <c r="B274" s="16">
        <v>0</v>
      </c>
      <c r="C274" s="16" t="s">
        <v>3408</v>
      </c>
      <c r="D274" s="16" t="s">
        <v>3403</v>
      </c>
      <c r="F274" s="16"/>
    </row>
    <row r="275" spans="1:6">
      <c r="A275" s="16">
        <v>6700200000</v>
      </c>
      <c r="B275" s="16">
        <v>0</v>
      </c>
      <c r="C275" s="16" t="s">
        <v>3404</v>
      </c>
      <c r="D275" s="16" t="s">
        <v>3409</v>
      </c>
      <c r="F275" s="16"/>
    </row>
    <row r="276" spans="1:6">
      <c r="A276" s="16">
        <v>6700000000</v>
      </c>
      <c r="B276" s="16">
        <v>0</v>
      </c>
      <c r="C276" s="16" t="s">
        <v>3404</v>
      </c>
      <c r="D276" s="16" t="s">
        <v>3405</v>
      </c>
      <c r="F276" s="16"/>
    </row>
    <row r="277" spans="1:6">
      <c r="A277" s="16">
        <v>6100000000</v>
      </c>
      <c r="B277" s="16">
        <v>0</v>
      </c>
      <c r="C277" s="16" t="s">
        <v>3416</v>
      </c>
      <c r="D277" s="16" t="s">
        <v>3417</v>
      </c>
      <c r="F277" s="16"/>
    </row>
    <row r="278" spans="1:6">
      <c r="A278" s="16">
        <v>3100000000</v>
      </c>
      <c r="B278" s="16">
        <v>0</v>
      </c>
      <c r="C278" s="16" t="s">
        <v>3402</v>
      </c>
      <c r="D278" s="16" t="s">
        <v>3403</v>
      </c>
      <c r="F278" s="16"/>
    </row>
    <row r="279" spans="1:6">
      <c r="A279" s="16">
        <v>6610000000</v>
      </c>
      <c r="B279" s="16">
        <v>0</v>
      </c>
      <c r="C279" s="16" t="s">
        <v>3413</v>
      </c>
      <c r="D279" s="16" t="s">
        <v>3418</v>
      </c>
      <c r="F279" s="16"/>
    </row>
    <row r="280" spans="1:6">
      <c r="A280" s="16">
        <v>4203000000</v>
      </c>
      <c r="B280" s="16">
        <v>0</v>
      </c>
      <c r="C280" s="16" t="s">
        <v>3408</v>
      </c>
      <c r="D280" s="16" t="s">
        <v>3403</v>
      </c>
      <c r="F280" s="16"/>
    </row>
    <row r="281" spans="1:6">
      <c r="A281" s="16">
        <v>2750010000</v>
      </c>
      <c r="B281" s="16">
        <v>0</v>
      </c>
      <c r="C281" s="16" t="s">
        <v>3419</v>
      </c>
      <c r="D281" s="16" t="s">
        <v>3403</v>
      </c>
      <c r="F281" s="16"/>
    </row>
    <row r="282" spans="1:6">
      <c r="A282" s="16">
        <v>6610000100</v>
      </c>
      <c r="B282" s="16">
        <v>0</v>
      </c>
      <c r="C282" s="16" t="s">
        <v>3413</v>
      </c>
      <c r="D282" s="16" t="s">
        <v>3418</v>
      </c>
      <c r="F282" s="16"/>
    </row>
    <row r="283" spans="1:6">
      <c r="A283" s="16">
        <v>6700200000</v>
      </c>
      <c r="B283" s="16">
        <v>0</v>
      </c>
      <c r="C283" s="16" t="s">
        <v>3404</v>
      </c>
      <c r="D283" s="16" t="s">
        <v>3409</v>
      </c>
      <c r="F283" s="16"/>
    </row>
    <row r="284" spans="1:6">
      <c r="A284" s="16">
        <v>6700000000</v>
      </c>
      <c r="B284" s="16">
        <v>0</v>
      </c>
      <c r="C284" s="16" t="s">
        <v>3404</v>
      </c>
      <c r="D284" s="16" t="s">
        <v>3405</v>
      </c>
      <c r="F284" s="16"/>
    </row>
    <row r="285" spans="1:6">
      <c r="A285" s="16">
        <v>2750010000</v>
      </c>
      <c r="B285" s="16">
        <v>0</v>
      </c>
      <c r="C285" s="16" t="s">
        <v>3419</v>
      </c>
      <c r="D285" s="16" t="s">
        <v>3403</v>
      </c>
      <c r="F285" s="16"/>
    </row>
    <row r="286" spans="1:6">
      <c r="A286" s="16">
        <v>6610100100</v>
      </c>
      <c r="B286" s="16">
        <v>0</v>
      </c>
      <c r="C286" s="16" t="s">
        <v>3413</v>
      </c>
      <c r="D286" s="16" t="s">
        <v>3414</v>
      </c>
      <c r="F286" s="16"/>
    </row>
    <row r="287" spans="1:6">
      <c r="A287" s="16">
        <v>6700600000</v>
      </c>
      <c r="B287" s="16">
        <v>0</v>
      </c>
      <c r="C287" s="16" t="s">
        <v>3404</v>
      </c>
      <c r="D287" s="16" t="s">
        <v>3409</v>
      </c>
      <c r="F287" s="16"/>
    </row>
    <row r="288" spans="1:6">
      <c r="A288" s="16">
        <v>6700400000</v>
      </c>
      <c r="B288" s="16">
        <v>0</v>
      </c>
      <c r="C288" s="16" t="s">
        <v>3404</v>
      </c>
      <c r="D288" s="16" t="s">
        <v>3405</v>
      </c>
      <c r="F288" s="16"/>
    </row>
    <row r="289" spans="1:6">
      <c r="A289" s="16">
        <v>6700200000</v>
      </c>
      <c r="B289" s="16">
        <v>0</v>
      </c>
      <c r="C289" s="16" t="s">
        <v>3404</v>
      </c>
      <c r="D289" s="16" t="s">
        <v>3409</v>
      </c>
      <c r="F289" s="16"/>
    </row>
    <row r="290" spans="1:6">
      <c r="A290" s="16">
        <v>6700100000</v>
      </c>
      <c r="B290" s="16">
        <v>0</v>
      </c>
      <c r="C290" s="16" t="s">
        <v>3404</v>
      </c>
      <c r="D290" s="16" t="s">
        <v>3410</v>
      </c>
      <c r="F290" s="16"/>
    </row>
    <row r="291" spans="1:6">
      <c r="A291" s="16">
        <v>6610100000</v>
      </c>
      <c r="B291" s="16">
        <v>0</v>
      </c>
      <c r="C291" s="16" t="s">
        <v>3413</v>
      </c>
      <c r="D291" s="16" t="s">
        <v>3414</v>
      </c>
      <c r="F291" s="16"/>
    </row>
    <row r="292" spans="1:6">
      <c r="A292" s="16">
        <v>4203000000</v>
      </c>
      <c r="B292" s="16">
        <v>0</v>
      </c>
      <c r="C292" s="16" t="s">
        <v>3408</v>
      </c>
      <c r="D292" s="16" t="s">
        <v>3403</v>
      </c>
      <c r="F292" s="16"/>
    </row>
    <row r="293" spans="1:6">
      <c r="A293" s="16">
        <v>6700200000</v>
      </c>
      <c r="B293" s="16">
        <v>0</v>
      </c>
      <c r="C293" s="16" t="s">
        <v>3404</v>
      </c>
      <c r="D293" s="16" t="s">
        <v>3409</v>
      </c>
      <c r="F293" s="16"/>
    </row>
    <row r="294" spans="1:6">
      <c r="A294" s="16">
        <v>6700000000</v>
      </c>
      <c r="B294" s="16">
        <v>0</v>
      </c>
      <c r="C294" s="16" t="s">
        <v>3404</v>
      </c>
      <c r="D294" s="16" t="s">
        <v>3405</v>
      </c>
      <c r="F294" s="16"/>
    </row>
    <row r="295" spans="1:6">
      <c r="A295" s="16">
        <v>6700600000</v>
      </c>
      <c r="B295" s="16">
        <v>0</v>
      </c>
      <c r="C295" s="16" t="s">
        <v>3404</v>
      </c>
      <c r="D295" s="16" t="s">
        <v>3409</v>
      </c>
      <c r="F295" s="16"/>
    </row>
    <row r="296" spans="1:6">
      <c r="A296" s="16">
        <v>6700400000</v>
      </c>
      <c r="B296" s="16">
        <v>0</v>
      </c>
      <c r="C296" s="16" t="s">
        <v>3404</v>
      </c>
      <c r="D296" s="16" t="s">
        <v>3405</v>
      </c>
      <c r="F296" s="16"/>
    </row>
    <row r="297" spans="1:6">
      <c r="A297" s="16">
        <v>2201000000</v>
      </c>
      <c r="B297" s="16">
        <v>45716</v>
      </c>
      <c r="C297" s="16" t="s">
        <v>3415</v>
      </c>
      <c r="D297" s="16" t="s">
        <v>3403</v>
      </c>
      <c r="F297" s="16"/>
    </row>
    <row r="298" spans="1:6">
      <c r="A298" s="16">
        <v>6700200000</v>
      </c>
      <c r="B298" s="16">
        <v>-45716</v>
      </c>
      <c r="C298" s="16" t="s">
        <v>3404</v>
      </c>
      <c r="D298" s="16" t="s">
        <v>3409</v>
      </c>
      <c r="F298" s="16"/>
    </row>
    <row r="299" spans="1:6">
      <c r="A299" s="16">
        <v>6700200000</v>
      </c>
      <c r="B299" s="16">
        <v>0</v>
      </c>
      <c r="C299" s="16" t="s">
        <v>3404</v>
      </c>
      <c r="D299" s="16" t="s">
        <v>3409</v>
      </c>
      <c r="F299" s="16"/>
    </row>
    <row r="300" spans="1:6">
      <c r="A300" s="16">
        <v>6700100000</v>
      </c>
      <c r="B300" s="16">
        <v>0</v>
      </c>
      <c r="C300" s="16" t="s">
        <v>3404</v>
      </c>
      <c r="D300" s="16" t="s">
        <v>3410</v>
      </c>
      <c r="F300" s="16"/>
    </row>
    <row r="301" spans="1:6">
      <c r="A301" s="16">
        <v>2201000000</v>
      </c>
      <c r="B301" s="16">
        <v>0</v>
      </c>
      <c r="C301" s="16" t="s">
        <v>3415</v>
      </c>
      <c r="D301" s="16" t="s">
        <v>3403</v>
      </c>
      <c r="F301" s="16"/>
    </row>
    <row r="302" spans="1:6">
      <c r="A302" s="16">
        <v>6700200000</v>
      </c>
      <c r="B302" s="16">
        <v>0</v>
      </c>
      <c r="C302" s="16" t="s">
        <v>3404</v>
      </c>
      <c r="D302" s="16" t="s">
        <v>3409</v>
      </c>
      <c r="F302" s="16"/>
    </row>
    <row r="303" spans="1:6">
      <c r="A303" s="16">
        <v>6700200000</v>
      </c>
      <c r="B303" s="16">
        <v>0</v>
      </c>
      <c r="C303" s="16" t="s">
        <v>3404</v>
      </c>
      <c r="D303" s="16" t="s">
        <v>3409</v>
      </c>
      <c r="F303" s="16"/>
    </row>
    <row r="304" spans="1:6">
      <c r="A304" s="16">
        <v>6700100000</v>
      </c>
      <c r="B304" s="16">
        <v>0</v>
      </c>
      <c r="C304" s="16" t="s">
        <v>3404</v>
      </c>
      <c r="D304" s="16" t="s">
        <v>3410</v>
      </c>
      <c r="F304" s="16"/>
    </row>
    <row r="305" spans="1:6">
      <c r="A305" s="16">
        <v>2750010000</v>
      </c>
      <c r="B305" s="16">
        <v>0</v>
      </c>
      <c r="C305" s="16" t="s">
        <v>3419</v>
      </c>
      <c r="D305" s="16" t="s">
        <v>3403</v>
      </c>
      <c r="F305" s="16"/>
    </row>
    <row r="306" spans="1:6">
      <c r="A306" s="16">
        <v>6610000100</v>
      </c>
      <c r="B306" s="16">
        <v>0</v>
      </c>
      <c r="C306" s="16" t="s">
        <v>3413</v>
      </c>
      <c r="D306" s="16" t="s">
        <v>3418</v>
      </c>
      <c r="F306" s="16"/>
    </row>
    <row r="307" spans="1:6">
      <c r="A307" s="16">
        <v>6700700000</v>
      </c>
      <c r="B307" s="16">
        <v>0</v>
      </c>
      <c r="C307" s="16" t="s">
        <v>3404</v>
      </c>
      <c r="D307" s="16" t="s">
        <v>3409</v>
      </c>
      <c r="F307" s="16"/>
    </row>
    <row r="308" spans="1:6">
      <c r="A308" s="16">
        <v>6700500000</v>
      </c>
      <c r="B308" s="16">
        <v>0</v>
      </c>
      <c r="C308" s="16" t="s">
        <v>3404</v>
      </c>
      <c r="D308" s="16" t="s">
        <v>3405</v>
      </c>
      <c r="F308" s="16"/>
    </row>
    <row r="309" spans="1:6">
      <c r="A309" s="16">
        <v>6700200000</v>
      </c>
      <c r="B309" s="16">
        <v>0</v>
      </c>
      <c r="C309" s="16" t="s">
        <v>3404</v>
      </c>
      <c r="D309" s="16" t="s">
        <v>3409</v>
      </c>
      <c r="F309" s="16"/>
    </row>
    <row r="310" spans="1:6">
      <c r="A310" s="16">
        <v>6700000000</v>
      </c>
      <c r="B310" s="16">
        <v>0</v>
      </c>
      <c r="C310" s="16" t="s">
        <v>3404</v>
      </c>
      <c r="D310" s="16" t="s">
        <v>3405</v>
      </c>
      <c r="F310" s="16"/>
    </row>
    <row r="311" spans="1:6">
      <c r="A311" s="16">
        <v>2750010000</v>
      </c>
      <c r="B311" s="16">
        <v>0</v>
      </c>
      <c r="C311" s="16" t="s">
        <v>3419</v>
      </c>
      <c r="D311" s="16" t="s">
        <v>3403</v>
      </c>
      <c r="F311" s="16"/>
    </row>
    <row r="312" spans="1:6">
      <c r="A312" s="16">
        <v>6610100100</v>
      </c>
      <c r="B312" s="16">
        <v>0</v>
      </c>
      <c r="C312" s="16" t="s">
        <v>3413</v>
      </c>
      <c r="D312" s="16" t="s">
        <v>3414</v>
      </c>
      <c r="F312" s="16"/>
    </row>
    <row r="313" spans="1:6">
      <c r="A313" s="16">
        <v>6700600000</v>
      </c>
      <c r="B313" s="16">
        <v>0</v>
      </c>
      <c r="C313" s="16" t="s">
        <v>3404</v>
      </c>
      <c r="D313" s="16" t="s">
        <v>3409</v>
      </c>
      <c r="F313" s="16"/>
    </row>
    <row r="314" spans="1:6">
      <c r="A314" s="16">
        <v>6700400000</v>
      </c>
      <c r="B314" s="16">
        <v>0</v>
      </c>
      <c r="C314" s="16" t="s">
        <v>3404</v>
      </c>
      <c r="D314" s="16" t="s">
        <v>3405</v>
      </c>
      <c r="F314" s="16"/>
    </row>
    <row r="315" spans="1:6">
      <c r="A315" s="16">
        <v>6100000020</v>
      </c>
      <c r="B315" s="16">
        <v>0</v>
      </c>
      <c r="C315" s="16" t="s">
        <v>3416</v>
      </c>
      <c r="D315" s="16" t="s">
        <v>3417</v>
      </c>
      <c r="F315" s="16"/>
    </row>
    <row r="316" spans="1:6">
      <c r="A316" s="16">
        <v>3810000000</v>
      </c>
      <c r="B316" s="16">
        <v>0</v>
      </c>
      <c r="C316" s="16" t="s">
        <v>3402</v>
      </c>
      <c r="D316" s="16" t="s">
        <v>3403</v>
      </c>
      <c r="F316" s="16"/>
    </row>
    <row r="317" spans="1:6">
      <c r="A317" s="16">
        <v>2500000000</v>
      </c>
      <c r="B317" s="16">
        <v>0</v>
      </c>
      <c r="C317" s="16" t="s">
        <v>3412</v>
      </c>
      <c r="D317" s="16" t="s">
        <v>3403</v>
      </c>
      <c r="F317" s="16"/>
    </row>
    <row r="318" spans="1:6">
      <c r="A318" s="16">
        <v>5010000000</v>
      </c>
      <c r="B318" s="16">
        <v>0</v>
      </c>
      <c r="C318" s="16" t="s">
        <v>3406</v>
      </c>
      <c r="D318" s="16" t="s">
        <v>3411</v>
      </c>
      <c r="F318" s="16"/>
    </row>
    <row r="319" spans="1:6">
      <c r="A319" s="16">
        <v>2201000000</v>
      </c>
      <c r="B319" s="16">
        <v>0</v>
      </c>
      <c r="C319" s="16" t="s">
        <v>3415</v>
      </c>
      <c r="D319" s="16" t="s">
        <v>3403</v>
      </c>
      <c r="F319" s="16"/>
    </row>
    <row r="320" spans="1:6">
      <c r="A320" s="16">
        <v>6700200000</v>
      </c>
      <c r="B320" s="16">
        <v>0</v>
      </c>
      <c r="C320" s="16" t="s">
        <v>3404</v>
      </c>
      <c r="D320" s="16" t="s">
        <v>3409</v>
      </c>
      <c r="F320" s="16"/>
    </row>
    <row r="321" spans="1:6">
      <c r="A321" s="16">
        <v>3102000000</v>
      </c>
      <c r="B321" s="16">
        <v>5270</v>
      </c>
      <c r="C321" s="16" t="s">
        <v>3424</v>
      </c>
      <c r="D321" s="16" t="s">
        <v>3403</v>
      </c>
      <c r="F321" s="16"/>
    </row>
    <row r="322" spans="1:6">
      <c r="A322" s="16">
        <v>6102000000</v>
      </c>
      <c r="B322" s="16">
        <v>-5270</v>
      </c>
      <c r="C322" s="16" t="s">
        <v>3425</v>
      </c>
      <c r="D322" s="16" t="s">
        <v>3426</v>
      </c>
      <c r="F322" s="16"/>
    </row>
    <row r="323" spans="1:6">
      <c r="A323" s="16">
        <v>5010000010</v>
      </c>
      <c r="B323" s="16">
        <v>0</v>
      </c>
      <c r="C323" s="16" t="s">
        <v>3406</v>
      </c>
      <c r="D323" s="16" t="s">
        <v>3411</v>
      </c>
      <c r="F323" s="16"/>
    </row>
    <row r="324" spans="1:6">
      <c r="A324" s="16">
        <v>3710000000</v>
      </c>
      <c r="B324" s="16">
        <v>0</v>
      </c>
      <c r="C324" s="16" t="s">
        <v>3402</v>
      </c>
      <c r="D324" s="16" t="s">
        <v>3403</v>
      </c>
      <c r="F324" s="16"/>
    </row>
    <row r="325" spans="1:6">
      <c r="A325" s="16">
        <v>6700200000</v>
      </c>
      <c r="B325" s="16">
        <v>0</v>
      </c>
      <c r="C325" s="16" t="s">
        <v>3404</v>
      </c>
      <c r="D325" s="16" t="s">
        <v>3409</v>
      </c>
      <c r="F325" s="16"/>
    </row>
    <row r="326" spans="1:6">
      <c r="A326" s="16">
        <v>6700100000</v>
      </c>
      <c r="B326" s="16">
        <v>0</v>
      </c>
      <c r="C326" s="16" t="s">
        <v>3404</v>
      </c>
      <c r="D326" s="16" t="s">
        <v>3410</v>
      </c>
      <c r="F326" s="16"/>
    </row>
    <row r="327" spans="1:6">
      <c r="A327" s="16">
        <v>2750010000</v>
      </c>
      <c r="B327" s="16">
        <v>0</v>
      </c>
      <c r="C327" s="16" t="s">
        <v>3419</v>
      </c>
      <c r="D327" s="16" t="s">
        <v>3403</v>
      </c>
      <c r="F327" s="16"/>
    </row>
    <row r="328" spans="1:6">
      <c r="A328" s="16">
        <v>6610000100</v>
      </c>
      <c r="B328" s="16">
        <v>0</v>
      </c>
      <c r="C328" s="16" t="s">
        <v>3413</v>
      </c>
      <c r="D328" s="16" t="s">
        <v>3418</v>
      </c>
      <c r="F328" s="16"/>
    </row>
    <row r="329" spans="1:6">
      <c r="A329" s="16">
        <v>2750010000</v>
      </c>
      <c r="B329" s="16">
        <v>0</v>
      </c>
      <c r="C329" s="16" t="s">
        <v>3419</v>
      </c>
      <c r="D329" s="16" t="s">
        <v>3403</v>
      </c>
      <c r="F329" s="16"/>
    </row>
    <row r="330" spans="1:6">
      <c r="A330" s="16">
        <v>6610100100</v>
      </c>
      <c r="B330" s="16">
        <v>0</v>
      </c>
      <c r="C330" s="16" t="s">
        <v>3413</v>
      </c>
      <c r="D330" s="16" t="s">
        <v>3414</v>
      </c>
      <c r="F330" s="16"/>
    </row>
    <row r="331" spans="1:6">
      <c r="A331" s="16">
        <v>6610100000</v>
      </c>
      <c r="B331" s="16">
        <v>0</v>
      </c>
      <c r="C331" s="16" t="s">
        <v>3413</v>
      </c>
      <c r="D331" s="16" t="s">
        <v>3414</v>
      </c>
      <c r="F331" s="16"/>
    </row>
    <row r="332" spans="1:6">
      <c r="A332" s="16">
        <v>4203000000</v>
      </c>
      <c r="B332" s="16">
        <v>0</v>
      </c>
      <c r="C332" s="16" t="s">
        <v>3408</v>
      </c>
      <c r="D332" s="16" t="s">
        <v>3403</v>
      </c>
      <c r="F332" s="16"/>
    </row>
    <row r="333" spans="1:6">
      <c r="A333" s="16">
        <v>2500000000</v>
      </c>
      <c r="B333" s="16">
        <v>0</v>
      </c>
      <c r="C333" s="16" t="s">
        <v>3412</v>
      </c>
      <c r="D333" s="16" t="s">
        <v>3403</v>
      </c>
      <c r="F333" s="16"/>
    </row>
    <row r="334" spans="1:6">
      <c r="A334" s="16">
        <v>5010000000</v>
      </c>
      <c r="B334" s="16">
        <v>0</v>
      </c>
      <c r="C334" s="16" t="s">
        <v>3406</v>
      </c>
      <c r="D334" s="16" t="s">
        <v>3411</v>
      </c>
      <c r="F334" s="16"/>
    </row>
    <row r="335" spans="1:6">
      <c r="A335" s="16">
        <v>6100000020</v>
      </c>
      <c r="B335" s="16">
        <v>0</v>
      </c>
      <c r="C335" s="16" t="s">
        <v>3416</v>
      </c>
      <c r="D335" s="16" t="s">
        <v>3417</v>
      </c>
      <c r="F335" s="16"/>
    </row>
    <row r="336" spans="1:6">
      <c r="A336" s="16">
        <v>3810000000</v>
      </c>
      <c r="B336" s="16">
        <v>0</v>
      </c>
      <c r="C336" s="16" t="s">
        <v>3402</v>
      </c>
      <c r="D336" s="16" t="s">
        <v>3403</v>
      </c>
      <c r="F336" s="16"/>
    </row>
    <row r="337" spans="1:6">
      <c r="A337" s="16">
        <v>6700200000</v>
      </c>
      <c r="B337" s="16">
        <v>0</v>
      </c>
      <c r="C337" s="16" t="s">
        <v>3404</v>
      </c>
      <c r="D337" s="16" t="s">
        <v>3409</v>
      </c>
      <c r="F337" s="16"/>
    </row>
    <row r="338" spans="1:6">
      <c r="A338" s="16">
        <v>6700000000</v>
      </c>
      <c r="B338" s="16">
        <v>0</v>
      </c>
      <c r="C338" s="16" t="s">
        <v>3404</v>
      </c>
      <c r="D338" s="16" t="s">
        <v>3405</v>
      </c>
      <c r="F338" s="16"/>
    </row>
    <row r="339" spans="1:6">
      <c r="A339" s="16">
        <v>6700600000</v>
      </c>
      <c r="B339" s="16">
        <v>0</v>
      </c>
      <c r="C339" s="16" t="s">
        <v>3404</v>
      </c>
      <c r="D339" s="16" t="s">
        <v>3409</v>
      </c>
      <c r="F339" s="16"/>
    </row>
    <row r="340" spans="1:6">
      <c r="A340" s="16">
        <v>6700400000</v>
      </c>
      <c r="B340" s="16">
        <v>0</v>
      </c>
      <c r="C340" s="16" t="s">
        <v>3404</v>
      </c>
      <c r="D340" s="16" t="s">
        <v>3405</v>
      </c>
      <c r="F340" s="16"/>
    </row>
    <row r="341" spans="1:6">
      <c r="A341" s="16">
        <v>5052010000</v>
      </c>
      <c r="B341" s="16">
        <v>0</v>
      </c>
      <c r="C341" s="16" t="s">
        <v>3406</v>
      </c>
      <c r="D341" s="16" t="s">
        <v>3422</v>
      </c>
      <c r="F341" s="16"/>
    </row>
    <row r="342" spans="1:6">
      <c r="A342" s="16">
        <v>5052000000</v>
      </c>
      <c r="B342" s="16">
        <v>0</v>
      </c>
      <c r="C342" s="16" t="s">
        <v>3406</v>
      </c>
      <c r="D342" s="16" t="s">
        <v>3422</v>
      </c>
      <c r="F342" s="16"/>
    </row>
    <row r="343" spans="1:6">
      <c r="A343" s="16">
        <v>6610000000</v>
      </c>
      <c r="B343" s="16">
        <v>0</v>
      </c>
      <c r="C343" s="16" t="s">
        <v>3413</v>
      </c>
      <c r="D343" s="16" t="s">
        <v>3418</v>
      </c>
      <c r="F343" s="16"/>
    </row>
    <row r="344" spans="1:6">
      <c r="A344" s="16">
        <v>4203000000</v>
      </c>
      <c r="B344" s="16">
        <v>0</v>
      </c>
      <c r="C344" s="16" t="s">
        <v>3408</v>
      </c>
      <c r="D344" s="16" t="s">
        <v>3403</v>
      </c>
      <c r="F344" s="16"/>
    </row>
    <row r="345" spans="1:6">
      <c r="A345" s="16">
        <v>2500000000</v>
      </c>
      <c r="B345" s="16">
        <v>0</v>
      </c>
      <c r="C345" s="16" t="s">
        <v>3412</v>
      </c>
      <c r="D345" s="16" t="s">
        <v>3403</v>
      </c>
      <c r="F345" s="16"/>
    </row>
    <row r="346" spans="1:6">
      <c r="A346" s="16">
        <v>5010100000</v>
      </c>
      <c r="B346" s="16">
        <v>0</v>
      </c>
      <c r="C346" s="16" t="s">
        <v>3406</v>
      </c>
      <c r="D346" s="16" t="s">
        <v>3407</v>
      </c>
      <c r="F346" s="16"/>
    </row>
    <row r="347" spans="1:6">
      <c r="A347" s="16">
        <v>5010000010</v>
      </c>
      <c r="B347" s="16">
        <v>0</v>
      </c>
      <c r="C347" s="16" t="s">
        <v>3406</v>
      </c>
      <c r="D347" s="16" t="s">
        <v>3411</v>
      </c>
      <c r="F347" s="16"/>
    </row>
    <row r="348" spans="1:6">
      <c r="A348" s="16">
        <v>3710000000</v>
      </c>
      <c r="B348" s="16">
        <v>0</v>
      </c>
      <c r="C348" s="16" t="s">
        <v>3402</v>
      </c>
      <c r="D348" s="16" t="s">
        <v>3403</v>
      </c>
      <c r="F348" s="16"/>
    </row>
    <row r="349" spans="1:6">
      <c r="A349" s="16">
        <v>6610100000</v>
      </c>
      <c r="B349" s="16">
        <v>0</v>
      </c>
      <c r="C349" s="16" t="s">
        <v>3413</v>
      </c>
      <c r="D349" s="16" t="s">
        <v>3414</v>
      </c>
      <c r="F349" s="16"/>
    </row>
    <row r="350" spans="1:6">
      <c r="A350" s="16">
        <v>4203000000</v>
      </c>
      <c r="B350" s="16">
        <v>0</v>
      </c>
      <c r="C350" s="16" t="s">
        <v>3408</v>
      </c>
      <c r="D350" s="16" t="s">
        <v>3403</v>
      </c>
      <c r="F350" s="16"/>
    </row>
    <row r="351" spans="1:6">
      <c r="A351" s="16">
        <v>6700200000</v>
      </c>
      <c r="B351" s="16">
        <v>0</v>
      </c>
      <c r="C351" s="16" t="s">
        <v>3404</v>
      </c>
      <c r="D351" s="16" t="s">
        <v>3409</v>
      </c>
      <c r="F351" s="16"/>
    </row>
    <row r="352" spans="1:6">
      <c r="A352" s="16">
        <v>6700100000</v>
      </c>
      <c r="B352" s="16">
        <v>0</v>
      </c>
      <c r="C352" s="16" t="s">
        <v>3404</v>
      </c>
      <c r="D352" s="16" t="s">
        <v>3410</v>
      </c>
      <c r="F352" s="16"/>
    </row>
    <row r="353" spans="1:6">
      <c r="A353" s="16">
        <v>2201400000</v>
      </c>
      <c r="B353" s="16">
        <v>0</v>
      </c>
      <c r="C353" s="16" t="s">
        <v>3415</v>
      </c>
      <c r="D353" s="16" t="s">
        <v>3403</v>
      </c>
      <c r="F353" s="16"/>
    </row>
    <row r="354" spans="1:6">
      <c r="A354" s="16">
        <v>6700700000</v>
      </c>
      <c r="B354" s="16">
        <v>0</v>
      </c>
      <c r="C354" s="16" t="s">
        <v>3404</v>
      </c>
      <c r="D354" s="16" t="s">
        <v>3409</v>
      </c>
      <c r="F354" s="16"/>
    </row>
    <row r="355" spans="1:6">
      <c r="A355" s="16">
        <v>6104000000</v>
      </c>
      <c r="B355" s="16">
        <v>0</v>
      </c>
      <c r="C355" s="16" t="s">
        <v>3416</v>
      </c>
      <c r="D355" s="16" t="s">
        <v>3417</v>
      </c>
      <c r="F355" s="16"/>
    </row>
    <row r="356" spans="1:6">
      <c r="A356" s="16">
        <v>3103000000</v>
      </c>
      <c r="B356" s="16">
        <v>0</v>
      </c>
      <c r="C356" s="16" t="s">
        <v>3402</v>
      </c>
      <c r="D356" s="16" t="s">
        <v>3403</v>
      </c>
      <c r="F356" s="16"/>
    </row>
    <row r="357" spans="1:6">
      <c r="A357" s="16">
        <v>6610100000</v>
      </c>
      <c r="B357" s="16">
        <v>0</v>
      </c>
      <c r="C357" s="16" t="s">
        <v>3413</v>
      </c>
      <c r="D357" s="16" t="s">
        <v>3414</v>
      </c>
      <c r="F357" s="16"/>
    </row>
    <row r="358" spans="1:6">
      <c r="A358" s="16">
        <v>4203000000</v>
      </c>
      <c r="B358" s="16">
        <v>0</v>
      </c>
      <c r="C358" s="16" t="s">
        <v>3408</v>
      </c>
      <c r="D358" s="16" t="s">
        <v>3403</v>
      </c>
      <c r="F358" s="16"/>
    </row>
    <row r="359" spans="1:6">
      <c r="A359" s="16">
        <v>6700200000</v>
      </c>
      <c r="B359" s="16">
        <v>105224</v>
      </c>
      <c r="C359" s="16" t="s">
        <v>3404</v>
      </c>
      <c r="D359" s="16" t="s">
        <v>3409</v>
      </c>
      <c r="F359" s="16"/>
    </row>
    <row r="360" spans="1:6">
      <c r="A360" s="16">
        <v>2201200030</v>
      </c>
      <c r="B360" s="16">
        <v>-105224</v>
      </c>
      <c r="C360" s="16" t="s">
        <v>3415</v>
      </c>
      <c r="D360" s="16" t="s">
        <v>3403</v>
      </c>
      <c r="F360" s="16"/>
    </row>
    <row r="361" spans="1:6">
      <c r="A361" s="16">
        <v>6700200000</v>
      </c>
      <c r="B361" s="16">
        <v>0</v>
      </c>
      <c r="C361" s="16" t="s">
        <v>3404</v>
      </c>
      <c r="D361" s="16" t="s">
        <v>3409</v>
      </c>
      <c r="F361" s="16"/>
    </row>
    <row r="362" spans="1:6">
      <c r="A362" s="16">
        <v>6700000000</v>
      </c>
      <c r="B362" s="16">
        <v>0</v>
      </c>
      <c r="C362" s="16" t="s">
        <v>3404</v>
      </c>
      <c r="D362" s="16" t="s">
        <v>3405</v>
      </c>
      <c r="F362" s="16"/>
    </row>
    <row r="363" spans="1:6">
      <c r="A363" s="16">
        <v>6700600000</v>
      </c>
      <c r="B363" s="16">
        <v>0</v>
      </c>
      <c r="C363" s="16" t="s">
        <v>3404</v>
      </c>
      <c r="D363" s="16" t="s">
        <v>3409</v>
      </c>
      <c r="F363" s="16"/>
    </row>
    <row r="364" spans="1:6">
      <c r="A364" s="16">
        <v>6700400000</v>
      </c>
      <c r="B364" s="16">
        <v>0</v>
      </c>
      <c r="C364" s="16" t="s">
        <v>3404</v>
      </c>
      <c r="D364" s="16" t="s">
        <v>3405</v>
      </c>
      <c r="F364" s="16"/>
    </row>
    <row r="365" spans="1:6">
      <c r="A365" s="16">
        <v>3032000000</v>
      </c>
      <c r="B365" s="16">
        <v>0</v>
      </c>
      <c r="C365" s="16" t="s">
        <v>3424</v>
      </c>
      <c r="D365" s="16" t="s">
        <v>3403</v>
      </c>
      <c r="F365" s="16"/>
    </row>
    <row r="366" spans="1:6">
      <c r="A366" s="16">
        <v>6032000000</v>
      </c>
      <c r="B366" s="16">
        <v>0</v>
      </c>
      <c r="C366" s="16" t="s">
        <v>3429</v>
      </c>
      <c r="D366" s="16" t="s">
        <v>3430</v>
      </c>
      <c r="F366" s="16"/>
    </row>
    <row r="367" spans="1:6">
      <c r="A367" s="16">
        <v>3102000000</v>
      </c>
      <c r="B367" s="16">
        <v>0</v>
      </c>
      <c r="C367" s="16" t="s">
        <v>3424</v>
      </c>
      <c r="D367" s="16" t="s">
        <v>3403</v>
      </c>
      <c r="F367" s="16"/>
    </row>
    <row r="368" spans="1:6">
      <c r="A368" s="16">
        <v>6102000000</v>
      </c>
      <c r="B368" s="16">
        <v>0</v>
      </c>
      <c r="C368" s="16" t="s">
        <v>3425</v>
      </c>
      <c r="D368" s="16" t="s">
        <v>3426</v>
      </c>
      <c r="F368" s="16"/>
    </row>
    <row r="369" spans="1:6">
      <c r="A369" s="16">
        <v>3102000000</v>
      </c>
      <c r="B369" s="16">
        <v>0</v>
      </c>
      <c r="C369" s="16" t="s">
        <v>3424</v>
      </c>
      <c r="D369" s="16" t="s">
        <v>3403</v>
      </c>
      <c r="F369" s="16"/>
    </row>
    <row r="370" spans="1:6">
      <c r="A370" s="16">
        <v>6102000000</v>
      </c>
      <c r="B370" s="16">
        <v>0</v>
      </c>
      <c r="C370" s="16" t="s">
        <v>3425</v>
      </c>
      <c r="D370" s="16" t="s">
        <v>3426</v>
      </c>
      <c r="F370" s="16"/>
    </row>
    <row r="371" spans="1:6">
      <c r="A371" s="16">
        <v>6610100000</v>
      </c>
      <c r="B371" s="16">
        <v>0</v>
      </c>
      <c r="C371" s="16" t="s">
        <v>3413</v>
      </c>
      <c r="D371" s="16" t="s">
        <v>3414</v>
      </c>
      <c r="F371" s="16"/>
    </row>
    <row r="372" spans="1:6">
      <c r="A372" s="16">
        <v>4203000000</v>
      </c>
      <c r="B372" s="16">
        <v>0</v>
      </c>
      <c r="C372" s="16" t="s">
        <v>3408</v>
      </c>
      <c r="D372" s="16" t="s">
        <v>3403</v>
      </c>
      <c r="F372" s="16"/>
    </row>
    <row r="373" spans="1:6">
      <c r="A373" s="16">
        <v>2500000000</v>
      </c>
      <c r="B373" s="16">
        <v>162197</v>
      </c>
      <c r="C373" s="16" t="s">
        <v>3412</v>
      </c>
      <c r="D373" s="16" t="s">
        <v>3403</v>
      </c>
      <c r="F373" s="16"/>
    </row>
    <row r="374" spans="1:6">
      <c r="A374" s="16">
        <v>5010000000</v>
      </c>
      <c r="B374" s="16">
        <v>-162197</v>
      </c>
      <c r="C374" s="16" t="s">
        <v>3406</v>
      </c>
      <c r="D374" s="16" t="s">
        <v>3411</v>
      </c>
      <c r="F374" s="16"/>
    </row>
    <row r="375" spans="1:6">
      <c r="A375" s="16">
        <v>6700700000</v>
      </c>
      <c r="B375" s="16">
        <v>0</v>
      </c>
      <c r="C375" s="16" t="s">
        <v>3404</v>
      </c>
      <c r="D375" s="16" t="s">
        <v>3409</v>
      </c>
      <c r="F375" s="16"/>
    </row>
    <row r="376" spans="1:6">
      <c r="A376" s="16">
        <v>6700500000</v>
      </c>
      <c r="B376" s="16">
        <v>0</v>
      </c>
      <c r="C376" s="16" t="s">
        <v>3404</v>
      </c>
      <c r="D376" s="16" t="s">
        <v>3405</v>
      </c>
      <c r="F376" s="16"/>
    </row>
    <row r="377" spans="1:6">
      <c r="A377" s="16">
        <v>6100000000</v>
      </c>
      <c r="B377" s="16">
        <v>0</v>
      </c>
      <c r="C377" s="16" t="s">
        <v>3416</v>
      </c>
      <c r="D377" s="16" t="s">
        <v>3417</v>
      </c>
      <c r="F377" s="16"/>
    </row>
    <row r="378" spans="1:6">
      <c r="A378" s="16">
        <v>3100000000</v>
      </c>
      <c r="B378" s="16">
        <v>0</v>
      </c>
      <c r="C378" s="16" t="s">
        <v>3402</v>
      </c>
      <c r="D378" s="16" t="s">
        <v>3403</v>
      </c>
      <c r="F378" s="16"/>
    </row>
    <row r="379" spans="1:6">
      <c r="A379" s="16">
        <v>6700200000</v>
      </c>
      <c r="B379" s="16">
        <v>0</v>
      </c>
      <c r="C379" s="16" t="s">
        <v>3404</v>
      </c>
      <c r="D379" s="16" t="s">
        <v>3409</v>
      </c>
      <c r="F379" s="16"/>
    </row>
    <row r="380" spans="1:6">
      <c r="A380" s="16">
        <v>6700100000</v>
      </c>
      <c r="B380" s="16">
        <v>0</v>
      </c>
      <c r="C380" s="16" t="s">
        <v>3404</v>
      </c>
      <c r="D380" s="16" t="s">
        <v>3410</v>
      </c>
      <c r="F380" s="16"/>
    </row>
    <row r="381" spans="1:6">
      <c r="A381" s="16">
        <v>6100000020</v>
      </c>
      <c r="B381" s="16">
        <v>0</v>
      </c>
      <c r="C381" s="16" t="s">
        <v>3416</v>
      </c>
      <c r="D381" s="16" t="s">
        <v>3417</v>
      </c>
      <c r="F381" s="16"/>
    </row>
    <row r="382" spans="1:6">
      <c r="A382" s="16">
        <v>3810000000</v>
      </c>
      <c r="B382" s="16">
        <v>0</v>
      </c>
      <c r="C382" s="16" t="s">
        <v>3402</v>
      </c>
      <c r="D382" s="16" t="s">
        <v>3403</v>
      </c>
      <c r="F382" s="16"/>
    </row>
    <row r="383" spans="1:6">
      <c r="A383" s="16">
        <v>6610000000</v>
      </c>
      <c r="B383" s="16">
        <v>0</v>
      </c>
      <c r="C383" s="16" t="s">
        <v>3413</v>
      </c>
      <c r="D383" s="16" t="s">
        <v>3418</v>
      </c>
      <c r="F383" s="16"/>
    </row>
    <row r="384" spans="1:6">
      <c r="A384" s="16">
        <v>4203000000</v>
      </c>
      <c r="B384" s="16">
        <v>0</v>
      </c>
      <c r="C384" s="16" t="s">
        <v>3408</v>
      </c>
      <c r="D384" s="16" t="s">
        <v>3403</v>
      </c>
      <c r="F384" s="16"/>
    </row>
    <row r="385" spans="1:6">
      <c r="A385" s="16">
        <v>5010000010</v>
      </c>
      <c r="B385" s="16">
        <v>0</v>
      </c>
      <c r="C385" s="16" t="s">
        <v>3406</v>
      </c>
      <c r="D385" s="16" t="s">
        <v>3411</v>
      </c>
      <c r="F385" s="16"/>
    </row>
    <row r="386" spans="1:6">
      <c r="A386" s="16">
        <v>3710000000</v>
      </c>
      <c r="B386" s="16">
        <v>0</v>
      </c>
      <c r="C386" s="16" t="s">
        <v>3402</v>
      </c>
      <c r="D386" s="16" t="s">
        <v>3403</v>
      </c>
      <c r="F386" s="16"/>
    </row>
    <row r="387" spans="1:6">
      <c r="A387" s="16">
        <v>6700700000</v>
      </c>
      <c r="B387" s="16">
        <v>0</v>
      </c>
      <c r="C387" s="16" t="s">
        <v>3404</v>
      </c>
      <c r="D387" s="16" t="s">
        <v>3409</v>
      </c>
      <c r="F387" s="16"/>
    </row>
    <row r="388" spans="1:6">
      <c r="A388" s="16">
        <v>6700500000</v>
      </c>
      <c r="B388" s="16">
        <v>0</v>
      </c>
      <c r="C388" s="16" t="s">
        <v>3404</v>
      </c>
      <c r="D388" s="16" t="s">
        <v>3405</v>
      </c>
      <c r="F388" s="16"/>
    </row>
    <row r="389" spans="1:6">
      <c r="A389" s="16">
        <v>5050010000</v>
      </c>
      <c r="B389" s="16">
        <v>0</v>
      </c>
      <c r="C389" s="16" t="s">
        <v>3406</v>
      </c>
      <c r="D389" s="16" t="s">
        <v>3422</v>
      </c>
      <c r="F389" s="16"/>
    </row>
    <row r="390" spans="1:6">
      <c r="A390" s="16">
        <v>5050000000</v>
      </c>
      <c r="B390" s="16">
        <v>0</v>
      </c>
      <c r="C390" s="16" t="s">
        <v>3406</v>
      </c>
      <c r="D390" s="16" t="s">
        <v>3422</v>
      </c>
      <c r="F390" s="16"/>
    </row>
    <row r="391" spans="1:6">
      <c r="A391" s="16">
        <v>6100000000</v>
      </c>
      <c r="B391" s="16">
        <v>0</v>
      </c>
      <c r="C391" s="16" t="s">
        <v>3427</v>
      </c>
      <c r="D391" s="16" t="s">
        <v>3417</v>
      </c>
      <c r="F391" s="16"/>
    </row>
    <row r="392" spans="1:6">
      <c r="A392" s="16">
        <v>3100000000</v>
      </c>
      <c r="B392" s="16">
        <v>0</v>
      </c>
      <c r="C392" s="16" t="s">
        <v>3402</v>
      </c>
      <c r="D392" s="16" t="s">
        <v>3403</v>
      </c>
      <c r="F392" s="16"/>
    </row>
    <row r="393" spans="1:6">
      <c r="A393" s="16">
        <v>6100000000</v>
      </c>
      <c r="B393" s="16">
        <v>60556</v>
      </c>
      <c r="C393" s="16" t="s">
        <v>3427</v>
      </c>
      <c r="D393" s="16" t="s">
        <v>3417</v>
      </c>
      <c r="F393" s="16"/>
    </row>
    <row r="394" spans="1:6">
      <c r="A394" s="16">
        <v>3100000000</v>
      </c>
      <c r="B394" s="16">
        <v>-60556</v>
      </c>
      <c r="C394" s="16" t="s">
        <v>3402</v>
      </c>
      <c r="D394" s="16" t="s">
        <v>3403</v>
      </c>
      <c r="F394" s="16"/>
    </row>
    <row r="395" spans="1:6">
      <c r="A395" s="16">
        <v>6700200000</v>
      </c>
      <c r="B395" s="16">
        <v>0</v>
      </c>
      <c r="C395" s="16" t="s">
        <v>3404</v>
      </c>
      <c r="D395" s="16" t="s">
        <v>3409</v>
      </c>
      <c r="F395" s="16"/>
    </row>
    <row r="396" spans="1:6">
      <c r="A396" s="16">
        <v>6700100000</v>
      </c>
      <c r="B396" s="16">
        <v>0</v>
      </c>
      <c r="C396" s="16" t="s">
        <v>3404</v>
      </c>
      <c r="D396" s="16" t="s">
        <v>3410</v>
      </c>
      <c r="F396" s="16"/>
    </row>
    <row r="397" spans="1:6">
      <c r="A397" s="16">
        <v>2750010000</v>
      </c>
      <c r="B397" s="16">
        <v>0</v>
      </c>
      <c r="C397" s="16" t="s">
        <v>3419</v>
      </c>
      <c r="D397" s="16" t="s">
        <v>3403</v>
      </c>
      <c r="F397" s="16"/>
    </row>
    <row r="398" spans="1:6">
      <c r="A398" s="16">
        <v>6610100100</v>
      </c>
      <c r="B398" s="16">
        <v>0</v>
      </c>
      <c r="C398" s="16" t="s">
        <v>3413</v>
      </c>
      <c r="D398" s="16" t="s">
        <v>3414</v>
      </c>
      <c r="F398" s="16"/>
    </row>
    <row r="399" spans="1:6">
      <c r="A399" s="16">
        <v>6700200000</v>
      </c>
      <c r="B399" s="16">
        <v>0</v>
      </c>
      <c r="C399" s="16" t="s">
        <v>3404</v>
      </c>
      <c r="D399" s="16" t="s">
        <v>3409</v>
      </c>
      <c r="F399" s="16"/>
    </row>
    <row r="400" spans="1:6">
      <c r="A400" s="16">
        <v>2201200030</v>
      </c>
      <c r="B400" s="16">
        <v>0</v>
      </c>
      <c r="C400" s="16" t="s">
        <v>3415</v>
      </c>
      <c r="D400" s="16" t="s">
        <v>3403</v>
      </c>
      <c r="F400" s="16"/>
    </row>
    <row r="401" spans="1:6">
      <c r="A401" s="16">
        <v>3102000000</v>
      </c>
      <c r="B401" s="16">
        <v>1497855</v>
      </c>
      <c r="C401" s="16" t="s">
        <v>3424</v>
      </c>
      <c r="D401" s="16" t="s">
        <v>3403</v>
      </c>
      <c r="F401" s="16"/>
    </row>
    <row r="402" spans="1:6">
      <c r="A402" s="16">
        <v>6102000000</v>
      </c>
      <c r="B402" s="16">
        <v>-1497855</v>
      </c>
      <c r="C402" s="16" t="s">
        <v>3425</v>
      </c>
      <c r="D402" s="16" t="s">
        <v>3426</v>
      </c>
      <c r="F402" s="16"/>
    </row>
    <row r="403" spans="1:6">
      <c r="A403" s="16">
        <v>6610000000</v>
      </c>
      <c r="B403" s="16">
        <v>0</v>
      </c>
      <c r="C403" s="16" t="s">
        <v>3413</v>
      </c>
      <c r="D403" s="16" t="s">
        <v>3418</v>
      </c>
      <c r="F403" s="16"/>
    </row>
    <row r="404" spans="1:6">
      <c r="A404" s="16">
        <v>4203000000</v>
      </c>
      <c r="B404" s="16">
        <v>0</v>
      </c>
      <c r="C404" s="16" t="s">
        <v>3408</v>
      </c>
      <c r="D404" s="16" t="s">
        <v>3403</v>
      </c>
      <c r="F404" s="16"/>
    </row>
    <row r="405" spans="1:6">
      <c r="A405" s="16">
        <v>5010100010</v>
      </c>
      <c r="B405" s="16">
        <v>0</v>
      </c>
      <c r="C405" s="16" t="s">
        <v>3406</v>
      </c>
      <c r="D405" s="16" t="s">
        <v>3407</v>
      </c>
      <c r="F405" s="16"/>
    </row>
    <row r="406" spans="1:6">
      <c r="A406" s="16">
        <v>3710000000</v>
      </c>
      <c r="B406" s="16">
        <v>0</v>
      </c>
      <c r="C406" s="16" t="s">
        <v>3402</v>
      </c>
      <c r="D406" s="16" t="s">
        <v>3403</v>
      </c>
      <c r="F406" s="16"/>
    </row>
    <row r="407" spans="1:6">
      <c r="A407" s="16">
        <v>2201000000</v>
      </c>
      <c r="B407" s="16">
        <v>0</v>
      </c>
      <c r="C407" s="16" t="s">
        <v>3415</v>
      </c>
      <c r="D407" s="16" t="s">
        <v>3403</v>
      </c>
      <c r="F407" s="16"/>
    </row>
    <row r="408" spans="1:6">
      <c r="A408" s="16">
        <v>6700200000</v>
      </c>
      <c r="B408" s="16">
        <v>0</v>
      </c>
      <c r="C408" s="16" t="s">
        <v>3404</v>
      </c>
      <c r="D408" s="16" t="s">
        <v>3409</v>
      </c>
      <c r="F408" s="16"/>
    </row>
    <row r="409" spans="1:6">
      <c r="A409" s="16">
        <v>6700200000</v>
      </c>
      <c r="B409" s="16">
        <v>0</v>
      </c>
      <c r="C409" s="16" t="s">
        <v>3404</v>
      </c>
      <c r="D409" s="16" t="s">
        <v>3409</v>
      </c>
      <c r="F409" s="16"/>
    </row>
    <row r="410" spans="1:6">
      <c r="A410" s="16">
        <v>6700100000</v>
      </c>
      <c r="B410" s="16">
        <v>0</v>
      </c>
      <c r="C410" s="16" t="s">
        <v>3404</v>
      </c>
      <c r="D410" s="16" t="s">
        <v>3410</v>
      </c>
      <c r="F410" s="16"/>
    </row>
    <row r="411" spans="1:6">
      <c r="A411" s="16">
        <v>6700600000</v>
      </c>
      <c r="B411" s="16">
        <v>0</v>
      </c>
      <c r="C411" s="16" t="s">
        <v>3404</v>
      </c>
      <c r="D411" s="16" t="s">
        <v>3409</v>
      </c>
      <c r="F411" s="16"/>
    </row>
    <row r="412" spans="1:6">
      <c r="A412" s="16">
        <v>6700400000</v>
      </c>
      <c r="B412" s="16">
        <v>0</v>
      </c>
      <c r="C412" s="16" t="s">
        <v>3404</v>
      </c>
      <c r="D412" s="16" t="s">
        <v>3405</v>
      </c>
      <c r="F412" s="16"/>
    </row>
    <row r="413" spans="1:6">
      <c r="A413" s="16">
        <v>6610100000</v>
      </c>
      <c r="B413" s="16">
        <v>0</v>
      </c>
      <c r="C413" s="16" t="s">
        <v>3413</v>
      </c>
      <c r="D413" s="16" t="s">
        <v>3414</v>
      </c>
      <c r="F413" s="16"/>
    </row>
    <row r="414" spans="1:6">
      <c r="A414" s="16">
        <v>4203000000</v>
      </c>
      <c r="B414" s="16">
        <v>0</v>
      </c>
      <c r="C414" s="16" t="s">
        <v>3408</v>
      </c>
      <c r="D414" s="16" t="s">
        <v>3403</v>
      </c>
      <c r="F414" s="16"/>
    </row>
    <row r="415" spans="1:6">
      <c r="A415" s="16">
        <v>6700200000</v>
      </c>
      <c r="B415" s="16">
        <v>0</v>
      </c>
      <c r="C415" s="16" t="s">
        <v>3404</v>
      </c>
      <c r="D415" s="16" t="s">
        <v>3409</v>
      </c>
      <c r="F415" s="16"/>
    </row>
    <row r="416" spans="1:6">
      <c r="A416" s="16">
        <v>6700000000</v>
      </c>
      <c r="B416" s="16">
        <v>0</v>
      </c>
      <c r="C416" s="16" t="s">
        <v>3404</v>
      </c>
      <c r="D416" s="16" t="s">
        <v>3405</v>
      </c>
      <c r="F416" s="16"/>
    </row>
    <row r="417" spans="1:6">
      <c r="A417" s="16">
        <v>2201000010</v>
      </c>
      <c r="B417" s="16">
        <v>0</v>
      </c>
      <c r="C417" s="16" t="s">
        <v>3415</v>
      </c>
      <c r="D417" s="16" t="s">
        <v>3403</v>
      </c>
      <c r="F417" s="16"/>
    </row>
    <row r="418" spans="1:6">
      <c r="A418" s="16">
        <v>4610000000</v>
      </c>
      <c r="B418" s="16">
        <v>0</v>
      </c>
      <c r="C418" s="16" t="s">
        <v>3428</v>
      </c>
      <c r="D418" s="16" t="s">
        <v>3403</v>
      </c>
      <c r="F418" s="16"/>
    </row>
    <row r="419" spans="1:6">
      <c r="A419" s="16">
        <v>6700600000</v>
      </c>
      <c r="B419" s="16">
        <v>0</v>
      </c>
      <c r="C419" s="16" t="s">
        <v>3404</v>
      </c>
      <c r="D419" s="16" t="s">
        <v>3409</v>
      </c>
      <c r="F419" s="16"/>
    </row>
    <row r="420" spans="1:6">
      <c r="A420" s="16">
        <v>6700400000</v>
      </c>
      <c r="B420" s="16">
        <v>0</v>
      </c>
      <c r="C420" s="16" t="s">
        <v>3404</v>
      </c>
      <c r="D420" s="16" t="s">
        <v>3405</v>
      </c>
      <c r="F420" s="16"/>
    </row>
    <row r="421" spans="1:6">
      <c r="A421" s="16">
        <v>2201000000</v>
      </c>
      <c r="B421" s="16">
        <v>0</v>
      </c>
      <c r="C421" s="16" t="s">
        <v>3415</v>
      </c>
      <c r="D421" s="16" t="s">
        <v>3403</v>
      </c>
      <c r="F421" s="16"/>
    </row>
    <row r="422" spans="1:6">
      <c r="A422" s="16">
        <v>6700200000</v>
      </c>
      <c r="B422" s="16">
        <v>0</v>
      </c>
      <c r="C422" s="16" t="s">
        <v>3404</v>
      </c>
      <c r="D422" s="16" t="s">
        <v>3409</v>
      </c>
      <c r="F422" s="16"/>
    </row>
    <row r="423" spans="1:6">
      <c r="A423" s="16">
        <v>6104001000</v>
      </c>
      <c r="B423" s="16">
        <v>0</v>
      </c>
      <c r="C423" s="16" t="s">
        <v>3427</v>
      </c>
      <c r="D423" s="16" t="s">
        <v>3417</v>
      </c>
      <c r="F423" s="16"/>
    </row>
    <row r="424" spans="1:6">
      <c r="A424" s="16">
        <v>3103001000</v>
      </c>
      <c r="B424" s="16">
        <v>0</v>
      </c>
      <c r="C424" s="16" t="s">
        <v>3402</v>
      </c>
      <c r="D424" s="16" t="s">
        <v>3403</v>
      </c>
      <c r="F424" s="16"/>
    </row>
    <row r="425" spans="1:6">
      <c r="A425" s="16">
        <v>6100000000</v>
      </c>
      <c r="B425" s="16">
        <v>9154972</v>
      </c>
      <c r="C425" s="16" t="s">
        <v>3416</v>
      </c>
      <c r="D425" s="16" t="s">
        <v>3417</v>
      </c>
      <c r="F425" s="16"/>
    </row>
    <row r="426" spans="1:6">
      <c r="A426" s="16">
        <v>4010100000</v>
      </c>
      <c r="B426" s="16">
        <v>-9154972</v>
      </c>
      <c r="C426" s="16" t="s">
        <v>3431</v>
      </c>
      <c r="D426" s="16" t="s">
        <v>3403</v>
      </c>
      <c r="F426" s="16"/>
    </row>
    <row r="427" spans="1:6">
      <c r="A427" s="16">
        <v>6150000000</v>
      </c>
      <c r="B427" s="16">
        <v>0</v>
      </c>
      <c r="C427" s="16" t="s">
        <v>3416</v>
      </c>
      <c r="D427" s="16" t="s">
        <v>3417</v>
      </c>
      <c r="F427" s="16"/>
    </row>
    <row r="428" spans="1:6">
      <c r="A428" s="16">
        <v>3510000000</v>
      </c>
      <c r="B428" s="16">
        <v>0</v>
      </c>
      <c r="C428" s="16" t="s">
        <v>3402</v>
      </c>
      <c r="D428" s="16" t="s">
        <v>3403</v>
      </c>
      <c r="F428" s="16"/>
    </row>
    <row r="429" spans="1:6">
      <c r="A429" s="16">
        <v>2500000000</v>
      </c>
      <c r="B429" s="16">
        <v>0</v>
      </c>
      <c r="C429" s="16" t="s">
        <v>3412</v>
      </c>
      <c r="D429" s="16" t="s">
        <v>3403</v>
      </c>
      <c r="F429" s="16"/>
    </row>
    <row r="430" spans="1:6">
      <c r="A430" s="16">
        <v>5010100000</v>
      </c>
      <c r="B430" s="16">
        <v>0</v>
      </c>
      <c r="C430" s="16" t="s">
        <v>3406</v>
      </c>
      <c r="D430" s="16" t="s">
        <v>3407</v>
      </c>
      <c r="F430" s="16"/>
    </row>
    <row r="431" spans="1:6">
      <c r="A431" s="16">
        <v>5052010000</v>
      </c>
      <c r="B431" s="16">
        <v>0</v>
      </c>
      <c r="C431" s="16" t="s">
        <v>3406</v>
      </c>
      <c r="D431" s="16" t="s">
        <v>3422</v>
      </c>
      <c r="F431" s="16"/>
    </row>
    <row r="432" spans="1:6">
      <c r="A432" s="16">
        <v>6700700000</v>
      </c>
      <c r="B432" s="16">
        <v>0</v>
      </c>
      <c r="C432" s="16" t="s">
        <v>3404</v>
      </c>
      <c r="D432" s="16" t="s">
        <v>3409</v>
      </c>
      <c r="F432" s="16"/>
    </row>
    <row r="433" spans="1:6">
      <c r="A433" s="16">
        <v>6100000020</v>
      </c>
      <c r="B433" s="16">
        <v>0</v>
      </c>
      <c r="C433" s="16" t="s">
        <v>3416</v>
      </c>
      <c r="D433" s="16" t="s">
        <v>3417</v>
      </c>
      <c r="F433" s="16"/>
    </row>
    <row r="434" spans="1:6">
      <c r="A434" s="16">
        <v>3710000000</v>
      </c>
      <c r="B434" s="16">
        <v>0</v>
      </c>
      <c r="C434" s="16" t="s">
        <v>3402</v>
      </c>
      <c r="D434" s="16" t="s">
        <v>3403</v>
      </c>
      <c r="F434" s="16"/>
    </row>
    <row r="435" spans="1:6">
      <c r="A435" s="16">
        <v>6102000000</v>
      </c>
      <c r="B435" s="16">
        <v>0</v>
      </c>
      <c r="C435" s="16" t="s">
        <v>3425</v>
      </c>
      <c r="D435" s="16" t="s">
        <v>3426</v>
      </c>
      <c r="F435" s="16"/>
    </row>
    <row r="436" spans="1:6">
      <c r="A436" s="16">
        <v>2500000000</v>
      </c>
      <c r="B436" s="16">
        <v>0</v>
      </c>
      <c r="C436" s="16" t="s">
        <v>3412</v>
      </c>
      <c r="D436" s="16" t="s">
        <v>3403</v>
      </c>
      <c r="F436" s="16"/>
    </row>
    <row r="437" spans="1:6">
      <c r="A437" s="16">
        <v>6700100000</v>
      </c>
      <c r="B437" s="16">
        <v>0</v>
      </c>
      <c r="C437" s="16" t="s">
        <v>3404</v>
      </c>
      <c r="D437" s="16" t="s">
        <v>3410</v>
      </c>
      <c r="F437" s="16"/>
    </row>
    <row r="438" spans="1:6">
      <c r="A438" s="16">
        <v>3030000000</v>
      </c>
      <c r="B438" s="16">
        <v>0</v>
      </c>
      <c r="C438" s="16" t="s">
        <v>3402</v>
      </c>
      <c r="D438" s="16" t="s">
        <v>3403</v>
      </c>
      <c r="F438" s="16"/>
    </row>
    <row r="439" spans="1:6">
      <c r="A439" s="16">
        <v>6032000000</v>
      </c>
      <c r="B439" s="16">
        <v>0</v>
      </c>
      <c r="C439" s="16" t="s">
        <v>3429</v>
      </c>
      <c r="D439" s="16" t="s">
        <v>3430</v>
      </c>
      <c r="F439" s="16"/>
    </row>
    <row r="440" spans="1:6">
      <c r="A440" s="16">
        <v>5010100000</v>
      </c>
      <c r="B440" s="16">
        <v>0</v>
      </c>
      <c r="C440" s="16" t="s">
        <v>3406</v>
      </c>
      <c r="D440" s="16" t="s">
        <v>3407</v>
      </c>
      <c r="F440" s="16"/>
    </row>
    <row r="441" spans="1:6">
      <c r="A441" s="16">
        <v>4203000000</v>
      </c>
      <c r="B441" s="16">
        <v>0</v>
      </c>
      <c r="C441" s="16" t="s">
        <v>3408</v>
      </c>
      <c r="D441" s="16" t="s">
        <v>3403</v>
      </c>
      <c r="F441" s="16"/>
    </row>
    <row r="442" spans="1:6">
      <c r="A442" s="16">
        <v>3710000000</v>
      </c>
      <c r="B442" s="16">
        <v>0</v>
      </c>
      <c r="C442" s="16" t="s">
        <v>3402</v>
      </c>
      <c r="D442" s="16" t="s">
        <v>3403</v>
      </c>
      <c r="F442" s="16"/>
    </row>
    <row r="443" spans="1:6">
      <c r="A443" s="16">
        <v>6610100000</v>
      </c>
      <c r="B443" s="16">
        <v>0</v>
      </c>
      <c r="C443" s="16" t="s">
        <v>3413</v>
      </c>
      <c r="D443" s="16" t="s">
        <v>3414</v>
      </c>
      <c r="F443" s="16"/>
    </row>
    <row r="444" spans="1:6">
      <c r="A444" s="16">
        <v>4203000000</v>
      </c>
      <c r="B444" s="16">
        <v>0</v>
      </c>
      <c r="C444" s="16" t="s">
        <v>3408</v>
      </c>
      <c r="D444" s="16" t="s">
        <v>3403</v>
      </c>
      <c r="F444" s="16"/>
    </row>
    <row r="445" spans="1:6">
      <c r="A445" s="16">
        <v>6102000000</v>
      </c>
      <c r="B445" s="16">
        <v>0</v>
      </c>
      <c r="C445" s="16" t="s">
        <v>3425</v>
      </c>
      <c r="D445" s="16" t="s">
        <v>3426</v>
      </c>
      <c r="F445" s="16"/>
    </row>
    <row r="446" spans="1:6">
      <c r="A446" s="16">
        <v>6700700000</v>
      </c>
      <c r="B446" s="16">
        <v>0</v>
      </c>
      <c r="C446" s="16" t="s">
        <v>3404</v>
      </c>
      <c r="D446" s="16" t="s">
        <v>3409</v>
      </c>
      <c r="F446" s="16"/>
    </row>
    <row r="447" spans="1:6">
      <c r="A447" s="16">
        <v>4611000000</v>
      </c>
      <c r="B447" s="16">
        <v>0</v>
      </c>
      <c r="C447" s="16" t="s">
        <v>3428</v>
      </c>
      <c r="D447" s="16" t="s">
        <v>3403</v>
      </c>
      <c r="F447" s="16"/>
    </row>
    <row r="448" spans="1:6">
      <c r="A448" s="16">
        <v>3103000000</v>
      </c>
      <c r="B448" s="16">
        <v>0</v>
      </c>
      <c r="C448" s="16" t="s">
        <v>3402</v>
      </c>
      <c r="D448" s="16" t="s">
        <v>3403</v>
      </c>
      <c r="F448" s="16"/>
    </row>
    <row r="449" spans="1:6">
      <c r="A449" s="16">
        <v>6700700000</v>
      </c>
      <c r="B449" s="16">
        <v>0</v>
      </c>
      <c r="C449" s="16" t="s">
        <v>3404</v>
      </c>
      <c r="D449" s="16" t="s">
        <v>3409</v>
      </c>
      <c r="F449" s="16"/>
    </row>
    <row r="450" spans="1:6">
      <c r="A450" s="16">
        <v>6104001000</v>
      </c>
      <c r="B450" s="16">
        <v>0</v>
      </c>
      <c r="C450" s="16" t="s">
        <v>3416</v>
      </c>
      <c r="D450" s="16" t="s">
        <v>3417</v>
      </c>
      <c r="F450" s="16"/>
    </row>
    <row r="451" spans="1:6">
      <c r="A451" s="16">
        <v>3103000000</v>
      </c>
      <c r="B451" s="16">
        <v>0</v>
      </c>
      <c r="C451" s="16" t="s">
        <v>3402</v>
      </c>
      <c r="D451" s="16" t="s">
        <v>3403</v>
      </c>
      <c r="F451" s="16"/>
    </row>
    <row r="452" spans="1:6">
      <c r="A452" s="16">
        <v>4203000000</v>
      </c>
      <c r="B452" s="16">
        <v>-8146</v>
      </c>
      <c r="C452" s="16" t="s">
        <v>3408</v>
      </c>
      <c r="D452" s="16" t="s">
        <v>3403</v>
      </c>
      <c r="F452" s="16"/>
    </row>
    <row r="453" spans="1:6">
      <c r="A453" s="16">
        <v>6700200000</v>
      </c>
      <c r="B453" s="16">
        <v>52708346</v>
      </c>
      <c r="C453" s="16" t="s">
        <v>3404</v>
      </c>
      <c r="D453" s="16" t="s">
        <v>3409</v>
      </c>
      <c r="F453" s="16"/>
    </row>
    <row r="454" spans="1:6">
      <c r="A454" s="16">
        <v>6700500000</v>
      </c>
      <c r="B454" s="16">
        <v>0</v>
      </c>
      <c r="C454" s="16" t="s">
        <v>3404</v>
      </c>
      <c r="D454" s="16" t="s">
        <v>3405</v>
      </c>
      <c r="F454" s="16"/>
    </row>
    <row r="455" spans="1:6">
      <c r="A455" s="16">
        <v>3810000000</v>
      </c>
      <c r="B455" s="16">
        <v>0</v>
      </c>
      <c r="C455" s="16" t="s">
        <v>3402</v>
      </c>
      <c r="D455" s="16" t="s">
        <v>3403</v>
      </c>
      <c r="F455" s="16"/>
    </row>
    <row r="456" spans="1:6">
      <c r="A456" s="16">
        <v>5010100000</v>
      </c>
      <c r="B456" s="16">
        <v>0</v>
      </c>
      <c r="C456" s="16" t="s">
        <v>3406</v>
      </c>
      <c r="D456" s="16" t="s">
        <v>3407</v>
      </c>
      <c r="F456" s="16"/>
    </row>
    <row r="457" spans="1:6">
      <c r="A457" s="16">
        <v>3102000000</v>
      </c>
      <c r="B457" s="16">
        <v>0</v>
      </c>
      <c r="C457" s="16" t="s">
        <v>3424</v>
      </c>
      <c r="D457" s="16" t="s">
        <v>3403</v>
      </c>
      <c r="F457" s="16"/>
    </row>
    <row r="458" spans="1:6">
      <c r="A458" s="16">
        <v>6610100000</v>
      </c>
      <c r="B458" s="16">
        <v>0</v>
      </c>
      <c r="C458" s="16" t="s">
        <v>3413</v>
      </c>
      <c r="D458" s="16" t="s">
        <v>3414</v>
      </c>
      <c r="F458" s="16"/>
    </row>
    <row r="459" spans="1:6">
      <c r="A459" s="16">
        <v>6610100000</v>
      </c>
      <c r="B459" s="16">
        <v>0</v>
      </c>
      <c r="C459" s="16" t="s">
        <v>3413</v>
      </c>
      <c r="D459" s="16" t="s">
        <v>3414</v>
      </c>
      <c r="F459" s="16"/>
    </row>
    <row r="460" spans="1:6">
      <c r="A460" s="16">
        <v>4203000000</v>
      </c>
      <c r="B460" s="16">
        <v>0</v>
      </c>
      <c r="C460" s="16" t="s">
        <v>3408</v>
      </c>
      <c r="D460" s="16" t="s">
        <v>3403</v>
      </c>
      <c r="F460" s="16"/>
    </row>
    <row r="461" spans="1:6">
      <c r="A461" s="16">
        <v>6100000000</v>
      </c>
      <c r="B461" s="16">
        <v>0</v>
      </c>
      <c r="C461" s="16" t="s">
        <v>3416</v>
      </c>
      <c r="D461" s="16" t="s">
        <v>3417</v>
      </c>
      <c r="F461" s="16"/>
    </row>
    <row r="462" spans="1:6">
      <c r="A462" s="16">
        <v>6700500000</v>
      </c>
      <c r="B462" s="16">
        <v>0</v>
      </c>
      <c r="C462" s="16" t="s">
        <v>3404</v>
      </c>
      <c r="D462" s="16" t="s">
        <v>3405</v>
      </c>
      <c r="F462" s="16"/>
    </row>
    <row r="463" spans="1:6">
      <c r="A463" s="16">
        <v>3800000010</v>
      </c>
      <c r="B463" s="16">
        <v>0</v>
      </c>
      <c r="C463" s="16" t="s">
        <v>3402</v>
      </c>
      <c r="D463" s="16" t="s">
        <v>3403</v>
      </c>
      <c r="F463" s="16"/>
    </row>
    <row r="464" spans="1:6">
      <c r="A464" s="16">
        <v>6700200000</v>
      </c>
      <c r="B464" s="16">
        <v>0</v>
      </c>
      <c r="C464" s="16" t="s">
        <v>3404</v>
      </c>
      <c r="D464" s="16" t="s">
        <v>3409</v>
      </c>
      <c r="F464" s="16"/>
    </row>
    <row r="465" spans="1:6">
      <c r="A465" s="16">
        <v>6700500000</v>
      </c>
      <c r="B465" s="16">
        <v>0</v>
      </c>
      <c r="C465" s="16" t="s">
        <v>3404</v>
      </c>
      <c r="D465" s="16" t="s">
        <v>3405</v>
      </c>
      <c r="F465" s="16"/>
    </row>
    <row r="466" spans="1:6">
      <c r="A466" s="16">
        <v>3103001000</v>
      </c>
      <c r="B466" s="16">
        <v>0</v>
      </c>
      <c r="C466" s="16" t="s">
        <v>3402</v>
      </c>
      <c r="D466" s="16" t="s">
        <v>3403</v>
      </c>
      <c r="F466" s="16"/>
    </row>
    <row r="467" spans="1:6">
      <c r="A467" s="16">
        <v>6100000000</v>
      </c>
      <c r="B467" s="16">
        <v>0</v>
      </c>
      <c r="C467" s="16" t="s">
        <v>3416</v>
      </c>
      <c r="D467" s="16" t="s">
        <v>3417</v>
      </c>
      <c r="F467" s="16"/>
    </row>
    <row r="468" spans="1:6">
      <c r="A468" s="16">
        <v>6700000000</v>
      </c>
      <c r="B468" s="16">
        <v>-52708346</v>
      </c>
      <c r="C468" s="16" t="s">
        <v>3404</v>
      </c>
      <c r="D468" s="16" t="s">
        <v>3405</v>
      </c>
      <c r="F468" s="16"/>
    </row>
    <row r="469" spans="1:6">
      <c r="A469" s="16">
        <v>2500000000</v>
      </c>
      <c r="B469" s="16">
        <v>340</v>
      </c>
      <c r="C469" s="16" t="s">
        <v>3412</v>
      </c>
      <c r="D469" s="16" t="s">
        <v>3403</v>
      </c>
      <c r="F469" s="16"/>
    </row>
    <row r="470" spans="1:6">
      <c r="A470" s="16">
        <v>6102000000</v>
      </c>
      <c r="B470" s="16">
        <v>0</v>
      </c>
      <c r="C470" s="16" t="s">
        <v>3425</v>
      </c>
      <c r="D470" s="16" t="s">
        <v>3426</v>
      </c>
      <c r="F470" s="16"/>
    </row>
    <row r="471" spans="1:6">
      <c r="A471" s="16">
        <v>4203000000</v>
      </c>
      <c r="B471" s="16">
        <v>0</v>
      </c>
      <c r="C471" s="16" t="s">
        <v>3408</v>
      </c>
      <c r="D471" s="16" t="s">
        <v>3403</v>
      </c>
      <c r="F471" s="16"/>
    </row>
    <row r="472" spans="1:6">
      <c r="A472" s="16">
        <v>6100000000</v>
      </c>
      <c r="B472" s="16">
        <v>0</v>
      </c>
      <c r="C472" s="16" t="s">
        <v>3416</v>
      </c>
      <c r="D472" s="16" t="s">
        <v>3417</v>
      </c>
      <c r="F472" s="16"/>
    </row>
    <row r="473" spans="1:6">
      <c r="A473" s="16">
        <v>4203000000</v>
      </c>
      <c r="B473" s="16">
        <v>0</v>
      </c>
      <c r="C473" s="16" t="s">
        <v>3408</v>
      </c>
      <c r="D473" s="16" t="s">
        <v>3403</v>
      </c>
      <c r="F473" s="16"/>
    </row>
    <row r="474" spans="1:6">
      <c r="A474" s="16">
        <v>2201000000</v>
      </c>
      <c r="B474" s="16">
        <v>0</v>
      </c>
      <c r="C474" s="16" t="s">
        <v>3415</v>
      </c>
      <c r="D474" s="16" t="s">
        <v>3403</v>
      </c>
      <c r="F474" s="16"/>
    </row>
    <row r="475" spans="1:6">
      <c r="A475" s="16">
        <v>6610100000</v>
      </c>
      <c r="B475" s="16">
        <v>0</v>
      </c>
      <c r="C475" s="16" t="s">
        <v>3413</v>
      </c>
      <c r="D475" s="16" t="s">
        <v>3414</v>
      </c>
      <c r="F475" s="16"/>
    </row>
    <row r="476" spans="1:6">
      <c r="A476" s="16">
        <v>2201300000</v>
      </c>
      <c r="B476" s="16">
        <v>0</v>
      </c>
      <c r="C476" s="16" t="s">
        <v>3415</v>
      </c>
      <c r="D476" s="16" t="s">
        <v>3403</v>
      </c>
      <c r="F476" s="16"/>
    </row>
    <row r="477" spans="1:6">
      <c r="A477" s="16">
        <v>2203000000</v>
      </c>
      <c r="B477" s="16">
        <v>192154</v>
      </c>
      <c r="C477" s="16" t="s">
        <v>3415</v>
      </c>
      <c r="D477" s="16" t="s">
        <v>3403</v>
      </c>
      <c r="F477" s="16"/>
    </row>
    <row r="478" spans="1:6">
      <c r="A478" s="16">
        <v>6700200000</v>
      </c>
      <c r="B478" s="16">
        <v>0</v>
      </c>
      <c r="C478" s="16" t="s">
        <v>3404</v>
      </c>
      <c r="D478" s="16" t="s">
        <v>3409</v>
      </c>
      <c r="F478" s="16"/>
    </row>
    <row r="479" spans="1:6">
      <c r="A479" s="16">
        <v>3100000000</v>
      </c>
      <c r="B479" s="16">
        <v>0</v>
      </c>
      <c r="C479" s="16" t="s">
        <v>3402</v>
      </c>
      <c r="D479" s="16" t="s">
        <v>3403</v>
      </c>
      <c r="F479" s="16"/>
    </row>
    <row r="480" spans="1:6">
      <c r="A480" s="16">
        <v>6610000000</v>
      </c>
      <c r="B480" s="16">
        <v>0</v>
      </c>
      <c r="C480" s="16" t="s">
        <v>3413</v>
      </c>
      <c r="D480" s="16" t="s">
        <v>3418</v>
      </c>
      <c r="F480" s="16"/>
    </row>
    <row r="481" spans="1:6">
      <c r="A481" s="16">
        <v>6700000000</v>
      </c>
      <c r="B481" s="16">
        <v>0</v>
      </c>
      <c r="C481" s="16" t="s">
        <v>3404</v>
      </c>
      <c r="D481" s="16" t="s">
        <v>3405</v>
      </c>
      <c r="F481" s="16"/>
    </row>
    <row r="482" spans="1:6">
      <c r="A482" s="16">
        <v>3100000000</v>
      </c>
      <c r="B482" s="16">
        <v>0</v>
      </c>
      <c r="C482" s="16" t="s">
        <v>3402</v>
      </c>
      <c r="D482" s="16" t="s">
        <v>3403</v>
      </c>
      <c r="F482" s="16"/>
    </row>
    <row r="483" spans="1:6">
      <c r="A483" s="16">
        <v>6700600000</v>
      </c>
      <c r="B483" s="16">
        <v>0</v>
      </c>
      <c r="C483" s="16" t="s">
        <v>3404</v>
      </c>
      <c r="D483" s="16" t="s">
        <v>3409</v>
      </c>
      <c r="F483" s="16"/>
    </row>
    <row r="484" spans="1:6">
      <c r="A484" s="16">
        <v>5010000000</v>
      </c>
      <c r="B484" s="16">
        <v>-340</v>
      </c>
      <c r="C484" s="16" t="s">
        <v>3406</v>
      </c>
      <c r="D484" s="16" t="s">
        <v>3411</v>
      </c>
      <c r="F484" s="16"/>
    </row>
    <row r="485" spans="1:6">
      <c r="A485" s="16">
        <v>6700200000</v>
      </c>
      <c r="B485" s="16">
        <v>0</v>
      </c>
      <c r="C485" s="16" t="s">
        <v>3404</v>
      </c>
      <c r="D485" s="16" t="s">
        <v>3409</v>
      </c>
      <c r="F485" s="16"/>
    </row>
    <row r="486" spans="1:6">
      <c r="A486" s="16">
        <v>6700700000</v>
      </c>
      <c r="B486" s="16">
        <v>0</v>
      </c>
      <c r="C486" s="16" t="s">
        <v>3404</v>
      </c>
      <c r="D486" s="16" t="s">
        <v>3409</v>
      </c>
      <c r="F486" s="16"/>
    </row>
    <row r="487" spans="1:6">
      <c r="A487" s="16">
        <v>6610000000</v>
      </c>
      <c r="B487" s="16">
        <v>0</v>
      </c>
      <c r="C487" s="16" t="s">
        <v>3413</v>
      </c>
      <c r="D487" s="16" t="s">
        <v>3418</v>
      </c>
      <c r="F487" s="16"/>
    </row>
    <row r="488" spans="1:6">
      <c r="A488" s="16">
        <v>3100000000</v>
      </c>
      <c r="B488" s="16">
        <v>0</v>
      </c>
      <c r="C488" s="16" t="s">
        <v>3402</v>
      </c>
      <c r="D488" s="16" t="s">
        <v>3403</v>
      </c>
      <c r="F488" s="16"/>
    </row>
    <row r="489" spans="1:6">
      <c r="A489" s="16">
        <v>6700200000</v>
      </c>
      <c r="B489" s="16">
        <v>0</v>
      </c>
      <c r="C489" s="16" t="s">
        <v>3404</v>
      </c>
      <c r="D489" s="16" t="s">
        <v>3409</v>
      </c>
      <c r="F489" s="16"/>
    </row>
    <row r="490" spans="1:6">
      <c r="A490" s="16">
        <v>6100000000</v>
      </c>
      <c r="B490" s="16">
        <v>2380319975</v>
      </c>
      <c r="C490" s="16" t="s">
        <v>3427</v>
      </c>
      <c r="D490" s="16" t="s">
        <v>3417</v>
      </c>
      <c r="F490" s="16"/>
    </row>
    <row r="491" spans="1:6">
      <c r="A491" s="16">
        <v>4203000000</v>
      </c>
      <c r="B491" s="16">
        <v>0</v>
      </c>
      <c r="C491" s="16" t="s">
        <v>3408</v>
      </c>
      <c r="D491" s="16" t="s">
        <v>3403</v>
      </c>
      <c r="F491" s="16"/>
    </row>
    <row r="492" spans="1:6">
      <c r="A492" s="16">
        <v>3032000000</v>
      </c>
      <c r="B492" s="16">
        <v>0</v>
      </c>
      <c r="C492" s="16" t="s">
        <v>3424</v>
      </c>
      <c r="D492" s="16" t="s">
        <v>3403</v>
      </c>
      <c r="F492" s="16"/>
    </row>
    <row r="493" spans="1:6">
      <c r="A493" s="16">
        <v>6700600000</v>
      </c>
      <c r="B493" s="16">
        <v>0</v>
      </c>
      <c r="C493" s="16" t="s">
        <v>3404</v>
      </c>
      <c r="D493" s="16" t="s">
        <v>3409</v>
      </c>
      <c r="F493" s="16"/>
    </row>
    <row r="494" spans="1:6">
      <c r="A494" s="16">
        <v>6610000000</v>
      </c>
      <c r="B494" s="16">
        <v>0</v>
      </c>
      <c r="C494" s="16" t="s">
        <v>3413</v>
      </c>
      <c r="D494" s="16" t="s">
        <v>3418</v>
      </c>
      <c r="F494" s="16"/>
    </row>
    <row r="495" spans="1:6">
      <c r="A495" s="16">
        <v>6060110000</v>
      </c>
      <c r="B495" s="16">
        <v>-192154</v>
      </c>
      <c r="C495" s="16" t="s">
        <v>3420</v>
      </c>
      <c r="D495" s="16" t="s">
        <v>3421</v>
      </c>
      <c r="F495" s="16"/>
    </row>
    <row r="496" spans="1:6">
      <c r="A496" s="16">
        <v>2750010000</v>
      </c>
      <c r="B496" s="16">
        <v>0</v>
      </c>
      <c r="C496" s="16" t="s">
        <v>3419</v>
      </c>
      <c r="D496" s="16" t="s">
        <v>3403</v>
      </c>
      <c r="F496" s="16"/>
    </row>
    <row r="497" spans="1:6">
      <c r="A497" s="16">
        <v>6610100000</v>
      </c>
      <c r="B497" s="16">
        <v>0</v>
      </c>
      <c r="C497" s="16" t="s">
        <v>3413</v>
      </c>
      <c r="D497" s="16" t="s">
        <v>3414</v>
      </c>
      <c r="F497" s="16"/>
    </row>
    <row r="498" spans="1:6">
      <c r="A498" s="16">
        <v>6700000000</v>
      </c>
      <c r="B498" s="16">
        <v>0</v>
      </c>
      <c r="C498" s="16" t="s">
        <v>3404</v>
      </c>
      <c r="D498" s="16" t="s">
        <v>3405</v>
      </c>
      <c r="F498" s="16"/>
    </row>
    <row r="499" spans="1:6">
      <c r="A499" s="16">
        <v>2201000010</v>
      </c>
      <c r="B499" s="16">
        <v>0</v>
      </c>
      <c r="C499" s="16" t="s">
        <v>3415</v>
      </c>
      <c r="D499" s="16" t="s">
        <v>3403</v>
      </c>
      <c r="F499" s="16"/>
    </row>
    <row r="500" spans="1:6">
      <c r="A500" s="16">
        <v>4203000000</v>
      </c>
      <c r="B500" s="16">
        <v>0</v>
      </c>
      <c r="C500" s="16" t="s">
        <v>3408</v>
      </c>
      <c r="D500" s="16" t="s">
        <v>3403</v>
      </c>
      <c r="F500" s="16"/>
    </row>
    <row r="501" spans="1:6">
      <c r="A501" s="16">
        <v>6104000000</v>
      </c>
      <c r="B501" s="16">
        <v>0</v>
      </c>
      <c r="C501" s="16" t="s">
        <v>3416</v>
      </c>
      <c r="D501" s="16" t="s">
        <v>3417</v>
      </c>
      <c r="F501" s="16"/>
    </row>
    <row r="502" spans="1:6">
      <c r="A502" s="16">
        <v>6700400000</v>
      </c>
      <c r="B502" s="16">
        <v>0</v>
      </c>
      <c r="C502" s="16" t="s">
        <v>3404</v>
      </c>
      <c r="D502" s="16" t="s">
        <v>3405</v>
      </c>
      <c r="F502" s="16"/>
    </row>
    <row r="503" spans="1:6">
      <c r="A503" s="16">
        <v>6610100000</v>
      </c>
      <c r="B503" s="16">
        <v>0</v>
      </c>
      <c r="C503" s="16" t="s">
        <v>3413</v>
      </c>
      <c r="D503" s="16" t="s">
        <v>3414</v>
      </c>
      <c r="F503" s="16"/>
    </row>
    <row r="504" spans="1:6">
      <c r="A504" s="16">
        <v>6700100000</v>
      </c>
      <c r="B504" s="16">
        <v>0</v>
      </c>
      <c r="C504" s="16" t="s">
        <v>3404</v>
      </c>
      <c r="D504" s="16" t="s">
        <v>3410</v>
      </c>
      <c r="F504" s="16"/>
    </row>
    <row r="505" spans="1:6">
      <c r="A505" s="16">
        <v>6610000000</v>
      </c>
      <c r="B505" s="16">
        <v>0</v>
      </c>
      <c r="C505" s="16" t="s">
        <v>3413</v>
      </c>
      <c r="D505" s="16" t="s">
        <v>3418</v>
      </c>
      <c r="F505" s="16"/>
    </row>
    <row r="506" spans="1:6">
      <c r="A506" s="16">
        <v>6700200000</v>
      </c>
      <c r="B506" s="16">
        <v>0</v>
      </c>
      <c r="C506" s="16" t="s">
        <v>3404</v>
      </c>
      <c r="D506" s="16" t="s">
        <v>3409</v>
      </c>
      <c r="F506" s="16"/>
    </row>
    <row r="507" spans="1:6">
      <c r="A507" s="16">
        <v>6700200000</v>
      </c>
      <c r="B507" s="16">
        <v>0</v>
      </c>
      <c r="C507" s="16" t="s">
        <v>3404</v>
      </c>
      <c r="D507" s="16" t="s">
        <v>3409</v>
      </c>
      <c r="F507" s="16"/>
    </row>
    <row r="508" spans="1:6">
      <c r="A508" s="16">
        <v>6700500000</v>
      </c>
      <c r="B508" s="16">
        <v>0</v>
      </c>
      <c r="C508" s="16" t="s">
        <v>3404</v>
      </c>
      <c r="D508" s="16" t="s">
        <v>3405</v>
      </c>
      <c r="F508" s="16"/>
    </row>
    <row r="509" spans="1:6">
      <c r="A509" s="16">
        <v>6700600000</v>
      </c>
      <c r="B509" s="16">
        <v>0</v>
      </c>
      <c r="C509" s="16" t="s">
        <v>3404</v>
      </c>
      <c r="D509" s="16" t="s">
        <v>3409</v>
      </c>
      <c r="F509" s="16"/>
    </row>
    <row r="510" spans="1:6">
      <c r="A510" s="16">
        <v>4203000000</v>
      </c>
      <c r="B510" s="16">
        <v>0</v>
      </c>
      <c r="C510" s="16" t="s">
        <v>3408</v>
      </c>
      <c r="D510" s="16" t="s">
        <v>3403</v>
      </c>
      <c r="F510" s="16"/>
    </row>
    <row r="511" spans="1:6">
      <c r="A511" s="16">
        <v>2750010000</v>
      </c>
      <c r="B511" s="16">
        <v>0</v>
      </c>
      <c r="C511" s="16" t="s">
        <v>3419</v>
      </c>
      <c r="D511" s="16" t="s">
        <v>3403</v>
      </c>
      <c r="F511" s="16"/>
    </row>
    <row r="512" spans="1:6">
      <c r="A512" s="16">
        <v>3100000000</v>
      </c>
      <c r="B512" s="16">
        <v>-2380319975</v>
      </c>
      <c r="C512" s="16" t="s">
        <v>3402</v>
      </c>
      <c r="D512" s="16" t="s">
        <v>3403</v>
      </c>
      <c r="F512" s="16"/>
    </row>
    <row r="513" spans="1:6">
      <c r="A513" s="16">
        <v>6032000000</v>
      </c>
      <c r="B513" s="16">
        <v>0</v>
      </c>
      <c r="C513" s="16" t="s">
        <v>3429</v>
      </c>
      <c r="D513" s="16" t="s">
        <v>3430</v>
      </c>
      <c r="F513" s="16"/>
    </row>
    <row r="514" spans="1:6">
      <c r="A514" s="16">
        <v>4203000000</v>
      </c>
      <c r="B514" s="16">
        <v>0</v>
      </c>
      <c r="C514" s="16" t="s">
        <v>3408</v>
      </c>
      <c r="D514" s="16" t="s">
        <v>3403</v>
      </c>
      <c r="F514" s="16"/>
    </row>
    <row r="515" spans="1:6">
      <c r="A515" s="16">
        <v>6610000100</v>
      </c>
      <c r="B515" s="16">
        <v>0</v>
      </c>
      <c r="C515" s="16" t="s">
        <v>3413</v>
      </c>
      <c r="D515" s="16" t="s">
        <v>3418</v>
      </c>
      <c r="F515" s="16"/>
    </row>
    <row r="516" spans="1:6">
      <c r="A516" s="16">
        <v>4203000000</v>
      </c>
      <c r="B516" s="16">
        <v>0</v>
      </c>
      <c r="C516" s="16" t="s">
        <v>3408</v>
      </c>
      <c r="D516" s="16" t="s">
        <v>3403</v>
      </c>
      <c r="F516" s="16"/>
    </row>
    <row r="517" spans="1:6">
      <c r="A517" s="16">
        <v>4610000000</v>
      </c>
      <c r="B517" s="16">
        <v>0</v>
      </c>
      <c r="C517" s="16" t="s">
        <v>3428</v>
      </c>
      <c r="D517" s="16" t="s">
        <v>3403</v>
      </c>
      <c r="F517" s="16"/>
    </row>
    <row r="518" spans="1:6">
      <c r="A518" s="16">
        <v>3032000000</v>
      </c>
      <c r="B518" s="16">
        <v>0</v>
      </c>
      <c r="C518" s="16" t="s">
        <v>3424</v>
      </c>
      <c r="D518" s="16" t="s">
        <v>3403</v>
      </c>
      <c r="F518" s="16"/>
    </row>
    <row r="519" spans="1:6">
      <c r="A519" s="16">
        <v>3103000000</v>
      </c>
      <c r="B519" s="16">
        <v>0</v>
      </c>
      <c r="C519" s="16" t="s">
        <v>3402</v>
      </c>
      <c r="D519" s="16" t="s">
        <v>3403</v>
      </c>
      <c r="F519" s="16"/>
    </row>
    <row r="520" spans="1:6">
      <c r="A520" s="16">
        <v>4203000000</v>
      </c>
      <c r="B520" s="16">
        <v>0</v>
      </c>
      <c r="C520" s="16" t="s">
        <v>3408</v>
      </c>
      <c r="D520" s="16" t="s">
        <v>3403</v>
      </c>
      <c r="F520" s="16"/>
    </row>
    <row r="521" spans="1:6">
      <c r="A521" s="16">
        <v>4203000000</v>
      </c>
      <c r="B521" s="16">
        <v>0</v>
      </c>
      <c r="C521" s="16" t="s">
        <v>3408</v>
      </c>
      <c r="D521" s="16" t="s">
        <v>3403</v>
      </c>
      <c r="F521" s="16"/>
    </row>
    <row r="522" spans="1:6">
      <c r="A522" s="16">
        <v>6700000000</v>
      </c>
      <c r="B522" s="16">
        <v>0</v>
      </c>
      <c r="C522" s="16" t="s">
        <v>3404</v>
      </c>
      <c r="D522" s="16" t="s">
        <v>3405</v>
      </c>
      <c r="F522" s="16"/>
    </row>
    <row r="523" spans="1:6">
      <c r="A523" s="16">
        <v>6700200000</v>
      </c>
      <c r="B523" s="16">
        <v>0</v>
      </c>
      <c r="C523" s="16" t="s">
        <v>3404</v>
      </c>
      <c r="D523" s="16" t="s">
        <v>3409</v>
      </c>
      <c r="F523" s="16"/>
    </row>
    <row r="524" spans="1:6">
      <c r="A524" s="16">
        <v>6700000000</v>
      </c>
      <c r="B524" s="16">
        <v>0</v>
      </c>
      <c r="C524" s="16" t="s">
        <v>3404</v>
      </c>
      <c r="D524" s="16" t="s">
        <v>3405</v>
      </c>
      <c r="F524" s="16"/>
    </row>
    <row r="525" spans="1:6">
      <c r="A525" s="16">
        <v>2500000000</v>
      </c>
      <c r="B525" s="16">
        <v>0</v>
      </c>
      <c r="C525" s="16" t="s">
        <v>3412</v>
      </c>
      <c r="D525" s="16" t="s">
        <v>3403</v>
      </c>
      <c r="F525" s="16"/>
    </row>
    <row r="526" spans="1:6">
      <c r="A526" s="16">
        <v>6700600000</v>
      </c>
      <c r="B526" s="16">
        <v>0</v>
      </c>
      <c r="C526" s="16" t="s">
        <v>3404</v>
      </c>
      <c r="D526" s="16" t="s">
        <v>3409</v>
      </c>
      <c r="F526" s="16"/>
    </row>
    <row r="527" spans="1:6">
      <c r="A527" s="16">
        <v>6700400000</v>
      </c>
      <c r="B527" s="16">
        <v>0</v>
      </c>
      <c r="C527" s="16" t="s">
        <v>3404</v>
      </c>
      <c r="D527" s="16" t="s">
        <v>3405</v>
      </c>
      <c r="F527" s="16"/>
    </row>
    <row r="528" spans="1:6">
      <c r="A528" s="16">
        <v>6610100100</v>
      </c>
      <c r="B528" s="16">
        <v>0</v>
      </c>
      <c r="C528" s="16" t="s">
        <v>3413</v>
      </c>
      <c r="D528" s="16" t="s">
        <v>3414</v>
      </c>
      <c r="F528" s="16"/>
    </row>
    <row r="529" spans="1:6">
      <c r="A529" s="16">
        <v>6610000000</v>
      </c>
      <c r="B529" s="16">
        <v>0</v>
      </c>
      <c r="C529" s="16" t="s">
        <v>3413</v>
      </c>
      <c r="D529" s="16" t="s">
        <v>3418</v>
      </c>
      <c r="F529" s="16"/>
    </row>
    <row r="530" spans="1:6">
      <c r="A530" s="16">
        <v>6700700000</v>
      </c>
      <c r="B530" s="16">
        <v>0</v>
      </c>
      <c r="C530" s="16" t="s">
        <v>3404</v>
      </c>
      <c r="D530" s="16" t="s">
        <v>3409</v>
      </c>
      <c r="F530" s="16"/>
    </row>
    <row r="531" spans="1:6">
      <c r="A531" s="16">
        <v>2500000000</v>
      </c>
      <c r="B531" s="16">
        <v>946433</v>
      </c>
      <c r="C531" s="16" t="s">
        <v>3412</v>
      </c>
      <c r="D531" s="16" t="s">
        <v>3403</v>
      </c>
      <c r="F531" s="16"/>
    </row>
    <row r="532" spans="1:6">
      <c r="A532" s="16">
        <v>6104000000</v>
      </c>
      <c r="B532" s="16">
        <v>2788720</v>
      </c>
      <c r="C532" s="16" t="s">
        <v>3427</v>
      </c>
      <c r="D532" s="16" t="s">
        <v>3417</v>
      </c>
      <c r="F532" s="16"/>
    </row>
    <row r="533" spans="1:6">
      <c r="A533" s="16">
        <v>6032000000</v>
      </c>
      <c r="B533" s="16">
        <v>0</v>
      </c>
      <c r="C533" s="16" t="s">
        <v>3429</v>
      </c>
      <c r="D533" s="16" t="s">
        <v>3430</v>
      </c>
      <c r="F533" s="16"/>
    </row>
    <row r="534" spans="1:6">
      <c r="A534" s="16">
        <v>6700100000</v>
      </c>
      <c r="B534" s="16">
        <v>0</v>
      </c>
      <c r="C534" s="16" t="s">
        <v>3404</v>
      </c>
      <c r="D534" s="16" t="s">
        <v>3410</v>
      </c>
      <c r="F534" s="16"/>
    </row>
    <row r="535" spans="1:6">
      <c r="A535" s="16">
        <v>5010000000</v>
      </c>
      <c r="B535" s="16">
        <v>0</v>
      </c>
      <c r="C535" s="16" t="s">
        <v>3406</v>
      </c>
      <c r="D535" s="16" t="s">
        <v>3411</v>
      </c>
      <c r="F535" s="16"/>
    </row>
    <row r="536" spans="1:6">
      <c r="A536" s="16">
        <v>6610100000</v>
      </c>
      <c r="B536" s="16">
        <v>862711</v>
      </c>
      <c r="C536" s="16" t="s">
        <v>3413</v>
      </c>
      <c r="D536" s="16" t="s">
        <v>3414</v>
      </c>
      <c r="F536" s="16"/>
    </row>
    <row r="537" spans="1:6">
      <c r="A537" s="16">
        <v>6700400000</v>
      </c>
      <c r="B537" s="16">
        <v>0</v>
      </c>
      <c r="C537" s="16" t="s">
        <v>3404</v>
      </c>
      <c r="D537" s="16" t="s">
        <v>3405</v>
      </c>
      <c r="F537" s="16"/>
    </row>
    <row r="538" spans="1:6">
      <c r="A538" s="16">
        <v>4203000000</v>
      </c>
      <c r="B538" s="16">
        <v>0</v>
      </c>
      <c r="C538" s="16" t="s">
        <v>3408</v>
      </c>
      <c r="D538" s="16" t="s">
        <v>3403</v>
      </c>
      <c r="F538" s="16"/>
    </row>
    <row r="539" spans="1:6">
      <c r="A539" s="16">
        <v>6700500000</v>
      </c>
      <c r="B539" s="16">
        <v>0</v>
      </c>
      <c r="C539" s="16" t="s">
        <v>3404</v>
      </c>
      <c r="D539" s="16" t="s">
        <v>3405</v>
      </c>
      <c r="F539" s="16"/>
    </row>
    <row r="540" spans="1:6">
      <c r="A540" s="16">
        <v>5050010000</v>
      </c>
      <c r="B540" s="16">
        <v>0</v>
      </c>
      <c r="C540" s="16" t="s">
        <v>3406</v>
      </c>
      <c r="D540" s="16" t="s">
        <v>3422</v>
      </c>
      <c r="F540" s="16"/>
    </row>
    <row r="541" spans="1:6">
      <c r="A541" s="16">
        <v>2500000000</v>
      </c>
      <c r="B541" s="16">
        <v>0</v>
      </c>
      <c r="C541" s="16" t="s">
        <v>3412</v>
      </c>
      <c r="D541" s="16" t="s">
        <v>3403</v>
      </c>
      <c r="F541" s="16"/>
    </row>
    <row r="542" spans="1:6">
      <c r="A542" s="16">
        <v>5010000010</v>
      </c>
      <c r="B542" s="16">
        <v>0</v>
      </c>
      <c r="C542" s="16" t="s">
        <v>3406</v>
      </c>
      <c r="D542" s="16" t="s">
        <v>3411</v>
      </c>
      <c r="F542" s="16"/>
    </row>
    <row r="543" spans="1:6">
      <c r="A543" s="16">
        <v>5010100000</v>
      </c>
      <c r="B543" s="16">
        <v>-946433</v>
      </c>
      <c r="C543" s="16" t="s">
        <v>3406</v>
      </c>
      <c r="D543" s="16" t="s">
        <v>3407</v>
      </c>
      <c r="F543" s="16"/>
    </row>
    <row r="544" spans="1:6">
      <c r="A544" s="16">
        <v>3103000000</v>
      </c>
      <c r="B544" s="16">
        <v>-2788720</v>
      </c>
      <c r="C544" s="16" t="s">
        <v>3402</v>
      </c>
      <c r="D544" s="16" t="s">
        <v>3403</v>
      </c>
      <c r="F544" s="16"/>
    </row>
    <row r="545" spans="1:6">
      <c r="A545" s="16">
        <v>4203000000</v>
      </c>
      <c r="B545" s="16">
        <v>-862711</v>
      </c>
      <c r="C545" s="16" t="s">
        <v>3408</v>
      </c>
      <c r="D545" s="16" t="s">
        <v>3403</v>
      </c>
      <c r="F545" s="16"/>
    </row>
    <row r="546" spans="1:6">
      <c r="A546" s="16">
        <v>2500000000</v>
      </c>
      <c r="B546" s="16">
        <v>0</v>
      </c>
      <c r="C546" s="16" t="s">
        <v>3412</v>
      </c>
      <c r="D546" s="16" t="s">
        <v>3403</v>
      </c>
      <c r="F546" s="16"/>
    </row>
    <row r="547" spans="1:6">
      <c r="A547" s="16">
        <v>6100000020</v>
      </c>
      <c r="B547" s="16">
        <v>0</v>
      </c>
      <c r="C547" s="16" t="s">
        <v>3416</v>
      </c>
      <c r="D547" s="16" t="s">
        <v>3417</v>
      </c>
      <c r="F547" s="16"/>
    </row>
    <row r="548" spans="1:6">
      <c r="A548" s="16">
        <v>6104001000</v>
      </c>
      <c r="B548" s="16">
        <v>0</v>
      </c>
      <c r="C548" s="16" t="s">
        <v>3416</v>
      </c>
      <c r="D548" s="16" t="s">
        <v>3417</v>
      </c>
      <c r="F548" s="16"/>
    </row>
    <row r="549" spans="1:6">
      <c r="A549" s="16">
        <v>6030000000</v>
      </c>
      <c r="B549" s="16">
        <v>0</v>
      </c>
      <c r="C549" s="16" t="s">
        <v>3420</v>
      </c>
      <c r="D549" s="16" t="s">
        <v>3423</v>
      </c>
      <c r="F549" s="16"/>
    </row>
    <row r="550" spans="1:6">
      <c r="A550" s="16">
        <v>5050000000</v>
      </c>
      <c r="B550" s="16">
        <v>0</v>
      </c>
      <c r="C550" s="16" t="s">
        <v>3406</v>
      </c>
      <c r="D550" s="16" t="s">
        <v>3422</v>
      </c>
      <c r="F550" s="16"/>
    </row>
    <row r="551" spans="1:6">
      <c r="A551" s="16">
        <v>5010000000</v>
      </c>
      <c r="B551" s="16">
        <v>0</v>
      </c>
      <c r="C551" s="16" t="s">
        <v>3406</v>
      </c>
      <c r="D551" s="16" t="s">
        <v>3411</v>
      </c>
      <c r="F551" s="16"/>
    </row>
    <row r="552" spans="1:6">
      <c r="A552" s="16">
        <v>3710000000</v>
      </c>
      <c r="B552" s="16">
        <v>0</v>
      </c>
      <c r="C552" s="16" t="s">
        <v>3402</v>
      </c>
      <c r="D552" s="16" t="s">
        <v>3403</v>
      </c>
      <c r="F552" s="16"/>
    </row>
    <row r="553" spans="1:6">
      <c r="A553" s="16">
        <v>2500000000</v>
      </c>
      <c r="B553" s="16">
        <v>0</v>
      </c>
      <c r="C553" s="16" t="s">
        <v>3412</v>
      </c>
      <c r="D553" s="16" t="s">
        <v>3403</v>
      </c>
      <c r="F553" s="16"/>
    </row>
    <row r="554" spans="1:6">
      <c r="A554" s="16">
        <v>2201000030</v>
      </c>
      <c r="B554" s="16">
        <v>0</v>
      </c>
      <c r="C554" s="16" t="s">
        <v>3415</v>
      </c>
      <c r="D554" s="16" t="s">
        <v>3403</v>
      </c>
      <c r="F554" s="16"/>
    </row>
    <row r="555" spans="1:6">
      <c r="A555" s="16">
        <v>6100000000</v>
      </c>
      <c r="B555" s="16">
        <v>0</v>
      </c>
      <c r="C555" s="16" t="s">
        <v>3416</v>
      </c>
      <c r="D555" s="16" t="s">
        <v>3417</v>
      </c>
      <c r="F555" s="16"/>
    </row>
    <row r="556" spans="1:6">
      <c r="A556" s="16">
        <v>6700600000</v>
      </c>
      <c r="B556" s="16">
        <v>0</v>
      </c>
      <c r="C556" s="16" t="s">
        <v>3404</v>
      </c>
      <c r="D556" s="16" t="s">
        <v>3409</v>
      </c>
      <c r="F556" s="16"/>
    </row>
    <row r="557" spans="1:6">
      <c r="A557" s="16">
        <v>5010100000</v>
      </c>
      <c r="B557" s="16">
        <v>0</v>
      </c>
      <c r="C557" s="16" t="s">
        <v>3406</v>
      </c>
      <c r="D557" s="16" t="s">
        <v>3407</v>
      </c>
      <c r="F557" s="16"/>
    </row>
    <row r="558" spans="1:6">
      <c r="A558" s="16">
        <v>2750010000</v>
      </c>
      <c r="B558" s="16">
        <v>0</v>
      </c>
      <c r="C558" s="16" t="s">
        <v>3419</v>
      </c>
      <c r="D558" s="16" t="s">
        <v>3403</v>
      </c>
      <c r="F558" s="16"/>
    </row>
    <row r="559" spans="1:6">
      <c r="A559" s="16">
        <v>2500000000</v>
      </c>
      <c r="B559" s="16">
        <v>0</v>
      </c>
      <c r="C559" s="16" t="s">
        <v>3412</v>
      </c>
      <c r="D559" s="16" t="s">
        <v>3403</v>
      </c>
      <c r="F559" s="16"/>
    </row>
    <row r="560" spans="1:6">
      <c r="A560" s="16">
        <v>3810000000</v>
      </c>
      <c r="B560" s="16">
        <v>0</v>
      </c>
      <c r="C560" s="16" t="s">
        <v>3402</v>
      </c>
      <c r="D560" s="16" t="s">
        <v>3403</v>
      </c>
      <c r="F560" s="16"/>
    </row>
    <row r="561" spans="1:6">
      <c r="A561" s="16">
        <v>6700600000</v>
      </c>
      <c r="B561" s="16">
        <v>0</v>
      </c>
      <c r="C561" s="16" t="s">
        <v>3404</v>
      </c>
      <c r="D561" s="16" t="s">
        <v>3409</v>
      </c>
      <c r="F561" s="16"/>
    </row>
    <row r="562" spans="1:6">
      <c r="A562" s="16">
        <v>3103001000</v>
      </c>
      <c r="B562" s="16">
        <v>0</v>
      </c>
      <c r="C562" s="16" t="s">
        <v>3402</v>
      </c>
      <c r="D562" s="16" t="s">
        <v>3403</v>
      </c>
      <c r="F562" s="16"/>
    </row>
    <row r="563" spans="1:6">
      <c r="A563" s="16">
        <v>6610000000</v>
      </c>
      <c r="B563" s="16">
        <v>0</v>
      </c>
      <c r="C563" s="16" t="s">
        <v>3413</v>
      </c>
      <c r="D563" s="16" t="s">
        <v>3418</v>
      </c>
      <c r="F563" s="16"/>
    </row>
    <row r="564" spans="1:6">
      <c r="A564" s="16">
        <v>6700200000</v>
      </c>
      <c r="B564" s="16">
        <v>0</v>
      </c>
      <c r="C564" s="16" t="s">
        <v>3404</v>
      </c>
      <c r="D564" s="16" t="s">
        <v>3409</v>
      </c>
      <c r="F564" s="16"/>
    </row>
    <row r="565" spans="1:6">
      <c r="A565" s="16">
        <v>3030000000</v>
      </c>
      <c r="B565" s="16">
        <v>0</v>
      </c>
      <c r="C565" s="16" t="s">
        <v>3402</v>
      </c>
      <c r="D565" s="16" t="s">
        <v>3403</v>
      </c>
      <c r="F565" s="16"/>
    </row>
    <row r="566" spans="1:6">
      <c r="A566" s="16">
        <v>3102000000</v>
      </c>
      <c r="B566" s="16">
        <v>0</v>
      </c>
      <c r="C566" s="16" t="s">
        <v>3424</v>
      </c>
      <c r="D566" s="16" t="s">
        <v>3403</v>
      </c>
      <c r="F566" s="16"/>
    </row>
    <row r="567" spans="1:6">
      <c r="A567" s="16">
        <v>5010100010</v>
      </c>
      <c r="B567" s="16">
        <v>0</v>
      </c>
      <c r="C567" s="16" t="s">
        <v>3406</v>
      </c>
      <c r="D567" s="16" t="s">
        <v>3407</v>
      </c>
      <c r="F567" s="16"/>
    </row>
    <row r="568" spans="1:6">
      <c r="A568" s="16">
        <v>5010100000</v>
      </c>
      <c r="B568" s="16">
        <v>0</v>
      </c>
      <c r="C568" s="16" t="s">
        <v>3406</v>
      </c>
      <c r="D568" s="16" t="s">
        <v>3407</v>
      </c>
      <c r="F568" s="16"/>
    </row>
    <row r="569" spans="1:6">
      <c r="A569" s="16">
        <v>6700700000</v>
      </c>
      <c r="B569" s="16">
        <v>0</v>
      </c>
      <c r="C569" s="16" t="s">
        <v>3404</v>
      </c>
      <c r="D569" s="16" t="s">
        <v>3409</v>
      </c>
      <c r="F569" s="16"/>
    </row>
    <row r="570" spans="1:6">
      <c r="A570" s="16">
        <v>6700200000</v>
      </c>
      <c r="B570" s="16">
        <v>0</v>
      </c>
      <c r="C570" s="16" t="s">
        <v>3404</v>
      </c>
      <c r="D570" s="16" t="s">
        <v>3409</v>
      </c>
      <c r="F570" s="16"/>
    </row>
    <row r="571" spans="1:6">
      <c r="A571" s="16">
        <v>6100000000</v>
      </c>
      <c r="B571" s="16">
        <v>0</v>
      </c>
      <c r="C571" s="16" t="s">
        <v>3416</v>
      </c>
      <c r="D571" s="16" t="s">
        <v>3417</v>
      </c>
      <c r="F571" s="16"/>
    </row>
    <row r="572" spans="1:6">
      <c r="A572" s="16">
        <v>6700700000</v>
      </c>
      <c r="B572" s="16">
        <v>143264</v>
      </c>
      <c r="C572" s="16" t="s">
        <v>3404</v>
      </c>
      <c r="D572" s="16" t="s">
        <v>3409</v>
      </c>
      <c r="F572" s="16"/>
    </row>
    <row r="573" spans="1:6">
      <c r="A573" s="16">
        <v>2201000000</v>
      </c>
      <c r="B573" s="16">
        <v>0</v>
      </c>
      <c r="C573" s="16" t="s">
        <v>3415</v>
      </c>
      <c r="D573" s="16" t="s">
        <v>3403</v>
      </c>
      <c r="F573" s="16"/>
    </row>
    <row r="574" spans="1:6">
      <c r="A574" s="16">
        <v>3100000000</v>
      </c>
      <c r="B574" s="16">
        <v>0</v>
      </c>
      <c r="C574" s="16" t="s">
        <v>3402</v>
      </c>
      <c r="D574" s="16" t="s">
        <v>3403</v>
      </c>
      <c r="F574" s="16"/>
    </row>
    <row r="575" spans="1:6">
      <c r="A575" s="16">
        <v>6700400000</v>
      </c>
      <c r="B575" s="16">
        <v>0</v>
      </c>
      <c r="C575" s="16" t="s">
        <v>3404</v>
      </c>
      <c r="D575" s="16" t="s">
        <v>3405</v>
      </c>
      <c r="F575" s="16"/>
    </row>
    <row r="576" spans="1:6">
      <c r="A576" s="16">
        <v>6030000000</v>
      </c>
      <c r="B576" s="16">
        <v>0</v>
      </c>
      <c r="C576" s="16" t="s">
        <v>3420</v>
      </c>
      <c r="D576" s="16" t="s">
        <v>3423</v>
      </c>
      <c r="F576" s="16"/>
    </row>
    <row r="577" spans="1:6">
      <c r="A577" s="16">
        <v>6610000100</v>
      </c>
      <c r="B577" s="16">
        <v>0</v>
      </c>
      <c r="C577" s="16" t="s">
        <v>3413</v>
      </c>
      <c r="D577" s="16" t="s">
        <v>3418</v>
      </c>
      <c r="F577" s="16"/>
    </row>
    <row r="578" spans="1:6">
      <c r="A578" s="16">
        <v>5010000000</v>
      </c>
      <c r="B578" s="16">
        <v>0</v>
      </c>
      <c r="C578" s="16" t="s">
        <v>3406</v>
      </c>
      <c r="D578" s="16" t="s">
        <v>3411</v>
      </c>
      <c r="F578" s="16"/>
    </row>
    <row r="579" spans="1:6">
      <c r="A579" s="16">
        <v>5050000000</v>
      </c>
      <c r="B579" s="16">
        <v>0</v>
      </c>
      <c r="C579" s="16" t="s">
        <v>3406</v>
      </c>
      <c r="D579" s="16" t="s">
        <v>3422</v>
      </c>
      <c r="F579" s="16"/>
    </row>
    <row r="580" spans="1:6">
      <c r="A580" s="16">
        <v>6700200000</v>
      </c>
      <c r="B580" s="16">
        <v>0</v>
      </c>
      <c r="C580" s="16" t="s">
        <v>3404</v>
      </c>
      <c r="D580" s="16" t="s">
        <v>3409</v>
      </c>
      <c r="F580" s="16"/>
    </row>
    <row r="581" spans="1:6">
      <c r="A581" s="16">
        <v>6700400000</v>
      </c>
      <c r="B581" s="16">
        <v>0</v>
      </c>
      <c r="C581" s="16" t="s">
        <v>3404</v>
      </c>
      <c r="D581" s="16" t="s">
        <v>3405</v>
      </c>
      <c r="F581" s="16"/>
    </row>
    <row r="582" spans="1:6">
      <c r="A582" s="16">
        <v>4203000000</v>
      </c>
      <c r="B582" s="16">
        <v>0</v>
      </c>
      <c r="C582" s="16" t="s">
        <v>3408</v>
      </c>
      <c r="D582" s="16" t="s">
        <v>3403</v>
      </c>
      <c r="F582" s="16"/>
    </row>
    <row r="583" spans="1:6">
      <c r="A583" s="16">
        <v>6700000000</v>
      </c>
      <c r="B583" s="16">
        <v>0</v>
      </c>
      <c r="C583" s="16" t="s">
        <v>3404</v>
      </c>
      <c r="D583" s="16" t="s">
        <v>3405</v>
      </c>
      <c r="F583" s="16"/>
    </row>
    <row r="584" spans="1:6">
      <c r="A584" s="16">
        <v>6102000000</v>
      </c>
      <c r="B584" s="16">
        <v>0</v>
      </c>
      <c r="C584" s="16" t="s">
        <v>3425</v>
      </c>
      <c r="D584" s="16" t="s">
        <v>3426</v>
      </c>
      <c r="F584" s="16"/>
    </row>
    <row r="585" spans="1:6">
      <c r="A585" s="16">
        <v>6700600000</v>
      </c>
      <c r="B585" s="16">
        <v>0</v>
      </c>
      <c r="C585" s="16" t="s">
        <v>3404</v>
      </c>
      <c r="D585" s="16" t="s">
        <v>3409</v>
      </c>
      <c r="F585" s="16"/>
    </row>
    <row r="586" spans="1:6">
      <c r="A586" s="16">
        <v>3710000000</v>
      </c>
      <c r="B586" s="16">
        <v>0</v>
      </c>
      <c r="C586" s="16" t="s">
        <v>3402</v>
      </c>
      <c r="D586" s="16" t="s">
        <v>3403</v>
      </c>
      <c r="F586" s="16"/>
    </row>
    <row r="587" spans="1:6">
      <c r="A587" s="16">
        <v>6700500000</v>
      </c>
      <c r="B587" s="16">
        <v>0</v>
      </c>
      <c r="C587" s="16" t="s">
        <v>3404</v>
      </c>
      <c r="D587" s="16" t="s">
        <v>3405</v>
      </c>
      <c r="F587" s="16"/>
    </row>
    <row r="588" spans="1:6">
      <c r="A588" s="16">
        <v>6610000000</v>
      </c>
      <c r="B588" s="16">
        <v>0</v>
      </c>
      <c r="C588" s="16" t="s">
        <v>3413</v>
      </c>
      <c r="D588" s="16" t="s">
        <v>3418</v>
      </c>
      <c r="F588" s="16"/>
    </row>
    <row r="589" spans="1:6">
      <c r="A589" s="16">
        <v>6700200000</v>
      </c>
      <c r="B589" s="16">
        <v>0</v>
      </c>
      <c r="C589" s="16" t="s">
        <v>3404</v>
      </c>
      <c r="D589" s="16" t="s">
        <v>3409</v>
      </c>
      <c r="F589" s="16"/>
    </row>
    <row r="590" spans="1:6">
      <c r="A590" s="16">
        <v>3100000000</v>
      </c>
      <c r="B590" s="16">
        <v>0</v>
      </c>
      <c r="C590" s="16" t="s">
        <v>3402</v>
      </c>
      <c r="D590" s="16" t="s">
        <v>3403</v>
      </c>
      <c r="F590" s="16"/>
    </row>
    <row r="591" spans="1:6">
      <c r="A591" s="16">
        <v>6700500000</v>
      </c>
      <c r="B591" s="16">
        <v>-143264</v>
      </c>
      <c r="C591" s="16" t="s">
        <v>3404</v>
      </c>
      <c r="D591" s="16" t="s">
        <v>3405</v>
      </c>
      <c r="F591" s="16"/>
    </row>
    <row r="592" spans="1:6">
      <c r="A592" s="16">
        <v>6700700000</v>
      </c>
      <c r="B592" s="16">
        <v>0</v>
      </c>
      <c r="C592" s="16" t="s">
        <v>3404</v>
      </c>
      <c r="D592" s="16" t="s">
        <v>3409</v>
      </c>
      <c r="F592" s="16"/>
    </row>
    <row r="593" spans="1:6">
      <c r="A593" s="16">
        <v>6700200000</v>
      </c>
      <c r="B593" s="16">
        <v>0</v>
      </c>
      <c r="C593" s="16" t="s">
        <v>3404</v>
      </c>
      <c r="D593" s="16" t="s">
        <v>3409</v>
      </c>
      <c r="F593" s="16"/>
    </row>
    <row r="594" spans="1:6">
      <c r="A594" s="16">
        <v>2500000000</v>
      </c>
      <c r="B594" s="16">
        <v>0</v>
      </c>
      <c r="C594" s="16" t="s">
        <v>3412</v>
      </c>
      <c r="D594" s="16" t="s">
        <v>3403</v>
      </c>
      <c r="F594" s="16"/>
    </row>
    <row r="595" spans="1:6">
      <c r="A595" s="16">
        <v>3030000000</v>
      </c>
      <c r="B595" s="16">
        <v>0</v>
      </c>
      <c r="C595" s="16" t="s">
        <v>3402</v>
      </c>
      <c r="D595" s="16" t="s">
        <v>3403</v>
      </c>
      <c r="F595" s="16"/>
    </row>
    <row r="596" spans="1:6">
      <c r="A596" s="16">
        <v>6700200000</v>
      </c>
      <c r="B596" s="16">
        <v>43046530</v>
      </c>
      <c r="C596" s="16" t="s">
        <v>3404</v>
      </c>
      <c r="D596" s="16" t="s">
        <v>3409</v>
      </c>
      <c r="F596" s="16"/>
    </row>
    <row r="597" spans="1:6">
      <c r="A597" s="16">
        <v>3800000000</v>
      </c>
      <c r="B597" s="16">
        <v>0</v>
      </c>
      <c r="C597" s="16" t="s">
        <v>3402</v>
      </c>
      <c r="D597" s="16" t="s">
        <v>3403</v>
      </c>
      <c r="F597" s="16"/>
    </row>
    <row r="598" spans="1:6">
      <c r="A598" s="16">
        <v>6700100000</v>
      </c>
      <c r="B598" s="16">
        <v>0</v>
      </c>
      <c r="C598" s="16" t="s">
        <v>3404</v>
      </c>
      <c r="D598" s="16" t="s">
        <v>3410</v>
      </c>
      <c r="F598" s="16"/>
    </row>
    <row r="599" spans="1:6">
      <c r="A599" s="16">
        <v>3102000000</v>
      </c>
      <c r="B599" s="16">
        <v>0</v>
      </c>
      <c r="C599" s="16" t="s">
        <v>3424</v>
      </c>
      <c r="D599" s="16" t="s">
        <v>3403</v>
      </c>
      <c r="F599" s="16"/>
    </row>
    <row r="600" spans="1:6">
      <c r="A600" s="16">
        <v>6100000020</v>
      </c>
      <c r="B600" s="16">
        <v>0</v>
      </c>
      <c r="C600" s="16" t="s">
        <v>3416</v>
      </c>
      <c r="D600" s="16" t="s">
        <v>3417</v>
      </c>
      <c r="F600" s="16"/>
    </row>
    <row r="601" spans="1:6">
      <c r="A601" s="16">
        <v>6700400000</v>
      </c>
      <c r="B601" s="16">
        <v>0</v>
      </c>
      <c r="C601" s="16" t="s">
        <v>3404</v>
      </c>
      <c r="D601" s="16" t="s">
        <v>3405</v>
      </c>
      <c r="F601" s="16"/>
    </row>
    <row r="602" spans="1:6">
      <c r="A602" s="16">
        <v>2201000000</v>
      </c>
      <c r="B602" s="16">
        <v>27029</v>
      </c>
      <c r="C602" s="16" t="s">
        <v>3415</v>
      </c>
      <c r="D602" s="16" t="s">
        <v>3403</v>
      </c>
      <c r="F602" s="16"/>
    </row>
    <row r="603" spans="1:6">
      <c r="A603" s="16">
        <v>4203000000</v>
      </c>
      <c r="B603" s="16">
        <v>0</v>
      </c>
      <c r="C603" s="16" t="s">
        <v>3408</v>
      </c>
      <c r="D603" s="16" t="s">
        <v>3403</v>
      </c>
      <c r="F603" s="16"/>
    </row>
    <row r="604" spans="1:6">
      <c r="A604" s="16">
        <v>5050010000</v>
      </c>
      <c r="B604" s="16">
        <v>0</v>
      </c>
      <c r="C604" s="16" t="s">
        <v>3406</v>
      </c>
      <c r="D604" s="16" t="s">
        <v>3422</v>
      </c>
      <c r="F604" s="16"/>
    </row>
    <row r="605" spans="1:6">
      <c r="A605" s="16">
        <v>6610100000</v>
      </c>
      <c r="B605" s="16">
        <v>0</v>
      </c>
      <c r="C605" s="16" t="s">
        <v>3413</v>
      </c>
      <c r="D605" s="16" t="s">
        <v>3414</v>
      </c>
      <c r="F605" s="16"/>
    </row>
    <row r="606" spans="1:6">
      <c r="A606" s="16">
        <v>6700100000</v>
      </c>
      <c r="B606" s="16">
        <v>0</v>
      </c>
      <c r="C606" s="16" t="s">
        <v>3404</v>
      </c>
      <c r="D606" s="16" t="s">
        <v>3410</v>
      </c>
      <c r="F606" s="16"/>
    </row>
    <row r="607" spans="1:6">
      <c r="A607" s="16">
        <v>5010000010</v>
      </c>
      <c r="B607" s="16">
        <v>0</v>
      </c>
      <c r="C607" s="16" t="s">
        <v>3406</v>
      </c>
      <c r="D607" s="16" t="s">
        <v>3411</v>
      </c>
      <c r="F607" s="16"/>
    </row>
    <row r="608" spans="1:6">
      <c r="A608" s="16">
        <v>6700500000</v>
      </c>
      <c r="B608" s="16">
        <v>0</v>
      </c>
      <c r="C608" s="16" t="s">
        <v>3404</v>
      </c>
      <c r="D608" s="16" t="s">
        <v>3405</v>
      </c>
      <c r="F608" s="16"/>
    </row>
    <row r="609" spans="1:6">
      <c r="A609" s="16">
        <v>6700200000</v>
      </c>
      <c r="B609" s="16">
        <v>0</v>
      </c>
      <c r="C609" s="16" t="s">
        <v>3404</v>
      </c>
      <c r="D609" s="16" t="s">
        <v>3409</v>
      </c>
      <c r="F609" s="16"/>
    </row>
    <row r="610" spans="1:6">
      <c r="A610" s="16">
        <v>5010000000</v>
      </c>
      <c r="B610" s="16">
        <v>0</v>
      </c>
      <c r="C610" s="16" t="s">
        <v>3406</v>
      </c>
      <c r="D610" s="16" t="s">
        <v>3411</v>
      </c>
      <c r="F610" s="16"/>
    </row>
    <row r="611" spans="1:6">
      <c r="A611" s="16">
        <v>6700100000</v>
      </c>
      <c r="B611" s="16">
        <v>-43046530</v>
      </c>
      <c r="C611" s="16" t="s">
        <v>3404</v>
      </c>
      <c r="D611" s="16" t="s">
        <v>3410</v>
      </c>
      <c r="F611" s="16"/>
    </row>
    <row r="612" spans="1:6">
      <c r="A612" s="16">
        <v>6700700000</v>
      </c>
      <c r="B612" s="16">
        <v>0</v>
      </c>
      <c r="C612" s="16" t="s">
        <v>3404</v>
      </c>
      <c r="D612" s="16" t="s">
        <v>3409</v>
      </c>
      <c r="F612" s="16"/>
    </row>
    <row r="613" spans="1:6">
      <c r="A613" s="16">
        <v>6700200000</v>
      </c>
      <c r="B613" s="16">
        <v>0</v>
      </c>
      <c r="C613" s="16" t="s">
        <v>3404</v>
      </c>
      <c r="D613" s="16" t="s">
        <v>3409</v>
      </c>
      <c r="F613" s="16"/>
    </row>
    <row r="614" spans="1:6">
      <c r="A614" s="16">
        <v>6102000000</v>
      </c>
      <c r="B614" s="16">
        <v>0</v>
      </c>
      <c r="C614" s="16" t="s">
        <v>3425</v>
      </c>
      <c r="D614" s="16" t="s">
        <v>3426</v>
      </c>
      <c r="F614" s="16"/>
    </row>
    <row r="615" spans="1:6">
      <c r="A615" s="16">
        <v>3810000000</v>
      </c>
      <c r="B615" s="16">
        <v>0</v>
      </c>
      <c r="C615" s="16" t="s">
        <v>3402</v>
      </c>
      <c r="D615" s="16" t="s">
        <v>3403</v>
      </c>
      <c r="F615" s="16"/>
    </row>
    <row r="616" spans="1:6">
      <c r="A616" s="16">
        <v>6700600000</v>
      </c>
      <c r="B616" s="16">
        <v>0</v>
      </c>
      <c r="C616" s="16" t="s">
        <v>3404</v>
      </c>
      <c r="D616" s="16" t="s">
        <v>3409</v>
      </c>
      <c r="F616" s="16"/>
    </row>
    <row r="617" spans="1:6">
      <c r="A617" s="16">
        <v>3102000000</v>
      </c>
      <c r="B617" s="16">
        <v>0</v>
      </c>
      <c r="C617" s="16" t="s">
        <v>3424</v>
      </c>
      <c r="D617" s="16" t="s">
        <v>3403</v>
      </c>
      <c r="F617" s="16"/>
    </row>
    <row r="618" spans="1:6">
      <c r="A618" s="16">
        <v>2750010000</v>
      </c>
      <c r="B618" s="16">
        <v>0</v>
      </c>
      <c r="C618" s="16" t="s">
        <v>3419</v>
      </c>
      <c r="D618" s="16" t="s">
        <v>3403</v>
      </c>
      <c r="F618" s="16"/>
    </row>
    <row r="619" spans="1:6">
      <c r="A619" s="16">
        <v>6700200000</v>
      </c>
      <c r="B619" s="16">
        <v>-27029</v>
      </c>
      <c r="C619" s="16" t="s">
        <v>3404</v>
      </c>
      <c r="D619" s="16" t="s">
        <v>3409</v>
      </c>
      <c r="F619" s="16"/>
    </row>
    <row r="620" spans="1:6">
      <c r="A620" s="16">
        <v>6100000020</v>
      </c>
      <c r="B620" s="16">
        <v>0</v>
      </c>
      <c r="C620" s="16" t="s">
        <v>3416</v>
      </c>
      <c r="D620" s="16" t="s">
        <v>3417</v>
      </c>
      <c r="F620" s="16"/>
    </row>
    <row r="621" spans="1:6">
      <c r="A621" s="16">
        <v>5050000000</v>
      </c>
      <c r="B621" s="16">
        <v>0</v>
      </c>
      <c r="C621" s="16" t="s">
        <v>3406</v>
      </c>
      <c r="D621" s="16" t="s">
        <v>3422</v>
      </c>
      <c r="F621" s="16"/>
    </row>
    <row r="622" spans="1:6">
      <c r="A622" s="16">
        <v>4203000000</v>
      </c>
      <c r="B622" s="16">
        <v>0</v>
      </c>
      <c r="C622" s="16" t="s">
        <v>3408</v>
      </c>
      <c r="D622" s="16" t="s">
        <v>3403</v>
      </c>
      <c r="F622" s="16"/>
    </row>
    <row r="623" spans="1:6">
      <c r="A623" s="16">
        <v>3710000000</v>
      </c>
      <c r="B623" s="16">
        <v>0</v>
      </c>
      <c r="C623" s="16" t="s">
        <v>3402</v>
      </c>
      <c r="D623" s="16" t="s">
        <v>3403</v>
      </c>
      <c r="F623" s="16"/>
    </row>
    <row r="624" spans="1:6">
      <c r="A624" s="16">
        <v>4611000000</v>
      </c>
      <c r="B624" s="16">
        <v>0</v>
      </c>
      <c r="C624" s="16" t="s">
        <v>3428</v>
      </c>
      <c r="D624" s="16" t="s">
        <v>3403</v>
      </c>
      <c r="F624" s="16"/>
    </row>
    <row r="625" spans="1:6">
      <c r="A625" s="16">
        <v>2500000000</v>
      </c>
      <c r="B625" s="16">
        <v>0</v>
      </c>
      <c r="C625" s="16" t="s">
        <v>3412</v>
      </c>
      <c r="D625" s="16" t="s">
        <v>3403</v>
      </c>
      <c r="F625" s="16"/>
    </row>
    <row r="626" spans="1:6">
      <c r="A626" s="16">
        <v>6700000000</v>
      </c>
      <c r="B626" s="16">
        <v>0</v>
      </c>
      <c r="C626" s="16" t="s">
        <v>3404</v>
      </c>
      <c r="D626" s="16" t="s">
        <v>3405</v>
      </c>
      <c r="F626" s="16"/>
    </row>
    <row r="627" spans="1:6">
      <c r="A627" s="16">
        <v>2201000000</v>
      </c>
      <c r="B627" s="16">
        <v>82962</v>
      </c>
      <c r="C627" s="16" t="s">
        <v>3415</v>
      </c>
      <c r="D627" s="16" t="s">
        <v>3403</v>
      </c>
      <c r="F627" s="16"/>
    </row>
    <row r="628" spans="1:6">
      <c r="A628" s="16">
        <v>6700500000</v>
      </c>
      <c r="B628" s="16">
        <v>0</v>
      </c>
      <c r="C628" s="16" t="s">
        <v>3404</v>
      </c>
      <c r="D628" s="16" t="s">
        <v>3405</v>
      </c>
      <c r="F628" s="16"/>
    </row>
    <row r="629" spans="1:6">
      <c r="A629" s="16">
        <v>6610100000</v>
      </c>
      <c r="B629" s="16">
        <v>0</v>
      </c>
      <c r="C629" s="16" t="s">
        <v>3413</v>
      </c>
      <c r="D629" s="16" t="s">
        <v>3414</v>
      </c>
      <c r="F629" s="16"/>
    </row>
    <row r="630" spans="1:6">
      <c r="A630" s="16">
        <v>6700600000</v>
      </c>
      <c r="B630" s="16">
        <v>0</v>
      </c>
      <c r="C630" s="16" t="s">
        <v>3404</v>
      </c>
      <c r="D630" s="16" t="s">
        <v>3409</v>
      </c>
      <c r="F630" s="16"/>
    </row>
    <row r="631" spans="1:6">
      <c r="A631" s="16">
        <v>6700000000</v>
      </c>
      <c r="B631" s="16">
        <v>0</v>
      </c>
      <c r="C631" s="16" t="s">
        <v>3404</v>
      </c>
      <c r="D631" s="16" t="s">
        <v>3405</v>
      </c>
      <c r="F631" s="16"/>
    </row>
    <row r="632" spans="1:6">
      <c r="A632" s="16">
        <v>6700400000</v>
      </c>
      <c r="B632" s="16">
        <v>0</v>
      </c>
      <c r="C632" s="16" t="s">
        <v>3404</v>
      </c>
      <c r="D632" s="16" t="s">
        <v>3405</v>
      </c>
      <c r="F632" s="16"/>
    </row>
    <row r="633" spans="1:6">
      <c r="A633" s="16">
        <v>6102000000</v>
      </c>
      <c r="B633" s="16">
        <v>0</v>
      </c>
      <c r="C633" s="16" t="s">
        <v>3425</v>
      </c>
      <c r="D633" s="16" t="s">
        <v>3426</v>
      </c>
      <c r="F633" s="16"/>
    </row>
    <row r="634" spans="1:6">
      <c r="A634" s="16">
        <v>6610100100</v>
      </c>
      <c r="B634" s="16">
        <v>0</v>
      </c>
      <c r="C634" s="16" t="s">
        <v>3413</v>
      </c>
      <c r="D634" s="16" t="s">
        <v>3414</v>
      </c>
      <c r="F634" s="16"/>
    </row>
    <row r="635" spans="1:6">
      <c r="A635" s="16">
        <v>6100000000</v>
      </c>
      <c r="B635" s="16">
        <v>0</v>
      </c>
      <c r="C635" s="16" t="s">
        <v>3416</v>
      </c>
      <c r="D635" s="16" t="s">
        <v>3417</v>
      </c>
      <c r="F635" s="16"/>
    </row>
    <row r="636" spans="1:6">
      <c r="A636" s="16">
        <v>6700200000</v>
      </c>
      <c r="B636" s="16">
        <v>0</v>
      </c>
      <c r="C636" s="16" t="s">
        <v>3404</v>
      </c>
      <c r="D636" s="16" t="s">
        <v>3409</v>
      </c>
      <c r="F636" s="16"/>
    </row>
    <row r="637" spans="1:6">
      <c r="A637" s="16">
        <v>3102000000</v>
      </c>
      <c r="B637" s="16">
        <v>0</v>
      </c>
      <c r="C637" s="16" t="s">
        <v>3424</v>
      </c>
      <c r="D637" s="16" t="s">
        <v>3403</v>
      </c>
      <c r="F637" s="16"/>
    </row>
    <row r="638" spans="1:6">
      <c r="A638" s="16">
        <v>6100000000</v>
      </c>
      <c r="B638" s="16">
        <v>6946031</v>
      </c>
      <c r="C638" s="16" t="s">
        <v>3416</v>
      </c>
      <c r="D638" s="16" t="s">
        <v>3417</v>
      </c>
      <c r="F638" s="16"/>
    </row>
    <row r="639" spans="1:6">
      <c r="A639" s="16">
        <v>3810000000</v>
      </c>
      <c r="B639" s="16">
        <v>0</v>
      </c>
      <c r="C639" s="16" t="s">
        <v>3402</v>
      </c>
      <c r="D639" s="16" t="s">
        <v>3403</v>
      </c>
      <c r="F639" s="16"/>
    </row>
    <row r="640" spans="1:6">
      <c r="A640" s="16">
        <v>3102000000</v>
      </c>
      <c r="B640" s="16">
        <v>0</v>
      </c>
      <c r="C640" s="16" t="s">
        <v>3424</v>
      </c>
      <c r="D640" s="16" t="s">
        <v>3403</v>
      </c>
      <c r="F640" s="16"/>
    </row>
    <row r="641" spans="1:6">
      <c r="A641" s="16">
        <v>3800000010</v>
      </c>
      <c r="B641" s="16">
        <v>0</v>
      </c>
      <c r="C641" s="16" t="s">
        <v>3402</v>
      </c>
      <c r="D641" s="16" t="s">
        <v>3403</v>
      </c>
      <c r="F641" s="16"/>
    </row>
    <row r="642" spans="1:6">
      <c r="A642" s="16">
        <v>5010100000</v>
      </c>
      <c r="B642" s="16">
        <v>0</v>
      </c>
      <c r="C642" s="16" t="s">
        <v>3406</v>
      </c>
      <c r="D642" s="16" t="s">
        <v>3407</v>
      </c>
      <c r="F642" s="16"/>
    </row>
    <row r="643" spans="1:6">
      <c r="A643" s="16">
        <v>6700200000</v>
      </c>
      <c r="B643" s="16">
        <v>-82962</v>
      </c>
      <c r="C643" s="16" t="s">
        <v>3404</v>
      </c>
      <c r="D643" s="16" t="s">
        <v>3409</v>
      </c>
      <c r="F643" s="16"/>
    </row>
    <row r="644" spans="1:6">
      <c r="A644" s="16">
        <v>6100000020</v>
      </c>
      <c r="B644" s="16">
        <v>0</v>
      </c>
      <c r="C644" s="16" t="s">
        <v>3416</v>
      </c>
      <c r="D644" s="16" t="s">
        <v>3417</v>
      </c>
      <c r="F644" s="16"/>
    </row>
    <row r="645" spans="1:6">
      <c r="A645" s="16">
        <v>6700200000</v>
      </c>
      <c r="B645" s="16">
        <v>1534840781</v>
      </c>
      <c r="C645" s="16" t="s">
        <v>3404</v>
      </c>
      <c r="D645" s="16" t="s">
        <v>3409</v>
      </c>
      <c r="F645" s="16"/>
    </row>
    <row r="646" spans="1:6">
      <c r="A646" s="16">
        <v>6700200000</v>
      </c>
      <c r="B646" s="16">
        <v>40257</v>
      </c>
      <c r="C646" s="16" t="s">
        <v>3404</v>
      </c>
      <c r="D646" s="16" t="s">
        <v>3409</v>
      </c>
      <c r="F646" s="16"/>
    </row>
    <row r="647" spans="1:6">
      <c r="A647" s="16">
        <v>5052000000</v>
      </c>
      <c r="B647" s="16">
        <v>0</v>
      </c>
      <c r="C647" s="16" t="s">
        <v>3406</v>
      </c>
      <c r="D647" s="16" t="s">
        <v>3422</v>
      </c>
      <c r="F647" s="16"/>
    </row>
    <row r="648" spans="1:6">
      <c r="A648" s="16">
        <v>6700200000</v>
      </c>
      <c r="B648" s="16">
        <v>0</v>
      </c>
      <c r="C648" s="16" t="s">
        <v>3404</v>
      </c>
      <c r="D648" s="16" t="s">
        <v>3409</v>
      </c>
      <c r="F648" s="16"/>
    </row>
    <row r="649" spans="1:6">
      <c r="A649" s="16">
        <v>6700000000</v>
      </c>
      <c r="B649" s="16">
        <v>0</v>
      </c>
      <c r="C649" s="16" t="s">
        <v>3404</v>
      </c>
      <c r="D649" s="16" t="s">
        <v>3405</v>
      </c>
      <c r="F649" s="16"/>
    </row>
    <row r="650" spans="1:6">
      <c r="A650" s="16">
        <v>3032000000</v>
      </c>
      <c r="B650" s="16">
        <v>0</v>
      </c>
      <c r="C650" s="16" t="s">
        <v>3424</v>
      </c>
      <c r="D650" s="16" t="s">
        <v>3403</v>
      </c>
      <c r="F650" s="16"/>
    </row>
    <row r="651" spans="1:6">
      <c r="A651" s="16">
        <v>6032000000</v>
      </c>
      <c r="B651" s="16">
        <v>0</v>
      </c>
      <c r="C651" s="16" t="s">
        <v>3429</v>
      </c>
      <c r="D651" s="16" t="s">
        <v>3430</v>
      </c>
      <c r="F651" s="16"/>
    </row>
    <row r="652" spans="1:6">
      <c r="A652" s="16">
        <v>6610000000</v>
      </c>
      <c r="B652" s="16">
        <v>0</v>
      </c>
      <c r="C652" s="16" t="s">
        <v>3413</v>
      </c>
      <c r="D652" s="16" t="s">
        <v>3418</v>
      </c>
      <c r="F652" s="16"/>
    </row>
    <row r="653" spans="1:6">
      <c r="A653" s="16">
        <v>4203000000</v>
      </c>
      <c r="B653" s="16">
        <v>0</v>
      </c>
      <c r="C653" s="16" t="s">
        <v>3408</v>
      </c>
      <c r="D653" s="16" t="s">
        <v>3403</v>
      </c>
      <c r="F653" s="16"/>
    </row>
    <row r="654" spans="1:6">
      <c r="A654" s="16">
        <v>6700200000</v>
      </c>
      <c r="B654" s="16">
        <v>0</v>
      </c>
      <c r="C654" s="16" t="s">
        <v>3404</v>
      </c>
      <c r="D654" s="16" t="s">
        <v>3409</v>
      </c>
      <c r="F654" s="16"/>
    </row>
    <row r="655" spans="1:6">
      <c r="A655" s="16">
        <v>6700000000</v>
      </c>
      <c r="B655" s="16">
        <v>0</v>
      </c>
      <c r="C655" s="16" t="s">
        <v>3404</v>
      </c>
      <c r="D655" s="16" t="s">
        <v>3405</v>
      </c>
      <c r="F655" s="16"/>
    </row>
    <row r="656" spans="1:6">
      <c r="A656" s="16">
        <v>2201000000</v>
      </c>
      <c r="B656" s="16">
        <v>0</v>
      </c>
      <c r="C656" s="16" t="s">
        <v>3415</v>
      </c>
      <c r="D656" s="16" t="s">
        <v>3403</v>
      </c>
      <c r="F656" s="16"/>
    </row>
    <row r="657" spans="1:6">
      <c r="A657" s="16">
        <v>6700200000</v>
      </c>
      <c r="B657" s="16">
        <v>0</v>
      </c>
      <c r="C657" s="16" t="s">
        <v>3404</v>
      </c>
      <c r="D657" s="16" t="s">
        <v>3409</v>
      </c>
      <c r="F657" s="16"/>
    </row>
    <row r="658" spans="1:6">
      <c r="A658" s="16">
        <v>6700200000</v>
      </c>
      <c r="B658" s="16">
        <v>0</v>
      </c>
      <c r="C658" s="16" t="s">
        <v>3404</v>
      </c>
      <c r="D658" s="16" t="s">
        <v>3409</v>
      </c>
      <c r="F658" s="16"/>
    </row>
    <row r="659" spans="1:6">
      <c r="A659" s="16">
        <v>6700100000</v>
      </c>
      <c r="B659" s="16">
        <v>0</v>
      </c>
      <c r="C659" s="16" t="s">
        <v>3404</v>
      </c>
      <c r="D659" s="16" t="s">
        <v>3410</v>
      </c>
      <c r="F659" s="16"/>
    </row>
    <row r="660" spans="1:6">
      <c r="A660" s="16">
        <v>6610000000</v>
      </c>
      <c r="B660" s="16">
        <v>229</v>
      </c>
      <c r="C660" s="16" t="s">
        <v>3413</v>
      </c>
      <c r="D660" s="16" t="s">
        <v>3418</v>
      </c>
      <c r="F660" s="16"/>
    </row>
    <row r="661" spans="1:6">
      <c r="A661" s="16">
        <v>4203000000</v>
      </c>
      <c r="B661" s="16">
        <v>-229</v>
      </c>
      <c r="C661" s="16" t="s">
        <v>3408</v>
      </c>
      <c r="D661" s="16" t="s">
        <v>3403</v>
      </c>
      <c r="F661" s="16"/>
    </row>
    <row r="662" spans="1:6">
      <c r="A662" s="16">
        <v>3102000000</v>
      </c>
      <c r="B662" s="16">
        <v>0</v>
      </c>
      <c r="C662" s="16" t="s">
        <v>3424</v>
      </c>
      <c r="D662" s="16" t="s">
        <v>3403</v>
      </c>
      <c r="F662" s="16"/>
    </row>
    <row r="663" spans="1:6">
      <c r="A663" s="16">
        <v>6102000000</v>
      </c>
      <c r="B663" s="16">
        <v>0</v>
      </c>
      <c r="C663" s="16" t="s">
        <v>3425</v>
      </c>
      <c r="D663" s="16" t="s">
        <v>3426</v>
      </c>
      <c r="F663" s="16"/>
    </row>
    <row r="664" spans="1:6">
      <c r="A664" s="16">
        <v>6104000000</v>
      </c>
      <c r="B664" s="16">
        <v>0</v>
      </c>
      <c r="C664" s="16" t="s">
        <v>3416</v>
      </c>
      <c r="D664" s="16" t="s">
        <v>3417</v>
      </c>
      <c r="F664" s="16"/>
    </row>
    <row r="665" spans="1:6">
      <c r="A665" s="16">
        <v>3103000000</v>
      </c>
      <c r="B665" s="16">
        <v>0</v>
      </c>
      <c r="C665" s="16" t="s">
        <v>3402</v>
      </c>
      <c r="D665" s="16" t="s">
        <v>3403</v>
      </c>
      <c r="F665" s="16"/>
    </row>
    <row r="666" spans="1:6">
      <c r="A666" s="16">
        <v>2500000000</v>
      </c>
      <c r="B666" s="16">
        <v>0</v>
      </c>
      <c r="C666" s="16" t="s">
        <v>3412</v>
      </c>
      <c r="D666" s="16" t="s">
        <v>3403</v>
      </c>
      <c r="F666" s="16"/>
    </row>
    <row r="667" spans="1:6">
      <c r="A667" s="16">
        <v>5010000000</v>
      </c>
      <c r="B667" s="16">
        <v>0</v>
      </c>
      <c r="C667" s="16" t="s">
        <v>3406</v>
      </c>
      <c r="D667" s="16" t="s">
        <v>3411</v>
      </c>
      <c r="F667" s="16"/>
    </row>
    <row r="668" spans="1:6">
      <c r="A668" s="16">
        <v>6700200000</v>
      </c>
      <c r="B668" s="16">
        <v>0</v>
      </c>
      <c r="C668" s="16" t="s">
        <v>3404</v>
      </c>
      <c r="D668" s="16" t="s">
        <v>3409</v>
      </c>
      <c r="F668" s="16"/>
    </row>
    <row r="669" spans="1:6">
      <c r="A669" s="16">
        <v>6700100000</v>
      </c>
      <c r="B669" s="16">
        <v>0</v>
      </c>
      <c r="C669" s="16" t="s">
        <v>3404</v>
      </c>
      <c r="D669" s="16" t="s">
        <v>3410</v>
      </c>
      <c r="F669" s="16"/>
    </row>
    <row r="670" spans="1:6">
      <c r="A670" s="16">
        <v>5052000000</v>
      </c>
      <c r="B670" s="16">
        <v>2995033</v>
      </c>
      <c r="C670" s="16" t="s">
        <v>3406</v>
      </c>
      <c r="D670" s="16" t="s">
        <v>3422</v>
      </c>
      <c r="F670" s="16"/>
    </row>
    <row r="671" spans="1:6">
      <c r="A671" s="16">
        <v>4011000000</v>
      </c>
      <c r="B671" s="16">
        <v>-2995033</v>
      </c>
      <c r="C671" s="16" t="s">
        <v>3431</v>
      </c>
      <c r="D671" s="16" t="s">
        <v>3403</v>
      </c>
      <c r="F671" s="16"/>
    </row>
    <row r="672" spans="1:6">
      <c r="A672" s="16">
        <v>6100000000</v>
      </c>
      <c r="B672" s="16">
        <v>21758761</v>
      </c>
      <c r="C672" s="16" t="s">
        <v>3416</v>
      </c>
      <c r="D672" s="16" t="s">
        <v>3417</v>
      </c>
      <c r="F672" s="16"/>
    </row>
    <row r="673" spans="1:6">
      <c r="A673" s="16">
        <v>3100000000</v>
      </c>
      <c r="B673" s="16">
        <v>-21758761</v>
      </c>
      <c r="C673" s="16" t="s">
        <v>3402</v>
      </c>
      <c r="D673" s="16" t="s">
        <v>3403</v>
      </c>
      <c r="F673" s="16"/>
    </row>
    <row r="674" spans="1:6">
      <c r="A674" s="16">
        <v>6700200000</v>
      </c>
      <c r="B674" s="16">
        <v>0</v>
      </c>
      <c r="C674" s="16" t="s">
        <v>3404</v>
      </c>
      <c r="D674" s="16" t="s">
        <v>3409</v>
      </c>
      <c r="F674" s="16"/>
    </row>
    <row r="675" spans="1:6">
      <c r="A675" s="16">
        <v>6700100000</v>
      </c>
      <c r="B675" s="16">
        <v>0</v>
      </c>
      <c r="C675" s="16" t="s">
        <v>3404</v>
      </c>
      <c r="D675" s="16" t="s">
        <v>3410</v>
      </c>
      <c r="F675" s="16"/>
    </row>
    <row r="676" spans="1:6">
      <c r="A676" s="16">
        <v>6700200000</v>
      </c>
      <c r="B676" s="16">
        <v>0</v>
      </c>
      <c r="C676" s="16" t="s">
        <v>3404</v>
      </c>
      <c r="D676" s="16" t="s">
        <v>3409</v>
      </c>
      <c r="F676" s="16"/>
    </row>
    <row r="677" spans="1:6">
      <c r="A677" s="16">
        <v>2201200030</v>
      </c>
      <c r="B677" s="16">
        <v>0</v>
      </c>
      <c r="C677" s="16" t="s">
        <v>3415</v>
      </c>
      <c r="D677" s="16" t="s">
        <v>3403</v>
      </c>
      <c r="F677" s="16"/>
    </row>
    <row r="678" spans="1:6">
      <c r="A678" s="16">
        <v>5050000000</v>
      </c>
      <c r="B678" s="16">
        <v>0</v>
      </c>
      <c r="C678" s="16" t="s">
        <v>3406</v>
      </c>
      <c r="D678" s="16" t="s">
        <v>3422</v>
      </c>
      <c r="F678" s="16"/>
    </row>
    <row r="679" spans="1:6">
      <c r="A679" s="16">
        <v>3800000000</v>
      </c>
      <c r="B679" s="16">
        <v>0</v>
      </c>
      <c r="C679" s="16" t="s">
        <v>3402</v>
      </c>
      <c r="D679" s="16" t="s">
        <v>3403</v>
      </c>
      <c r="F679" s="16"/>
    </row>
    <row r="680" spans="1:6">
      <c r="A680" s="16">
        <v>6700200000</v>
      </c>
      <c r="B680" s="16">
        <v>0</v>
      </c>
      <c r="C680" s="16" t="s">
        <v>3404</v>
      </c>
      <c r="D680" s="16" t="s">
        <v>3409</v>
      </c>
      <c r="F680" s="16"/>
    </row>
    <row r="681" spans="1:6">
      <c r="A681" s="16">
        <v>6700100000</v>
      </c>
      <c r="B681" s="16">
        <v>0</v>
      </c>
      <c r="C681" s="16" t="s">
        <v>3404</v>
      </c>
      <c r="D681" s="16" t="s">
        <v>3410</v>
      </c>
      <c r="F681" s="16"/>
    </row>
    <row r="682" spans="1:6">
      <c r="A682" s="16">
        <v>6100000000</v>
      </c>
      <c r="B682" s="16">
        <v>13562</v>
      </c>
      <c r="C682" s="16" t="s">
        <v>3427</v>
      </c>
      <c r="D682" s="16" t="s">
        <v>3417</v>
      </c>
      <c r="F682" s="16"/>
    </row>
    <row r="683" spans="1:6">
      <c r="A683" s="16">
        <v>3100000000</v>
      </c>
      <c r="B683" s="16">
        <v>-13562</v>
      </c>
      <c r="C683" s="16" t="s">
        <v>3402</v>
      </c>
      <c r="D683" s="16" t="s">
        <v>3403</v>
      </c>
      <c r="F683" s="16"/>
    </row>
    <row r="684" spans="1:6">
      <c r="A684" s="16">
        <v>2500000000</v>
      </c>
      <c r="B684" s="16">
        <v>18265026</v>
      </c>
      <c r="C684" s="16" t="s">
        <v>3412</v>
      </c>
      <c r="D684" s="16" t="s">
        <v>3403</v>
      </c>
      <c r="F684" s="16"/>
    </row>
    <row r="685" spans="1:6">
      <c r="A685" s="16">
        <v>5010100000</v>
      </c>
      <c r="B685" s="16">
        <v>-18265026</v>
      </c>
      <c r="C685" s="16" t="s">
        <v>3406</v>
      </c>
      <c r="D685" s="16" t="s">
        <v>3407</v>
      </c>
      <c r="F685" s="16"/>
    </row>
    <row r="686" spans="1:6">
      <c r="A686" s="16">
        <v>3102000000</v>
      </c>
      <c r="B686" s="16">
        <v>0</v>
      </c>
      <c r="C686" s="16" t="s">
        <v>3424</v>
      </c>
      <c r="D686" s="16" t="s">
        <v>3403</v>
      </c>
      <c r="F686" s="16"/>
    </row>
    <row r="687" spans="1:6">
      <c r="A687" s="16">
        <v>6102000000</v>
      </c>
      <c r="B687" s="16">
        <v>0</v>
      </c>
      <c r="C687" s="16" t="s">
        <v>3425</v>
      </c>
      <c r="D687" s="16" t="s">
        <v>3426</v>
      </c>
      <c r="F687" s="16"/>
    </row>
    <row r="688" spans="1:6">
      <c r="A688" s="16">
        <v>6700200000</v>
      </c>
      <c r="B688" s="16">
        <v>0</v>
      </c>
      <c r="C688" s="16" t="s">
        <v>3404</v>
      </c>
      <c r="D688" s="16" t="s">
        <v>3409</v>
      </c>
      <c r="F688" s="16"/>
    </row>
    <row r="689" spans="1:6">
      <c r="A689" s="16">
        <v>2201200030</v>
      </c>
      <c r="B689" s="16">
        <v>0</v>
      </c>
      <c r="C689" s="16" t="s">
        <v>3415</v>
      </c>
      <c r="D689" s="16" t="s">
        <v>3403</v>
      </c>
      <c r="F689" s="16"/>
    </row>
    <row r="690" spans="1:6">
      <c r="A690" s="16">
        <v>6610100000</v>
      </c>
      <c r="B690" s="16">
        <v>0</v>
      </c>
      <c r="C690" s="16" t="s">
        <v>3413</v>
      </c>
      <c r="D690" s="16" t="s">
        <v>3414</v>
      </c>
      <c r="F690" s="16"/>
    </row>
    <row r="691" spans="1:6">
      <c r="A691" s="16">
        <v>4203000000</v>
      </c>
      <c r="B691" s="16">
        <v>0</v>
      </c>
      <c r="C691" s="16" t="s">
        <v>3408</v>
      </c>
      <c r="D691" s="16" t="s">
        <v>3403</v>
      </c>
      <c r="F691" s="16"/>
    </row>
    <row r="692" spans="1:6">
      <c r="A692" s="16">
        <v>5010100010</v>
      </c>
      <c r="B692" s="16">
        <v>91091</v>
      </c>
      <c r="C692" s="16" t="s">
        <v>3406</v>
      </c>
      <c r="D692" s="16" t="s">
        <v>3407</v>
      </c>
      <c r="F692" s="16"/>
    </row>
    <row r="693" spans="1:6">
      <c r="A693" s="16">
        <v>3710000000</v>
      </c>
      <c r="B693" s="16">
        <v>-91091</v>
      </c>
      <c r="C693" s="16" t="s">
        <v>3402</v>
      </c>
      <c r="D693" s="16" t="s">
        <v>3403</v>
      </c>
      <c r="F693" s="16"/>
    </row>
    <row r="694" spans="1:6">
      <c r="A694" s="16">
        <v>2500000000</v>
      </c>
      <c r="B694" s="16">
        <v>46989161</v>
      </c>
      <c r="C694" s="16" t="s">
        <v>3412</v>
      </c>
      <c r="D694" s="16" t="s">
        <v>3403</v>
      </c>
      <c r="F694" s="16"/>
    </row>
    <row r="695" spans="1:6">
      <c r="A695" s="16">
        <v>5010100000</v>
      </c>
      <c r="B695" s="16">
        <v>-46989161</v>
      </c>
      <c r="C695" s="16" t="s">
        <v>3406</v>
      </c>
      <c r="D695" s="16" t="s">
        <v>3407</v>
      </c>
      <c r="F695" s="16"/>
    </row>
    <row r="696" spans="1:6">
      <c r="A696" s="16">
        <v>5050000000</v>
      </c>
      <c r="B696" s="16">
        <v>0</v>
      </c>
      <c r="C696" s="16" t="s">
        <v>3406</v>
      </c>
      <c r="D696" s="16" t="s">
        <v>3422</v>
      </c>
      <c r="F696" s="16"/>
    </row>
    <row r="697" spans="1:6">
      <c r="A697" s="16">
        <v>3800000000</v>
      </c>
      <c r="B697" s="16">
        <v>0</v>
      </c>
      <c r="C697" s="16" t="s">
        <v>3402</v>
      </c>
      <c r="D697" s="16" t="s">
        <v>3403</v>
      </c>
      <c r="F697" s="16"/>
    </row>
    <row r="698" spans="1:6">
      <c r="A698" s="16">
        <v>6700200000</v>
      </c>
      <c r="B698" s="16">
        <v>0</v>
      </c>
      <c r="C698" s="16" t="s">
        <v>3404</v>
      </c>
      <c r="D698" s="16" t="s">
        <v>3409</v>
      </c>
      <c r="F698" s="16"/>
    </row>
    <row r="699" spans="1:6">
      <c r="A699" s="16">
        <v>6700000000</v>
      </c>
      <c r="B699" s="16">
        <v>0</v>
      </c>
      <c r="C699" s="16" t="s">
        <v>3404</v>
      </c>
      <c r="D699" s="16" t="s">
        <v>3405</v>
      </c>
      <c r="F699" s="16"/>
    </row>
    <row r="700" spans="1:6">
      <c r="A700" s="16">
        <v>6610000000</v>
      </c>
      <c r="B700" s="16">
        <v>0</v>
      </c>
      <c r="C700" s="16" t="s">
        <v>3413</v>
      </c>
      <c r="D700" s="16" t="s">
        <v>3418</v>
      </c>
      <c r="F700" s="16"/>
    </row>
    <row r="701" spans="1:6">
      <c r="A701" s="16">
        <v>4203000000</v>
      </c>
      <c r="B701" s="16">
        <v>0</v>
      </c>
      <c r="C701" s="16" t="s">
        <v>3408</v>
      </c>
      <c r="D701" s="16" t="s">
        <v>3403</v>
      </c>
      <c r="F701" s="16"/>
    </row>
    <row r="702" spans="1:6">
      <c r="A702" s="16">
        <v>2500000000</v>
      </c>
      <c r="B702" s="16">
        <v>0</v>
      </c>
      <c r="C702" s="16" t="s">
        <v>3412</v>
      </c>
      <c r="D702" s="16" t="s">
        <v>3403</v>
      </c>
      <c r="F702" s="16"/>
    </row>
    <row r="703" spans="1:6">
      <c r="A703" s="16">
        <v>5010000000</v>
      </c>
      <c r="B703" s="16">
        <v>0</v>
      </c>
      <c r="C703" s="16" t="s">
        <v>3406</v>
      </c>
      <c r="D703" s="16" t="s">
        <v>3411</v>
      </c>
      <c r="F703" s="16"/>
    </row>
    <row r="704" spans="1:6">
      <c r="A704" s="16">
        <v>6700600000</v>
      </c>
      <c r="B704" s="16">
        <v>0</v>
      </c>
      <c r="C704" s="16" t="s">
        <v>3404</v>
      </c>
      <c r="D704" s="16" t="s">
        <v>3409</v>
      </c>
      <c r="F704" s="16"/>
    </row>
    <row r="705" spans="1:6">
      <c r="A705" s="16">
        <v>6700400000</v>
      </c>
      <c r="B705" s="16">
        <v>0</v>
      </c>
      <c r="C705" s="16" t="s">
        <v>3404</v>
      </c>
      <c r="D705" s="16" t="s">
        <v>3405</v>
      </c>
      <c r="F705" s="16"/>
    </row>
    <row r="706" spans="1:6">
      <c r="A706" s="16">
        <v>2500000000</v>
      </c>
      <c r="B706" s="16">
        <v>0</v>
      </c>
      <c r="C706" s="16" t="s">
        <v>3412</v>
      </c>
      <c r="D706" s="16" t="s">
        <v>3403</v>
      </c>
      <c r="F706" s="16"/>
    </row>
    <row r="707" spans="1:6">
      <c r="A707" s="16">
        <v>5010100000</v>
      </c>
      <c r="B707" s="16">
        <v>0</v>
      </c>
      <c r="C707" s="16" t="s">
        <v>3406</v>
      </c>
      <c r="D707" s="16" t="s">
        <v>3407</v>
      </c>
      <c r="F707" s="16"/>
    </row>
    <row r="708" spans="1:6">
      <c r="A708" s="16">
        <v>6104000000</v>
      </c>
      <c r="B708" s="16">
        <v>0</v>
      </c>
      <c r="C708" s="16" t="s">
        <v>3416</v>
      </c>
      <c r="D708" s="16" t="s">
        <v>3417</v>
      </c>
      <c r="F708" s="16"/>
    </row>
    <row r="709" spans="1:6">
      <c r="A709" s="16">
        <v>3103000000</v>
      </c>
      <c r="B709" s="16">
        <v>0</v>
      </c>
      <c r="C709" s="16" t="s">
        <v>3402</v>
      </c>
      <c r="D709" s="16" t="s">
        <v>3403</v>
      </c>
      <c r="F709" s="16"/>
    </row>
    <row r="710" spans="1:6">
      <c r="A710" s="16">
        <v>6610000000</v>
      </c>
      <c r="B710" s="16">
        <v>0</v>
      </c>
      <c r="C710" s="16" t="s">
        <v>3413</v>
      </c>
      <c r="D710" s="16" t="s">
        <v>3418</v>
      </c>
      <c r="F710" s="16"/>
    </row>
    <row r="711" spans="1:6">
      <c r="A711" s="16">
        <v>4203000000</v>
      </c>
      <c r="B711" s="16">
        <v>0</v>
      </c>
      <c r="C711" s="16" t="s">
        <v>3408</v>
      </c>
      <c r="D711" s="16" t="s">
        <v>3403</v>
      </c>
      <c r="F711" s="16"/>
    </row>
    <row r="712" spans="1:6">
      <c r="A712" s="16">
        <v>6700200000</v>
      </c>
      <c r="B712" s="16">
        <v>0</v>
      </c>
      <c r="C712" s="16" t="s">
        <v>3404</v>
      </c>
      <c r="D712" s="16" t="s">
        <v>3409</v>
      </c>
      <c r="F712" s="16"/>
    </row>
    <row r="713" spans="1:6">
      <c r="A713" s="16">
        <v>6700000000</v>
      </c>
      <c r="B713" s="16">
        <v>0</v>
      </c>
      <c r="C713" s="16" t="s">
        <v>3404</v>
      </c>
      <c r="D713" s="16" t="s">
        <v>3405</v>
      </c>
      <c r="F713" s="16"/>
    </row>
    <row r="714" spans="1:6">
      <c r="A714" s="16">
        <v>2750010000</v>
      </c>
      <c r="B714" s="16">
        <v>0</v>
      </c>
      <c r="C714" s="16" t="s">
        <v>3419</v>
      </c>
      <c r="D714" s="16" t="s">
        <v>3403</v>
      </c>
      <c r="F714" s="16"/>
    </row>
    <row r="715" spans="1:6">
      <c r="A715" s="16">
        <v>6610000100</v>
      </c>
      <c r="B715" s="16">
        <v>0</v>
      </c>
      <c r="C715" s="16" t="s">
        <v>3413</v>
      </c>
      <c r="D715" s="16" t="s">
        <v>3418</v>
      </c>
      <c r="F715" s="16"/>
    </row>
    <row r="716" spans="1:6">
      <c r="A716" s="16">
        <v>6610100000</v>
      </c>
      <c r="B716" s="16">
        <v>0</v>
      </c>
      <c r="C716" s="16" t="s">
        <v>3413</v>
      </c>
      <c r="D716" s="16" t="s">
        <v>3414</v>
      </c>
      <c r="F716" s="16"/>
    </row>
    <row r="717" spans="1:6">
      <c r="A717" s="16">
        <v>4203000000</v>
      </c>
      <c r="B717" s="16">
        <v>0</v>
      </c>
      <c r="C717" s="16" t="s">
        <v>3408</v>
      </c>
      <c r="D717" s="16" t="s">
        <v>3403</v>
      </c>
      <c r="F717" s="16"/>
    </row>
    <row r="718" spans="1:6">
      <c r="A718" s="16">
        <v>2201000030</v>
      </c>
      <c r="B718" s="16">
        <v>0</v>
      </c>
      <c r="C718" s="16" t="s">
        <v>3415</v>
      </c>
      <c r="D718" s="16" t="s">
        <v>3403</v>
      </c>
      <c r="F718" s="16"/>
    </row>
    <row r="719" spans="1:6">
      <c r="A719" s="16">
        <v>6700200000</v>
      </c>
      <c r="B719" s="16">
        <v>0</v>
      </c>
      <c r="C719" s="16" t="s">
        <v>3404</v>
      </c>
      <c r="D719" s="16" t="s">
        <v>3409</v>
      </c>
      <c r="F719" s="16"/>
    </row>
    <row r="720" spans="1:6">
      <c r="A720" s="16">
        <v>6060010000</v>
      </c>
      <c r="B720" s="16">
        <v>0</v>
      </c>
      <c r="C720" s="16" t="s">
        <v>3420</v>
      </c>
      <c r="D720" s="16" t="s">
        <v>3421</v>
      </c>
      <c r="F720" s="16"/>
    </row>
    <row r="721" spans="1:6">
      <c r="A721" s="16">
        <v>5052000000</v>
      </c>
      <c r="B721" s="16">
        <v>0</v>
      </c>
      <c r="C721" s="16" t="s">
        <v>3406</v>
      </c>
      <c r="D721" s="16" t="s">
        <v>3422</v>
      </c>
      <c r="F721" s="16"/>
    </row>
    <row r="722" spans="1:6">
      <c r="A722" s="16">
        <v>6610000000</v>
      </c>
      <c r="B722" s="16">
        <v>0</v>
      </c>
      <c r="C722" s="16" t="s">
        <v>3413</v>
      </c>
      <c r="D722" s="16" t="s">
        <v>3418</v>
      </c>
      <c r="F722" s="16"/>
    </row>
    <row r="723" spans="1:6">
      <c r="A723" s="16">
        <v>4203000000</v>
      </c>
      <c r="B723" s="16">
        <v>0</v>
      </c>
      <c r="C723" s="16" t="s">
        <v>3408</v>
      </c>
      <c r="D723" s="16" t="s">
        <v>3403</v>
      </c>
      <c r="F723" s="16"/>
    </row>
    <row r="724" spans="1:6">
      <c r="A724" s="16">
        <v>6104000000</v>
      </c>
      <c r="B724" s="16">
        <v>0</v>
      </c>
      <c r="C724" s="16" t="s">
        <v>3416</v>
      </c>
      <c r="D724" s="16" t="s">
        <v>3417</v>
      </c>
      <c r="F724" s="16"/>
    </row>
    <row r="725" spans="1:6">
      <c r="A725" s="16">
        <v>3103000000</v>
      </c>
      <c r="B725" s="16">
        <v>0</v>
      </c>
      <c r="C725" s="16" t="s">
        <v>3402</v>
      </c>
      <c r="D725" s="16" t="s">
        <v>3403</v>
      </c>
      <c r="F725" s="16"/>
    </row>
    <row r="726" spans="1:6">
      <c r="A726" s="16">
        <v>2750010000</v>
      </c>
      <c r="B726" s="16">
        <v>0</v>
      </c>
      <c r="C726" s="16" t="s">
        <v>3419</v>
      </c>
      <c r="D726" s="16" t="s">
        <v>3403</v>
      </c>
      <c r="F726" s="16"/>
    </row>
    <row r="727" spans="1:6">
      <c r="A727" s="16">
        <v>6610100100</v>
      </c>
      <c r="B727" s="16">
        <v>0</v>
      </c>
      <c r="C727" s="16" t="s">
        <v>3413</v>
      </c>
      <c r="D727" s="16" t="s">
        <v>3414</v>
      </c>
      <c r="F727" s="16"/>
    </row>
    <row r="728" spans="1:6">
      <c r="A728" s="16">
        <v>6100000000</v>
      </c>
      <c r="B728" s="16">
        <v>0</v>
      </c>
      <c r="C728" s="16" t="s">
        <v>3427</v>
      </c>
      <c r="D728" s="16" t="s">
        <v>3417</v>
      </c>
      <c r="F728" s="16"/>
    </row>
    <row r="729" spans="1:6">
      <c r="A729" s="16">
        <v>3100000000</v>
      </c>
      <c r="B729" s="16">
        <v>0</v>
      </c>
      <c r="C729" s="16" t="s">
        <v>3402</v>
      </c>
      <c r="D729" s="16" t="s">
        <v>3403</v>
      </c>
      <c r="F729" s="16"/>
    </row>
    <row r="730" spans="1:6">
      <c r="A730" s="16">
        <v>6700200000</v>
      </c>
      <c r="B730" s="16">
        <v>0</v>
      </c>
      <c r="C730" s="16" t="s">
        <v>3404</v>
      </c>
      <c r="D730" s="16" t="s">
        <v>3409</v>
      </c>
      <c r="F730" s="16"/>
    </row>
    <row r="731" spans="1:6">
      <c r="A731" s="16">
        <v>6700100000</v>
      </c>
      <c r="B731" s="16">
        <v>0</v>
      </c>
      <c r="C731" s="16" t="s">
        <v>3404</v>
      </c>
      <c r="D731" s="16" t="s">
        <v>3410</v>
      </c>
      <c r="F731" s="16"/>
    </row>
    <row r="732" spans="1:6">
      <c r="A732" s="16">
        <v>6610000000</v>
      </c>
      <c r="B732" s="16">
        <v>0</v>
      </c>
      <c r="C732" s="16" t="s">
        <v>3413</v>
      </c>
      <c r="D732" s="16" t="s">
        <v>3418</v>
      </c>
      <c r="F732" s="16"/>
    </row>
    <row r="733" spans="1:6">
      <c r="A733" s="16">
        <v>4203000000</v>
      </c>
      <c r="B733" s="16">
        <v>0</v>
      </c>
      <c r="C733" s="16" t="s">
        <v>3408</v>
      </c>
      <c r="D733" s="16" t="s">
        <v>3403</v>
      </c>
      <c r="F733" s="16"/>
    </row>
    <row r="734" spans="1:6">
      <c r="A734" s="16">
        <v>2750010000</v>
      </c>
      <c r="B734" s="16">
        <v>0</v>
      </c>
      <c r="C734" s="16" t="s">
        <v>3419</v>
      </c>
      <c r="D734" s="16" t="s">
        <v>3403</v>
      </c>
      <c r="F734" s="16"/>
    </row>
    <row r="735" spans="1:6">
      <c r="A735" s="16">
        <v>6610000100</v>
      </c>
      <c r="B735" s="16">
        <v>0</v>
      </c>
      <c r="C735" s="16" t="s">
        <v>3413</v>
      </c>
      <c r="D735" s="16" t="s">
        <v>3418</v>
      </c>
      <c r="F735" s="16"/>
    </row>
    <row r="736" spans="1:6">
      <c r="A736" s="16">
        <v>6610000000</v>
      </c>
      <c r="B736" s="16">
        <v>0</v>
      </c>
      <c r="C736" s="16" t="s">
        <v>3413</v>
      </c>
      <c r="D736" s="16" t="s">
        <v>3418</v>
      </c>
      <c r="F736" s="16"/>
    </row>
    <row r="737" spans="1:6">
      <c r="A737" s="16">
        <v>4203000000</v>
      </c>
      <c r="B737" s="16">
        <v>0</v>
      </c>
      <c r="C737" s="16" t="s">
        <v>3408</v>
      </c>
      <c r="D737" s="16" t="s">
        <v>3403</v>
      </c>
      <c r="F737" s="16"/>
    </row>
    <row r="738" spans="1:6">
      <c r="A738" s="16">
        <v>2500000000</v>
      </c>
      <c r="B738" s="16">
        <v>0</v>
      </c>
      <c r="C738" s="16" t="s">
        <v>3412</v>
      </c>
      <c r="D738" s="16" t="s">
        <v>3403</v>
      </c>
      <c r="F738" s="16"/>
    </row>
    <row r="739" spans="1:6">
      <c r="A739" s="16">
        <v>5010000000</v>
      </c>
      <c r="B739" s="16">
        <v>0</v>
      </c>
      <c r="C739" s="16" t="s">
        <v>3406</v>
      </c>
      <c r="D739" s="16" t="s">
        <v>3411</v>
      </c>
      <c r="F739" s="16"/>
    </row>
    <row r="740" spans="1:6">
      <c r="A740" s="16">
        <v>6700600000</v>
      </c>
      <c r="B740" s="16">
        <v>0</v>
      </c>
      <c r="C740" s="16" t="s">
        <v>3404</v>
      </c>
      <c r="D740" s="16" t="s">
        <v>3409</v>
      </c>
      <c r="F740" s="16"/>
    </row>
    <row r="741" spans="1:6">
      <c r="A741" s="16">
        <v>6700400000</v>
      </c>
      <c r="B741" s="16">
        <v>0</v>
      </c>
      <c r="C741" s="16" t="s">
        <v>3404</v>
      </c>
      <c r="D741" s="16" t="s">
        <v>3405</v>
      </c>
      <c r="F741" s="16"/>
    </row>
    <row r="742" spans="1:6">
      <c r="A742" s="16">
        <v>6700200000</v>
      </c>
      <c r="B742" s="16">
        <v>0</v>
      </c>
      <c r="C742" s="16" t="s">
        <v>3404</v>
      </c>
      <c r="D742" s="16" t="s">
        <v>3409</v>
      </c>
      <c r="F742" s="16"/>
    </row>
    <row r="743" spans="1:6">
      <c r="A743" s="16">
        <v>6700000000</v>
      </c>
      <c r="B743" s="16">
        <v>0</v>
      </c>
      <c r="C743" s="16" t="s">
        <v>3404</v>
      </c>
      <c r="D743" s="16" t="s">
        <v>3405</v>
      </c>
      <c r="F743" s="16"/>
    </row>
    <row r="744" spans="1:6">
      <c r="A744" s="16">
        <v>2750010000</v>
      </c>
      <c r="B744" s="16">
        <v>0</v>
      </c>
      <c r="C744" s="16" t="s">
        <v>3419</v>
      </c>
      <c r="D744" s="16" t="s">
        <v>3403</v>
      </c>
      <c r="F744" s="16"/>
    </row>
    <row r="745" spans="1:6">
      <c r="A745" s="16">
        <v>6610100100</v>
      </c>
      <c r="B745" s="16">
        <v>0</v>
      </c>
      <c r="C745" s="16" t="s">
        <v>3413</v>
      </c>
      <c r="D745" s="16" t="s">
        <v>3414</v>
      </c>
      <c r="F745" s="16"/>
    </row>
    <row r="746" spans="1:6">
      <c r="A746" s="16">
        <v>6700600000</v>
      </c>
      <c r="B746" s="16">
        <v>0</v>
      </c>
      <c r="C746" s="16" t="s">
        <v>3404</v>
      </c>
      <c r="D746" s="16" t="s">
        <v>3409</v>
      </c>
      <c r="F746" s="16"/>
    </row>
    <row r="747" spans="1:6">
      <c r="A747" s="16">
        <v>6700400000</v>
      </c>
      <c r="B747" s="16">
        <v>0</v>
      </c>
      <c r="C747" s="16" t="s">
        <v>3404</v>
      </c>
      <c r="D747" s="16" t="s">
        <v>3405</v>
      </c>
      <c r="F747" s="16"/>
    </row>
    <row r="748" spans="1:6">
      <c r="A748" s="16">
        <v>6700600000</v>
      </c>
      <c r="B748" s="16">
        <v>0</v>
      </c>
      <c r="C748" s="16" t="s">
        <v>3404</v>
      </c>
      <c r="D748" s="16" t="s">
        <v>3409</v>
      </c>
      <c r="F748" s="16"/>
    </row>
    <row r="749" spans="1:6">
      <c r="A749" s="16">
        <v>6700400000</v>
      </c>
      <c r="B749" s="16">
        <v>0</v>
      </c>
      <c r="C749" s="16" t="s">
        <v>3404</v>
      </c>
      <c r="D749" s="16" t="s">
        <v>3405</v>
      </c>
      <c r="F749" s="16"/>
    </row>
    <row r="750" spans="1:6">
      <c r="A750" s="16">
        <v>2201000000</v>
      </c>
      <c r="B750" s="16">
        <v>0</v>
      </c>
      <c r="C750" s="16" t="s">
        <v>3415</v>
      </c>
      <c r="D750" s="16" t="s">
        <v>3403</v>
      </c>
      <c r="F750" s="16"/>
    </row>
    <row r="751" spans="1:6">
      <c r="A751" s="16">
        <v>6700200000</v>
      </c>
      <c r="B751" s="16">
        <v>0</v>
      </c>
      <c r="C751" s="16" t="s">
        <v>3404</v>
      </c>
      <c r="D751" s="16" t="s">
        <v>3409</v>
      </c>
      <c r="F751" s="16"/>
    </row>
    <row r="752" spans="1:6">
      <c r="A752" s="16">
        <v>6100000000</v>
      </c>
      <c r="B752" s="16">
        <v>5504</v>
      </c>
      <c r="C752" s="16" t="s">
        <v>3416</v>
      </c>
      <c r="D752" s="16" t="s">
        <v>3417</v>
      </c>
      <c r="F752" s="16"/>
    </row>
    <row r="753" spans="1:6">
      <c r="A753" s="16">
        <v>3100000000</v>
      </c>
      <c r="B753" s="16">
        <v>-5504</v>
      </c>
      <c r="C753" s="16" t="s">
        <v>3402</v>
      </c>
      <c r="D753" s="16" t="s">
        <v>3403</v>
      </c>
      <c r="F753" s="16"/>
    </row>
    <row r="754" spans="1:6">
      <c r="A754" s="16">
        <v>2500000000</v>
      </c>
      <c r="B754" s="16">
        <v>-1763</v>
      </c>
      <c r="C754" s="16" t="s">
        <v>3412</v>
      </c>
      <c r="D754" s="16" t="s">
        <v>3403</v>
      </c>
      <c r="F754" s="16"/>
    </row>
    <row r="755" spans="1:6">
      <c r="A755" s="16">
        <v>5010000000</v>
      </c>
      <c r="B755" s="16">
        <v>1763</v>
      </c>
      <c r="C755" s="16" t="s">
        <v>3406</v>
      </c>
      <c r="D755" s="16" t="s">
        <v>3411</v>
      </c>
      <c r="F755" s="16"/>
    </row>
    <row r="756" spans="1:6">
      <c r="A756" s="16">
        <v>2500000000</v>
      </c>
      <c r="B756" s="16">
        <v>0</v>
      </c>
      <c r="C756" s="16" t="s">
        <v>3412</v>
      </c>
      <c r="D756" s="16" t="s">
        <v>3403</v>
      </c>
      <c r="F756" s="16"/>
    </row>
    <row r="757" spans="1:6">
      <c r="A757" s="16">
        <v>5010000000</v>
      </c>
      <c r="B757" s="16">
        <v>0</v>
      </c>
      <c r="C757" s="16" t="s">
        <v>3406</v>
      </c>
      <c r="D757" s="16" t="s">
        <v>3411</v>
      </c>
      <c r="F757" s="16"/>
    </row>
    <row r="758" spans="1:6">
      <c r="A758" s="16">
        <v>3032000000</v>
      </c>
      <c r="B758" s="16">
        <v>0</v>
      </c>
      <c r="C758" s="16" t="s">
        <v>3424</v>
      </c>
      <c r="D758" s="16" t="s">
        <v>3403</v>
      </c>
      <c r="F758" s="16"/>
    </row>
    <row r="759" spans="1:6">
      <c r="A759" s="16">
        <v>6032000000</v>
      </c>
      <c r="B759" s="16">
        <v>0</v>
      </c>
      <c r="C759" s="16" t="s">
        <v>3429</v>
      </c>
      <c r="D759" s="16" t="s">
        <v>3430</v>
      </c>
      <c r="F759" s="16"/>
    </row>
    <row r="760" spans="1:6">
      <c r="A760" s="16">
        <v>6100000000</v>
      </c>
      <c r="B760" s="16">
        <v>68329291</v>
      </c>
      <c r="C760" s="16" t="s">
        <v>3416</v>
      </c>
      <c r="D760" s="16" t="s">
        <v>3417</v>
      </c>
      <c r="F760" s="16"/>
    </row>
    <row r="761" spans="1:6">
      <c r="A761" s="16">
        <v>4010100000</v>
      </c>
      <c r="B761" s="16">
        <v>-68329291</v>
      </c>
      <c r="C761" s="16" t="s">
        <v>3431</v>
      </c>
      <c r="D761" s="16" t="s">
        <v>3403</v>
      </c>
      <c r="F761" s="16"/>
    </row>
    <row r="762" spans="1:6">
      <c r="A762" s="16">
        <v>6610000000</v>
      </c>
      <c r="B762" s="16">
        <v>0</v>
      </c>
      <c r="C762" s="16" t="s">
        <v>3413</v>
      </c>
      <c r="D762" s="16" t="s">
        <v>3418</v>
      </c>
      <c r="F762" s="16"/>
    </row>
    <row r="763" spans="1:6">
      <c r="A763" s="16">
        <v>4203000000</v>
      </c>
      <c r="B763" s="16">
        <v>0</v>
      </c>
      <c r="C763" s="16" t="s">
        <v>3408</v>
      </c>
      <c r="D763" s="16" t="s">
        <v>3403</v>
      </c>
      <c r="F763" s="16"/>
    </row>
    <row r="764" spans="1:6">
      <c r="A764" s="16">
        <v>2500000000</v>
      </c>
      <c r="B764" s="16">
        <v>0</v>
      </c>
      <c r="C764" s="16" t="s">
        <v>3412</v>
      </c>
      <c r="D764" s="16" t="s">
        <v>3403</v>
      </c>
      <c r="F764" s="16"/>
    </row>
    <row r="765" spans="1:6">
      <c r="A765" s="16">
        <v>5010100000</v>
      </c>
      <c r="B765" s="16">
        <v>0</v>
      </c>
      <c r="C765" s="16" t="s">
        <v>3406</v>
      </c>
      <c r="D765" s="16" t="s">
        <v>3407</v>
      </c>
      <c r="F765" s="16"/>
    </row>
    <row r="766" spans="1:6">
      <c r="A766" s="16">
        <v>5010000010</v>
      </c>
      <c r="B766" s="16">
        <v>0</v>
      </c>
      <c r="C766" s="16" t="s">
        <v>3406</v>
      </c>
      <c r="D766" s="16" t="s">
        <v>3411</v>
      </c>
      <c r="F766" s="16"/>
    </row>
    <row r="767" spans="1:6">
      <c r="A767" s="16">
        <v>3710000000</v>
      </c>
      <c r="B767" s="16">
        <v>0</v>
      </c>
      <c r="C767" s="16" t="s">
        <v>3402</v>
      </c>
      <c r="D767" s="16" t="s">
        <v>3403</v>
      </c>
      <c r="F767" s="16"/>
    </row>
    <row r="768" spans="1:6">
      <c r="A768" s="16">
        <v>6104000000</v>
      </c>
      <c r="B768" s="16">
        <v>0</v>
      </c>
      <c r="C768" s="16" t="s">
        <v>3416</v>
      </c>
      <c r="D768" s="16" t="s">
        <v>3417</v>
      </c>
      <c r="F768" s="16"/>
    </row>
    <row r="769" spans="1:6">
      <c r="A769" s="16">
        <v>3103000000</v>
      </c>
      <c r="B769" s="16">
        <v>0</v>
      </c>
      <c r="C769" s="16" t="s">
        <v>3402</v>
      </c>
      <c r="D769" s="16" t="s">
        <v>3403</v>
      </c>
      <c r="F769" s="16"/>
    </row>
    <row r="770" spans="1:6">
      <c r="A770" s="16">
        <v>6700200000</v>
      </c>
      <c r="B770" s="16">
        <v>0</v>
      </c>
      <c r="C770" s="16" t="s">
        <v>3404</v>
      </c>
      <c r="D770" s="16" t="s">
        <v>3409</v>
      </c>
      <c r="F770" s="16"/>
    </row>
    <row r="771" spans="1:6">
      <c r="A771" s="16">
        <v>6700100000</v>
      </c>
      <c r="B771" s="16">
        <v>0</v>
      </c>
      <c r="C771" s="16" t="s">
        <v>3404</v>
      </c>
      <c r="D771" s="16" t="s">
        <v>3410</v>
      </c>
      <c r="F771" s="16"/>
    </row>
    <row r="772" spans="1:6">
      <c r="A772" s="16">
        <v>2500000000</v>
      </c>
      <c r="B772" s="16">
        <v>0</v>
      </c>
      <c r="C772" s="16" t="s">
        <v>3412</v>
      </c>
      <c r="D772" s="16" t="s">
        <v>3403</v>
      </c>
      <c r="F772" s="16"/>
    </row>
    <row r="773" spans="1:6">
      <c r="A773" s="16">
        <v>5010100000</v>
      </c>
      <c r="B773" s="16">
        <v>0</v>
      </c>
      <c r="C773" s="16" t="s">
        <v>3406</v>
      </c>
      <c r="D773" s="16" t="s">
        <v>3407</v>
      </c>
      <c r="F773" s="16"/>
    </row>
    <row r="774" spans="1:6">
      <c r="A774" s="16">
        <v>5010100010</v>
      </c>
      <c r="B774" s="16">
        <v>0</v>
      </c>
      <c r="C774" s="16" t="s">
        <v>3406</v>
      </c>
      <c r="D774" s="16" t="s">
        <v>3407</v>
      </c>
      <c r="F774" s="16"/>
    </row>
    <row r="775" spans="1:6">
      <c r="A775" s="16">
        <v>3710000000</v>
      </c>
      <c r="B775" s="16">
        <v>0</v>
      </c>
      <c r="C775" s="16" t="s">
        <v>3402</v>
      </c>
      <c r="D775" s="16" t="s">
        <v>3403</v>
      </c>
      <c r="F775" s="16"/>
    </row>
    <row r="776" spans="1:6">
      <c r="A776" s="16">
        <v>6104000000</v>
      </c>
      <c r="B776" s="16">
        <v>0</v>
      </c>
      <c r="C776" s="16" t="s">
        <v>3427</v>
      </c>
      <c r="D776" s="16" t="s">
        <v>3417</v>
      </c>
      <c r="F776" s="16"/>
    </row>
    <row r="777" spans="1:6">
      <c r="A777" s="16">
        <v>3103000000</v>
      </c>
      <c r="B777" s="16">
        <v>0</v>
      </c>
      <c r="C777" s="16" t="s">
        <v>3402</v>
      </c>
      <c r="D777" s="16" t="s">
        <v>3403</v>
      </c>
      <c r="F777" s="16"/>
    </row>
    <row r="778" spans="1:6">
      <c r="A778" s="16">
        <v>6104000000</v>
      </c>
      <c r="B778" s="16">
        <v>0</v>
      </c>
      <c r="C778" s="16" t="s">
        <v>3427</v>
      </c>
      <c r="D778" s="16" t="s">
        <v>3417</v>
      </c>
      <c r="F778" s="16"/>
    </row>
    <row r="779" spans="1:6">
      <c r="A779" s="16">
        <v>3103000000</v>
      </c>
      <c r="B779" s="16">
        <v>0</v>
      </c>
      <c r="C779" s="16" t="s">
        <v>3402</v>
      </c>
      <c r="D779" s="16" t="s">
        <v>3403</v>
      </c>
      <c r="F779" s="16"/>
    </row>
    <row r="780" spans="1:6">
      <c r="A780" s="16">
        <v>6700200000</v>
      </c>
      <c r="B780" s="16">
        <v>0</v>
      </c>
      <c r="C780" s="16" t="s">
        <v>3404</v>
      </c>
      <c r="D780" s="16" t="s">
        <v>3409</v>
      </c>
      <c r="F780" s="16"/>
    </row>
    <row r="781" spans="1:6">
      <c r="A781" s="16">
        <v>6700100000</v>
      </c>
      <c r="B781" s="16">
        <v>0</v>
      </c>
      <c r="C781" s="16" t="s">
        <v>3404</v>
      </c>
      <c r="D781" s="16" t="s">
        <v>3410</v>
      </c>
      <c r="F781" s="16"/>
    </row>
    <row r="782" spans="1:6">
      <c r="A782" s="16">
        <v>2500000000</v>
      </c>
      <c r="B782" s="16">
        <v>58916</v>
      </c>
      <c r="C782" s="16" t="s">
        <v>3412</v>
      </c>
      <c r="D782" s="16" t="s">
        <v>3403</v>
      </c>
      <c r="F782" s="16"/>
    </row>
    <row r="783" spans="1:6">
      <c r="A783" s="16">
        <v>5010100000</v>
      </c>
      <c r="B783" s="16">
        <v>-58916</v>
      </c>
      <c r="C783" s="16" t="s">
        <v>3406</v>
      </c>
      <c r="D783" s="16" t="s">
        <v>3407</v>
      </c>
      <c r="F783" s="16"/>
    </row>
    <row r="784" spans="1:6">
      <c r="A784" s="16">
        <v>6700600000</v>
      </c>
      <c r="B784" s="16">
        <v>731</v>
      </c>
      <c r="C784" s="16" t="s">
        <v>3404</v>
      </c>
      <c r="D784" s="16" t="s">
        <v>3409</v>
      </c>
      <c r="F784" s="16"/>
    </row>
    <row r="785" spans="1:6">
      <c r="A785" s="16">
        <v>6700400000</v>
      </c>
      <c r="B785" s="16">
        <v>-731</v>
      </c>
      <c r="C785" s="16" t="s">
        <v>3404</v>
      </c>
      <c r="D785" s="16" t="s">
        <v>3405</v>
      </c>
      <c r="F785" s="16"/>
    </row>
    <row r="786" spans="1:6">
      <c r="A786" s="16">
        <v>3032000000</v>
      </c>
      <c r="B786" s="16">
        <v>0</v>
      </c>
      <c r="C786" s="16" t="s">
        <v>3424</v>
      </c>
      <c r="D786" s="16" t="s">
        <v>3403</v>
      </c>
      <c r="F786" s="16"/>
    </row>
    <row r="787" spans="1:6">
      <c r="A787" s="16">
        <v>6032000000</v>
      </c>
      <c r="B787" s="16">
        <v>0</v>
      </c>
      <c r="C787" s="16" t="s">
        <v>3429</v>
      </c>
      <c r="D787" s="16" t="s">
        <v>3430</v>
      </c>
      <c r="F787" s="16"/>
    </row>
    <row r="788" spans="1:6">
      <c r="A788" s="16">
        <v>5050000000</v>
      </c>
      <c r="B788" s="16">
        <v>0</v>
      </c>
      <c r="C788" s="16" t="s">
        <v>3406</v>
      </c>
      <c r="D788" s="16" t="s">
        <v>3422</v>
      </c>
      <c r="F788" s="16"/>
    </row>
    <row r="789" spans="1:6">
      <c r="A789" s="16">
        <v>3800000000</v>
      </c>
      <c r="B789" s="16">
        <v>0</v>
      </c>
      <c r="C789" s="16" t="s">
        <v>3402</v>
      </c>
      <c r="D789" s="16" t="s">
        <v>3403</v>
      </c>
      <c r="F789" s="16"/>
    </row>
    <row r="790" spans="1:6">
      <c r="A790" s="16">
        <v>5010000010</v>
      </c>
      <c r="B790" s="16">
        <v>0</v>
      </c>
      <c r="C790" s="16" t="s">
        <v>3406</v>
      </c>
      <c r="D790" s="16" t="s">
        <v>3411</v>
      </c>
      <c r="F790" s="16"/>
    </row>
    <row r="791" spans="1:6">
      <c r="A791" s="16">
        <v>3710000000</v>
      </c>
      <c r="B791" s="16">
        <v>0</v>
      </c>
      <c r="C791" s="16" t="s">
        <v>3402</v>
      </c>
      <c r="D791" s="16" t="s">
        <v>3403</v>
      </c>
      <c r="F791" s="16"/>
    </row>
    <row r="792" spans="1:6">
      <c r="A792" s="16">
        <v>6100000000</v>
      </c>
      <c r="B792" s="16">
        <v>202137</v>
      </c>
      <c r="C792" s="16" t="s">
        <v>3416</v>
      </c>
      <c r="D792" s="16" t="s">
        <v>3417</v>
      </c>
      <c r="F792" s="16"/>
    </row>
    <row r="793" spans="1:6">
      <c r="A793" s="16">
        <v>3100000000</v>
      </c>
      <c r="B793" s="16">
        <v>-202137</v>
      </c>
      <c r="C793" s="16" t="s">
        <v>3402</v>
      </c>
      <c r="D793" s="16" t="s">
        <v>3403</v>
      </c>
      <c r="F793" s="16"/>
    </row>
    <row r="794" spans="1:6">
      <c r="A794" s="16">
        <v>6700200000</v>
      </c>
      <c r="B794" s="16">
        <v>0</v>
      </c>
      <c r="C794" s="16" t="s">
        <v>3404</v>
      </c>
      <c r="D794" s="16" t="s">
        <v>3409</v>
      </c>
      <c r="F794" s="16"/>
    </row>
    <row r="795" spans="1:6">
      <c r="A795" s="16">
        <v>6700100000</v>
      </c>
      <c r="B795" s="16">
        <v>0</v>
      </c>
      <c r="C795" s="16" t="s">
        <v>3404</v>
      </c>
      <c r="D795" s="16" t="s">
        <v>3410</v>
      </c>
      <c r="F795" s="16"/>
    </row>
    <row r="796" spans="1:6">
      <c r="A796" s="16">
        <v>6610100000</v>
      </c>
      <c r="B796" s="16">
        <v>9391061</v>
      </c>
      <c r="C796" s="16" t="s">
        <v>3413</v>
      </c>
      <c r="D796" s="16" t="s">
        <v>3414</v>
      </c>
      <c r="F796" s="16"/>
    </row>
    <row r="797" spans="1:6">
      <c r="A797" s="16">
        <v>4203000000</v>
      </c>
      <c r="B797" s="16">
        <v>-9391061</v>
      </c>
      <c r="C797" s="16" t="s">
        <v>3408</v>
      </c>
      <c r="D797" s="16" t="s">
        <v>3403</v>
      </c>
      <c r="F797" s="16"/>
    </row>
    <row r="798" spans="1:6">
      <c r="A798" s="16">
        <v>6100000000</v>
      </c>
      <c r="B798" s="16">
        <v>1225032453</v>
      </c>
      <c r="C798" s="16" t="s">
        <v>3416</v>
      </c>
      <c r="D798" s="16" t="s">
        <v>3417</v>
      </c>
      <c r="F798" s="16"/>
    </row>
    <row r="799" spans="1:6">
      <c r="A799" s="16">
        <v>3100000000</v>
      </c>
      <c r="B799" s="16">
        <v>-1225032453</v>
      </c>
      <c r="C799" s="16" t="s">
        <v>3402</v>
      </c>
      <c r="D799" s="16" t="s">
        <v>3403</v>
      </c>
      <c r="F799" s="16"/>
    </row>
    <row r="800" spans="1:6">
      <c r="A800" s="16">
        <v>2201000000</v>
      </c>
      <c r="B800" s="16">
        <v>65212630</v>
      </c>
      <c r="C800" s="16" t="s">
        <v>3415</v>
      </c>
      <c r="D800" s="16" t="s">
        <v>3403</v>
      </c>
      <c r="F800" s="16"/>
    </row>
    <row r="801" spans="1:6">
      <c r="A801" s="16">
        <v>6700200000</v>
      </c>
      <c r="B801" s="16">
        <v>-65212630</v>
      </c>
      <c r="C801" s="16" t="s">
        <v>3404</v>
      </c>
      <c r="D801" s="16" t="s">
        <v>3409</v>
      </c>
      <c r="F801" s="16"/>
    </row>
    <row r="802" spans="1:6">
      <c r="A802" s="16">
        <v>5050000000</v>
      </c>
      <c r="B802" s="16">
        <v>0</v>
      </c>
      <c r="C802" s="16" t="s">
        <v>3406</v>
      </c>
      <c r="D802" s="16" t="s">
        <v>3422</v>
      </c>
      <c r="F802" s="16"/>
    </row>
    <row r="803" spans="1:6">
      <c r="A803" s="16">
        <v>3800000000</v>
      </c>
      <c r="B803" s="16">
        <v>0</v>
      </c>
      <c r="C803" s="16" t="s">
        <v>3402</v>
      </c>
      <c r="D803" s="16" t="s">
        <v>3403</v>
      </c>
      <c r="F803" s="16"/>
    </row>
    <row r="804" spans="1:6">
      <c r="A804" s="16">
        <v>6030000000</v>
      </c>
      <c r="B804" s="16">
        <v>1537236</v>
      </c>
      <c r="C804" s="16" t="s">
        <v>3420</v>
      </c>
      <c r="D804" s="16" t="s">
        <v>3423</v>
      </c>
      <c r="F804" s="16"/>
    </row>
    <row r="805" spans="1:6">
      <c r="A805" s="16">
        <v>3030000000</v>
      </c>
      <c r="B805" s="16">
        <v>-1537236</v>
      </c>
      <c r="C805" s="16" t="s">
        <v>3402</v>
      </c>
      <c r="D805" s="16" t="s">
        <v>3403</v>
      </c>
      <c r="F805" s="16"/>
    </row>
    <row r="806" spans="1:6">
      <c r="A806" s="16">
        <v>2201000030</v>
      </c>
      <c r="B806" s="16">
        <v>0</v>
      </c>
      <c r="C806" s="16" t="s">
        <v>3415</v>
      </c>
      <c r="D806" s="16" t="s">
        <v>3403</v>
      </c>
      <c r="F806" s="16"/>
    </row>
    <row r="807" spans="1:6">
      <c r="A807" s="16">
        <v>6700200000</v>
      </c>
      <c r="B807" s="16">
        <v>0</v>
      </c>
      <c r="C807" s="16" t="s">
        <v>3404</v>
      </c>
      <c r="D807" s="16" t="s">
        <v>3409</v>
      </c>
      <c r="F807" s="16"/>
    </row>
    <row r="808" spans="1:6">
      <c r="A808" s="16">
        <v>6100000000</v>
      </c>
      <c r="B808" s="16">
        <v>0</v>
      </c>
      <c r="C808" s="16" t="s">
        <v>3427</v>
      </c>
      <c r="D808" s="16" t="s">
        <v>3417</v>
      </c>
      <c r="F808" s="16"/>
    </row>
    <row r="809" spans="1:6">
      <c r="A809" s="16">
        <v>3100000000</v>
      </c>
      <c r="B809" s="16">
        <v>0</v>
      </c>
      <c r="C809" s="16" t="s">
        <v>3402</v>
      </c>
      <c r="D809" s="16" t="s">
        <v>3403</v>
      </c>
      <c r="F809" s="16"/>
    </row>
    <row r="810" spans="1:6">
      <c r="A810" s="16">
        <v>2500000000</v>
      </c>
      <c r="B810" s="16">
        <v>411250</v>
      </c>
      <c r="C810" s="16" t="s">
        <v>3412</v>
      </c>
      <c r="D810" s="16" t="s">
        <v>3403</v>
      </c>
      <c r="F810" s="16"/>
    </row>
    <row r="811" spans="1:6">
      <c r="A811" s="16">
        <v>5010000000</v>
      </c>
      <c r="B811" s="16">
        <v>-411250</v>
      </c>
      <c r="C811" s="16" t="s">
        <v>3406</v>
      </c>
      <c r="D811" s="16" t="s">
        <v>3411</v>
      </c>
      <c r="F811" s="16"/>
    </row>
    <row r="812" spans="1:6">
      <c r="A812" s="16">
        <v>6700600000</v>
      </c>
      <c r="B812" s="16">
        <v>0</v>
      </c>
      <c r="C812" s="16" t="s">
        <v>3404</v>
      </c>
      <c r="D812" s="16" t="s">
        <v>3409</v>
      </c>
      <c r="F812" s="16"/>
    </row>
    <row r="813" spans="1:6">
      <c r="A813" s="16">
        <v>6700400000</v>
      </c>
      <c r="B813" s="16">
        <v>0</v>
      </c>
      <c r="C813" s="16" t="s">
        <v>3404</v>
      </c>
      <c r="D813" s="16" t="s">
        <v>3405</v>
      </c>
      <c r="F813" s="16"/>
    </row>
    <row r="814" spans="1:6">
      <c r="A814" s="16">
        <v>2750010000</v>
      </c>
      <c r="B814" s="16">
        <v>0</v>
      </c>
      <c r="C814" s="16" t="s">
        <v>3419</v>
      </c>
      <c r="D814" s="16" t="s">
        <v>3403</v>
      </c>
      <c r="F814" s="16"/>
    </row>
    <row r="815" spans="1:6">
      <c r="A815" s="16">
        <v>6610000100</v>
      </c>
      <c r="B815" s="16">
        <v>0</v>
      </c>
      <c r="C815" s="16" t="s">
        <v>3413</v>
      </c>
      <c r="D815" s="16" t="s">
        <v>3418</v>
      </c>
      <c r="F815" s="16"/>
    </row>
    <row r="816" spans="1:6">
      <c r="A816" s="16">
        <v>5050000000</v>
      </c>
      <c r="B816" s="16">
        <v>0</v>
      </c>
      <c r="C816" s="16" t="s">
        <v>3406</v>
      </c>
      <c r="D816" s="16" t="s">
        <v>3422</v>
      </c>
      <c r="F816" s="16"/>
    </row>
    <row r="817" spans="1:6">
      <c r="A817" s="16">
        <v>3800000000</v>
      </c>
      <c r="B817" s="16">
        <v>0</v>
      </c>
      <c r="C817" s="16" t="s">
        <v>3402</v>
      </c>
      <c r="D817" s="16" t="s">
        <v>3403</v>
      </c>
      <c r="F817" s="16"/>
    </row>
    <row r="818" spans="1:6">
      <c r="A818" s="16">
        <v>2203000000</v>
      </c>
      <c r="B818" s="16">
        <v>0</v>
      </c>
      <c r="C818" s="16" t="s">
        <v>3415</v>
      </c>
      <c r="D818" s="16" t="s">
        <v>3403</v>
      </c>
      <c r="F818" s="16"/>
    </row>
    <row r="819" spans="1:6">
      <c r="A819" s="16">
        <v>6060110000</v>
      </c>
      <c r="B819" s="16">
        <v>0</v>
      </c>
      <c r="C819" s="16" t="s">
        <v>3420</v>
      </c>
      <c r="D819" s="16" t="s">
        <v>3421</v>
      </c>
      <c r="F819" s="16"/>
    </row>
    <row r="820" spans="1:6">
      <c r="A820" s="16">
        <v>5052010000</v>
      </c>
      <c r="B820" s="16">
        <v>0</v>
      </c>
      <c r="C820" s="16" t="s">
        <v>3406</v>
      </c>
      <c r="D820" s="16" t="s">
        <v>3422</v>
      </c>
      <c r="F820" s="16"/>
    </row>
    <row r="821" spans="1:6">
      <c r="A821" s="16">
        <v>5052000000</v>
      </c>
      <c r="B821" s="16">
        <v>0</v>
      </c>
      <c r="C821" s="16" t="s">
        <v>3406</v>
      </c>
      <c r="D821" s="16" t="s">
        <v>3422</v>
      </c>
      <c r="F821" s="16"/>
    </row>
    <row r="822" spans="1:6">
      <c r="A822" s="16">
        <v>6104001000</v>
      </c>
      <c r="B822" s="16">
        <v>66749</v>
      </c>
      <c r="C822" s="16" t="s">
        <v>3416</v>
      </c>
      <c r="D822" s="16" t="s">
        <v>3417</v>
      </c>
      <c r="F822" s="16"/>
    </row>
    <row r="823" spans="1:6">
      <c r="A823" s="16">
        <v>3103001000</v>
      </c>
      <c r="B823" s="16">
        <v>-66749</v>
      </c>
      <c r="C823" s="16" t="s">
        <v>3402</v>
      </c>
      <c r="D823" s="16" t="s">
        <v>3403</v>
      </c>
      <c r="F823" s="16"/>
    </row>
    <row r="824" spans="1:6">
      <c r="A824" s="16">
        <v>6700200000</v>
      </c>
      <c r="B824" s="16">
        <v>0</v>
      </c>
      <c r="C824" s="16" t="s">
        <v>3404</v>
      </c>
      <c r="D824" s="16" t="s">
        <v>3409</v>
      </c>
      <c r="F824" s="16"/>
    </row>
    <row r="825" spans="1:6">
      <c r="A825" s="16">
        <v>6700000000</v>
      </c>
      <c r="B825" s="16">
        <v>0</v>
      </c>
      <c r="C825" s="16" t="s">
        <v>3404</v>
      </c>
      <c r="D825" s="16" t="s">
        <v>3405</v>
      </c>
      <c r="F825" s="16"/>
    </row>
    <row r="826" spans="1:6">
      <c r="A826" s="16">
        <v>3032000000</v>
      </c>
      <c r="B826" s="16">
        <v>0</v>
      </c>
      <c r="C826" s="16" t="s">
        <v>3424</v>
      </c>
      <c r="D826" s="16" t="s">
        <v>3403</v>
      </c>
      <c r="F826" s="16"/>
    </row>
    <row r="827" spans="1:6">
      <c r="A827" s="16">
        <v>6032000000</v>
      </c>
      <c r="B827" s="16">
        <v>0</v>
      </c>
      <c r="C827" s="16" t="s">
        <v>3429</v>
      </c>
      <c r="D827" s="16" t="s">
        <v>3430</v>
      </c>
      <c r="F827" s="16"/>
    </row>
    <row r="828" spans="1:6">
      <c r="A828" s="16">
        <v>3032000000</v>
      </c>
      <c r="B828" s="16">
        <v>1110080</v>
      </c>
      <c r="C828" s="16" t="s">
        <v>3424</v>
      </c>
      <c r="D828" s="16" t="s">
        <v>3403</v>
      </c>
      <c r="F828" s="16"/>
    </row>
    <row r="829" spans="1:6">
      <c r="A829" s="16">
        <v>6032000000</v>
      </c>
      <c r="B829" s="16">
        <v>-1110080</v>
      </c>
      <c r="C829" s="16" t="s">
        <v>3429</v>
      </c>
      <c r="D829" s="16" t="s">
        <v>3430</v>
      </c>
      <c r="F829" s="16"/>
    </row>
    <row r="830" spans="1:6">
      <c r="A830" s="16">
        <v>3102000000</v>
      </c>
      <c r="B830" s="16">
        <v>0</v>
      </c>
      <c r="C830" s="16" t="s">
        <v>3424</v>
      </c>
      <c r="D830" s="16" t="s">
        <v>3403</v>
      </c>
      <c r="F830" s="16"/>
    </row>
    <row r="831" spans="1:6">
      <c r="A831" s="16">
        <v>6102000000</v>
      </c>
      <c r="B831" s="16">
        <v>0</v>
      </c>
      <c r="C831" s="16" t="s">
        <v>3425</v>
      </c>
      <c r="D831" s="16" t="s">
        <v>3426</v>
      </c>
      <c r="F831" s="16"/>
    </row>
    <row r="832" spans="1:6">
      <c r="A832" s="16">
        <v>6610000000</v>
      </c>
      <c r="B832" s="16">
        <v>0</v>
      </c>
      <c r="C832" s="16" t="s">
        <v>3413</v>
      </c>
      <c r="D832" s="16" t="s">
        <v>3418</v>
      </c>
      <c r="F832" s="16"/>
    </row>
    <row r="833" spans="1:6">
      <c r="A833" s="16">
        <v>4203000000</v>
      </c>
      <c r="B833" s="16">
        <v>0</v>
      </c>
      <c r="C833" s="16" t="s">
        <v>3408</v>
      </c>
      <c r="D833" s="16" t="s">
        <v>3403</v>
      </c>
      <c r="F833" s="16"/>
    </row>
    <row r="834" spans="1:6">
      <c r="A834" s="16">
        <v>5010100010</v>
      </c>
      <c r="B834" s="16">
        <v>0</v>
      </c>
      <c r="C834" s="16" t="s">
        <v>3406</v>
      </c>
      <c r="D834" s="16" t="s">
        <v>3407</v>
      </c>
      <c r="F834" s="16"/>
    </row>
    <row r="835" spans="1:6">
      <c r="A835" s="16">
        <v>3710000000</v>
      </c>
      <c r="B835" s="16">
        <v>0</v>
      </c>
      <c r="C835" s="16" t="s">
        <v>3402</v>
      </c>
      <c r="D835" s="16" t="s">
        <v>3403</v>
      </c>
      <c r="F835" s="16"/>
    </row>
    <row r="836" spans="1:6">
      <c r="A836" s="16">
        <v>2201000000</v>
      </c>
      <c r="B836" s="16">
        <v>0</v>
      </c>
      <c r="C836" s="16" t="s">
        <v>3415</v>
      </c>
      <c r="D836" s="16" t="s">
        <v>3403</v>
      </c>
      <c r="F836" s="16"/>
    </row>
    <row r="837" spans="1:6">
      <c r="A837" s="16">
        <v>6700200000</v>
      </c>
      <c r="B837" s="16">
        <v>0</v>
      </c>
      <c r="C837" s="16" t="s">
        <v>3404</v>
      </c>
      <c r="D837" s="16" t="s">
        <v>3409</v>
      </c>
      <c r="F837" s="16"/>
    </row>
    <row r="838" spans="1:6">
      <c r="A838" s="16">
        <v>6700700000</v>
      </c>
      <c r="B838" s="16">
        <v>0</v>
      </c>
      <c r="C838" s="16" t="s">
        <v>3404</v>
      </c>
      <c r="D838" s="16" t="s">
        <v>3409</v>
      </c>
      <c r="F838" s="16"/>
    </row>
    <row r="839" spans="1:6">
      <c r="A839" s="16">
        <v>6700500000</v>
      </c>
      <c r="B839" s="16">
        <v>0</v>
      </c>
      <c r="C839" s="16" t="s">
        <v>3404</v>
      </c>
      <c r="D839" s="16" t="s">
        <v>3405</v>
      </c>
      <c r="F839" s="16"/>
    </row>
    <row r="840" spans="1:6">
      <c r="A840" s="16">
        <v>2500000000</v>
      </c>
      <c r="B840" s="16">
        <v>0</v>
      </c>
      <c r="C840" s="16" t="s">
        <v>3412</v>
      </c>
      <c r="D840" s="16" t="s">
        <v>3403</v>
      </c>
      <c r="F840" s="16"/>
    </row>
    <row r="841" spans="1:6">
      <c r="A841" s="16">
        <v>5010000000</v>
      </c>
      <c r="B841" s="16">
        <v>0</v>
      </c>
      <c r="C841" s="16" t="s">
        <v>3406</v>
      </c>
      <c r="D841" s="16" t="s">
        <v>3411</v>
      </c>
      <c r="F841" s="16"/>
    </row>
    <row r="842" spans="1:6">
      <c r="A842" s="16">
        <v>6100000020</v>
      </c>
      <c r="B842" s="16">
        <v>0</v>
      </c>
      <c r="C842" s="16" t="s">
        <v>3416</v>
      </c>
      <c r="D842" s="16" t="s">
        <v>3417</v>
      </c>
      <c r="F842" s="16"/>
    </row>
    <row r="843" spans="1:6">
      <c r="A843" s="16">
        <v>3810000000</v>
      </c>
      <c r="B843" s="16">
        <v>0</v>
      </c>
      <c r="C843" s="16" t="s">
        <v>3402</v>
      </c>
      <c r="D843" s="16" t="s">
        <v>3403</v>
      </c>
      <c r="F843" s="16"/>
    </row>
    <row r="844" spans="1:6">
      <c r="A844" s="16">
        <v>6700600000</v>
      </c>
      <c r="B844" s="16">
        <v>0</v>
      </c>
      <c r="C844" s="16" t="s">
        <v>3404</v>
      </c>
      <c r="D844" s="16" t="s">
        <v>3409</v>
      </c>
      <c r="F844" s="16"/>
    </row>
    <row r="845" spans="1:6">
      <c r="A845" s="16">
        <v>6700400000</v>
      </c>
      <c r="B845" s="16">
        <v>0</v>
      </c>
      <c r="C845" s="16" t="s">
        <v>3404</v>
      </c>
      <c r="D845" s="16" t="s">
        <v>3405</v>
      </c>
      <c r="F845" s="16"/>
    </row>
    <row r="846" spans="1:6">
      <c r="A846" s="16">
        <v>6700200000</v>
      </c>
      <c r="B846" s="16">
        <v>0</v>
      </c>
      <c r="C846" s="16" t="s">
        <v>3404</v>
      </c>
      <c r="D846" s="16" t="s">
        <v>3409</v>
      </c>
      <c r="F846" s="16"/>
    </row>
    <row r="847" spans="1:6">
      <c r="A847" s="16">
        <v>6700000000</v>
      </c>
      <c r="B847" s="16">
        <v>0</v>
      </c>
      <c r="C847" s="16" t="s">
        <v>3404</v>
      </c>
      <c r="D847" s="16" t="s">
        <v>3405</v>
      </c>
      <c r="F847" s="16"/>
    </row>
    <row r="848" spans="1:6">
      <c r="A848" s="16">
        <v>6104000000</v>
      </c>
      <c r="B848" s="16">
        <v>0</v>
      </c>
      <c r="C848" s="16" t="s">
        <v>3416</v>
      </c>
      <c r="D848" s="16" t="s">
        <v>3417</v>
      </c>
      <c r="F848" s="16"/>
    </row>
    <row r="849" spans="1:6">
      <c r="A849" s="16">
        <v>3103000000</v>
      </c>
      <c r="B849" s="16">
        <v>0</v>
      </c>
      <c r="C849" s="16" t="s">
        <v>3402</v>
      </c>
      <c r="D849" s="16" t="s">
        <v>3403</v>
      </c>
      <c r="F849" s="16"/>
    </row>
    <row r="850" spans="1:6">
      <c r="A850" s="16">
        <v>6610000000</v>
      </c>
      <c r="B850" s="16">
        <v>0</v>
      </c>
      <c r="C850" s="16" t="s">
        <v>3413</v>
      </c>
      <c r="D850" s="16" t="s">
        <v>3418</v>
      </c>
      <c r="F850" s="16"/>
    </row>
    <row r="851" spans="1:6">
      <c r="A851" s="16">
        <v>4203000000</v>
      </c>
      <c r="B851" s="16">
        <v>0</v>
      </c>
      <c r="C851" s="16" t="s">
        <v>3408</v>
      </c>
      <c r="D851" s="16" t="s">
        <v>3403</v>
      </c>
      <c r="F851" s="16"/>
    </row>
    <row r="852" spans="1:6">
      <c r="A852" s="16">
        <v>3032000000</v>
      </c>
      <c r="B852" s="16">
        <v>0</v>
      </c>
      <c r="C852" s="16" t="s">
        <v>3424</v>
      </c>
      <c r="D852" s="16" t="s">
        <v>3403</v>
      </c>
      <c r="F852" s="16"/>
    </row>
    <row r="853" spans="1:6">
      <c r="A853" s="16">
        <v>6032000000</v>
      </c>
      <c r="B853" s="16">
        <v>0</v>
      </c>
      <c r="C853" s="16" t="s">
        <v>3429</v>
      </c>
      <c r="D853" s="16" t="s">
        <v>3430</v>
      </c>
      <c r="F853" s="16"/>
    </row>
    <row r="854" spans="1:6">
      <c r="A854" s="16">
        <v>6104000000</v>
      </c>
      <c r="B854" s="16">
        <v>0</v>
      </c>
      <c r="C854" s="16" t="s">
        <v>3416</v>
      </c>
      <c r="D854" s="16" t="s">
        <v>3417</v>
      </c>
      <c r="F854" s="16"/>
    </row>
    <row r="855" spans="1:6">
      <c r="A855" s="16">
        <v>3103000000</v>
      </c>
      <c r="B855" s="16">
        <v>0</v>
      </c>
      <c r="C855" s="16" t="s">
        <v>3402</v>
      </c>
      <c r="D855" s="16" t="s">
        <v>3403</v>
      </c>
      <c r="F855" s="16"/>
    </row>
    <row r="856" spans="1:6">
      <c r="A856" s="16">
        <v>2750010000</v>
      </c>
      <c r="B856" s="16">
        <v>0</v>
      </c>
      <c r="C856" s="16" t="s">
        <v>3419</v>
      </c>
      <c r="D856" s="16" t="s">
        <v>3403</v>
      </c>
      <c r="F856" s="16"/>
    </row>
    <row r="857" spans="1:6">
      <c r="A857" s="16">
        <v>6610000100</v>
      </c>
      <c r="B857" s="16">
        <v>0</v>
      </c>
      <c r="C857" s="16" t="s">
        <v>3413</v>
      </c>
      <c r="D857" s="16" t="s">
        <v>3418</v>
      </c>
      <c r="F857" s="16"/>
    </row>
    <row r="858" spans="1:6">
      <c r="A858" s="16">
        <v>3102000000</v>
      </c>
      <c r="B858" s="16">
        <v>0</v>
      </c>
      <c r="C858" s="16" t="s">
        <v>3424</v>
      </c>
      <c r="D858" s="16" t="s">
        <v>3403</v>
      </c>
      <c r="F858" s="16"/>
    </row>
    <row r="859" spans="1:6">
      <c r="A859" s="16">
        <v>6102000000</v>
      </c>
      <c r="B859" s="16">
        <v>0</v>
      </c>
      <c r="C859" s="16" t="s">
        <v>3425</v>
      </c>
      <c r="D859" s="16" t="s">
        <v>3426</v>
      </c>
      <c r="F859" s="16"/>
    </row>
    <row r="860" spans="1:6">
      <c r="A860" s="16">
        <v>6700200000</v>
      </c>
      <c r="B860" s="16">
        <v>0</v>
      </c>
      <c r="C860" s="16" t="s">
        <v>3404</v>
      </c>
      <c r="D860" s="16" t="s">
        <v>3409</v>
      </c>
      <c r="F860" s="16"/>
    </row>
    <row r="861" spans="1:6">
      <c r="A861" s="16">
        <v>6700100000</v>
      </c>
      <c r="B861" s="16">
        <v>0</v>
      </c>
      <c r="C861" s="16" t="s">
        <v>3404</v>
      </c>
      <c r="D861" s="16" t="s">
        <v>3410</v>
      </c>
      <c r="F861" s="16"/>
    </row>
    <row r="862" spans="1:6">
      <c r="A862" s="16">
        <v>4203000000</v>
      </c>
      <c r="B862" s="16">
        <v>0</v>
      </c>
      <c r="C862" s="16" t="s">
        <v>3408</v>
      </c>
      <c r="D862" s="16" t="s">
        <v>3403</v>
      </c>
      <c r="F862" s="16"/>
    </row>
    <row r="863" spans="1:6">
      <c r="A863" s="16">
        <v>6700400000</v>
      </c>
      <c r="B863" s="16">
        <v>0</v>
      </c>
      <c r="C863" s="16" t="s">
        <v>3404</v>
      </c>
      <c r="D863" s="16" t="s">
        <v>3405</v>
      </c>
      <c r="F863" s="16"/>
    </row>
    <row r="864" spans="1:6">
      <c r="A864" s="16">
        <v>6700600000</v>
      </c>
      <c r="B864" s="16">
        <v>0</v>
      </c>
      <c r="C864" s="16" t="s">
        <v>3404</v>
      </c>
      <c r="D864" s="16" t="s">
        <v>3409</v>
      </c>
      <c r="F864" s="16"/>
    </row>
    <row r="865" spans="1:6">
      <c r="A865" s="16">
        <v>6100000000</v>
      </c>
      <c r="B865" s="16">
        <v>0</v>
      </c>
      <c r="C865" s="16" t="s">
        <v>3416</v>
      </c>
      <c r="D865" s="16" t="s">
        <v>3417</v>
      </c>
      <c r="F865" s="16"/>
    </row>
    <row r="866" spans="1:6">
      <c r="A866" s="16">
        <v>3032000000</v>
      </c>
      <c r="B866" s="16">
        <v>0</v>
      </c>
      <c r="C866" s="16" t="s">
        <v>3424</v>
      </c>
      <c r="D866" s="16" t="s">
        <v>3403</v>
      </c>
      <c r="F866" s="16"/>
    </row>
    <row r="867" spans="1:6">
      <c r="A867" s="16">
        <v>6610100000</v>
      </c>
      <c r="B867" s="16">
        <v>0</v>
      </c>
      <c r="C867" s="16" t="s">
        <v>3413</v>
      </c>
      <c r="D867" s="16" t="s">
        <v>3414</v>
      </c>
      <c r="F867" s="16"/>
    </row>
    <row r="868" spans="1:6">
      <c r="A868" s="16">
        <v>3100000000</v>
      </c>
      <c r="B868" s="16">
        <v>0</v>
      </c>
      <c r="C868" s="16" t="s">
        <v>3402</v>
      </c>
      <c r="D868" s="16" t="s">
        <v>3403</v>
      </c>
      <c r="F868" s="16"/>
    </row>
    <row r="869" spans="1:6">
      <c r="A869" s="16">
        <v>6700100000</v>
      </c>
      <c r="B869" s="16">
        <v>0</v>
      </c>
      <c r="C869" s="16" t="s">
        <v>3404</v>
      </c>
      <c r="D869" s="16" t="s">
        <v>3410</v>
      </c>
      <c r="F869" s="16"/>
    </row>
    <row r="870" spans="1:6">
      <c r="A870" s="16">
        <v>6700200000</v>
      </c>
      <c r="B870" s="16">
        <v>0</v>
      </c>
      <c r="C870" s="16" t="s">
        <v>3404</v>
      </c>
      <c r="D870" s="16" t="s">
        <v>3409</v>
      </c>
      <c r="F870" s="16"/>
    </row>
    <row r="871" spans="1:6">
      <c r="A871" s="16">
        <v>6102000000</v>
      </c>
      <c r="B871" s="16">
        <v>0</v>
      </c>
      <c r="C871" s="16" t="s">
        <v>3425</v>
      </c>
      <c r="D871" s="16" t="s">
        <v>3426</v>
      </c>
      <c r="F871" s="16"/>
    </row>
    <row r="872" spans="1:6">
      <c r="A872" s="16">
        <v>3100000000</v>
      </c>
      <c r="B872" s="16">
        <v>-6946031</v>
      </c>
      <c r="C872" s="16" t="s">
        <v>3402</v>
      </c>
      <c r="D872" s="16" t="s">
        <v>3403</v>
      </c>
      <c r="F872" s="16"/>
    </row>
    <row r="873" spans="1:6">
      <c r="A873" s="16">
        <v>6700600000</v>
      </c>
      <c r="B873" s="16">
        <v>0</v>
      </c>
      <c r="C873" s="16" t="s">
        <v>3404</v>
      </c>
      <c r="D873" s="16" t="s">
        <v>3409</v>
      </c>
      <c r="F873" s="16"/>
    </row>
    <row r="874" spans="1:6">
      <c r="A874" s="16">
        <v>5050000000</v>
      </c>
      <c r="B874" s="16">
        <v>0</v>
      </c>
      <c r="C874" s="16" t="s">
        <v>3406</v>
      </c>
      <c r="D874" s="16" t="s">
        <v>3422</v>
      </c>
      <c r="F874" s="16"/>
    </row>
    <row r="875" spans="1:6">
      <c r="A875" s="16">
        <v>6102000000</v>
      </c>
      <c r="B875" s="16">
        <v>0</v>
      </c>
      <c r="C875" s="16" t="s">
        <v>3425</v>
      </c>
      <c r="D875" s="16" t="s">
        <v>3426</v>
      </c>
      <c r="F875" s="16"/>
    </row>
    <row r="876" spans="1:6">
      <c r="A876" s="16">
        <v>3102000000</v>
      </c>
      <c r="B876" s="16">
        <v>0</v>
      </c>
      <c r="C876" s="16" t="s">
        <v>3424</v>
      </c>
      <c r="D876" s="16" t="s">
        <v>3403</v>
      </c>
      <c r="F876" s="16"/>
    </row>
    <row r="877" spans="1:6">
      <c r="A877" s="16">
        <v>6700200000</v>
      </c>
      <c r="B877" s="16">
        <v>0</v>
      </c>
      <c r="C877" s="16" t="s">
        <v>3404</v>
      </c>
      <c r="D877" s="16" t="s">
        <v>3409</v>
      </c>
      <c r="F877" s="16"/>
    </row>
    <row r="878" spans="1:6">
      <c r="A878" s="16">
        <v>6700200000</v>
      </c>
      <c r="B878" s="16">
        <v>0</v>
      </c>
      <c r="C878" s="16" t="s">
        <v>3404</v>
      </c>
      <c r="D878" s="16" t="s">
        <v>3409</v>
      </c>
      <c r="F878" s="16"/>
    </row>
    <row r="879" spans="1:6">
      <c r="A879" s="16">
        <v>3102000000</v>
      </c>
      <c r="B879" s="16">
        <v>0</v>
      </c>
      <c r="C879" s="16" t="s">
        <v>3424</v>
      </c>
      <c r="D879" s="16" t="s">
        <v>3403</v>
      </c>
      <c r="F879" s="16"/>
    </row>
    <row r="880" spans="1:6">
      <c r="A880" s="16">
        <v>3102000000</v>
      </c>
      <c r="B880" s="16">
        <v>0</v>
      </c>
      <c r="C880" s="16" t="s">
        <v>3424</v>
      </c>
      <c r="D880" s="16" t="s">
        <v>3403</v>
      </c>
      <c r="F880" s="16"/>
    </row>
    <row r="881" spans="1:6">
      <c r="A881" s="16">
        <v>3810000000</v>
      </c>
      <c r="B881" s="16">
        <v>0</v>
      </c>
      <c r="C881" s="16" t="s">
        <v>3402</v>
      </c>
      <c r="D881" s="16" t="s">
        <v>3403</v>
      </c>
      <c r="F881" s="16"/>
    </row>
    <row r="882" spans="1:6">
      <c r="A882" s="16">
        <v>6700000000</v>
      </c>
      <c r="B882" s="16">
        <v>-1534840781</v>
      </c>
      <c r="C882" s="16" t="s">
        <v>3404</v>
      </c>
      <c r="D882" s="16" t="s">
        <v>3405</v>
      </c>
      <c r="F882" s="16"/>
    </row>
    <row r="883" spans="1:6">
      <c r="A883" s="16">
        <v>2201200030</v>
      </c>
      <c r="B883" s="16">
        <v>-40257</v>
      </c>
      <c r="C883" s="16" t="s">
        <v>3415</v>
      </c>
      <c r="D883" s="16" t="s">
        <v>3403</v>
      </c>
      <c r="F883" s="16"/>
    </row>
    <row r="884" spans="1:6">
      <c r="A884" s="16">
        <v>6700400000</v>
      </c>
      <c r="B884" s="16">
        <v>0</v>
      </c>
      <c r="C884" s="16" t="s">
        <v>3404</v>
      </c>
      <c r="D884" s="16" t="s">
        <v>3405</v>
      </c>
      <c r="F884" s="16"/>
    </row>
    <row r="885" spans="1:6">
      <c r="A885" s="16">
        <v>3100000000</v>
      </c>
      <c r="B885" s="16">
        <v>0</v>
      </c>
      <c r="C885" s="16" t="s">
        <v>3402</v>
      </c>
      <c r="D885" s="16" t="s">
        <v>3403</v>
      </c>
      <c r="F885" s="16"/>
    </row>
    <row r="886" spans="1:6">
      <c r="A886" s="16">
        <v>6032000000</v>
      </c>
      <c r="B886" s="16">
        <v>0</v>
      </c>
      <c r="C886" s="16" t="s">
        <v>3429</v>
      </c>
      <c r="D886" s="16" t="s">
        <v>3430</v>
      </c>
      <c r="F886" s="16"/>
    </row>
    <row r="887" spans="1:6">
      <c r="A887" s="16">
        <v>4203000000</v>
      </c>
      <c r="B887" s="16">
        <v>0</v>
      </c>
      <c r="C887" s="16" t="s">
        <v>3408</v>
      </c>
      <c r="D887" s="16" t="s">
        <v>3403</v>
      </c>
      <c r="F887" s="16"/>
    </row>
    <row r="888" spans="1:6">
      <c r="A888" s="16">
        <v>6700200000</v>
      </c>
      <c r="B888" s="16">
        <v>0</v>
      </c>
      <c r="C888" s="16" t="s">
        <v>3404</v>
      </c>
      <c r="D888" s="16" t="s">
        <v>3409</v>
      </c>
      <c r="F888" s="16"/>
    </row>
    <row r="889" spans="1:6">
      <c r="A889" s="16">
        <v>6700000000</v>
      </c>
      <c r="B889" s="16">
        <v>0</v>
      </c>
      <c r="C889" s="16" t="s">
        <v>3404</v>
      </c>
      <c r="D889" s="16" t="s">
        <v>3405</v>
      </c>
      <c r="F889" s="16"/>
    </row>
    <row r="890" spans="1:6">
      <c r="A890" s="16">
        <v>6700400000</v>
      </c>
      <c r="B890" s="16">
        <v>0</v>
      </c>
      <c r="C890" s="16" t="s">
        <v>3404</v>
      </c>
      <c r="D890" s="16" t="s">
        <v>3405</v>
      </c>
      <c r="F890" s="16"/>
    </row>
    <row r="891" spans="1:6">
      <c r="A891" s="16">
        <v>3800000000</v>
      </c>
      <c r="B891" s="16">
        <v>0</v>
      </c>
      <c r="C891" s="16" t="s">
        <v>3402</v>
      </c>
      <c r="D891" s="16" t="s">
        <v>3403</v>
      </c>
      <c r="F891" s="16"/>
    </row>
    <row r="892" spans="1:6">
      <c r="A892" s="16">
        <v>6102000000</v>
      </c>
      <c r="B892" s="16">
        <v>0</v>
      </c>
      <c r="C892" s="16" t="s">
        <v>3425</v>
      </c>
      <c r="D892" s="16" t="s">
        <v>3426</v>
      </c>
      <c r="F892" s="16"/>
    </row>
    <row r="893" spans="1:6">
      <c r="A893" s="16">
        <v>6700100000</v>
      </c>
      <c r="B893" s="16">
        <v>0</v>
      </c>
      <c r="C893" s="16" t="s">
        <v>3404</v>
      </c>
      <c r="D893" s="16" t="s">
        <v>3410</v>
      </c>
      <c r="F893" s="16"/>
    </row>
    <row r="894" spans="1:6">
      <c r="A894" s="16">
        <v>6610100000</v>
      </c>
      <c r="B894" s="16">
        <v>241876</v>
      </c>
      <c r="C894" s="16" t="s">
        <v>3413</v>
      </c>
      <c r="D894" s="16" t="s">
        <v>3414</v>
      </c>
      <c r="F894" s="16"/>
    </row>
    <row r="895" spans="1:6">
      <c r="A895" s="16">
        <v>6700100000</v>
      </c>
      <c r="B895" s="16">
        <v>0</v>
      </c>
      <c r="C895" s="16" t="s">
        <v>3404</v>
      </c>
      <c r="D895" s="16" t="s">
        <v>3410</v>
      </c>
      <c r="F895" s="16"/>
    </row>
    <row r="896" spans="1:6">
      <c r="A896" s="16">
        <v>6700200000</v>
      </c>
      <c r="B896" s="16">
        <v>0</v>
      </c>
      <c r="C896" s="16" t="s">
        <v>3404</v>
      </c>
      <c r="D896" s="16" t="s">
        <v>3409</v>
      </c>
      <c r="F896" s="16"/>
    </row>
    <row r="897" spans="1:6">
      <c r="A897" s="16">
        <v>2750010000</v>
      </c>
      <c r="B897" s="16">
        <v>0</v>
      </c>
      <c r="C897" s="16" t="s">
        <v>3419</v>
      </c>
      <c r="D897" s="16" t="s">
        <v>3403</v>
      </c>
      <c r="F897" s="16"/>
    </row>
    <row r="898" spans="1:6">
      <c r="A898" s="16">
        <v>6100000000</v>
      </c>
      <c r="B898" s="16">
        <v>130559281</v>
      </c>
      <c r="C898" s="16" t="s">
        <v>3416</v>
      </c>
      <c r="D898" s="16" t="s">
        <v>3417</v>
      </c>
      <c r="F898" s="16"/>
    </row>
    <row r="899" spans="1:6">
      <c r="A899" s="16">
        <v>6102000000</v>
      </c>
      <c r="B899" s="16">
        <v>0</v>
      </c>
      <c r="C899" s="16" t="s">
        <v>3425</v>
      </c>
      <c r="D899" s="16" t="s">
        <v>3426</v>
      </c>
      <c r="F899" s="16"/>
    </row>
    <row r="900" spans="1:6">
      <c r="A900" s="16">
        <v>2203000000</v>
      </c>
      <c r="B900" s="16">
        <v>0</v>
      </c>
      <c r="C900" s="16" t="s">
        <v>3415</v>
      </c>
      <c r="D900" s="16" t="s">
        <v>3403</v>
      </c>
      <c r="F900" s="16"/>
    </row>
    <row r="901" spans="1:6">
      <c r="A901" s="16">
        <v>6102000000</v>
      </c>
      <c r="B901" s="16">
        <v>0</v>
      </c>
      <c r="C901" s="16" t="s">
        <v>3425</v>
      </c>
      <c r="D901" s="16" t="s">
        <v>3426</v>
      </c>
      <c r="F901" s="16"/>
    </row>
    <row r="902" spans="1:6">
      <c r="A902" s="16">
        <v>2500000000</v>
      </c>
      <c r="B902" s="16">
        <v>0</v>
      </c>
      <c r="C902" s="16" t="s">
        <v>3412</v>
      </c>
      <c r="D902" s="16" t="s">
        <v>3403</v>
      </c>
      <c r="F902" s="16"/>
    </row>
    <row r="903" spans="1:6">
      <c r="A903" s="16">
        <v>6100000020</v>
      </c>
      <c r="B903" s="16">
        <v>0</v>
      </c>
      <c r="C903" s="16" t="s">
        <v>3416</v>
      </c>
      <c r="D903" s="16" t="s">
        <v>3417</v>
      </c>
      <c r="F903" s="16"/>
    </row>
    <row r="904" spans="1:6">
      <c r="A904" s="16">
        <v>2500000000</v>
      </c>
      <c r="B904" s="16">
        <v>0</v>
      </c>
      <c r="C904" s="16" t="s">
        <v>3412</v>
      </c>
      <c r="D904" s="16" t="s">
        <v>3403</v>
      </c>
      <c r="F904" s="16"/>
    </row>
    <row r="905" spans="1:6">
      <c r="A905" s="16">
        <v>6700100000</v>
      </c>
      <c r="B905" s="16">
        <v>0</v>
      </c>
      <c r="C905" s="16" t="s">
        <v>3404</v>
      </c>
      <c r="D905" s="16" t="s">
        <v>3410</v>
      </c>
      <c r="F905" s="16"/>
    </row>
    <row r="906" spans="1:6">
      <c r="A906" s="16">
        <v>2750010000</v>
      </c>
      <c r="B906" s="16">
        <v>0</v>
      </c>
      <c r="C906" s="16" t="s">
        <v>3419</v>
      </c>
      <c r="D906" s="16" t="s">
        <v>3403</v>
      </c>
      <c r="F906" s="16"/>
    </row>
    <row r="907" spans="1:6">
      <c r="A907" s="16">
        <v>2500000000</v>
      </c>
      <c r="B907" s="16">
        <v>464718600</v>
      </c>
      <c r="C907" s="16" t="s">
        <v>3412</v>
      </c>
      <c r="D907" s="16" t="s">
        <v>3403</v>
      </c>
      <c r="F907" s="16"/>
    </row>
    <row r="908" spans="1:6">
      <c r="A908" s="16">
        <v>4203000000</v>
      </c>
      <c r="B908" s="16">
        <v>-241876</v>
      </c>
      <c r="C908" s="16" t="s">
        <v>3408</v>
      </c>
      <c r="D908" s="16" t="s">
        <v>3403</v>
      </c>
      <c r="F908" s="16"/>
    </row>
    <row r="909" spans="1:6">
      <c r="A909" s="16">
        <v>6700200000</v>
      </c>
      <c r="B909" s="16">
        <v>0</v>
      </c>
      <c r="C909" s="16" t="s">
        <v>3404</v>
      </c>
      <c r="D909" s="16" t="s">
        <v>3409</v>
      </c>
      <c r="F909" s="16"/>
    </row>
    <row r="910" spans="1:6">
      <c r="A910" s="16">
        <v>6700000000</v>
      </c>
      <c r="B910" s="16">
        <v>0</v>
      </c>
      <c r="C910" s="16" t="s">
        <v>3404</v>
      </c>
      <c r="D910" s="16" t="s">
        <v>3405</v>
      </c>
      <c r="F910" s="16"/>
    </row>
    <row r="911" spans="1:6">
      <c r="A911" s="16">
        <v>6610100100</v>
      </c>
      <c r="B911" s="16">
        <v>0</v>
      </c>
      <c r="C911" s="16" t="s">
        <v>3413</v>
      </c>
      <c r="D911" s="16" t="s">
        <v>3414</v>
      </c>
      <c r="F911" s="16"/>
    </row>
    <row r="912" spans="1:6">
      <c r="A912" s="16">
        <v>6700600000</v>
      </c>
      <c r="B912" s="16">
        <v>0</v>
      </c>
      <c r="C912" s="16" t="s">
        <v>3404</v>
      </c>
      <c r="D912" s="16" t="s">
        <v>3409</v>
      </c>
      <c r="F912" s="16"/>
    </row>
    <row r="913" spans="1:6">
      <c r="A913" s="16">
        <v>3100000000</v>
      </c>
      <c r="B913" s="16">
        <v>-130559281</v>
      </c>
      <c r="C913" s="16" t="s">
        <v>3402</v>
      </c>
      <c r="D913" s="16" t="s">
        <v>3403</v>
      </c>
      <c r="F913" s="16"/>
    </row>
    <row r="914" spans="1:6">
      <c r="A914" s="16">
        <v>6610100000</v>
      </c>
      <c r="B914" s="16">
        <v>0</v>
      </c>
      <c r="C914" s="16" t="s">
        <v>3413</v>
      </c>
      <c r="D914" s="16" t="s">
        <v>3414</v>
      </c>
      <c r="F914" s="16"/>
    </row>
    <row r="915" spans="1:6">
      <c r="A915" s="16">
        <v>6060110000</v>
      </c>
      <c r="B915" s="16">
        <v>0</v>
      </c>
      <c r="C915" s="16" t="s">
        <v>3420</v>
      </c>
      <c r="D915" s="16" t="s">
        <v>3421</v>
      </c>
      <c r="F915" s="16"/>
    </row>
    <row r="916" spans="1:6">
      <c r="A916" s="16">
        <v>6100000000</v>
      </c>
      <c r="B916" s="16">
        <v>0</v>
      </c>
      <c r="C916" s="16" t="s">
        <v>3416</v>
      </c>
      <c r="D916" s="16" t="s">
        <v>3417</v>
      </c>
      <c r="F916" s="16"/>
    </row>
    <row r="917" spans="1:6">
      <c r="A917" s="16">
        <v>6104000000</v>
      </c>
      <c r="B917" s="16">
        <v>53214356</v>
      </c>
      <c r="C917" s="16" t="s">
        <v>3416</v>
      </c>
      <c r="D917" s="16" t="s">
        <v>3417</v>
      </c>
      <c r="F917" s="16"/>
    </row>
    <row r="918" spans="1:6">
      <c r="A918" s="16">
        <v>6700700000</v>
      </c>
      <c r="B918" s="16">
        <v>62346</v>
      </c>
      <c r="C918" s="16" t="s">
        <v>3404</v>
      </c>
      <c r="D918" s="16" t="s">
        <v>3409</v>
      </c>
      <c r="F918" s="16"/>
    </row>
    <row r="919" spans="1:6">
      <c r="A919" s="16">
        <v>6100000020</v>
      </c>
      <c r="B919" s="16">
        <v>0</v>
      </c>
      <c r="C919" s="16" t="s">
        <v>3416</v>
      </c>
      <c r="D919" s="16" t="s">
        <v>3417</v>
      </c>
      <c r="F919" s="16"/>
    </row>
    <row r="920" spans="1:6">
      <c r="A920" s="16">
        <v>5010000000</v>
      </c>
      <c r="B920" s="16">
        <v>0</v>
      </c>
      <c r="C920" s="16" t="s">
        <v>3406</v>
      </c>
      <c r="D920" s="16" t="s">
        <v>3411</v>
      </c>
      <c r="F920" s="16"/>
    </row>
    <row r="921" spans="1:6">
      <c r="A921" s="16">
        <v>3810000000</v>
      </c>
      <c r="B921" s="16">
        <v>0</v>
      </c>
      <c r="C921" s="16" t="s">
        <v>3402</v>
      </c>
      <c r="D921" s="16" t="s">
        <v>3403</v>
      </c>
      <c r="F921" s="16"/>
    </row>
    <row r="922" spans="1:6">
      <c r="A922" s="16">
        <v>5010100000</v>
      </c>
      <c r="B922" s="16">
        <v>0</v>
      </c>
      <c r="C922" s="16" t="s">
        <v>3406</v>
      </c>
      <c r="D922" s="16" t="s">
        <v>3407</v>
      </c>
      <c r="F922" s="16"/>
    </row>
    <row r="923" spans="1:6">
      <c r="A923" s="16">
        <v>6700200000</v>
      </c>
      <c r="B923" s="16">
        <v>0</v>
      </c>
      <c r="C923" s="16" t="s">
        <v>3404</v>
      </c>
      <c r="D923" s="16" t="s">
        <v>3409</v>
      </c>
      <c r="F923" s="16"/>
    </row>
    <row r="924" spans="1:6">
      <c r="A924" s="16">
        <v>6610000000</v>
      </c>
      <c r="B924" s="16">
        <v>0</v>
      </c>
      <c r="C924" s="16" t="s">
        <v>3413</v>
      </c>
      <c r="D924" s="16" t="s">
        <v>3418</v>
      </c>
      <c r="F924" s="16"/>
    </row>
    <row r="925" spans="1:6">
      <c r="A925" s="16">
        <v>2201000000</v>
      </c>
      <c r="B925" s="16">
        <v>2772015561</v>
      </c>
      <c r="C925" s="16" t="s">
        <v>3415</v>
      </c>
      <c r="D925" s="16" t="s">
        <v>3403</v>
      </c>
      <c r="F925" s="16"/>
    </row>
    <row r="926" spans="1:6">
      <c r="A926" s="16">
        <v>6610100100</v>
      </c>
      <c r="B926" s="16">
        <v>0</v>
      </c>
      <c r="C926" s="16" t="s">
        <v>3413</v>
      </c>
      <c r="D926" s="16" t="s">
        <v>3414</v>
      </c>
      <c r="F926" s="16"/>
    </row>
    <row r="927" spans="1:6">
      <c r="A927" s="16">
        <v>3102000000</v>
      </c>
      <c r="B927" s="16">
        <v>0</v>
      </c>
      <c r="C927" s="16" t="s">
        <v>3424</v>
      </c>
      <c r="D927" s="16" t="s">
        <v>3403</v>
      </c>
      <c r="F927" s="16"/>
    </row>
    <row r="928" spans="1:6">
      <c r="A928" s="16">
        <v>5010100000</v>
      </c>
      <c r="B928" s="16">
        <v>-464718600</v>
      </c>
      <c r="C928" s="16" t="s">
        <v>3406</v>
      </c>
      <c r="D928" s="16" t="s">
        <v>3407</v>
      </c>
      <c r="F928" s="16"/>
    </row>
    <row r="929" spans="1:6">
      <c r="A929" s="16">
        <v>6700000000</v>
      </c>
      <c r="B929" s="16">
        <v>0</v>
      </c>
      <c r="C929" s="16" t="s">
        <v>3404</v>
      </c>
      <c r="D929" s="16" t="s">
        <v>3405</v>
      </c>
      <c r="F929" s="16"/>
    </row>
    <row r="930" spans="1:6">
      <c r="A930" s="16">
        <v>6700400000</v>
      </c>
      <c r="B930" s="16">
        <v>0</v>
      </c>
      <c r="C930" s="16" t="s">
        <v>3404</v>
      </c>
      <c r="D930" s="16" t="s">
        <v>3405</v>
      </c>
      <c r="F930" s="16"/>
    </row>
    <row r="931" spans="1:6">
      <c r="A931" s="16">
        <v>4203000000</v>
      </c>
      <c r="B931" s="16">
        <v>0</v>
      </c>
      <c r="C931" s="16" t="s">
        <v>3408</v>
      </c>
      <c r="D931" s="16" t="s">
        <v>3403</v>
      </c>
      <c r="F931" s="16"/>
    </row>
    <row r="932" spans="1:6">
      <c r="A932" s="16">
        <v>6030000000</v>
      </c>
      <c r="B932" s="16">
        <v>2627165</v>
      </c>
      <c r="C932" s="16" t="s">
        <v>3420</v>
      </c>
      <c r="D932" s="16" t="s">
        <v>3423</v>
      </c>
      <c r="F932" s="16"/>
    </row>
    <row r="933" spans="1:6">
      <c r="A933" s="16">
        <v>5010100010</v>
      </c>
      <c r="B933" s="16">
        <v>0</v>
      </c>
      <c r="C933" s="16" t="s">
        <v>3406</v>
      </c>
      <c r="D933" s="16" t="s">
        <v>3407</v>
      </c>
      <c r="F933" s="16"/>
    </row>
    <row r="934" spans="1:6">
      <c r="A934" s="16">
        <v>3100000000</v>
      </c>
      <c r="B934" s="16">
        <v>0</v>
      </c>
      <c r="C934" s="16" t="s">
        <v>3402</v>
      </c>
      <c r="D934" s="16" t="s">
        <v>3403</v>
      </c>
      <c r="F934" s="16"/>
    </row>
    <row r="935" spans="1:6">
      <c r="A935" s="16">
        <v>3103000000</v>
      </c>
      <c r="B935" s="16">
        <v>-53214356</v>
      </c>
      <c r="C935" s="16" t="s">
        <v>3402</v>
      </c>
      <c r="D935" s="16" t="s">
        <v>3403</v>
      </c>
      <c r="F935" s="16"/>
    </row>
    <row r="936" spans="1:6">
      <c r="A936" s="16">
        <v>6700500000</v>
      </c>
      <c r="B936" s="16">
        <v>-62346</v>
      </c>
      <c r="C936" s="16" t="s">
        <v>3404</v>
      </c>
      <c r="D936" s="16" t="s">
        <v>3405</v>
      </c>
      <c r="F936" s="16"/>
    </row>
    <row r="937" spans="1:6">
      <c r="A937" s="16">
        <v>6700700000</v>
      </c>
      <c r="B937" s="16">
        <v>0</v>
      </c>
      <c r="C937" s="16" t="s">
        <v>3404</v>
      </c>
      <c r="D937" s="16" t="s">
        <v>3409</v>
      </c>
      <c r="F937" s="16"/>
    </row>
    <row r="938" spans="1:6">
      <c r="A938" s="16">
        <v>3810000000</v>
      </c>
      <c r="B938" s="16">
        <v>0</v>
      </c>
      <c r="C938" s="16" t="s">
        <v>3402</v>
      </c>
      <c r="D938" s="16" t="s">
        <v>3403</v>
      </c>
      <c r="F938" s="16"/>
    </row>
    <row r="939" spans="1:6">
      <c r="A939" s="16">
        <v>6700100000</v>
      </c>
      <c r="B939" s="16">
        <v>0</v>
      </c>
      <c r="C939" s="16" t="s">
        <v>3404</v>
      </c>
      <c r="D939" s="16" t="s">
        <v>3410</v>
      </c>
      <c r="F939" s="16"/>
    </row>
    <row r="940" spans="1:6">
      <c r="A940" s="16">
        <v>4203000000</v>
      </c>
      <c r="B940" s="16">
        <v>0</v>
      </c>
      <c r="C940" s="16" t="s">
        <v>3408</v>
      </c>
      <c r="D940" s="16" t="s">
        <v>3403</v>
      </c>
      <c r="F940" s="16"/>
    </row>
    <row r="941" spans="1:6">
      <c r="A941" s="16">
        <v>6700200000</v>
      </c>
      <c r="B941" s="16">
        <v>-2772015561</v>
      </c>
      <c r="C941" s="16" t="s">
        <v>3404</v>
      </c>
      <c r="D941" s="16" t="s">
        <v>3409</v>
      </c>
      <c r="F941" s="16"/>
    </row>
    <row r="942" spans="1:6">
      <c r="A942" s="16">
        <v>6700600000</v>
      </c>
      <c r="B942" s="16">
        <v>0</v>
      </c>
      <c r="C942" s="16" t="s">
        <v>3404</v>
      </c>
      <c r="D942" s="16" t="s">
        <v>3409</v>
      </c>
      <c r="F942" s="16"/>
    </row>
    <row r="943" spans="1:6">
      <c r="A943" s="16">
        <v>3102000000</v>
      </c>
      <c r="B943" s="16">
        <v>0</v>
      </c>
      <c r="C943" s="16" t="s">
        <v>3424</v>
      </c>
      <c r="D943" s="16" t="s">
        <v>3403</v>
      </c>
      <c r="F943" s="16"/>
    </row>
    <row r="944" spans="1:6">
      <c r="A944" s="16">
        <v>6102000000</v>
      </c>
      <c r="B944" s="16">
        <v>0</v>
      </c>
      <c r="C944" s="16" t="s">
        <v>3425</v>
      </c>
      <c r="D944" s="16" t="s">
        <v>3426</v>
      </c>
      <c r="F944" s="16"/>
    </row>
    <row r="945" spans="1:6">
      <c r="A945" s="16">
        <v>6700600000</v>
      </c>
      <c r="B945" s="16">
        <v>0</v>
      </c>
      <c r="C945" s="16" t="s">
        <v>3404</v>
      </c>
      <c r="D945" s="16" t="s">
        <v>3409</v>
      </c>
      <c r="F945" s="16"/>
    </row>
    <row r="946" spans="1:6">
      <c r="A946" s="16">
        <v>3030000000</v>
      </c>
      <c r="B946" s="16">
        <v>-2627165</v>
      </c>
      <c r="C946" s="16" t="s">
        <v>3402</v>
      </c>
      <c r="D946" s="16" t="s">
        <v>3403</v>
      </c>
      <c r="F946" s="16"/>
    </row>
    <row r="947" spans="1:6">
      <c r="A947" s="16">
        <v>3710000000</v>
      </c>
      <c r="B947" s="16">
        <v>0</v>
      </c>
      <c r="C947" s="16" t="s">
        <v>3402</v>
      </c>
      <c r="D947" s="16" t="s">
        <v>3403</v>
      </c>
      <c r="F947" s="16"/>
    </row>
    <row r="948" spans="1:6">
      <c r="A948" s="16">
        <v>6700500000</v>
      </c>
      <c r="B948" s="16">
        <v>0</v>
      </c>
      <c r="C948" s="16" t="s">
        <v>3404</v>
      </c>
      <c r="D948" s="16" t="s">
        <v>3405</v>
      </c>
      <c r="F948" s="16"/>
    </row>
    <row r="949" spans="1:6">
      <c r="A949" s="16">
        <v>6100000020</v>
      </c>
      <c r="B949" s="16">
        <v>0</v>
      </c>
      <c r="C949" s="16" t="s">
        <v>3416</v>
      </c>
      <c r="D949" s="16" t="s">
        <v>3417</v>
      </c>
      <c r="F949" s="16"/>
    </row>
    <row r="950" spans="1:6">
      <c r="A950" s="16">
        <v>2750010000</v>
      </c>
      <c r="B950" s="16">
        <v>0</v>
      </c>
      <c r="C950" s="16" t="s">
        <v>3419</v>
      </c>
      <c r="D950" s="16" t="s">
        <v>3403</v>
      </c>
      <c r="F950" s="16"/>
    </row>
    <row r="951" spans="1:6">
      <c r="A951" s="16">
        <v>6700200000</v>
      </c>
      <c r="B951" s="16">
        <v>0</v>
      </c>
      <c r="C951" s="16" t="s">
        <v>3404</v>
      </c>
      <c r="D951" s="16" t="s">
        <v>3409</v>
      </c>
      <c r="F951" s="16"/>
    </row>
    <row r="952" spans="1:6">
      <c r="A952" s="16">
        <v>5010100010</v>
      </c>
      <c r="B952" s="16">
        <v>0</v>
      </c>
      <c r="C952" s="16" t="s">
        <v>3406</v>
      </c>
      <c r="D952" s="16" t="s">
        <v>3407</v>
      </c>
      <c r="F952" s="16"/>
    </row>
    <row r="953" spans="1:6">
      <c r="A953" s="16">
        <v>6100000000</v>
      </c>
      <c r="B953" s="16">
        <v>0</v>
      </c>
      <c r="C953" s="16" t="s">
        <v>3416</v>
      </c>
      <c r="D953" s="16" t="s">
        <v>3417</v>
      </c>
      <c r="F953" s="16"/>
    </row>
    <row r="954" spans="1:6">
      <c r="A954" s="16">
        <v>3102000000</v>
      </c>
      <c r="B954" s="16">
        <v>0</v>
      </c>
      <c r="C954" s="16" t="s">
        <v>3424</v>
      </c>
      <c r="D954" s="16" t="s">
        <v>3403</v>
      </c>
      <c r="F954" s="16"/>
    </row>
    <row r="955" spans="1:6">
      <c r="A955" s="16">
        <v>6700400000</v>
      </c>
      <c r="B955" s="16">
        <v>0</v>
      </c>
      <c r="C955" s="16" t="s">
        <v>3404</v>
      </c>
      <c r="D955" s="16" t="s">
        <v>3405</v>
      </c>
      <c r="F955" s="16"/>
    </row>
    <row r="956" spans="1:6">
      <c r="A956" s="16">
        <v>6102000000</v>
      </c>
      <c r="B956" s="16">
        <v>0</v>
      </c>
      <c r="C956" s="16" t="s">
        <v>3425</v>
      </c>
      <c r="D956" s="16" t="s">
        <v>3426</v>
      </c>
      <c r="F956" s="16"/>
    </row>
    <row r="957" spans="1:6">
      <c r="A957" s="16">
        <v>6160000000</v>
      </c>
      <c r="B957" s="16">
        <v>0</v>
      </c>
      <c r="C957" s="16" t="s">
        <v>3416</v>
      </c>
      <c r="D957" s="16" t="s">
        <v>3417</v>
      </c>
      <c r="F957" s="16"/>
    </row>
    <row r="958" spans="1:6">
      <c r="A958" s="16">
        <v>6100000000</v>
      </c>
      <c r="B958" s="16">
        <v>0</v>
      </c>
      <c r="C958" s="16" t="s">
        <v>3416</v>
      </c>
      <c r="D958" s="16" t="s">
        <v>3417</v>
      </c>
      <c r="F958" s="16"/>
    </row>
    <row r="959" spans="1:6">
      <c r="A959" s="16">
        <v>5050000000</v>
      </c>
      <c r="B959" s="16">
        <v>0</v>
      </c>
      <c r="C959" s="16" t="s">
        <v>3406</v>
      </c>
      <c r="D959" s="16" t="s">
        <v>3422</v>
      </c>
      <c r="F959" s="16"/>
    </row>
    <row r="960" spans="1:6">
      <c r="A960" s="16">
        <v>6700700000</v>
      </c>
      <c r="B960" s="16">
        <v>0</v>
      </c>
      <c r="C960" s="16" t="s">
        <v>3404</v>
      </c>
      <c r="D960" s="16" t="s">
        <v>3409</v>
      </c>
      <c r="F960" s="16"/>
    </row>
    <row r="961" spans="1:6">
      <c r="A961" s="16">
        <v>6150000000</v>
      </c>
      <c r="B961" s="16">
        <v>0</v>
      </c>
      <c r="C961" s="16" t="s">
        <v>3416</v>
      </c>
      <c r="D961" s="16" t="s">
        <v>3417</v>
      </c>
      <c r="F961" s="16"/>
    </row>
    <row r="962" spans="1:6">
      <c r="A962" s="16">
        <v>6700400000</v>
      </c>
      <c r="B962" s="16">
        <v>0</v>
      </c>
      <c r="C962" s="16" t="s">
        <v>3404</v>
      </c>
      <c r="D962" s="16" t="s">
        <v>3405</v>
      </c>
      <c r="F962" s="16"/>
    </row>
    <row r="963" spans="1:6">
      <c r="A963" s="16">
        <v>6610000000</v>
      </c>
      <c r="B963" s="16">
        <v>0</v>
      </c>
      <c r="C963" s="16" t="s">
        <v>3413</v>
      </c>
      <c r="D963" s="16" t="s">
        <v>3418</v>
      </c>
      <c r="F963" s="16"/>
    </row>
    <row r="964" spans="1:6">
      <c r="A964" s="16">
        <v>6100000000</v>
      </c>
      <c r="B964" s="16">
        <v>0</v>
      </c>
      <c r="C964" s="16" t="s">
        <v>3427</v>
      </c>
      <c r="D964" s="16" t="s">
        <v>3417</v>
      </c>
      <c r="F964" s="16"/>
    </row>
    <row r="965" spans="1:6">
      <c r="A965" s="16">
        <v>3810000000</v>
      </c>
      <c r="B965" s="16">
        <v>0</v>
      </c>
      <c r="C965" s="16" t="s">
        <v>3402</v>
      </c>
      <c r="D965" s="16" t="s">
        <v>3403</v>
      </c>
      <c r="F965" s="16"/>
    </row>
    <row r="966" spans="1:6">
      <c r="A966" s="16">
        <v>6610000100</v>
      </c>
      <c r="B966" s="16">
        <v>0</v>
      </c>
      <c r="C966" s="16" t="s">
        <v>3413</v>
      </c>
      <c r="D966" s="16" t="s">
        <v>3418</v>
      </c>
      <c r="F966" s="16"/>
    </row>
    <row r="967" spans="1:6">
      <c r="A967" s="16">
        <v>6700100000</v>
      </c>
      <c r="B967" s="16">
        <v>0</v>
      </c>
      <c r="C967" s="16" t="s">
        <v>3404</v>
      </c>
      <c r="D967" s="16" t="s">
        <v>3410</v>
      </c>
      <c r="F967" s="16"/>
    </row>
    <row r="968" spans="1:6">
      <c r="A968" s="16">
        <v>3710000000</v>
      </c>
      <c r="B968" s="16">
        <v>0</v>
      </c>
      <c r="C968" s="16" t="s">
        <v>3402</v>
      </c>
      <c r="D968" s="16" t="s">
        <v>3403</v>
      </c>
      <c r="F968" s="16"/>
    </row>
    <row r="969" spans="1:6">
      <c r="A969" s="16">
        <v>3100000000</v>
      </c>
      <c r="B969" s="16">
        <v>0</v>
      </c>
      <c r="C969" s="16" t="s">
        <v>3402</v>
      </c>
      <c r="D969" s="16" t="s">
        <v>3403</v>
      </c>
      <c r="F969" s="16"/>
    </row>
    <row r="970" spans="1:6">
      <c r="A970" s="16">
        <v>6102000000</v>
      </c>
      <c r="B970" s="16">
        <v>0</v>
      </c>
      <c r="C970" s="16" t="s">
        <v>3425</v>
      </c>
      <c r="D970" s="16" t="s">
        <v>3426</v>
      </c>
      <c r="F970" s="16"/>
    </row>
    <row r="971" spans="1:6">
      <c r="A971" s="16">
        <v>4010000000</v>
      </c>
      <c r="B971" s="16">
        <v>0</v>
      </c>
      <c r="C971" s="16" t="s">
        <v>3431</v>
      </c>
      <c r="D971" s="16" t="s">
        <v>3403</v>
      </c>
      <c r="F971" s="16"/>
    </row>
    <row r="972" spans="1:6">
      <c r="A972" s="16">
        <v>3100000000</v>
      </c>
      <c r="B972" s="16">
        <v>0</v>
      </c>
      <c r="C972" s="16" t="s">
        <v>3402</v>
      </c>
      <c r="D972" s="16" t="s">
        <v>3403</v>
      </c>
      <c r="F972" s="16"/>
    </row>
    <row r="973" spans="1:6">
      <c r="A973" s="16">
        <v>5050000000</v>
      </c>
      <c r="B973" s="16">
        <v>4361536</v>
      </c>
      <c r="C973" s="16" t="s">
        <v>3406</v>
      </c>
      <c r="D973" s="16" t="s">
        <v>3422</v>
      </c>
      <c r="F973" s="16"/>
    </row>
    <row r="974" spans="1:6">
      <c r="A974" s="16">
        <v>2201300000</v>
      </c>
      <c r="B974" s="16">
        <v>189881</v>
      </c>
      <c r="C974" s="16" t="s">
        <v>3415</v>
      </c>
      <c r="D974" s="16" t="s">
        <v>3403</v>
      </c>
      <c r="F974" s="16"/>
    </row>
    <row r="975" spans="1:6">
      <c r="A975" s="16">
        <v>3800000000</v>
      </c>
      <c r="B975" s="16">
        <v>0</v>
      </c>
      <c r="C975" s="16" t="s">
        <v>3402</v>
      </c>
      <c r="D975" s="16" t="s">
        <v>3403</v>
      </c>
      <c r="F975" s="16"/>
    </row>
    <row r="976" spans="1:6">
      <c r="A976" s="16">
        <v>6700500000</v>
      </c>
      <c r="B976" s="16">
        <v>0</v>
      </c>
      <c r="C976" s="16" t="s">
        <v>3404</v>
      </c>
      <c r="D976" s="16" t="s">
        <v>3405</v>
      </c>
      <c r="F976" s="16"/>
    </row>
    <row r="977" spans="1:6">
      <c r="A977" s="16">
        <v>3510000000</v>
      </c>
      <c r="B977" s="16">
        <v>0</v>
      </c>
      <c r="C977" s="16" t="s">
        <v>3402</v>
      </c>
      <c r="D977" s="16" t="s">
        <v>3403</v>
      </c>
      <c r="F977" s="16"/>
    </row>
    <row r="978" spans="1:6">
      <c r="A978" s="16">
        <v>6700200000</v>
      </c>
      <c r="B978" s="16">
        <v>0</v>
      </c>
      <c r="C978" s="16" t="s">
        <v>3404</v>
      </c>
      <c r="D978" s="16" t="s">
        <v>3409</v>
      </c>
      <c r="F978" s="16"/>
    </row>
    <row r="979" spans="1:6">
      <c r="A979" s="16">
        <v>5050000000</v>
      </c>
      <c r="B979" s="16">
        <v>0</v>
      </c>
      <c r="C979" s="16" t="s">
        <v>3406</v>
      </c>
      <c r="D979" s="16" t="s">
        <v>3422</v>
      </c>
      <c r="F979" s="16"/>
    </row>
    <row r="980" spans="1:6">
      <c r="A980" s="16">
        <v>4203000000</v>
      </c>
      <c r="B980" s="16">
        <v>0</v>
      </c>
      <c r="C980" s="16" t="s">
        <v>3408</v>
      </c>
      <c r="D980" s="16" t="s">
        <v>3403</v>
      </c>
      <c r="F980" s="16"/>
    </row>
    <row r="981" spans="1:6">
      <c r="A981" s="16">
        <v>6700200000</v>
      </c>
      <c r="B981" s="16">
        <v>0</v>
      </c>
      <c r="C981" s="16" t="s">
        <v>3404</v>
      </c>
      <c r="D981" s="16" t="s">
        <v>3409</v>
      </c>
      <c r="F981" s="16"/>
    </row>
    <row r="982" spans="1:6">
      <c r="A982" s="16">
        <v>3100000000</v>
      </c>
      <c r="B982" s="16">
        <v>0</v>
      </c>
      <c r="C982" s="16" t="s">
        <v>3402</v>
      </c>
      <c r="D982" s="16" t="s">
        <v>3403</v>
      </c>
      <c r="F982" s="16"/>
    </row>
    <row r="983" spans="1:6">
      <c r="A983" s="16">
        <v>6700200000</v>
      </c>
      <c r="B983" s="16">
        <v>0</v>
      </c>
      <c r="C983" s="16" t="s">
        <v>3404</v>
      </c>
      <c r="D983" s="16" t="s">
        <v>3409</v>
      </c>
      <c r="F983" s="16"/>
    </row>
    <row r="984" spans="1:6">
      <c r="A984" s="16">
        <v>5050000000</v>
      </c>
      <c r="B984" s="16">
        <v>0</v>
      </c>
      <c r="C984" s="16" t="s">
        <v>3406</v>
      </c>
      <c r="D984" s="16" t="s">
        <v>3422</v>
      </c>
      <c r="F984" s="16"/>
    </row>
    <row r="985" spans="1:6">
      <c r="A985" s="16">
        <v>6610000000</v>
      </c>
      <c r="B985" s="16">
        <v>0</v>
      </c>
      <c r="C985" s="16" t="s">
        <v>3413</v>
      </c>
      <c r="D985" s="16" t="s">
        <v>3418</v>
      </c>
      <c r="F985" s="16"/>
    </row>
    <row r="986" spans="1:6">
      <c r="A986" s="16">
        <v>6700600000</v>
      </c>
      <c r="B986" s="16">
        <v>0</v>
      </c>
      <c r="C986" s="16" t="s">
        <v>3404</v>
      </c>
      <c r="D986" s="16" t="s">
        <v>3409</v>
      </c>
      <c r="F986" s="16"/>
    </row>
    <row r="987" spans="1:6">
      <c r="A987" s="16">
        <v>6700200000</v>
      </c>
      <c r="B987" s="16">
        <v>0</v>
      </c>
      <c r="C987" s="16" t="s">
        <v>3404</v>
      </c>
      <c r="D987" s="16" t="s">
        <v>3409</v>
      </c>
      <c r="F987" s="16"/>
    </row>
    <row r="988" spans="1:6">
      <c r="A988" s="16">
        <v>6700200000</v>
      </c>
      <c r="B988" s="16">
        <v>0</v>
      </c>
      <c r="C988" s="16" t="s">
        <v>3404</v>
      </c>
      <c r="D988" s="16" t="s">
        <v>3409</v>
      </c>
      <c r="F988" s="16"/>
    </row>
    <row r="989" spans="1:6">
      <c r="A989" s="16">
        <v>3800000000</v>
      </c>
      <c r="B989" s="16">
        <v>-4361536</v>
      </c>
      <c r="C989" s="16" t="s">
        <v>3402</v>
      </c>
      <c r="D989" s="16" t="s">
        <v>3403</v>
      </c>
      <c r="F989" s="16"/>
    </row>
    <row r="990" spans="1:6">
      <c r="A990" s="16">
        <v>3102000000</v>
      </c>
      <c r="B990" s="16">
        <v>12357122</v>
      </c>
      <c r="C990" s="16" t="s">
        <v>3424</v>
      </c>
      <c r="D990" s="16" t="s">
        <v>3403</v>
      </c>
      <c r="F990" s="16"/>
    </row>
    <row r="991" spans="1:6">
      <c r="A991" s="16">
        <v>2201000000</v>
      </c>
      <c r="B991" s="16">
        <v>0</v>
      </c>
      <c r="C991" s="16" t="s">
        <v>3415</v>
      </c>
      <c r="D991" s="16" t="s">
        <v>3403</v>
      </c>
      <c r="F991" s="16"/>
    </row>
    <row r="992" spans="1:6">
      <c r="A992" s="16">
        <v>6700600000</v>
      </c>
      <c r="B992" s="16">
        <v>-189881</v>
      </c>
      <c r="C992" s="16" t="s">
        <v>3404</v>
      </c>
      <c r="D992" s="16" t="s">
        <v>3409</v>
      </c>
      <c r="F992" s="16"/>
    </row>
    <row r="993" spans="1:6">
      <c r="A993" s="16">
        <v>6700100000</v>
      </c>
      <c r="B993" s="16">
        <v>0</v>
      </c>
      <c r="C993" s="16" t="s">
        <v>3404</v>
      </c>
      <c r="D993" s="16" t="s">
        <v>3410</v>
      </c>
      <c r="F993" s="16"/>
    </row>
    <row r="994" spans="1:6">
      <c r="A994" s="16">
        <v>3800000000</v>
      </c>
      <c r="B994" s="16">
        <v>0</v>
      </c>
      <c r="C994" s="16" t="s">
        <v>3402</v>
      </c>
      <c r="D994" s="16" t="s">
        <v>3403</v>
      </c>
      <c r="F994" s="16"/>
    </row>
    <row r="995" spans="1:6">
      <c r="A995" s="16">
        <v>6700000000</v>
      </c>
      <c r="B995" s="16">
        <v>0</v>
      </c>
      <c r="C995" s="16" t="s">
        <v>3404</v>
      </c>
      <c r="D995" s="16" t="s">
        <v>3405</v>
      </c>
      <c r="F995" s="16"/>
    </row>
    <row r="996" spans="1:6">
      <c r="A996" s="16">
        <v>6700000000</v>
      </c>
      <c r="B996" s="16">
        <v>0</v>
      </c>
      <c r="C996" s="16" t="s">
        <v>3404</v>
      </c>
      <c r="D996" s="16" t="s">
        <v>3405</v>
      </c>
      <c r="F996" s="16"/>
    </row>
    <row r="997" spans="1:6">
      <c r="A997" s="16">
        <v>3800000000</v>
      </c>
      <c r="B997" s="16">
        <v>0</v>
      </c>
      <c r="C997" s="16" t="s">
        <v>3402</v>
      </c>
      <c r="D997" s="16" t="s">
        <v>3403</v>
      </c>
      <c r="F997" s="16"/>
    </row>
    <row r="998" spans="1:6">
      <c r="A998" s="16">
        <v>6610100000</v>
      </c>
      <c r="B998" s="16">
        <v>0</v>
      </c>
      <c r="C998" s="16" t="s">
        <v>3413</v>
      </c>
      <c r="D998" s="16" t="s">
        <v>3414</v>
      </c>
      <c r="F998" s="16"/>
    </row>
    <row r="999" spans="1:6">
      <c r="A999" s="16">
        <v>5010100010</v>
      </c>
      <c r="B999" s="16">
        <v>0</v>
      </c>
      <c r="C999" s="16" t="s">
        <v>3406</v>
      </c>
      <c r="D999" s="16" t="s">
        <v>3407</v>
      </c>
      <c r="F999" s="16"/>
    </row>
    <row r="1000" spans="1:6">
      <c r="A1000" s="16">
        <v>4203000000</v>
      </c>
      <c r="B1000" s="16">
        <v>0</v>
      </c>
      <c r="C1000" s="16" t="s">
        <v>3408</v>
      </c>
      <c r="D1000" s="16" t="s">
        <v>3403</v>
      </c>
      <c r="F1000" s="16"/>
    </row>
    <row r="1001" spans="1:6">
      <c r="A1001" s="16">
        <v>6700400000</v>
      </c>
      <c r="B1001" s="16">
        <v>0</v>
      </c>
      <c r="C1001" s="16" t="s">
        <v>3404</v>
      </c>
      <c r="D1001" s="16" t="s">
        <v>3405</v>
      </c>
      <c r="F1001" s="16"/>
    </row>
    <row r="1002" spans="1:6">
      <c r="A1002" s="16">
        <v>2201000000</v>
      </c>
      <c r="B1002" s="16">
        <v>0</v>
      </c>
      <c r="C1002" s="16" t="s">
        <v>3415</v>
      </c>
      <c r="D1002" s="16" t="s">
        <v>3403</v>
      </c>
      <c r="F1002" s="16"/>
    </row>
    <row r="1003" spans="1:6">
      <c r="A1003" s="16">
        <v>6700200000</v>
      </c>
      <c r="B1003" s="16">
        <v>0</v>
      </c>
      <c r="C1003" s="16" t="s">
        <v>3404</v>
      </c>
      <c r="D1003" s="16" t="s">
        <v>3409</v>
      </c>
      <c r="F1003" s="16"/>
    </row>
    <row r="1004" spans="1:6">
      <c r="A1004" s="16">
        <v>5010000010</v>
      </c>
      <c r="B1004" s="16">
        <v>0</v>
      </c>
      <c r="C1004" s="16" t="s">
        <v>3406</v>
      </c>
      <c r="D1004" s="16" t="s">
        <v>3411</v>
      </c>
      <c r="F1004" s="16"/>
    </row>
    <row r="1005" spans="1:6">
      <c r="A1005" s="16">
        <v>6700000000</v>
      </c>
      <c r="B1005" s="16">
        <v>0</v>
      </c>
      <c r="C1005" s="16" t="s">
        <v>3404</v>
      </c>
      <c r="D1005" s="16" t="s">
        <v>3405</v>
      </c>
      <c r="F1005" s="16"/>
    </row>
    <row r="1006" spans="1:6">
      <c r="A1006" s="16">
        <v>6610100000</v>
      </c>
      <c r="B1006" s="16">
        <v>0</v>
      </c>
      <c r="C1006" s="16" t="s">
        <v>3413</v>
      </c>
      <c r="D1006" s="16" t="s">
        <v>3414</v>
      </c>
      <c r="F1006" s="16"/>
    </row>
    <row r="1007" spans="1:6">
      <c r="A1007" s="16">
        <v>6700100000</v>
      </c>
      <c r="B1007" s="16">
        <v>0</v>
      </c>
      <c r="C1007" s="16" t="s">
        <v>3404</v>
      </c>
      <c r="D1007" s="16" t="s">
        <v>3410</v>
      </c>
      <c r="F1007" s="16"/>
    </row>
    <row r="1008" spans="1:6">
      <c r="A1008" s="16">
        <v>6102000000</v>
      </c>
      <c r="B1008" s="16">
        <v>-12357122</v>
      </c>
      <c r="C1008" s="16" t="s">
        <v>3425</v>
      </c>
      <c r="D1008" s="16" t="s">
        <v>3426</v>
      </c>
      <c r="F1008" s="16"/>
    </row>
    <row r="1009" spans="1:6">
      <c r="A1009" s="16">
        <v>6700200000</v>
      </c>
      <c r="B1009" s="16">
        <v>0</v>
      </c>
      <c r="C1009" s="16" t="s">
        <v>3404</v>
      </c>
      <c r="D1009" s="16" t="s">
        <v>3409</v>
      </c>
      <c r="F1009" s="16"/>
    </row>
    <row r="1010" spans="1:6">
      <c r="A1010" s="16">
        <v>6104000000</v>
      </c>
      <c r="B1010" s="16">
        <v>0</v>
      </c>
      <c r="C1010" s="16" t="s">
        <v>3416</v>
      </c>
      <c r="D1010" s="16" t="s">
        <v>3417</v>
      </c>
      <c r="F1010" s="16"/>
    </row>
    <row r="1011" spans="1:6">
      <c r="A1011" s="16">
        <v>6700200000</v>
      </c>
      <c r="B1011" s="16">
        <v>0</v>
      </c>
      <c r="C1011" s="16" t="s">
        <v>3404</v>
      </c>
      <c r="D1011" s="16" t="s">
        <v>3409</v>
      </c>
      <c r="F1011" s="16"/>
    </row>
    <row r="1012" spans="1:6">
      <c r="A1012" s="16">
        <v>2500000000</v>
      </c>
      <c r="B1012" s="16">
        <v>0</v>
      </c>
      <c r="C1012" s="16" t="s">
        <v>3412</v>
      </c>
      <c r="D1012" s="16" t="s">
        <v>3403</v>
      </c>
      <c r="F1012" s="16"/>
    </row>
    <row r="1013" spans="1:6">
      <c r="A1013" s="16">
        <v>6100000000</v>
      </c>
      <c r="B1013" s="16">
        <v>52525083919</v>
      </c>
      <c r="C1013" s="16" t="s">
        <v>3416</v>
      </c>
      <c r="D1013" s="16" t="s">
        <v>3417</v>
      </c>
      <c r="F1013" s="16"/>
    </row>
    <row r="1014" spans="1:6">
      <c r="A1014" s="16">
        <v>6100000020</v>
      </c>
      <c r="B1014" s="16">
        <v>0</v>
      </c>
      <c r="C1014" s="16" t="s">
        <v>3416</v>
      </c>
      <c r="D1014" s="16" t="s">
        <v>3417</v>
      </c>
      <c r="F1014" s="16"/>
    </row>
    <row r="1015" spans="1:6">
      <c r="A1015" s="16">
        <v>6610000000</v>
      </c>
      <c r="B1015" s="16">
        <v>0</v>
      </c>
      <c r="C1015" s="16" t="s">
        <v>3413</v>
      </c>
      <c r="D1015" s="16" t="s">
        <v>3418</v>
      </c>
      <c r="F1015" s="16"/>
    </row>
    <row r="1016" spans="1:6">
      <c r="A1016" s="16">
        <v>6700200000</v>
      </c>
      <c r="B1016" s="16">
        <v>0</v>
      </c>
      <c r="C1016" s="16" t="s">
        <v>3404</v>
      </c>
      <c r="D1016" s="16" t="s">
        <v>3409</v>
      </c>
      <c r="F1016" s="16"/>
    </row>
    <row r="1017" spans="1:6">
      <c r="A1017" s="16">
        <v>4203000000</v>
      </c>
      <c r="B1017" s="16">
        <v>0</v>
      </c>
      <c r="C1017" s="16" t="s">
        <v>3408</v>
      </c>
      <c r="D1017" s="16" t="s">
        <v>3403</v>
      </c>
      <c r="F1017" s="16"/>
    </row>
    <row r="1018" spans="1:6">
      <c r="A1018" s="16">
        <v>3710000000</v>
      </c>
      <c r="B1018" s="16">
        <v>0</v>
      </c>
      <c r="C1018" s="16" t="s">
        <v>3402</v>
      </c>
      <c r="D1018" s="16" t="s">
        <v>3403</v>
      </c>
      <c r="F1018" s="16"/>
    </row>
    <row r="1019" spans="1:6">
      <c r="A1019" s="16">
        <v>6700200000</v>
      </c>
      <c r="B1019" s="16">
        <v>0</v>
      </c>
      <c r="C1019" s="16" t="s">
        <v>3404</v>
      </c>
      <c r="D1019" s="16" t="s">
        <v>3409</v>
      </c>
      <c r="F1019" s="16"/>
    </row>
    <row r="1020" spans="1:6">
      <c r="A1020" s="16">
        <v>6700100000</v>
      </c>
      <c r="B1020" s="16">
        <v>0</v>
      </c>
      <c r="C1020" s="16" t="s">
        <v>3404</v>
      </c>
      <c r="D1020" s="16" t="s">
        <v>3410</v>
      </c>
      <c r="F1020" s="16"/>
    </row>
    <row r="1021" spans="1:6">
      <c r="A1021" s="16">
        <v>3710000000</v>
      </c>
      <c r="B1021" s="16">
        <v>0</v>
      </c>
      <c r="C1021" s="16" t="s">
        <v>3402</v>
      </c>
      <c r="D1021" s="16" t="s">
        <v>3403</v>
      </c>
      <c r="F1021" s="16"/>
    </row>
    <row r="1022" spans="1:6">
      <c r="A1022" s="16">
        <v>5052010000</v>
      </c>
      <c r="B1022" s="16">
        <v>0</v>
      </c>
      <c r="C1022" s="16" t="s">
        <v>3406</v>
      </c>
      <c r="D1022" s="16" t="s">
        <v>3422</v>
      </c>
      <c r="F1022" s="16"/>
    </row>
    <row r="1023" spans="1:6">
      <c r="A1023" s="16">
        <v>4203000000</v>
      </c>
      <c r="B1023" s="16">
        <v>0</v>
      </c>
      <c r="C1023" s="16" t="s">
        <v>3408</v>
      </c>
      <c r="D1023" s="16" t="s">
        <v>3403</v>
      </c>
      <c r="F1023" s="16"/>
    </row>
    <row r="1024" spans="1:6">
      <c r="A1024" s="16">
        <v>2500000000</v>
      </c>
      <c r="B1024" s="16">
        <v>-169881</v>
      </c>
      <c r="C1024" s="16" t="s">
        <v>3412</v>
      </c>
      <c r="D1024" s="16" t="s">
        <v>3403</v>
      </c>
      <c r="F1024" s="16"/>
    </row>
    <row r="1025" spans="1:6">
      <c r="A1025" s="16">
        <v>6104000000</v>
      </c>
      <c r="B1025" s="16">
        <v>0</v>
      </c>
      <c r="C1025" s="16" t="s">
        <v>3416</v>
      </c>
      <c r="D1025" s="16" t="s">
        <v>3417</v>
      </c>
      <c r="F1025" s="16"/>
    </row>
    <row r="1026" spans="1:6">
      <c r="A1026" s="16">
        <v>2750010000</v>
      </c>
      <c r="B1026" s="16">
        <v>0</v>
      </c>
      <c r="C1026" s="16" t="s">
        <v>3419</v>
      </c>
      <c r="D1026" s="16" t="s">
        <v>3403</v>
      </c>
      <c r="F1026" s="16"/>
    </row>
    <row r="1027" spans="1:6">
      <c r="A1027" s="16">
        <v>3103000000</v>
      </c>
      <c r="B1027" s="16">
        <v>0</v>
      </c>
      <c r="C1027" s="16" t="s">
        <v>3402</v>
      </c>
      <c r="D1027" s="16" t="s">
        <v>3403</v>
      </c>
      <c r="F1027" s="16"/>
    </row>
    <row r="1028" spans="1:6">
      <c r="A1028" s="16">
        <v>2500000000</v>
      </c>
      <c r="B1028" s="16">
        <v>158459</v>
      </c>
      <c r="C1028" s="16" t="s">
        <v>3412</v>
      </c>
      <c r="D1028" s="16" t="s">
        <v>3403</v>
      </c>
      <c r="F1028" s="16"/>
    </row>
    <row r="1029" spans="1:6">
      <c r="A1029" s="16">
        <v>6700100000</v>
      </c>
      <c r="B1029" s="16">
        <v>0</v>
      </c>
      <c r="C1029" s="16" t="s">
        <v>3404</v>
      </c>
      <c r="D1029" s="16" t="s">
        <v>3410</v>
      </c>
      <c r="F1029" s="16"/>
    </row>
    <row r="1030" spans="1:6">
      <c r="A1030" s="16">
        <v>5010100000</v>
      </c>
      <c r="B1030" s="16">
        <v>0</v>
      </c>
      <c r="C1030" s="16" t="s">
        <v>3406</v>
      </c>
      <c r="D1030" s="16" t="s">
        <v>3407</v>
      </c>
      <c r="F1030" s="16"/>
    </row>
    <row r="1031" spans="1:6">
      <c r="A1031" s="16">
        <v>3100000000</v>
      </c>
      <c r="B1031" s="16">
        <v>-52525083919</v>
      </c>
      <c r="C1031" s="16" t="s">
        <v>3402</v>
      </c>
      <c r="D1031" s="16" t="s">
        <v>3403</v>
      </c>
      <c r="F1031" s="16"/>
    </row>
    <row r="1032" spans="1:6">
      <c r="A1032" s="16">
        <v>2750010000</v>
      </c>
      <c r="B1032" s="16">
        <v>0</v>
      </c>
      <c r="C1032" s="16" t="s">
        <v>3419</v>
      </c>
      <c r="D1032" s="16" t="s">
        <v>3403</v>
      </c>
      <c r="F1032" s="16"/>
    </row>
    <row r="1033" spans="1:6">
      <c r="A1033" s="16">
        <v>6610100000</v>
      </c>
      <c r="B1033" s="16">
        <v>0</v>
      </c>
      <c r="C1033" s="16" t="s">
        <v>3413</v>
      </c>
      <c r="D1033" s="16" t="s">
        <v>3414</v>
      </c>
      <c r="F1033" s="16"/>
    </row>
    <row r="1034" spans="1:6">
      <c r="A1034" s="16">
        <v>6700200000</v>
      </c>
      <c r="B1034" s="16">
        <v>0</v>
      </c>
      <c r="C1034" s="16" t="s">
        <v>3404</v>
      </c>
      <c r="D1034" s="16" t="s">
        <v>3409</v>
      </c>
      <c r="F1034" s="16"/>
    </row>
    <row r="1035" spans="1:6">
      <c r="A1035" s="16">
        <v>6030000000</v>
      </c>
      <c r="B1035" s="16">
        <v>0</v>
      </c>
      <c r="C1035" s="16" t="s">
        <v>3420</v>
      </c>
      <c r="D1035" s="16" t="s">
        <v>3423</v>
      </c>
      <c r="F1035" s="16"/>
    </row>
    <row r="1036" spans="1:6">
      <c r="A1036" s="16">
        <v>3810000000</v>
      </c>
      <c r="B1036" s="16">
        <v>0</v>
      </c>
      <c r="C1036" s="16" t="s">
        <v>3402</v>
      </c>
      <c r="D1036" s="16" t="s">
        <v>3403</v>
      </c>
      <c r="F1036" s="16"/>
    </row>
    <row r="1037" spans="1:6">
      <c r="A1037" s="16">
        <v>5010100010</v>
      </c>
      <c r="B1037" s="16">
        <v>0</v>
      </c>
      <c r="C1037" s="16" t="s">
        <v>3406</v>
      </c>
      <c r="D1037" s="16" t="s">
        <v>3407</v>
      </c>
      <c r="F1037" s="16"/>
    </row>
    <row r="1038" spans="1:6">
      <c r="A1038" s="16">
        <v>6700200000</v>
      </c>
      <c r="B1038" s="16">
        <v>0</v>
      </c>
      <c r="C1038" s="16" t="s">
        <v>3404</v>
      </c>
      <c r="D1038" s="16" t="s">
        <v>3409</v>
      </c>
      <c r="F1038" s="16"/>
    </row>
    <row r="1039" spans="1:6">
      <c r="A1039" s="16">
        <v>6100000000</v>
      </c>
      <c r="B1039" s="16">
        <v>0</v>
      </c>
      <c r="C1039" s="16" t="s">
        <v>3416</v>
      </c>
      <c r="D1039" s="16" t="s">
        <v>3417</v>
      </c>
      <c r="F1039" s="16"/>
    </row>
    <row r="1040" spans="1:6">
      <c r="A1040" s="16">
        <v>4203000000</v>
      </c>
      <c r="B1040" s="16">
        <v>0</v>
      </c>
      <c r="C1040" s="16" t="s">
        <v>3408</v>
      </c>
      <c r="D1040" s="16" t="s">
        <v>3403</v>
      </c>
      <c r="F1040" s="16"/>
    </row>
    <row r="1041" spans="1:6">
      <c r="A1041" s="16">
        <v>2500000000</v>
      </c>
      <c r="B1041" s="16">
        <v>0</v>
      </c>
      <c r="C1041" s="16" t="s">
        <v>3412</v>
      </c>
      <c r="D1041" s="16" t="s">
        <v>3403</v>
      </c>
      <c r="F1041" s="16"/>
    </row>
    <row r="1042" spans="1:6">
      <c r="A1042" s="16">
        <v>2201000000</v>
      </c>
      <c r="B1042" s="16">
        <v>0</v>
      </c>
      <c r="C1042" s="16" t="s">
        <v>3415</v>
      </c>
      <c r="D1042" s="16" t="s">
        <v>3403</v>
      </c>
      <c r="F1042" s="16"/>
    </row>
    <row r="1043" spans="1:6">
      <c r="A1043" s="16">
        <v>6700600000</v>
      </c>
      <c r="B1043" s="16">
        <v>0</v>
      </c>
      <c r="C1043" s="16" t="s">
        <v>3404</v>
      </c>
      <c r="D1043" s="16" t="s">
        <v>3409</v>
      </c>
      <c r="F1043" s="16"/>
    </row>
    <row r="1044" spans="1:6">
      <c r="A1044" s="16">
        <v>2201200030</v>
      </c>
      <c r="B1044" s="16">
        <v>0</v>
      </c>
      <c r="C1044" s="16" t="s">
        <v>3415</v>
      </c>
      <c r="D1044" s="16" t="s">
        <v>3403</v>
      </c>
      <c r="F1044" s="16"/>
    </row>
    <row r="1045" spans="1:6">
      <c r="A1045" s="16">
        <v>2500000000</v>
      </c>
      <c r="B1045" s="16">
        <v>0</v>
      </c>
      <c r="C1045" s="16" t="s">
        <v>3412</v>
      </c>
      <c r="D1045" s="16" t="s">
        <v>3403</v>
      </c>
      <c r="F1045" s="16"/>
    </row>
    <row r="1046" spans="1:6">
      <c r="A1046" s="16">
        <v>3102000000</v>
      </c>
      <c r="B1046" s="16">
        <v>0</v>
      </c>
      <c r="C1046" s="16" t="s">
        <v>3424</v>
      </c>
      <c r="D1046" s="16" t="s">
        <v>3403</v>
      </c>
      <c r="F1046" s="16"/>
    </row>
    <row r="1047" spans="1:6">
      <c r="A1047" s="16">
        <v>6150000000</v>
      </c>
      <c r="B1047" s="16">
        <v>0</v>
      </c>
      <c r="C1047" s="16" t="s">
        <v>3416</v>
      </c>
      <c r="D1047" s="16" t="s">
        <v>3417</v>
      </c>
      <c r="F1047" s="16"/>
    </row>
    <row r="1048" spans="1:6">
      <c r="A1048" s="16">
        <v>6030000000</v>
      </c>
      <c r="B1048" s="16">
        <v>177</v>
      </c>
      <c r="C1048" s="16" t="s">
        <v>3420</v>
      </c>
      <c r="D1048" s="16" t="s">
        <v>3423</v>
      </c>
      <c r="F1048" s="16"/>
    </row>
    <row r="1049" spans="1:6">
      <c r="A1049" s="16">
        <v>6700200000</v>
      </c>
      <c r="B1049" s="16">
        <v>0</v>
      </c>
      <c r="C1049" s="16" t="s">
        <v>3404</v>
      </c>
      <c r="D1049" s="16" t="s">
        <v>3409</v>
      </c>
      <c r="F1049" s="16"/>
    </row>
    <row r="1050" spans="1:6">
      <c r="A1050" s="16">
        <v>5052000000</v>
      </c>
      <c r="B1050" s="16">
        <v>0</v>
      </c>
      <c r="C1050" s="16" t="s">
        <v>3406</v>
      </c>
      <c r="D1050" s="16" t="s">
        <v>3422</v>
      </c>
      <c r="F1050" s="16"/>
    </row>
    <row r="1051" spans="1:6">
      <c r="A1051" s="16">
        <v>6700600000</v>
      </c>
      <c r="B1051" s="16">
        <v>0</v>
      </c>
      <c r="C1051" s="16" t="s">
        <v>3404</v>
      </c>
      <c r="D1051" s="16" t="s">
        <v>3409</v>
      </c>
      <c r="F1051" s="16"/>
    </row>
    <row r="1052" spans="1:6">
      <c r="A1052" s="16">
        <v>5010000000</v>
      </c>
      <c r="B1052" s="16">
        <v>169881</v>
      </c>
      <c r="C1052" s="16" t="s">
        <v>3406</v>
      </c>
      <c r="D1052" s="16" t="s">
        <v>3411</v>
      </c>
      <c r="F1052" s="16"/>
    </row>
    <row r="1053" spans="1:6">
      <c r="A1053" s="16">
        <v>3103000000</v>
      </c>
      <c r="B1053" s="16">
        <v>0</v>
      </c>
      <c r="C1053" s="16" t="s">
        <v>3402</v>
      </c>
      <c r="D1053" s="16" t="s">
        <v>3403</v>
      </c>
    </row>
    <row r="1054" spans="1:6">
      <c r="A1054" s="16">
        <v>6610100100</v>
      </c>
      <c r="B1054" s="16">
        <v>0</v>
      </c>
      <c r="C1054" s="16" t="s">
        <v>3413</v>
      </c>
      <c r="D1054" s="16" t="s">
        <v>3414</v>
      </c>
    </row>
    <row r="1055" spans="1:6">
      <c r="A1055" s="16">
        <v>5010100000</v>
      </c>
      <c r="B1055" s="16">
        <v>-158459</v>
      </c>
      <c r="C1055" s="16" t="s">
        <v>3406</v>
      </c>
      <c r="D1055" s="16" t="s">
        <v>3407</v>
      </c>
    </row>
    <row r="1056" spans="1:6">
      <c r="A1056" s="16">
        <v>2500000000</v>
      </c>
      <c r="B1056" s="16">
        <v>0</v>
      </c>
      <c r="C1056" s="16" t="s">
        <v>3412</v>
      </c>
      <c r="D1056" s="16" t="s">
        <v>3403</v>
      </c>
    </row>
    <row r="1057" spans="1:4">
      <c r="A1057" s="16">
        <v>6610100000</v>
      </c>
      <c r="B1057" s="16">
        <v>0</v>
      </c>
      <c r="C1057" s="16" t="s">
        <v>3413</v>
      </c>
      <c r="D1057" s="16" t="s">
        <v>3414</v>
      </c>
    </row>
    <row r="1058" spans="1:4">
      <c r="A1058" s="16">
        <v>6700200000</v>
      </c>
      <c r="B1058" s="16">
        <v>0</v>
      </c>
      <c r="C1058" s="16" t="s">
        <v>3404</v>
      </c>
      <c r="D1058" s="16" t="s">
        <v>3409</v>
      </c>
    </row>
    <row r="1059" spans="1:4">
      <c r="A1059" s="16">
        <v>6610000100</v>
      </c>
      <c r="B1059" s="16">
        <v>0</v>
      </c>
      <c r="C1059" s="16" t="s">
        <v>3413</v>
      </c>
      <c r="D1059" s="16" t="s">
        <v>3418</v>
      </c>
    </row>
    <row r="1060" spans="1:4">
      <c r="A1060" s="16">
        <v>4203000000</v>
      </c>
      <c r="B1060" s="16">
        <v>0</v>
      </c>
      <c r="C1060" s="16" t="s">
        <v>3408</v>
      </c>
      <c r="D1060" s="16" t="s">
        <v>3403</v>
      </c>
    </row>
    <row r="1061" spans="1:4">
      <c r="A1061" s="16">
        <v>2201200030</v>
      </c>
      <c r="B1061" s="16">
        <v>0</v>
      </c>
      <c r="C1061" s="16" t="s">
        <v>3415</v>
      </c>
      <c r="D1061" s="16" t="s">
        <v>3403</v>
      </c>
    </row>
    <row r="1062" spans="1:4">
      <c r="A1062" s="16">
        <v>3030000000</v>
      </c>
      <c r="B1062" s="16">
        <v>0</v>
      </c>
      <c r="C1062" s="16" t="s">
        <v>3402</v>
      </c>
      <c r="D1062" s="16" t="s">
        <v>3403</v>
      </c>
    </row>
    <row r="1063" spans="1:4">
      <c r="A1063" s="16">
        <v>3710000000</v>
      </c>
      <c r="B1063" s="16">
        <v>0</v>
      </c>
      <c r="C1063" s="16" t="s">
        <v>3402</v>
      </c>
      <c r="D1063" s="16" t="s">
        <v>3403</v>
      </c>
    </row>
    <row r="1064" spans="1:4">
      <c r="A1064" s="16">
        <v>2500000000</v>
      </c>
      <c r="B1064" s="16">
        <v>0</v>
      </c>
      <c r="C1064" s="16" t="s">
        <v>3412</v>
      </c>
      <c r="D1064" s="16" t="s">
        <v>3403</v>
      </c>
    </row>
    <row r="1065" spans="1:4">
      <c r="A1065" s="16">
        <v>6700000000</v>
      </c>
      <c r="B1065" s="16">
        <v>0</v>
      </c>
      <c r="C1065" s="16" t="s">
        <v>3404</v>
      </c>
      <c r="D1065" s="16" t="s">
        <v>3405</v>
      </c>
    </row>
    <row r="1066" spans="1:4">
      <c r="A1066" s="16">
        <v>3100000000</v>
      </c>
      <c r="B1066" s="16">
        <v>0</v>
      </c>
      <c r="C1066" s="16" t="s">
        <v>3402</v>
      </c>
      <c r="D1066" s="16" t="s">
        <v>3403</v>
      </c>
    </row>
    <row r="1067" spans="1:4">
      <c r="A1067" s="16">
        <v>5010000000</v>
      </c>
      <c r="B1067" s="16">
        <v>0</v>
      </c>
      <c r="C1067" s="16" t="s">
        <v>3406</v>
      </c>
      <c r="D1067" s="16" t="s">
        <v>3411</v>
      </c>
    </row>
    <row r="1068" spans="1:4">
      <c r="A1068" s="16">
        <v>6700200000</v>
      </c>
      <c r="B1068" s="16">
        <v>0</v>
      </c>
      <c r="C1068" s="16" t="s">
        <v>3404</v>
      </c>
      <c r="D1068" s="16" t="s">
        <v>3409</v>
      </c>
    </row>
    <row r="1069" spans="1:4">
      <c r="A1069" s="16">
        <v>6700400000</v>
      </c>
      <c r="B1069" s="16">
        <v>0</v>
      </c>
      <c r="C1069" s="16" t="s">
        <v>3404</v>
      </c>
      <c r="D1069" s="16" t="s">
        <v>3405</v>
      </c>
    </row>
    <row r="1070" spans="1:4">
      <c r="A1070" s="16">
        <v>5010100000</v>
      </c>
      <c r="B1070" s="16">
        <v>0</v>
      </c>
      <c r="C1070" s="16" t="s">
        <v>3406</v>
      </c>
      <c r="D1070" s="16" t="s">
        <v>3407</v>
      </c>
    </row>
    <row r="1071" spans="1:4">
      <c r="A1071" s="16">
        <v>6102000000</v>
      </c>
      <c r="B1071" s="16">
        <v>0</v>
      </c>
      <c r="C1071" s="16" t="s">
        <v>3425</v>
      </c>
      <c r="D1071" s="16" t="s">
        <v>3426</v>
      </c>
    </row>
    <row r="1072" spans="1:4">
      <c r="A1072" s="16">
        <v>3510000000</v>
      </c>
      <c r="B1072" s="16">
        <v>0</v>
      </c>
      <c r="C1072" s="16" t="s">
        <v>3402</v>
      </c>
      <c r="D1072" s="16" t="s">
        <v>3403</v>
      </c>
    </row>
    <row r="1073" spans="1:4">
      <c r="A1073" s="16">
        <v>3030000000</v>
      </c>
      <c r="B1073" s="16">
        <v>-177</v>
      </c>
      <c r="C1073" s="16" t="s">
        <v>3402</v>
      </c>
      <c r="D1073" s="16" t="s">
        <v>3403</v>
      </c>
    </row>
    <row r="1074" spans="1:4">
      <c r="A1074" s="16">
        <v>6700000000</v>
      </c>
      <c r="B1074" s="16">
        <v>0</v>
      </c>
      <c r="C1074" s="16" t="s">
        <v>3404</v>
      </c>
      <c r="D1074" s="16" t="s">
        <v>3405</v>
      </c>
    </row>
    <row r="1075" spans="1:4">
      <c r="A1075" s="16">
        <v>2500000000</v>
      </c>
      <c r="B1075" s="16">
        <v>0</v>
      </c>
      <c r="C1075" s="16" t="s">
        <v>3412</v>
      </c>
      <c r="D1075" s="16" t="s">
        <v>3403</v>
      </c>
    </row>
    <row r="1076" spans="1:4">
      <c r="A1076" s="16">
        <v>6700400000</v>
      </c>
      <c r="B1076" s="16">
        <v>0</v>
      </c>
      <c r="C1076" s="16" t="s">
        <v>3404</v>
      </c>
      <c r="D1076" s="16" t="s">
        <v>3405</v>
      </c>
    </row>
    <row r="1077" spans="1:4">
      <c r="A1077" s="16">
        <v>6700200000</v>
      </c>
      <c r="B1077" s="16">
        <v>0</v>
      </c>
      <c r="C1077" s="16" t="s">
        <v>3404</v>
      </c>
      <c r="D1077" s="16" t="s">
        <v>3409</v>
      </c>
    </row>
    <row r="1078" spans="1:4">
      <c r="A1078" s="16">
        <v>6700100000</v>
      </c>
      <c r="B1078" s="16">
        <v>0</v>
      </c>
      <c r="C1078" s="16" t="s">
        <v>3404</v>
      </c>
      <c r="D1078" s="16" t="s">
        <v>3410</v>
      </c>
    </row>
    <row r="1079" spans="1:4">
      <c r="A1079" s="16">
        <v>2201000010</v>
      </c>
      <c r="B1079" s="16">
        <v>0</v>
      </c>
      <c r="C1079" s="16" t="s">
        <v>3415</v>
      </c>
      <c r="D1079" s="16" t="s">
        <v>3403</v>
      </c>
    </row>
    <row r="1080" spans="1:4">
      <c r="A1080" s="16">
        <v>4610000000</v>
      </c>
      <c r="B1080" s="16">
        <v>0</v>
      </c>
      <c r="C1080" s="16" t="s">
        <v>3428</v>
      </c>
      <c r="D1080" s="16" t="s">
        <v>3403</v>
      </c>
    </row>
    <row r="1081" spans="1:4">
      <c r="A1081" s="16">
        <v>5052010000</v>
      </c>
      <c r="B1081" s="16">
        <v>0</v>
      </c>
      <c r="C1081" s="16" t="s">
        <v>3406</v>
      </c>
      <c r="D1081" s="16" t="s">
        <v>3422</v>
      </c>
    </row>
    <row r="1082" spans="1:4">
      <c r="A1082" s="16">
        <v>5052000000</v>
      </c>
      <c r="B1082" s="16">
        <v>0</v>
      </c>
      <c r="C1082" s="16" t="s">
        <v>3406</v>
      </c>
      <c r="D1082" s="16" t="s">
        <v>3422</v>
      </c>
    </row>
    <row r="1083" spans="1:4">
      <c r="A1083" s="16">
        <v>2500000000</v>
      </c>
      <c r="B1083" s="16">
        <v>3260796</v>
      </c>
      <c r="C1083" s="16" t="s">
        <v>3412</v>
      </c>
      <c r="D1083" s="16" t="s">
        <v>3403</v>
      </c>
    </row>
    <row r="1084" spans="1:4">
      <c r="A1084" s="16">
        <v>5010100000</v>
      </c>
      <c r="B1084" s="16">
        <v>-3260796</v>
      </c>
      <c r="C1084" s="16" t="s">
        <v>3406</v>
      </c>
      <c r="D1084" s="16" t="s">
        <v>3407</v>
      </c>
    </row>
    <row r="1085" spans="1:4">
      <c r="A1085" s="16">
        <v>6700200000</v>
      </c>
      <c r="B1085" s="16">
        <v>0</v>
      </c>
      <c r="C1085" s="16" t="s">
        <v>3404</v>
      </c>
      <c r="D1085" s="16" t="s">
        <v>3409</v>
      </c>
    </row>
    <row r="1086" spans="1:4">
      <c r="A1086" s="16">
        <v>2201200030</v>
      </c>
      <c r="B1086" s="16">
        <v>0</v>
      </c>
      <c r="C1086" s="16" t="s">
        <v>3415</v>
      </c>
      <c r="D1086" s="16" t="s">
        <v>3403</v>
      </c>
    </row>
    <row r="1087" spans="1:4">
      <c r="A1087" s="16">
        <v>2201000000</v>
      </c>
      <c r="B1087" s="16">
        <v>0</v>
      </c>
      <c r="C1087" s="16" t="s">
        <v>3415</v>
      </c>
      <c r="D1087" s="16" t="s">
        <v>3403</v>
      </c>
    </row>
    <row r="1088" spans="1:4">
      <c r="A1088" s="16">
        <v>6700200000</v>
      </c>
      <c r="B1088" s="16">
        <v>0</v>
      </c>
      <c r="C1088" s="16" t="s">
        <v>3404</v>
      </c>
      <c r="D1088" s="16" t="s">
        <v>3409</v>
      </c>
    </row>
    <row r="1089" spans="1:4">
      <c r="A1089" s="16">
        <v>6700200000</v>
      </c>
      <c r="B1089" s="16">
        <v>0</v>
      </c>
      <c r="C1089" s="16" t="s">
        <v>3404</v>
      </c>
      <c r="D1089" s="16" t="s">
        <v>3409</v>
      </c>
    </row>
    <row r="1090" spans="1:4">
      <c r="A1090" s="16">
        <v>6700100000</v>
      </c>
      <c r="B1090" s="16">
        <v>0</v>
      </c>
      <c r="C1090" s="16" t="s">
        <v>3404</v>
      </c>
      <c r="D1090" s="16" t="s">
        <v>3410</v>
      </c>
    </row>
    <row r="1091" spans="1:4">
      <c r="A1091" s="16">
        <v>5050000000</v>
      </c>
      <c r="B1091" s="16">
        <v>0</v>
      </c>
      <c r="C1091" s="16" t="s">
        <v>3406</v>
      </c>
      <c r="D1091" s="16" t="s">
        <v>3422</v>
      </c>
    </row>
    <row r="1092" spans="1:4">
      <c r="A1092" s="16">
        <v>3800000000</v>
      </c>
      <c r="B1092" s="16">
        <v>0</v>
      </c>
      <c r="C1092" s="16" t="s">
        <v>3402</v>
      </c>
      <c r="D1092" s="16" t="s">
        <v>3403</v>
      </c>
    </row>
    <row r="1093" spans="1:4">
      <c r="A1093" s="16">
        <v>6610100000</v>
      </c>
      <c r="B1093" s="16">
        <v>0</v>
      </c>
      <c r="C1093" s="16" t="s">
        <v>3413</v>
      </c>
      <c r="D1093" s="16" t="s">
        <v>3414</v>
      </c>
    </row>
    <row r="1094" spans="1:4">
      <c r="A1094" s="16">
        <v>4203000000</v>
      </c>
      <c r="B1094" s="16">
        <v>0</v>
      </c>
      <c r="C1094" s="16" t="s">
        <v>3408</v>
      </c>
      <c r="D1094" s="16" t="s">
        <v>3403</v>
      </c>
    </row>
    <row r="1095" spans="1:4">
      <c r="A1095" s="16">
        <v>5010000010</v>
      </c>
      <c r="B1095" s="16">
        <v>0</v>
      </c>
      <c r="C1095" s="16" t="s">
        <v>3406</v>
      </c>
      <c r="D1095" s="16" t="s">
        <v>3411</v>
      </c>
    </row>
    <row r="1096" spans="1:4">
      <c r="A1096" s="16">
        <v>3710000000</v>
      </c>
      <c r="B1096" s="16">
        <v>0</v>
      </c>
      <c r="C1096" s="16" t="s">
        <v>3402</v>
      </c>
      <c r="D1096" s="16" t="s">
        <v>3403</v>
      </c>
    </row>
    <row r="1097" spans="1:4">
      <c r="A1097" s="16">
        <v>2500000000</v>
      </c>
      <c r="B1097" s="16">
        <v>0</v>
      </c>
      <c r="C1097" s="16" t="s">
        <v>3412</v>
      </c>
      <c r="D1097" s="16" t="s">
        <v>3403</v>
      </c>
    </row>
    <row r="1098" spans="1:4">
      <c r="A1098" s="16">
        <v>5010000000</v>
      </c>
      <c r="B1098" s="16">
        <v>0</v>
      </c>
      <c r="C1098" s="16" t="s">
        <v>3406</v>
      </c>
      <c r="D1098" s="16" t="s">
        <v>3411</v>
      </c>
    </row>
    <row r="1099" spans="1:4">
      <c r="A1099" s="16">
        <v>6610100000</v>
      </c>
      <c r="B1099" s="16">
        <v>86080</v>
      </c>
      <c r="C1099" s="16" t="s">
        <v>3413</v>
      </c>
      <c r="D1099" s="16" t="s">
        <v>3414</v>
      </c>
    </row>
    <row r="1100" spans="1:4">
      <c r="A1100" s="16">
        <v>4203000000</v>
      </c>
      <c r="B1100" s="16">
        <v>-86080</v>
      </c>
      <c r="C1100" s="16" t="s">
        <v>3408</v>
      </c>
      <c r="D1100" s="16" t="s">
        <v>3403</v>
      </c>
    </row>
    <row r="1101" spans="1:4">
      <c r="A1101" s="16">
        <v>2203000000</v>
      </c>
      <c r="B1101" s="16">
        <v>0</v>
      </c>
      <c r="C1101" s="16" t="s">
        <v>3415</v>
      </c>
      <c r="D1101" s="16" t="s">
        <v>3403</v>
      </c>
    </row>
    <row r="1102" spans="1:4">
      <c r="A1102" s="16">
        <v>6060110000</v>
      </c>
      <c r="B1102" s="16">
        <v>0</v>
      </c>
      <c r="C1102" s="16" t="s">
        <v>3420</v>
      </c>
      <c r="D1102" s="16" t="s">
        <v>3421</v>
      </c>
    </row>
    <row r="1103" spans="1:4">
      <c r="A1103" s="16">
        <v>3032000000</v>
      </c>
      <c r="B1103" s="16">
        <v>0</v>
      </c>
      <c r="C1103" s="16" t="s">
        <v>3424</v>
      </c>
      <c r="D1103" s="16" t="s">
        <v>3403</v>
      </c>
    </row>
    <row r="1104" spans="1:4">
      <c r="A1104" s="16">
        <v>6032000000</v>
      </c>
      <c r="B1104" s="16">
        <v>0</v>
      </c>
      <c r="C1104" s="16" t="s">
        <v>3429</v>
      </c>
      <c r="D1104" s="16" t="s">
        <v>3430</v>
      </c>
    </row>
    <row r="1105" spans="1:4">
      <c r="A1105" s="16">
        <v>6700600000</v>
      </c>
      <c r="B1105" s="16">
        <v>0</v>
      </c>
      <c r="C1105" s="16" t="s">
        <v>3404</v>
      </c>
      <c r="D1105" s="16" t="s">
        <v>3409</v>
      </c>
    </row>
    <row r="1106" spans="1:4">
      <c r="A1106" s="16">
        <v>6700400000</v>
      </c>
      <c r="B1106" s="16">
        <v>0</v>
      </c>
      <c r="C1106" s="16" t="s">
        <v>3404</v>
      </c>
      <c r="D1106" s="16" t="s">
        <v>3405</v>
      </c>
    </row>
    <row r="1107" spans="1:4">
      <c r="A1107" s="16">
        <v>2201400000</v>
      </c>
      <c r="B1107" s="16">
        <v>522125</v>
      </c>
      <c r="C1107" s="16" t="s">
        <v>3415</v>
      </c>
      <c r="D1107" s="16" t="s">
        <v>3403</v>
      </c>
    </row>
    <row r="1108" spans="1:4">
      <c r="A1108" s="16">
        <v>6700700000</v>
      </c>
      <c r="B1108" s="16">
        <v>-522125</v>
      </c>
      <c r="C1108" s="16" t="s">
        <v>3404</v>
      </c>
      <c r="D1108" s="16" t="s">
        <v>3409</v>
      </c>
    </row>
    <row r="1109" spans="1:4">
      <c r="A1109" s="16">
        <v>2500000000</v>
      </c>
      <c r="B1109" s="16">
        <v>0</v>
      </c>
      <c r="C1109" s="16" t="s">
        <v>3412</v>
      </c>
      <c r="D1109" s="16" t="s">
        <v>3403</v>
      </c>
    </row>
    <row r="1110" spans="1:4">
      <c r="A1110" s="16">
        <v>5010100000</v>
      </c>
      <c r="B1110" s="16">
        <v>0</v>
      </c>
      <c r="C1110" s="16" t="s">
        <v>3406</v>
      </c>
      <c r="D1110" s="16" t="s">
        <v>3407</v>
      </c>
    </row>
    <row r="1111" spans="1:4">
      <c r="A1111" s="16">
        <v>6700200000</v>
      </c>
      <c r="B1111" s="16">
        <v>0</v>
      </c>
      <c r="C1111" s="16" t="s">
        <v>3404</v>
      </c>
      <c r="D1111" s="16" t="s">
        <v>3409</v>
      </c>
    </row>
    <row r="1112" spans="1:4">
      <c r="A1112" s="16">
        <v>6700000000</v>
      </c>
      <c r="B1112" s="16">
        <v>0</v>
      </c>
      <c r="C1112" s="16" t="s">
        <v>3404</v>
      </c>
      <c r="D1112" s="16" t="s">
        <v>3405</v>
      </c>
    </row>
    <row r="1113" spans="1:4">
      <c r="A1113" s="16">
        <v>2750010000</v>
      </c>
      <c r="B1113" s="16">
        <v>0</v>
      </c>
      <c r="C1113" s="16" t="s">
        <v>3419</v>
      </c>
      <c r="D1113" s="16" t="s">
        <v>3403</v>
      </c>
    </row>
    <row r="1114" spans="1:4">
      <c r="A1114" s="16">
        <v>6610100100</v>
      </c>
      <c r="B1114" s="16">
        <v>0</v>
      </c>
      <c r="C1114" s="16" t="s">
        <v>3413</v>
      </c>
      <c r="D1114" s="16" t="s">
        <v>3414</v>
      </c>
    </row>
    <row r="1115" spans="1:4">
      <c r="A1115" s="16">
        <v>2500000000</v>
      </c>
      <c r="B1115" s="16">
        <v>0</v>
      </c>
      <c r="C1115" s="16" t="s">
        <v>3412</v>
      </c>
      <c r="D1115" s="16" t="s">
        <v>3403</v>
      </c>
    </row>
    <row r="1116" spans="1:4">
      <c r="A1116" s="16">
        <v>5010100000</v>
      </c>
      <c r="B1116" s="16">
        <v>0</v>
      </c>
      <c r="C1116" s="16" t="s">
        <v>3406</v>
      </c>
      <c r="D1116" s="16" t="s">
        <v>3407</v>
      </c>
    </row>
    <row r="1117" spans="1:4">
      <c r="A1117" s="16">
        <v>2201000030</v>
      </c>
      <c r="B1117" s="16">
        <v>0</v>
      </c>
      <c r="C1117" s="16" t="s">
        <v>3415</v>
      </c>
      <c r="D1117" s="16" t="s">
        <v>3403</v>
      </c>
    </row>
    <row r="1118" spans="1:4">
      <c r="A1118" s="16">
        <v>6700200000</v>
      </c>
      <c r="B1118" s="16">
        <v>0</v>
      </c>
      <c r="C1118" s="16" t="s">
        <v>3404</v>
      </c>
      <c r="D1118" s="16" t="s">
        <v>3409</v>
      </c>
    </row>
    <row r="1119" spans="1:4">
      <c r="A1119" s="16">
        <v>3032000000</v>
      </c>
      <c r="B1119" s="16">
        <v>1452</v>
      </c>
      <c r="C1119" s="16" t="s">
        <v>3424</v>
      </c>
      <c r="D1119" s="16" t="s">
        <v>3403</v>
      </c>
    </row>
    <row r="1120" spans="1:4">
      <c r="A1120" s="16">
        <v>6032000000</v>
      </c>
      <c r="B1120" s="16">
        <v>-1452</v>
      </c>
      <c r="C1120" s="16" t="s">
        <v>3429</v>
      </c>
      <c r="D1120" s="16" t="s">
        <v>3430</v>
      </c>
    </row>
    <row r="1121" spans="1:4">
      <c r="A1121" s="16">
        <v>2500000000</v>
      </c>
      <c r="B1121" s="16">
        <v>0</v>
      </c>
      <c r="C1121" s="16" t="s">
        <v>3412</v>
      </c>
      <c r="D1121" s="16" t="s">
        <v>3403</v>
      </c>
    </row>
    <row r="1122" spans="1:4">
      <c r="A1122" s="16">
        <v>5010100000</v>
      </c>
      <c r="B1122" s="16">
        <v>0</v>
      </c>
      <c r="C1122" s="16" t="s">
        <v>3406</v>
      </c>
      <c r="D1122" s="16" t="s">
        <v>3407</v>
      </c>
    </row>
    <row r="1123" spans="1:4">
      <c r="A1123" s="16">
        <v>3102000000</v>
      </c>
      <c r="B1123" s="16">
        <v>0</v>
      </c>
      <c r="C1123" s="16" t="s">
        <v>3424</v>
      </c>
      <c r="D1123" s="16" t="s">
        <v>3403</v>
      </c>
    </row>
    <row r="1124" spans="1:4">
      <c r="A1124" s="16">
        <v>6102000000</v>
      </c>
      <c r="B1124" s="16">
        <v>0</v>
      </c>
      <c r="C1124" s="16" t="s">
        <v>3425</v>
      </c>
      <c r="D1124" s="16" t="s">
        <v>3426</v>
      </c>
    </row>
    <row r="1125" spans="1:4">
      <c r="A1125" s="16">
        <v>6700200000</v>
      </c>
      <c r="B1125" s="16">
        <v>0</v>
      </c>
      <c r="C1125" s="16" t="s">
        <v>3404</v>
      </c>
      <c r="D1125" s="16" t="s">
        <v>3409</v>
      </c>
    </row>
    <row r="1126" spans="1:4">
      <c r="A1126" s="16">
        <v>6700000000</v>
      </c>
      <c r="B1126" s="16">
        <v>0</v>
      </c>
      <c r="C1126" s="16" t="s">
        <v>3404</v>
      </c>
      <c r="D1126" s="16" t="s">
        <v>3405</v>
      </c>
    </row>
    <row r="1127" spans="1:4">
      <c r="A1127" s="16">
        <v>6104000000</v>
      </c>
      <c r="B1127" s="16">
        <v>0</v>
      </c>
      <c r="C1127" s="16" t="s">
        <v>3416</v>
      </c>
      <c r="D1127" s="16" t="s">
        <v>3417</v>
      </c>
    </row>
    <row r="1128" spans="1:4">
      <c r="A1128" s="16">
        <v>3103000000</v>
      </c>
      <c r="B1128" s="16">
        <v>0</v>
      </c>
      <c r="C1128" s="16" t="s">
        <v>3402</v>
      </c>
      <c r="D1128" s="16" t="s">
        <v>3403</v>
      </c>
    </row>
    <row r="1129" spans="1:4">
      <c r="A1129" s="16">
        <v>5010000010</v>
      </c>
      <c r="B1129" s="16">
        <v>0</v>
      </c>
      <c r="C1129" s="16" t="s">
        <v>3406</v>
      </c>
      <c r="D1129" s="16" t="s">
        <v>3411</v>
      </c>
    </row>
    <row r="1130" spans="1:4">
      <c r="A1130" s="16">
        <v>3710000000</v>
      </c>
      <c r="B1130" s="16">
        <v>0</v>
      </c>
      <c r="C1130" s="16" t="s">
        <v>3402</v>
      </c>
      <c r="D1130" s="16" t="s">
        <v>3403</v>
      </c>
    </row>
    <row r="1131" spans="1:4">
      <c r="A1131" s="16">
        <v>3032000000</v>
      </c>
      <c r="B1131" s="16">
        <v>0</v>
      </c>
      <c r="C1131" s="16" t="s">
        <v>3424</v>
      </c>
      <c r="D1131" s="16" t="s">
        <v>3403</v>
      </c>
    </row>
    <row r="1132" spans="1:4">
      <c r="A1132" s="16">
        <v>6032000000</v>
      </c>
      <c r="B1132" s="16">
        <v>0</v>
      </c>
      <c r="C1132" s="16" t="s">
        <v>3429</v>
      </c>
      <c r="D1132" s="16" t="s">
        <v>3430</v>
      </c>
    </row>
    <row r="1133" spans="1:4">
      <c r="A1133" s="16">
        <v>2750010000</v>
      </c>
      <c r="B1133" s="16">
        <v>0</v>
      </c>
      <c r="C1133" s="16" t="s">
        <v>3419</v>
      </c>
      <c r="D1133" s="16" t="s">
        <v>3403</v>
      </c>
    </row>
    <row r="1134" spans="1:4">
      <c r="A1134" s="16">
        <v>6610000100</v>
      </c>
      <c r="B1134" s="16">
        <v>0</v>
      </c>
      <c r="C1134" s="16" t="s">
        <v>3413</v>
      </c>
      <c r="D1134" s="16" t="s">
        <v>3418</v>
      </c>
    </row>
    <row r="1135" spans="1:4">
      <c r="A1135" s="16">
        <v>5010100010</v>
      </c>
      <c r="B1135" s="16">
        <v>1985</v>
      </c>
      <c r="C1135" s="16" t="s">
        <v>3406</v>
      </c>
      <c r="D1135" s="16" t="s">
        <v>3407</v>
      </c>
    </row>
    <row r="1136" spans="1:4">
      <c r="A1136" s="16">
        <v>3710000000</v>
      </c>
      <c r="B1136" s="16">
        <v>-1985</v>
      </c>
      <c r="C1136" s="16" t="s">
        <v>3402</v>
      </c>
      <c r="D1136" s="16" t="s">
        <v>3403</v>
      </c>
    </row>
    <row r="1137" spans="1:4">
      <c r="A1137" s="16">
        <v>6700200000</v>
      </c>
      <c r="B1137" s="16">
        <v>0</v>
      </c>
      <c r="C1137" s="16" t="s">
        <v>3404</v>
      </c>
      <c r="D1137" s="16" t="s">
        <v>3409</v>
      </c>
    </row>
    <row r="1138" spans="1:4">
      <c r="A1138" s="16">
        <v>6700100000</v>
      </c>
      <c r="B1138" s="16">
        <v>0</v>
      </c>
      <c r="C1138" s="16" t="s">
        <v>3404</v>
      </c>
      <c r="D1138" s="16" t="s">
        <v>3410</v>
      </c>
    </row>
    <row r="1139" spans="1:4">
      <c r="A1139" s="16">
        <v>6700200000</v>
      </c>
      <c r="B1139" s="16">
        <v>0</v>
      </c>
      <c r="C1139" s="16" t="s">
        <v>3404</v>
      </c>
      <c r="D1139" s="16" t="s">
        <v>3409</v>
      </c>
    </row>
    <row r="1140" spans="1:4">
      <c r="A1140" s="16">
        <v>6700000000</v>
      </c>
      <c r="B1140" s="16">
        <v>0</v>
      </c>
      <c r="C1140" s="16" t="s">
        <v>3404</v>
      </c>
      <c r="D1140" s="16" t="s">
        <v>3405</v>
      </c>
    </row>
    <row r="1141" spans="1:4">
      <c r="A1141" s="16">
        <v>6104000000</v>
      </c>
      <c r="B1141" s="16">
        <v>0</v>
      </c>
      <c r="C1141" s="16" t="s">
        <v>3416</v>
      </c>
      <c r="D1141" s="16" t="s">
        <v>3417</v>
      </c>
    </row>
    <row r="1142" spans="1:4">
      <c r="A1142" s="16">
        <v>3103000000</v>
      </c>
      <c r="B1142" s="16">
        <v>0</v>
      </c>
      <c r="C1142" s="16" t="s">
        <v>3402</v>
      </c>
      <c r="D1142" s="16" t="s">
        <v>3403</v>
      </c>
    </row>
    <row r="1143" spans="1:4">
      <c r="A1143" s="16">
        <v>6610000000</v>
      </c>
      <c r="B1143" s="16">
        <v>0</v>
      </c>
      <c r="C1143" s="16" t="s">
        <v>3413</v>
      </c>
      <c r="D1143" s="16" t="s">
        <v>3418</v>
      </c>
    </row>
    <row r="1144" spans="1:4">
      <c r="A1144" s="16">
        <v>4203000000</v>
      </c>
      <c r="B1144" s="16">
        <v>0</v>
      </c>
      <c r="C1144" s="16" t="s">
        <v>3408</v>
      </c>
      <c r="D1144" s="16" t="s">
        <v>3403</v>
      </c>
    </row>
    <row r="1145" spans="1:4">
      <c r="A1145" s="16">
        <v>6104001000</v>
      </c>
      <c r="B1145" s="16">
        <v>0</v>
      </c>
      <c r="C1145" s="16" t="s">
        <v>3416</v>
      </c>
      <c r="D1145" s="16" t="s">
        <v>3417</v>
      </c>
    </row>
    <row r="1146" spans="1:4">
      <c r="A1146" s="16">
        <v>3103001000</v>
      </c>
      <c r="B1146" s="16">
        <v>0</v>
      </c>
      <c r="C1146" s="16" t="s">
        <v>3402</v>
      </c>
      <c r="D1146" s="16" t="s">
        <v>3403</v>
      </c>
    </row>
    <row r="1147" spans="1:4">
      <c r="A1147" s="16">
        <v>6030000000</v>
      </c>
      <c r="B1147" s="16">
        <v>0</v>
      </c>
      <c r="C1147" s="16" t="s">
        <v>3420</v>
      </c>
      <c r="D1147" s="16" t="s">
        <v>3423</v>
      </c>
    </row>
    <row r="1148" spans="1:4">
      <c r="A1148" s="16">
        <v>3030000000</v>
      </c>
      <c r="B1148" s="16">
        <v>0</v>
      </c>
      <c r="C1148" s="16" t="s">
        <v>3402</v>
      </c>
      <c r="D1148" s="16" t="s">
        <v>3403</v>
      </c>
    </row>
    <row r="1149" spans="1:4">
      <c r="A1149" s="16">
        <v>2201000000</v>
      </c>
      <c r="B1149" s="16">
        <v>0</v>
      </c>
      <c r="C1149" s="16" t="s">
        <v>3415</v>
      </c>
      <c r="D1149" s="16" t="s">
        <v>3403</v>
      </c>
    </row>
    <row r="1150" spans="1:4">
      <c r="A1150" s="16">
        <v>6700200000</v>
      </c>
      <c r="B1150" s="16">
        <v>0</v>
      </c>
      <c r="C1150" s="16" t="s">
        <v>3404</v>
      </c>
      <c r="D1150" s="16" t="s">
        <v>3409</v>
      </c>
    </row>
    <row r="1151" spans="1:4">
      <c r="A1151" s="16">
        <v>6610100000</v>
      </c>
      <c r="B1151" s="16">
        <v>0</v>
      </c>
      <c r="C1151" s="16" t="s">
        <v>3413</v>
      </c>
      <c r="D1151" s="16" t="s">
        <v>3414</v>
      </c>
    </row>
    <row r="1152" spans="1:4">
      <c r="A1152" s="16">
        <v>4203000000</v>
      </c>
      <c r="B1152" s="16">
        <v>0</v>
      </c>
      <c r="C1152" s="16" t="s">
        <v>3408</v>
      </c>
      <c r="D1152" s="16" t="s">
        <v>3403</v>
      </c>
    </row>
    <row r="1153" spans="1:4">
      <c r="A1153" s="16">
        <v>6700200000</v>
      </c>
      <c r="B1153" s="16">
        <v>0</v>
      </c>
      <c r="C1153" s="16" t="s">
        <v>3404</v>
      </c>
      <c r="D1153" s="16" t="s">
        <v>3409</v>
      </c>
    </row>
    <row r="1154" spans="1:4">
      <c r="A1154" s="16">
        <v>6700100000</v>
      </c>
      <c r="B1154" s="16">
        <v>0</v>
      </c>
      <c r="C1154" s="16" t="s">
        <v>3404</v>
      </c>
      <c r="D1154" s="16" t="s">
        <v>3410</v>
      </c>
    </row>
    <row r="1155" spans="1:4">
      <c r="A1155" s="16">
        <v>6700200000</v>
      </c>
      <c r="B1155" s="16">
        <v>0</v>
      </c>
      <c r="C1155" s="16" t="s">
        <v>3404</v>
      </c>
      <c r="D1155" s="16" t="s">
        <v>3409</v>
      </c>
    </row>
    <row r="1156" spans="1:4">
      <c r="A1156" s="16">
        <v>6700100000</v>
      </c>
      <c r="B1156" s="16">
        <v>0</v>
      </c>
      <c r="C1156" s="16" t="s">
        <v>3404</v>
      </c>
      <c r="D1156" s="16" t="s">
        <v>3410</v>
      </c>
    </row>
    <row r="1157" spans="1:4">
      <c r="A1157" s="16">
        <v>6700200000</v>
      </c>
      <c r="B1157" s="16">
        <v>0</v>
      </c>
      <c r="C1157" s="16" t="s">
        <v>3404</v>
      </c>
      <c r="D1157" s="16" t="s">
        <v>3409</v>
      </c>
    </row>
    <row r="1158" spans="1:4">
      <c r="A1158" s="16">
        <v>6700000000</v>
      </c>
      <c r="B1158" s="16">
        <v>0</v>
      </c>
      <c r="C1158" s="16" t="s">
        <v>3404</v>
      </c>
      <c r="D1158" s="16" t="s">
        <v>3405</v>
      </c>
    </row>
    <row r="1159" spans="1:4">
      <c r="A1159" s="16">
        <v>6060010000</v>
      </c>
      <c r="B1159" s="16">
        <v>0</v>
      </c>
      <c r="C1159" s="16" t="s">
        <v>3420</v>
      </c>
      <c r="D1159" s="16" t="s">
        <v>3421</v>
      </c>
    </row>
    <row r="1160" spans="1:4">
      <c r="A1160" s="16">
        <v>5052000000</v>
      </c>
      <c r="B1160" s="16">
        <v>0</v>
      </c>
      <c r="C1160" s="16" t="s">
        <v>3406</v>
      </c>
      <c r="D1160" s="16" t="s">
        <v>3422</v>
      </c>
    </row>
    <row r="1161" spans="1:4">
      <c r="A1161" s="16">
        <v>2201000000</v>
      </c>
      <c r="B1161" s="16">
        <v>0</v>
      </c>
      <c r="C1161" s="16" t="s">
        <v>3415</v>
      </c>
      <c r="D1161" s="16" t="s">
        <v>3403</v>
      </c>
    </row>
    <row r="1162" spans="1:4">
      <c r="A1162" s="16">
        <v>6700200000</v>
      </c>
      <c r="B1162" s="16">
        <v>0</v>
      </c>
      <c r="C1162" s="16" t="s">
        <v>3404</v>
      </c>
      <c r="D1162" s="16" t="s">
        <v>3409</v>
      </c>
    </row>
    <row r="1163" spans="1:4">
      <c r="A1163" s="16">
        <v>6700200000</v>
      </c>
      <c r="B1163" s="16">
        <v>0</v>
      </c>
      <c r="C1163" s="16" t="s">
        <v>3404</v>
      </c>
      <c r="D1163" s="16" t="s">
        <v>3409</v>
      </c>
    </row>
    <row r="1164" spans="1:4">
      <c r="A1164" s="16">
        <v>2201200030</v>
      </c>
      <c r="B1164" s="16">
        <v>0</v>
      </c>
      <c r="C1164" s="16" t="s">
        <v>3415</v>
      </c>
      <c r="D1164" s="16" t="s">
        <v>3403</v>
      </c>
    </row>
    <row r="1165" spans="1:4">
      <c r="A1165" s="16">
        <v>6700200000</v>
      </c>
      <c r="B1165" s="16">
        <v>0</v>
      </c>
      <c r="C1165" s="16" t="s">
        <v>3404</v>
      </c>
      <c r="D1165" s="16" t="s">
        <v>3409</v>
      </c>
    </row>
    <row r="1166" spans="1:4">
      <c r="A1166" s="16">
        <v>6700000000</v>
      </c>
      <c r="B1166" s="16">
        <v>0</v>
      </c>
      <c r="C1166" s="16" t="s">
        <v>3404</v>
      </c>
      <c r="D1166" s="16" t="s">
        <v>3405</v>
      </c>
    </row>
    <row r="1167" spans="1:4">
      <c r="A1167" s="16">
        <v>3102000000</v>
      </c>
      <c r="B1167" s="16">
        <v>0</v>
      </c>
      <c r="C1167" s="16" t="s">
        <v>3424</v>
      </c>
      <c r="D1167" s="16" t="s">
        <v>3403</v>
      </c>
    </row>
    <row r="1168" spans="1:4">
      <c r="A1168" s="16">
        <v>6102000000</v>
      </c>
      <c r="B1168" s="16">
        <v>0</v>
      </c>
      <c r="C1168" s="16" t="s">
        <v>3425</v>
      </c>
      <c r="D1168" s="16" t="s">
        <v>3426</v>
      </c>
    </row>
    <row r="1169" spans="1:4">
      <c r="A1169" s="16">
        <v>6150000000</v>
      </c>
      <c r="B1169" s="16">
        <v>0</v>
      </c>
      <c r="C1169" s="16" t="s">
        <v>3416</v>
      </c>
      <c r="D1169" s="16" t="s">
        <v>3417</v>
      </c>
    </row>
    <row r="1170" spans="1:4">
      <c r="A1170" s="16">
        <v>3510000000</v>
      </c>
      <c r="B1170" s="16">
        <v>0</v>
      </c>
      <c r="C1170" s="16" t="s">
        <v>3402</v>
      </c>
      <c r="D1170" s="16" t="s">
        <v>3403</v>
      </c>
    </row>
    <row r="1171" spans="1:4">
      <c r="A1171" s="16">
        <v>3102000000</v>
      </c>
      <c r="B1171" s="16">
        <v>0</v>
      </c>
      <c r="C1171" s="16" t="s">
        <v>3424</v>
      </c>
      <c r="D1171" s="16" t="s">
        <v>3403</v>
      </c>
    </row>
    <row r="1172" spans="1:4">
      <c r="A1172" s="16">
        <v>6102000000</v>
      </c>
      <c r="B1172" s="16">
        <v>0</v>
      </c>
      <c r="C1172" s="16" t="s">
        <v>3425</v>
      </c>
      <c r="D1172" s="16" t="s">
        <v>3426</v>
      </c>
    </row>
    <row r="1173" spans="1:4">
      <c r="A1173" s="16">
        <v>6700700000</v>
      </c>
      <c r="B1173" s="16">
        <v>0</v>
      </c>
      <c r="C1173" s="16" t="s">
        <v>3404</v>
      </c>
      <c r="D1173" s="16" t="s">
        <v>3409</v>
      </c>
    </row>
    <row r="1174" spans="1:4">
      <c r="A1174" s="16">
        <v>6700500000</v>
      </c>
      <c r="B1174" s="16">
        <v>0</v>
      </c>
      <c r="C1174" s="16" t="s">
        <v>3404</v>
      </c>
      <c r="D1174" s="16" t="s">
        <v>3405</v>
      </c>
    </row>
    <row r="1175" spans="1:4">
      <c r="A1175" s="16">
        <v>2500000000</v>
      </c>
      <c r="B1175" s="16">
        <v>0</v>
      </c>
      <c r="C1175" s="16" t="s">
        <v>3412</v>
      </c>
      <c r="D1175" s="16" t="s">
        <v>3403</v>
      </c>
    </row>
    <row r="1176" spans="1:4">
      <c r="A1176" s="16">
        <v>5010000000</v>
      </c>
      <c r="B1176" s="16">
        <v>0</v>
      </c>
      <c r="C1176" s="16" t="s">
        <v>3406</v>
      </c>
      <c r="D1176" s="16" t="s">
        <v>3411</v>
      </c>
    </row>
    <row r="1177" spans="1:4">
      <c r="A1177" s="16">
        <v>6100000000</v>
      </c>
      <c r="B1177" s="16">
        <v>0</v>
      </c>
      <c r="C1177" s="16" t="s">
        <v>3416</v>
      </c>
      <c r="D1177" s="16" t="s">
        <v>3417</v>
      </c>
    </row>
    <row r="1178" spans="1:4">
      <c r="A1178" s="16">
        <v>3100000000</v>
      </c>
      <c r="B1178" s="16">
        <v>0</v>
      </c>
      <c r="C1178" s="16" t="s">
        <v>3402</v>
      </c>
      <c r="D1178" s="16" t="s">
        <v>3403</v>
      </c>
    </row>
    <row r="1179" spans="1:4">
      <c r="A1179" s="16">
        <v>6700200000</v>
      </c>
      <c r="B1179" s="16">
        <v>0</v>
      </c>
      <c r="C1179" s="16" t="s">
        <v>3404</v>
      </c>
      <c r="D1179" s="16" t="s">
        <v>3409</v>
      </c>
    </row>
    <row r="1180" spans="1:4">
      <c r="A1180" s="16">
        <v>6700100000</v>
      </c>
      <c r="B1180" s="16">
        <v>0</v>
      </c>
      <c r="C1180" s="16" t="s">
        <v>3404</v>
      </c>
      <c r="D1180" s="16" t="s">
        <v>3410</v>
      </c>
    </row>
    <row r="1181" spans="1:4">
      <c r="A1181" s="16">
        <v>2201000000</v>
      </c>
      <c r="B1181" s="16">
        <v>0</v>
      </c>
      <c r="C1181" s="16" t="s">
        <v>3415</v>
      </c>
      <c r="D1181" s="16" t="s">
        <v>3403</v>
      </c>
    </row>
    <row r="1182" spans="1:4">
      <c r="A1182" s="16">
        <v>6700200000</v>
      </c>
      <c r="B1182" s="16">
        <v>0</v>
      </c>
      <c r="C1182" s="16" t="s">
        <v>3404</v>
      </c>
      <c r="D1182" s="16" t="s">
        <v>3409</v>
      </c>
    </row>
    <row r="1183" spans="1:4">
      <c r="A1183" s="16">
        <v>6700600000</v>
      </c>
      <c r="B1183" s="16">
        <v>0</v>
      </c>
      <c r="C1183" s="16" t="s">
        <v>3404</v>
      </c>
      <c r="D1183" s="16" t="s">
        <v>3409</v>
      </c>
    </row>
    <row r="1184" spans="1:4">
      <c r="A1184" s="16">
        <v>6700400000</v>
      </c>
      <c r="B1184" s="16">
        <v>0</v>
      </c>
      <c r="C1184" s="16" t="s">
        <v>3404</v>
      </c>
      <c r="D1184" s="16" t="s">
        <v>3405</v>
      </c>
    </row>
    <row r="1185" spans="1:4">
      <c r="A1185" s="16">
        <v>3032000000</v>
      </c>
      <c r="B1185" s="16">
        <v>0</v>
      </c>
      <c r="C1185" s="16" t="s">
        <v>3424</v>
      </c>
      <c r="D1185" s="16" t="s">
        <v>3403</v>
      </c>
    </row>
    <row r="1186" spans="1:4">
      <c r="A1186" s="16">
        <v>6032000000</v>
      </c>
      <c r="B1186" s="16">
        <v>0</v>
      </c>
      <c r="C1186" s="16" t="s">
        <v>3429</v>
      </c>
      <c r="D1186" s="16" t="s">
        <v>3430</v>
      </c>
    </row>
    <row r="1187" spans="1:4">
      <c r="A1187" s="16">
        <v>5010100010</v>
      </c>
      <c r="B1187" s="16">
        <v>0</v>
      </c>
      <c r="C1187" s="16" t="s">
        <v>3406</v>
      </c>
      <c r="D1187" s="16" t="s">
        <v>3407</v>
      </c>
    </row>
    <row r="1188" spans="1:4">
      <c r="A1188" s="16">
        <v>3710000000</v>
      </c>
      <c r="B1188" s="16">
        <v>0</v>
      </c>
      <c r="C1188" s="16" t="s">
        <v>3402</v>
      </c>
      <c r="D1188" s="16" t="s">
        <v>3403</v>
      </c>
    </row>
    <row r="1189" spans="1:4">
      <c r="A1189" s="16">
        <v>2500000000</v>
      </c>
      <c r="B1189" s="16">
        <v>0</v>
      </c>
      <c r="C1189" s="16" t="s">
        <v>3412</v>
      </c>
      <c r="D1189" s="16" t="s">
        <v>3403</v>
      </c>
    </row>
    <row r="1190" spans="1:4">
      <c r="A1190" s="16">
        <v>5010100000</v>
      </c>
      <c r="B1190" s="16">
        <v>0</v>
      </c>
      <c r="C1190" s="16" t="s">
        <v>3406</v>
      </c>
      <c r="D1190" s="16" t="s">
        <v>3407</v>
      </c>
    </row>
    <row r="1191" spans="1:4">
      <c r="A1191" s="16">
        <v>6700700000</v>
      </c>
      <c r="B1191" s="16">
        <v>0</v>
      </c>
      <c r="C1191" s="16" t="s">
        <v>3404</v>
      </c>
      <c r="D1191" s="16" t="s">
        <v>3409</v>
      </c>
    </row>
    <row r="1192" spans="1:4">
      <c r="A1192" s="16">
        <v>6700500000</v>
      </c>
      <c r="B1192" s="16">
        <v>0</v>
      </c>
      <c r="C1192" s="16" t="s">
        <v>3404</v>
      </c>
      <c r="D1192" s="16" t="s">
        <v>3405</v>
      </c>
    </row>
    <row r="1193" spans="1:4">
      <c r="A1193" s="16">
        <v>5010000010</v>
      </c>
      <c r="B1193" s="16">
        <v>0</v>
      </c>
      <c r="C1193" s="16" t="s">
        <v>3406</v>
      </c>
      <c r="D1193" s="16" t="s">
        <v>3411</v>
      </c>
    </row>
    <row r="1194" spans="1:4">
      <c r="A1194" s="16">
        <v>3710000000</v>
      </c>
      <c r="B1194" s="16">
        <v>0</v>
      </c>
      <c r="C1194" s="16" t="s">
        <v>3402</v>
      </c>
      <c r="D1194" s="16" t="s">
        <v>3403</v>
      </c>
    </row>
    <row r="1195" spans="1:4">
      <c r="A1195" s="16">
        <v>6104000000</v>
      </c>
      <c r="B1195" s="16">
        <v>1901090</v>
      </c>
      <c r="C1195" s="16" t="s">
        <v>3416</v>
      </c>
      <c r="D1195" s="16" t="s">
        <v>3417</v>
      </c>
    </row>
    <row r="1196" spans="1:4">
      <c r="A1196" s="16">
        <v>3103000000</v>
      </c>
      <c r="B1196" s="16">
        <v>-1901090</v>
      </c>
      <c r="C1196" s="16" t="s">
        <v>3402</v>
      </c>
      <c r="D1196" s="16" t="s">
        <v>3403</v>
      </c>
    </row>
    <row r="1197" spans="1:4">
      <c r="A1197" s="16">
        <v>6700600000</v>
      </c>
      <c r="B1197" s="16">
        <v>0</v>
      </c>
      <c r="C1197" s="16" t="s">
        <v>3404</v>
      </c>
      <c r="D1197" s="16" t="s">
        <v>3409</v>
      </c>
    </row>
    <row r="1198" spans="1:4">
      <c r="A1198" s="16">
        <v>6700400000</v>
      </c>
      <c r="B1198" s="16">
        <v>0</v>
      </c>
      <c r="C1198" s="16" t="s">
        <v>3404</v>
      </c>
      <c r="D1198" s="16" t="s">
        <v>3405</v>
      </c>
    </row>
    <row r="1199" spans="1:4">
      <c r="A1199" s="16">
        <v>3032000000</v>
      </c>
      <c r="B1199" s="16">
        <v>0</v>
      </c>
      <c r="C1199" s="16" t="s">
        <v>3424</v>
      </c>
      <c r="D1199" s="16" t="s">
        <v>3403</v>
      </c>
    </row>
    <row r="1200" spans="1:4">
      <c r="A1200" s="16">
        <v>6032000000</v>
      </c>
      <c r="B1200" s="16">
        <v>0</v>
      </c>
      <c r="C1200" s="16" t="s">
        <v>3429</v>
      </c>
      <c r="D1200" s="16" t="s">
        <v>3430</v>
      </c>
    </row>
    <row r="1201" spans="1:4">
      <c r="A1201" s="16">
        <v>2500000000</v>
      </c>
      <c r="B1201" s="16">
        <v>0</v>
      </c>
      <c r="C1201" s="16" t="s">
        <v>3412</v>
      </c>
      <c r="D1201" s="16" t="s">
        <v>3403</v>
      </c>
    </row>
    <row r="1202" spans="1:4">
      <c r="A1202" s="16">
        <v>5010000000</v>
      </c>
      <c r="B1202" s="16">
        <v>0</v>
      </c>
      <c r="C1202" s="16" t="s">
        <v>3406</v>
      </c>
      <c r="D1202" s="16" t="s">
        <v>3411</v>
      </c>
    </row>
    <row r="1203" spans="1:4">
      <c r="A1203" s="16">
        <v>2500000000</v>
      </c>
      <c r="B1203" s="16">
        <v>11100</v>
      </c>
      <c r="C1203" s="16" t="s">
        <v>3412</v>
      </c>
      <c r="D1203" s="16" t="s">
        <v>3403</v>
      </c>
    </row>
    <row r="1204" spans="1:4">
      <c r="A1204" s="16">
        <v>5010100000</v>
      </c>
      <c r="B1204" s="16">
        <v>-11100</v>
      </c>
      <c r="C1204" s="16" t="s">
        <v>3406</v>
      </c>
      <c r="D1204" s="16" t="s">
        <v>3407</v>
      </c>
    </row>
    <row r="1205" spans="1:4">
      <c r="A1205" s="16">
        <v>6610000000</v>
      </c>
      <c r="B1205" s="16">
        <v>3804023</v>
      </c>
      <c r="C1205" s="16" t="s">
        <v>3413</v>
      </c>
      <c r="D1205" s="16" t="s">
        <v>3418</v>
      </c>
    </row>
    <row r="1206" spans="1:4">
      <c r="A1206" s="16">
        <v>4203000000</v>
      </c>
      <c r="B1206" s="16">
        <v>-3804023</v>
      </c>
      <c r="C1206" s="16" t="s">
        <v>3408</v>
      </c>
      <c r="D1206" s="16" t="s">
        <v>3403</v>
      </c>
    </row>
    <row r="1207" spans="1:4">
      <c r="A1207" s="16">
        <v>2201000030</v>
      </c>
      <c r="B1207" s="16">
        <v>0</v>
      </c>
      <c r="C1207" s="16" t="s">
        <v>3415</v>
      </c>
      <c r="D1207" s="16" t="s">
        <v>3403</v>
      </c>
    </row>
    <row r="1208" spans="1:4">
      <c r="A1208" s="16">
        <v>6700200000</v>
      </c>
      <c r="B1208" s="16">
        <v>0</v>
      </c>
      <c r="C1208" s="16" t="s">
        <v>3404</v>
      </c>
      <c r="D1208" s="16" t="s">
        <v>3409</v>
      </c>
    </row>
    <row r="1209" spans="1:4">
      <c r="A1209" s="16">
        <v>2500000000</v>
      </c>
      <c r="B1209" s="16">
        <v>0</v>
      </c>
      <c r="C1209" s="16" t="s">
        <v>3412</v>
      </c>
      <c r="D1209" s="16" t="s">
        <v>3403</v>
      </c>
    </row>
    <row r="1210" spans="1:4">
      <c r="A1210" s="16">
        <v>5010100000</v>
      </c>
      <c r="B1210" s="16">
        <v>0</v>
      </c>
      <c r="C1210" s="16" t="s">
        <v>3406</v>
      </c>
      <c r="D1210" s="16" t="s">
        <v>3407</v>
      </c>
    </row>
    <row r="1211" spans="1:4">
      <c r="A1211" s="16">
        <v>6700700000</v>
      </c>
      <c r="B1211" s="16">
        <v>0</v>
      </c>
      <c r="C1211" s="16" t="s">
        <v>3404</v>
      </c>
      <c r="D1211" s="16" t="s">
        <v>3409</v>
      </c>
    </row>
    <row r="1212" spans="1:4">
      <c r="A1212" s="16">
        <v>6700500000</v>
      </c>
      <c r="B1212" s="16">
        <v>0</v>
      </c>
      <c r="C1212" s="16" t="s">
        <v>3404</v>
      </c>
      <c r="D1212" s="16" t="s">
        <v>3405</v>
      </c>
    </row>
    <row r="1213" spans="1:4">
      <c r="A1213" s="16">
        <v>6610100000</v>
      </c>
      <c r="B1213" s="16">
        <v>0</v>
      </c>
      <c r="C1213" s="16" t="s">
        <v>3413</v>
      </c>
      <c r="D1213" s="16" t="s">
        <v>3414</v>
      </c>
    </row>
    <row r="1214" spans="1:4">
      <c r="A1214" s="16">
        <v>4203000000</v>
      </c>
      <c r="B1214" s="16">
        <v>0</v>
      </c>
      <c r="C1214" s="16" t="s">
        <v>3408</v>
      </c>
      <c r="D1214" s="16" t="s">
        <v>3403</v>
      </c>
    </row>
    <row r="1215" spans="1:4">
      <c r="A1215" s="16">
        <v>3032000000</v>
      </c>
      <c r="B1215" s="16">
        <v>0</v>
      </c>
      <c r="C1215" s="16" t="s">
        <v>3424</v>
      </c>
      <c r="D1215" s="16" t="s">
        <v>3403</v>
      </c>
    </row>
    <row r="1216" spans="1:4">
      <c r="A1216" s="16">
        <v>6032000000</v>
      </c>
      <c r="B1216" s="16">
        <v>0</v>
      </c>
      <c r="C1216" s="16" t="s">
        <v>3429</v>
      </c>
      <c r="D1216" s="16" t="s">
        <v>3430</v>
      </c>
    </row>
    <row r="1217" spans="1:4">
      <c r="A1217" s="16">
        <v>6700200000</v>
      </c>
      <c r="B1217" s="16">
        <v>0</v>
      </c>
      <c r="C1217" s="16" t="s">
        <v>3404</v>
      </c>
      <c r="D1217" s="16" t="s">
        <v>3409</v>
      </c>
    </row>
    <row r="1218" spans="1:4">
      <c r="A1218" s="16">
        <v>6700000000</v>
      </c>
      <c r="B1218" s="16">
        <v>0</v>
      </c>
      <c r="C1218" s="16" t="s">
        <v>3404</v>
      </c>
      <c r="D1218" s="16" t="s">
        <v>3405</v>
      </c>
    </row>
    <row r="1219" spans="1:4">
      <c r="A1219" s="16">
        <v>2750010000</v>
      </c>
      <c r="B1219" s="16">
        <v>0</v>
      </c>
      <c r="C1219" s="16" t="s">
        <v>3419</v>
      </c>
      <c r="D1219" s="16" t="s">
        <v>3403</v>
      </c>
    </row>
    <row r="1220" spans="1:4">
      <c r="A1220" s="16">
        <v>6610000100</v>
      </c>
      <c r="B1220" s="16">
        <v>0</v>
      </c>
      <c r="C1220" s="16" t="s">
        <v>3413</v>
      </c>
      <c r="D1220" s="16" t="s">
        <v>3418</v>
      </c>
    </row>
    <row r="1221" spans="1:4">
      <c r="A1221" s="16">
        <v>6060010000</v>
      </c>
      <c r="B1221" s="16">
        <v>592900354</v>
      </c>
      <c r="C1221" s="16" t="s">
        <v>3420</v>
      </c>
      <c r="D1221" s="16" t="s">
        <v>3421</v>
      </c>
    </row>
    <row r="1222" spans="1:4">
      <c r="A1222" s="16">
        <v>5052000000</v>
      </c>
      <c r="B1222" s="16">
        <v>-592900354</v>
      </c>
      <c r="C1222" s="16" t="s">
        <v>3406</v>
      </c>
      <c r="D1222" s="16" t="s">
        <v>3422</v>
      </c>
    </row>
    <row r="1223" spans="1:4">
      <c r="A1223" s="16">
        <v>6104000000</v>
      </c>
      <c r="B1223" s="16">
        <v>0</v>
      </c>
      <c r="C1223" s="16" t="s">
        <v>3427</v>
      </c>
      <c r="D1223" s="16" t="s">
        <v>3417</v>
      </c>
    </row>
    <row r="1224" spans="1:4">
      <c r="A1224" s="16">
        <v>3103000000</v>
      </c>
      <c r="B1224" s="16">
        <v>0</v>
      </c>
      <c r="C1224" s="16" t="s">
        <v>3402</v>
      </c>
      <c r="D1224" s="16" t="s">
        <v>3403</v>
      </c>
    </row>
    <row r="1225" spans="1:4">
      <c r="A1225" s="16">
        <v>5010100010</v>
      </c>
      <c r="B1225" s="16">
        <v>0</v>
      </c>
      <c r="C1225" s="16" t="s">
        <v>3406</v>
      </c>
      <c r="D1225" s="16" t="s">
        <v>3407</v>
      </c>
    </row>
    <row r="1226" spans="1:4">
      <c r="A1226" s="16">
        <v>3710000000</v>
      </c>
      <c r="B1226" s="16">
        <v>0</v>
      </c>
      <c r="C1226" s="16" t="s">
        <v>3402</v>
      </c>
      <c r="D1226" s="16" t="s">
        <v>3403</v>
      </c>
    </row>
    <row r="1227" spans="1:4">
      <c r="A1227" s="16">
        <v>6610000000</v>
      </c>
      <c r="B1227" s="16">
        <v>0</v>
      </c>
      <c r="C1227" s="16" t="s">
        <v>3413</v>
      </c>
      <c r="D1227" s="16" t="s">
        <v>3418</v>
      </c>
    </row>
    <row r="1228" spans="1:4">
      <c r="A1228" s="16">
        <v>4203000000</v>
      </c>
      <c r="B1228" s="16">
        <v>0</v>
      </c>
      <c r="C1228" s="16" t="s">
        <v>3408</v>
      </c>
      <c r="D1228" s="16" t="s">
        <v>3403</v>
      </c>
    </row>
    <row r="1229" spans="1:4">
      <c r="A1229" s="16">
        <v>3032000000</v>
      </c>
      <c r="B1229" s="16">
        <v>0</v>
      </c>
      <c r="C1229" s="16" t="s">
        <v>3424</v>
      </c>
      <c r="D1229" s="16" t="s">
        <v>3403</v>
      </c>
    </row>
    <row r="1230" spans="1:4">
      <c r="A1230" s="16">
        <v>6032000000</v>
      </c>
      <c r="B1230" s="16">
        <v>0</v>
      </c>
      <c r="C1230" s="16" t="s">
        <v>3429</v>
      </c>
      <c r="D1230" s="16" t="s">
        <v>3430</v>
      </c>
    </row>
    <row r="1231" spans="1:4">
      <c r="A1231" s="16">
        <v>2500000000</v>
      </c>
      <c r="B1231" s="16">
        <v>0</v>
      </c>
      <c r="C1231" s="16" t="s">
        <v>3412</v>
      </c>
      <c r="D1231" s="16" t="s">
        <v>3403</v>
      </c>
    </row>
    <row r="1232" spans="1:4">
      <c r="A1232" s="16">
        <v>5010100000</v>
      </c>
      <c r="B1232" s="16">
        <v>0</v>
      </c>
      <c r="C1232" s="16" t="s">
        <v>3406</v>
      </c>
      <c r="D1232" s="16" t="s">
        <v>3407</v>
      </c>
    </row>
    <row r="1233" spans="1:4">
      <c r="A1233" s="16">
        <v>6104000000</v>
      </c>
      <c r="B1233" s="16">
        <v>0</v>
      </c>
      <c r="C1233" s="16" t="s">
        <v>3416</v>
      </c>
      <c r="D1233" s="16" t="s">
        <v>3417</v>
      </c>
    </row>
    <row r="1234" spans="1:4">
      <c r="A1234" s="16">
        <v>3103000000</v>
      </c>
      <c r="B1234" s="16">
        <v>0</v>
      </c>
      <c r="C1234" s="16" t="s">
        <v>3402</v>
      </c>
      <c r="D1234" s="16" t="s">
        <v>3403</v>
      </c>
    </row>
    <row r="1235" spans="1:4">
      <c r="A1235" s="16">
        <v>5010100010</v>
      </c>
      <c r="B1235" s="16">
        <v>0</v>
      </c>
      <c r="C1235" s="16" t="s">
        <v>3406</v>
      </c>
      <c r="D1235" s="16" t="s">
        <v>3407</v>
      </c>
    </row>
    <row r="1236" spans="1:4">
      <c r="A1236" s="16">
        <v>3710000000</v>
      </c>
      <c r="B1236" s="16">
        <v>0</v>
      </c>
      <c r="C1236" s="16" t="s">
        <v>3402</v>
      </c>
      <c r="D1236" s="16" t="s">
        <v>3403</v>
      </c>
    </row>
    <row r="1237" spans="1:4">
      <c r="A1237" s="16">
        <v>6610000000</v>
      </c>
      <c r="B1237" s="16">
        <v>0</v>
      </c>
      <c r="C1237" s="16" t="s">
        <v>3413</v>
      </c>
      <c r="D1237" s="16" t="s">
        <v>3418</v>
      </c>
    </row>
    <row r="1238" spans="1:4">
      <c r="A1238" s="16">
        <v>4203000000</v>
      </c>
      <c r="B1238" s="16">
        <v>0</v>
      </c>
      <c r="C1238" s="16" t="s">
        <v>3408</v>
      </c>
      <c r="D1238" s="16" t="s">
        <v>3403</v>
      </c>
    </row>
    <row r="1239" spans="1:4">
      <c r="A1239" s="16">
        <v>6700600000</v>
      </c>
      <c r="B1239" s="16">
        <v>0</v>
      </c>
      <c r="C1239" s="16" t="s">
        <v>3404</v>
      </c>
      <c r="D1239" s="16" t="s">
        <v>3409</v>
      </c>
    </row>
    <row r="1240" spans="1:4">
      <c r="A1240" s="16">
        <v>6700400000</v>
      </c>
      <c r="B1240" s="16">
        <v>0</v>
      </c>
      <c r="C1240" s="16" t="s">
        <v>3404</v>
      </c>
      <c r="D1240" s="16" t="s">
        <v>3405</v>
      </c>
    </row>
    <row r="1241" spans="1:4">
      <c r="A1241" s="16">
        <v>3102000000</v>
      </c>
      <c r="B1241" s="16">
        <v>0</v>
      </c>
      <c r="C1241" s="16" t="s">
        <v>3424</v>
      </c>
      <c r="D1241" s="16" t="s">
        <v>3403</v>
      </c>
    </row>
    <row r="1242" spans="1:4">
      <c r="A1242" s="16">
        <v>6102000000</v>
      </c>
      <c r="B1242" s="16">
        <v>0</v>
      </c>
      <c r="C1242" s="16" t="s">
        <v>3425</v>
      </c>
      <c r="D1242" s="16" t="s">
        <v>3426</v>
      </c>
    </row>
    <row r="1243" spans="1:4">
      <c r="A1243" s="16">
        <v>5050010000</v>
      </c>
      <c r="B1243" s="16">
        <v>4620</v>
      </c>
      <c r="C1243" s="16" t="s">
        <v>3406</v>
      </c>
      <c r="D1243" s="16" t="s">
        <v>3422</v>
      </c>
    </row>
    <row r="1244" spans="1:4">
      <c r="A1244" s="16">
        <v>5050000000</v>
      </c>
      <c r="B1244" s="16">
        <v>-4620</v>
      </c>
      <c r="C1244" s="16" t="s">
        <v>3406</v>
      </c>
      <c r="D1244" s="16" t="s">
        <v>3422</v>
      </c>
    </row>
    <row r="1245" spans="1:4">
      <c r="A1245" s="16">
        <v>2201000030</v>
      </c>
      <c r="B1245" s="16">
        <v>0</v>
      </c>
      <c r="C1245" s="16" t="s">
        <v>3415</v>
      </c>
      <c r="D1245" s="16" t="s">
        <v>3403</v>
      </c>
    </row>
    <row r="1246" spans="1:4">
      <c r="A1246" s="16">
        <v>6700200000</v>
      </c>
      <c r="B1246" s="16">
        <v>0</v>
      </c>
      <c r="C1246" s="16" t="s">
        <v>3404</v>
      </c>
      <c r="D1246" s="16" t="s">
        <v>3409</v>
      </c>
    </row>
    <row r="1247" spans="1:4">
      <c r="A1247" s="16">
        <v>6610100000</v>
      </c>
      <c r="B1247" s="16">
        <v>54670</v>
      </c>
      <c r="C1247" s="16" t="s">
        <v>3413</v>
      </c>
      <c r="D1247" s="16" t="s">
        <v>3414</v>
      </c>
    </row>
    <row r="1248" spans="1:4">
      <c r="A1248" s="16">
        <v>4203000000</v>
      </c>
      <c r="B1248" s="16">
        <v>-54670</v>
      </c>
      <c r="C1248" s="16" t="s">
        <v>3408</v>
      </c>
      <c r="D1248" s="16" t="s">
        <v>3403</v>
      </c>
    </row>
    <row r="1249" spans="1:4">
      <c r="A1249" s="16">
        <v>2500000000</v>
      </c>
      <c r="B1249" s="16">
        <v>0</v>
      </c>
      <c r="C1249" s="16" t="s">
        <v>3412</v>
      </c>
      <c r="D1249" s="16" t="s">
        <v>3403</v>
      </c>
    </row>
    <row r="1250" spans="1:4">
      <c r="A1250" s="16">
        <v>5010100000</v>
      </c>
      <c r="B1250" s="16">
        <v>0</v>
      </c>
      <c r="C1250" s="16" t="s">
        <v>3406</v>
      </c>
      <c r="D1250" s="16" t="s">
        <v>3407</v>
      </c>
    </row>
    <row r="1251" spans="1:4">
      <c r="A1251" s="16">
        <v>6700200000</v>
      </c>
      <c r="B1251" s="16">
        <v>0</v>
      </c>
      <c r="C1251" s="16" t="s">
        <v>3404</v>
      </c>
      <c r="D1251" s="16" t="s">
        <v>3409</v>
      </c>
    </row>
    <row r="1252" spans="1:4">
      <c r="A1252" s="16">
        <v>6700100000</v>
      </c>
      <c r="B1252" s="16">
        <v>0</v>
      </c>
      <c r="C1252" s="16" t="s">
        <v>3404</v>
      </c>
      <c r="D1252" s="16" t="s">
        <v>3410</v>
      </c>
    </row>
    <row r="1253" spans="1:4">
      <c r="A1253" s="16">
        <v>6610100000</v>
      </c>
      <c r="B1253" s="16">
        <v>0</v>
      </c>
      <c r="C1253" s="16" t="s">
        <v>3413</v>
      </c>
      <c r="D1253" s="16" t="s">
        <v>3414</v>
      </c>
    </row>
    <row r="1254" spans="1:4">
      <c r="A1254" s="16">
        <v>4203000000</v>
      </c>
      <c r="B1254" s="16">
        <v>0</v>
      </c>
      <c r="C1254" s="16" t="s">
        <v>3408</v>
      </c>
      <c r="D1254" s="16" t="s">
        <v>3403</v>
      </c>
    </row>
    <row r="1255" spans="1:4">
      <c r="A1255" s="16">
        <v>6700200000</v>
      </c>
      <c r="B1255" s="16">
        <v>0</v>
      </c>
      <c r="C1255" s="16" t="s">
        <v>3404</v>
      </c>
      <c r="D1255" s="16" t="s">
        <v>3409</v>
      </c>
    </row>
    <row r="1256" spans="1:4">
      <c r="A1256" s="16">
        <v>2201200030</v>
      </c>
      <c r="B1256" s="16">
        <v>0</v>
      </c>
      <c r="C1256" s="16" t="s">
        <v>3415</v>
      </c>
      <c r="D1256" s="16" t="s">
        <v>3403</v>
      </c>
    </row>
    <row r="1257" spans="1:4">
      <c r="A1257" s="16">
        <v>3032000000</v>
      </c>
      <c r="B1257" s="16">
        <v>10942909</v>
      </c>
      <c r="C1257" s="16" t="s">
        <v>3424</v>
      </c>
      <c r="D1257" s="16" t="s">
        <v>3403</v>
      </c>
    </row>
    <row r="1258" spans="1:4">
      <c r="A1258" s="16">
        <v>6032000000</v>
      </c>
      <c r="B1258" s="16">
        <v>-10942909</v>
      </c>
      <c r="C1258" s="16" t="s">
        <v>3429</v>
      </c>
      <c r="D1258" s="16" t="s">
        <v>3430</v>
      </c>
    </row>
    <row r="1259" spans="1:4">
      <c r="A1259" s="16">
        <v>2201000000</v>
      </c>
      <c r="B1259" s="16">
        <v>0</v>
      </c>
      <c r="C1259" s="16" t="s">
        <v>3415</v>
      </c>
      <c r="D1259" s="16" t="s">
        <v>3403</v>
      </c>
    </row>
    <row r="1260" spans="1:4">
      <c r="A1260" s="16">
        <v>6700200000</v>
      </c>
      <c r="B1260" s="16">
        <v>0</v>
      </c>
      <c r="C1260" s="16" t="s">
        <v>3404</v>
      </c>
      <c r="D1260" s="16" t="s">
        <v>3409</v>
      </c>
    </row>
    <row r="1261" spans="1:4">
      <c r="A1261" s="16">
        <v>6700200000</v>
      </c>
      <c r="B1261" s="16">
        <v>0</v>
      </c>
      <c r="C1261" s="16" t="s">
        <v>3404</v>
      </c>
      <c r="D1261" s="16" t="s">
        <v>3409</v>
      </c>
    </row>
    <row r="1262" spans="1:4">
      <c r="A1262" s="16">
        <v>6700100000</v>
      </c>
      <c r="B1262" s="16">
        <v>0</v>
      </c>
      <c r="C1262" s="16" t="s">
        <v>3404</v>
      </c>
      <c r="D1262" s="16" t="s">
        <v>3410</v>
      </c>
    </row>
    <row r="1263" spans="1:4">
      <c r="A1263" s="16">
        <v>6700200000</v>
      </c>
      <c r="B1263" s="16">
        <v>0</v>
      </c>
      <c r="C1263" s="16" t="s">
        <v>3404</v>
      </c>
      <c r="D1263" s="16" t="s">
        <v>3409</v>
      </c>
    </row>
    <row r="1264" spans="1:4">
      <c r="A1264" s="16">
        <v>6700100000</v>
      </c>
      <c r="B1264" s="16">
        <v>0</v>
      </c>
      <c r="C1264" s="16" t="s">
        <v>3404</v>
      </c>
      <c r="D1264" s="16" t="s">
        <v>3410</v>
      </c>
    </row>
    <row r="1265" spans="1:4">
      <c r="A1265" s="16">
        <v>6700600000</v>
      </c>
      <c r="B1265" s="16">
        <v>0</v>
      </c>
      <c r="C1265" s="16" t="s">
        <v>3404</v>
      </c>
      <c r="D1265" s="16" t="s">
        <v>3409</v>
      </c>
    </row>
    <row r="1266" spans="1:4">
      <c r="A1266" s="16">
        <v>6700400000</v>
      </c>
      <c r="B1266" s="16">
        <v>0</v>
      </c>
      <c r="C1266" s="16" t="s">
        <v>3404</v>
      </c>
      <c r="D1266" s="16" t="s">
        <v>3405</v>
      </c>
    </row>
    <row r="1267" spans="1:4">
      <c r="A1267" s="16">
        <v>6610000000</v>
      </c>
      <c r="B1267" s="16">
        <v>0</v>
      </c>
      <c r="C1267" s="16" t="s">
        <v>3413</v>
      </c>
      <c r="D1267" s="16" t="s">
        <v>3418</v>
      </c>
    </row>
    <row r="1268" spans="1:4">
      <c r="A1268" s="16">
        <v>4203000000</v>
      </c>
      <c r="B1268" s="16">
        <v>0</v>
      </c>
      <c r="C1268" s="16" t="s">
        <v>3408</v>
      </c>
      <c r="D1268" s="16" t="s">
        <v>3403</v>
      </c>
    </row>
    <row r="1269" spans="1:4">
      <c r="A1269" s="16">
        <v>6030000000</v>
      </c>
      <c r="B1269" s="16">
        <v>0</v>
      </c>
      <c r="C1269" s="16" t="s">
        <v>3420</v>
      </c>
      <c r="D1269" s="16" t="s">
        <v>3423</v>
      </c>
    </row>
    <row r="1270" spans="1:4">
      <c r="A1270" s="16">
        <v>3030000000</v>
      </c>
      <c r="B1270" s="16">
        <v>0</v>
      </c>
      <c r="C1270" s="16" t="s">
        <v>3402</v>
      </c>
      <c r="D1270" s="16" t="s">
        <v>3403</v>
      </c>
    </row>
    <row r="1271" spans="1:4">
      <c r="A1271" s="16">
        <v>2201000000</v>
      </c>
      <c r="B1271" s="16">
        <v>0</v>
      </c>
      <c r="C1271" s="16" t="s">
        <v>3415</v>
      </c>
      <c r="D1271" s="16" t="s">
        <v>3403</v>
      </c>
    </row>
    <row r="1272" spans="1:4">
      <c r="A1272" s="16">
        <v>6700200000</v>
      </c>
      <c r="B1272" s="16">
        <v>0</v>
      </c>
      <c r="C1272" s="16" t="s">
        <v>3404</v>
      </c>
      <c r="D1272" s="16" t="s">
        <v>3409</v>
      </c>
    </row>
    <row r="1273" spans="1:4">
      <c r="A1273" s="16">
        <v>2500000000</v>
      </c>
      <c r="B1273" s="16">
        <v>0</v>
      </c>
      <c r="C1273" s="16" t="s">
        <v>3412</v>
      </c>
      <c r="D1273" s="16" t="s">
        <v>3403</v>
      </c>
    </row>
    <row r="1274" spans="1:4">
      <c r="A1274" s="16">
        <v>5010100000</v>
      </c>
      <c r="B1274" s="16">
        <v>0</v>
      </c>
      <c r="C1274" s="16" t="s">
        <v>3406</v>
      </c>
      <c r="D1274" s="16" t="s">
        <v>3407</v>
      </c>
    </row>
    <row r="1275" spans="1:4">
      <c r="A1275" s="16">
        <v>2201000000</v>
      </c>
      <c r="B1275" s="16">
        <v>1970110</v>
      </c>
      <c r="C1275" s="16" t="s">
        <v>3415</v>
      </c>
      <c r="D1275" s="16" t="s">
        <v>3403</v>
      </c>
    </row>
    <row r="1276" spans="1:4">
      <c r="A1276" s="16">
        <v>6700200000</v>
      </c>
      <c r="B1276" s="16">
        <v>-1970110</v>
      </c>
      <c r="C1276" s="16" t="s">
        <v>3404</v>
      </c>
      <c r="D1276" s="16" t="s">
        <v>3409</v>
      </c>
    </row>
    <row r="1277" spans="1:4">
      <c r="A1277" s="16">
        <v>6100000020</v>
      </c>
      <c r="B1277" s="16">
        <v>0</v>
      </c>
      <c r="C1277" s="16" t="s">
        <v>3416</v>
      </c>
      <c r="D1277" s="16" t="s">
        <v>3417</v>
      </c>
    </row>
    <row r="1278" spans="1:4">
      <c r="A1278" s="16">
        <v>3810000000</v>
      </c>
      <c r="B1278" s="16">
        <v>0</v>
      </c>
      <c r="C1278" s="16" t="s">
        <v>3402</v>
      </c>
      <c r="D1278" s="16" t="s">
        <v>3403</v>
      </c>
    </row>
    <row r="1279" spans="1:4">
      <c r="A1279" s="16">
        <v>5010000010</v>
      </c>
      <c r="B1279" s="16">
        <v>0</v>
      </c>
      <c r="C1279" s="16" t="s">
        <v>3406</v>
      </c>
      <c r="D1279" s="16" t="s">
        <v>3411</v>
      </c>
    </row>
    <row r="1280" spans="1:4">
      <c r="A1280" s="16">
        <v>3710000000</v>
      </c>
      <c r="B1280" s="16">
        <v>0</v>
      </c>
      <c r="C1280" s="16" t="s">
        <v>3402</v>
      </c>
      <c r="D1280" s="16" t="s">
        <v>3403</v>
      </c>
    </row>
    <row r="1281" spans="1:4">
      <c r="A1281" s="16">
        <v>6700200000</v>
      </c>
      <c r="B1281" s="16">
        <v>0</v>
      </c>
      <c r="C1281" s="16" t="s">
        <v>3404</v>
      </c>
      <c r="D1281" s="16" t="s">
        <v>3409</v>
      </c>
    </row>
    <row r="1282" spans="1:4">
      <c r="A1282" s="16">
        <v>6700100000</v>
      </c>
      <c r="B1282" s="16">
        <v>0</v>
      </c>
      <c r="C1282" s="16" t="s">
        <v>3404</v>
      </c>
      <c r="D1282" s="16" t="s">
        <v>3410</v>
      </c>
    </row>
    <row r="1283" spans="1:4">
      <c r="A1283" s="16">
        <v>6700200000</v>
      </c>
      <c r="B1283" s="16">
        <v>0</v>
      </c>
      <c r="C1283" s="16" t="s">
        <v>3404</v>
      </c>
      <c r="D1283" s="16" t="s">
        <v>3409</v>
      </c>
    </row>
    <row r="1284" spans="1:4">
      <c r="A1284" s="16">
        <v>6700000000</v>
      </c>
      <c r="B1284" s="16">
        <v>0</v>
      </c>
      <c r="C1284" s="16" t="s">
        <v>3404</v>
      </c>
      <c r="D1284" s="16" t="s">
        <v>3405</v>
      </c>
    </row>
    <row r="1285" spans="1:4">
      <c r="A1285" s="16">
        <v>2201000000</v>
      </c>
      <c r="B1285" s="16">
        <v>0</v>
      </c>
      <c r="C1285" s="16" t="s">
        <v>3415</v>
      </c>
      <c r="D1285" s="16" t="s">
        <v>3403</v>
      </c>
    </row>
    <row r="1286" spans="1:4">
      <c r="A1286" s="16">
        <v>6700200000</v>
      </c>
      <c r="B1286" s="16">
        <v>0</v>
      </c>
      <c r="C1286" s="16" t="s">
        <v>3404</v>
      </c>
      <c r="D1286" s="16" t="s">
        <v>3409</v>
      </c>
    </row>
    <row r="1287" spans="1:4">
      <c r="A1287" s="16">
        <v>2750010000</v>
      </c>
      <c r="B1287" s="16">
        <v>5693</v>
      </c>
      <c r="C1287" s="16" t="s">
        <v>3419</v>
      </c>
      <c r="D1287" s="16" t="s">
        <v>3403</v>
      </c>
    </row>
    <row r="1288" spans="1:4">
      <c r="A1288" s="16">
        <v>6610100100</v>
      </c>
      <c r="B1288" s="16">
        <v>-5693</v>
      </c>
      <c r="C1288" s="16" t="s">
        <v>3413</v>
      </c>
      <c r="D1288" s="16" t="s">
        <v>3414</v>
      </c>
    </row>
    <row r="1289" spans="1:4">
      <c r="A1289" s="16">
        <v>6610100000</v>
      </c>
      <c r="B1289" s="16">
        <v>5246</v>
      </c>
      <c r="C1289" s="16" t="s">
        <v>3413</v>
      </c>
      <c r="D1289" s="16" t="s">
        <v>3414</v>
      </c>
    </row>
    <row r="1290" spans="1:4">
      <c r="A1290" s="16">
        <v>4203000000</v>
      </c>
      <c r="B1290" s="16">
        <v>-5246</v>
      </c>
      <c r="C1290" s="16" t="s">
        <v>3408</v>
      </c>
      <c r="D1290" s="16" t="s">
        <v>3403</v>
      </c>
    </row>
    <row r="1291" spans="1:4">
      <c r="A1291" s="16">
        <v>6700200000</v>
      </c>
      <c r="B1291" s="16">
        <v>0</v>
      </c>
      <c r="C1291" s="16" t="s">
        <v>3404</v>
      </c>
      <c r="D1291" s="16" t="s">
        <v>3409</v>
      </c>
    </row>
    <row r="1292" spans="1:4">
      <c r="A1292" s="16">
        <v>3032000000</v>
      </c>
      <c r="B1292" s="16">
        <v>0</v>
      </c>
      <c r="C1292" s="16" t="s">
        <v>3424</v>
      </c>
      <c r="D1292" s="16" t="s">
        <v>3403</v>
      </c>
    </row>
    <row r="1293" spans="1:4">
      <c r="A1293" s="16">
        <v>6700600000</v>
      </c>
      <c r="B1293" s="16">
        <v>0</v>
      </c>
      <c r="C1293" s="16" t="s">
        <v>3404</v>
      </c>
      <c r="D1293" s="16" t="s">
        <v>3409</v>
      </c>
    </row>
    <row r="1294" spans="1:4">
      <c r="A1294" s="16">
        <v>5010000000</v>
      </c>
      <c r="B1294" s="16">
        <v>0</v>
      </c>
      <c r="C1294" s="16" t="s">
        <v>3406</v>
      </c>
      <c r="D1294" s="16" t="s">
        <v>3411</v>
      </c>
    </row>
    <row r="1295" spans="1:4">
      <c r="A1295" s="16">
        <v>4203000000</v>
      </c>
      <c r="B1295" s="16">
        <v>0</v>
      </c>
      <c r="C1295" s="16" t="s">
        <v>3408</v>
      </c>
      <c r="D1295" s="16" t="s">
        <v>3403</v>
      </c>
    </row>
    <row r="1296" spans="1:4">
      <c r="A1296" s="16">
        <v>6700100000</v>
      </c>
      <c r="B1296" s="16">
        <v>0</v>
      </c>
      <c r="C1296" s="16" t="s">
        <v>3404</v>
      </c>
      <c r="D1296" s="16" t="s">
        <v>3410</v>
      </c>
    </row>
    <row r="1297" spans="1:4">
      <c r="A1297" s="16">
        <v>6700700000</v>
      </c>
      <c r="B1297" s="16">
        <v>0</v>
      </c>
      <c r="C1297" s="16" t="s">
        <v>3404</v>
      </c>
      <c r="D1297" s="16" t="s">
        <v>3409</v>
      </c>
    </row>
    <row r="1298" spans="1:4">
      <c r="A1298" s="16">
        <v>5010100000</v>
      </c>
      <c r="B1298" s="16">
        <v>0</v>
      </c>
      <c r="C1298" s="16" t="s">
        <v>3406</v>
      </c>
      <c r="D1298" s="16" t="s">
        <v>3407</v>
      </c>
    </row>
    <row r="1299" spans="1:4">
      <c r="A1299" s="16">
        <v>2201000000</v>
      </c>
      <c r="B1299" s="16">
        <v>0</v>
      </c>
      <c r="C1299" s="16" t="s">
        <v>3415</v>
      </c>
      <c r="D1299" s="16" t="s">
        <v>3403</v>
      </c>
    </row>
    <row r="1300" spans="1:4">
      <c r="A1300" s="16">
        <v>5050010000</v>
      </c>
      <c r="B1300" s="16">
        <v>0</v>
      </c>
      <c r="C1300" s="16" t="s">
        <v>3406</v>
      </c>
      <c r="D1300" s="16" t="s">
        <v>3422</v>
      </c>
    </row>
    <row r="1301" spans="1:4">
      <c r="A1301" s="16">
        <v>3032000000</v>
      </c>
      <c r="B1301" s="16">
        <v>8512317</v>
      </c>
      <c r="C1301" s="16" t="s">
        <v>3424</v>
      </c>
      <c r="D1301" s="16" t="s">
        <v>3403</v>
      </c>
    </row>
    <row r="1302" spans="1:4">
      <c r="A1302" s="16">
        <v>6100000000</v>
      </c>
      <c r="B1302" s="16">
        <v>0</v>
      </c>
      <c r="C1302" s="16" t="s">
        <v>3427</v>
      </c>
      <c r="D1302" s="16" t="s">
        <v>3417</v>
      </c>
    </row>
    <row r="1303" spans="1:4">
      <c r="A1303" s="16">
        <v>5010100000</v>
      </c>
      <c r="B1303" s="16">
        <v>0</v>
      </c>
      <c r="C1303" s="16" t="s">
        <v>3406</v>
      </c>
      <c r="D1303" s="16" t="s">
        <v>3407</v>
      </c>
    </row>
    <row r="1304" spans="1:4">
      <c r="A1304" s="16">
        <v>6030000000</v>
      </c>
      <c r="B1304" s="16">
        <v>0</v>
      </c>
      <c r="C1304" s="16" t="s">
        <v>3420</v>
      </c>
      <c r="D1304" s="16" t="s">
        <v>3423</v>
      </c>
    </row>
    <row r="1305" spans="1:4">
      <c r="A1305" s="16">
        <v>6700200000</v>
      </c>
      <c r="B1305" s="16">
        <v>2693622798</v>
      </c>
      <c r="C1305" s="16" t="s">
        <v>3404</v>
      </c>
      <c r="D1305" s="16" t="s">
        <v>3409</v>
      </c>
    </row>
    <row r="1306" spans="1:4">
      <c r="A1306" s="16">
        <v>5010000010</v>
      </c>
      <c r="B1306" s="16">
        <v>0</v>
      </c>
      <c r="C1306" s="16" t="s">
        <v>3406</v>
      </c>
      <c r="D1306" s="16" t="s">
        <v>3411</v>
      </c>
    </row>
    <row r="1307" spans="1:4">
      <c r="A1307" s="16">
        <v>6032000000</v>
      </c>
      <c r="B1307" s="16">
        <v>0</v>
      </c>
      <c r="C1307" s="16" t="s">
        <v>3429</v>
      </c>
      <c r="D1307" s="16" t="s">
        <v>3430</v>
      </c>
    </row>
    <row r="1308" spans="1:4">
      <c r="A1308" s="16">
        <v>6700400000</v>
      </c>
      <c r="B1308" s="16">
        <v>0</v>
      </c>
      <c r="C1308" s="16" t="s">
        <v>3404</v>
      </c>
      <c r="D1308" s="16" t="s">
        <v>3405</v>
      </c>
    </row>
    <row r="1309" spans="1:4">
      <c r="A1309" s="16">
        <v>6700600000</v>
      </c>
      <c r="B1309" s="16">
        <v>0</v>
      </c>
      <c r="C1309" s="16" t="s">
        <v>3404</v>
      </c>
      <c r="D1309" s="16" t="s">
        <v>3409</v>
      </c>
    </row>
    <row r="1310" spans="1:4">
      <c r="A1310" s="16">
        <v>3102000000</v>
      </c>
      <c r="B1310" s="16">
        <v>0</v>
      </c>
      <c r="C1310" s="16" t="s">
        <v>3424</v>
      </c>
      <c r="D1310" s="16" t="s">
        <v>3403</v>
      </c>
    </row>
    <row r="1311" spans="1:4">
      <c r="A1311" s="16">
        <v>6700500000</v>
      </c>
      <c r="B1311" s="16">
        <v>0</v>
      </c>
      <c r="C1311" s="16" t="s">
        <v>3404</v>
      </c>
      <c r="D1311" s="16" t="s">
        <v>3405</v>
      </c>
    </row>
    <row r="1312" spans="1:4">
      <c r="A1312" s="16">
        <v>6700200000</v>
      </c>
      <c r="B1312" s="16">
        <v>0</v>
      </c>
      <c r="C1312" s="16" t="s">
        <v>3404</v>
      </c>
      <c r="D1312" s="16" t="s">
        <v>3409</v>
      </c>
    </row>
    <row r="1313" spans="1:4">
      <c r="A1313" s="16">
        <v>5050000000</v>
      </c>
      <c r="B1313" s="16">
        <v>0</v>
      </c>
      <c r="C1313" s="16" t="s">
        <v>3406</v>
      </c>
      <c r="D1313" s="16" t="s">
        <v>3422</v>
      </c>
    </row>
    <row r="1314" spans="1:4">
      <c r="A1314" s="16">
        <v>6032000000</v>
      </c>
      <c r="B1314" s="16">
        <v>-8512317</v>
      </c>
      <c r="C1314" s="16" t="s">
        <v>3429</v>
      </c>
      <c r="D1314" s="16" t="s">
        <v>3430</v>
      </c>
    </row>
    <row r="1315" spans="1:4">
      <c r="A1315" s="16">
        <v>3100000000</v>
      </c>
      <c r="B1315" s="16">
        <v>0</v>
      </c>
      <c r="C1315" s="16" t="s">
        <v>3402</v>
      </c>
      <c r="D1315" s="16" t="s">
        <v>3403</v>
      </c>
    </row>
    <row r="1316" spans="1:4">
      <c r="A1316" s="16">
        <v>3030000000</v>
      </c>
      <c r="B1316" s="16">
        <v>0</v>
      </c>
      <c r="C1316" s="16" t="s">
        <v>3402</v>
      </c>
      <c r="D1316" s="16" t="s">
        <v>3403</v>
      </c>
    </row>
    <row r="1317" spans="1:4">
      <c r="A1317" s="16">
        <v>6700000000</v>
      </c>
      <c r="B1317" s="16">
        <v>-2693622798</v>
      </c>
      <c r="C1317" s="16" t="s">
        <v>3404</v>
      </c>
      <c r="D1317" s="16" t="s">
        <v>3405</v>
      </c>
    </row>
    <row r="1318" spans="1:4">
      <c r="A1318" s="16">
        <v>6100000000</v>
      </c>
      <c r="B1318" s="16">
        <v>7966034</v>
      </c>
      <c r="C1318" s="16" t="s">
        <v>3427</v>
      </c>
      <c r="D1318" s="16" t="s">
        <v>3417</v>
      </c>
    </row>
    <row r="1319" spans="1:4">
      <c r="A1319" s="16">
        <v>3710000000</v>
      </c>
      <c r="B1319" s="16">
        <v>0</v>
      </c>
      <c r="C1319" s="16" t="s">
        <v>3402</v>
      </c>
      <c r="D1319" s="16" t="s">
        <v>3403</v>
      </c>
    </row>
    <row r="1320" spans="1:4">
      <c r="A1320" s="16">
        <v>6610100000</v>
      </c>
      <c r="B1320" s="16">
        <v>0</v>
      </c>
      <c r="C1320" s="16" t="s">
        <v>3413</v>
      </c>
      <c r="D1320" s="16" t="s">
        <v>3414</v>
      </c>
    </row>
    <row r="1321" spans="1:4">
      <c r="A1321" s="16">
        <v>6700200000</v>
      </c>
      <c r="B1321" s="16">
        <v>0</v>
      </c>
      <c r="C1321" s="16" t="s">
        <v>3404</v>
      </c>
      <c r="D1321" s="16" t="s">
        <v>3409</v>
      </c>
    </row>
    <row r="1322" spans="1:4">
      <c r="A1322" s="16">
        <v>2750010000</v>
      </c>
      <c r="B1322" s="16">
        <v>0</v>
      </c>
      <c r="C1322" s="16" t="s">
        <v>3419</v>
      </c>
      <c r="D1322" s="16" t="s">
        <v>3403</v>
      </c>
    </row>
    <row r="1323" spans="1:4">
      <c r="A1323" s="16">
        <v>6700400000</v>
      </c>
      <c r="B1323" s="16">
        <v>0</v>
      </c>
      <c r="C1323" s="16" t="s">
        <v>3404</v>
      </c>
      <c r="D1323" s="16" t="s">
        <v>3405</v>
      </c>
    </row>
    <row r="1324" spans="1:4">
      <c r="A1324" s="16">
        <v>6102000000</v>
      </c>
      <c r="B1324" s="16">
        <v>0</v>
      </c>
      <c r="C1324" s="16" t="s">
        <v>3425</v>
      </c>
      <c r="D1324" s="16" t="s">
        <v>3426</v>
      </c>
    </row>
    <row r="1325" spans="1:4">
      <c r="A1325" s="16">
        <v>6700200000</v>
      </c>
      <c r="B1325" s="16">
        <v>0</v>
      </c>
      <c r="C1325" s="16" t="s">
        <v>3404</v>
      </c>
      <c r="D1325" s="16" t="s">
        <v>3409</v>
      </c>
    </row>
    <row r="1326" spans="1:4">
      <c r="A1326" s="16">
        <v>3102000000</v>
      </c>
      <c r="B1326" s="16">
        <v>0</v>
      </c>
      <c r="C1326" s="16" t="s">
        <v>3424</v>
      </c>
      <c r="D1326" s="16" t="s">
        <v>3403</v>
      </c>
    </row>
    <row r="1327" spans="1:4">
      <c r="A1327" s="16">
        <v>6104000000</v>
      </c>
      <c r="B1327" s="16">
        <v>0</v>
      </c>
      <c r="C1327" s="16" t="s">
        <v>3427</v>
      </c>
      <c r="D1327" s="16" t="s">
        <v>3417</v>
      </c>
    </row>
    <row r="1328" spans="1:4">
      <c r="A1328" s="16">
        <v>6700700000</v>
      </c>
      <c r="B1328" s="16">
        <v>0</v>
      </c>
      <c r="C1328" s="16" t="s">
        <v>3404</v>
      </c>
      <c r="D1328" s="16" t="s">
        <v>3409</v>
      </c>
    </row>
    <row r="1329" spans="1:4">
      <c r="A1329" s="16">
        <v>3102000000</v>
      </c>
      <c r="B1329" s="16">
        <v>0</v>
      </c>
      <c r="C1329" s="16" t="s">
        <v>3424</v>
      </c>
      <c r="D1329" s="16" t="s">
        <v>3403</v>
      </c>
    </row>
    <row r="1330" spans="1:4">
      <c r="A1330" s="16">
        <v>6700700000</v>
      </c>
      <c r="B1330" s="16">
        <v>0</v>
      </c>
      <c r="C1330" s="16" t="s">
        <v>3404</v>
      </c>
      <c r="D1330" s="16" t="s">
        <v>3409</v>
      </c>
    </row>
    <row r="1331" spans="1:4">
      <c r="A1331" s="16">
        <v>2500000000</v>
      </c>
      <c r="B1331" s="16">
        <v>0</v>
      </c>
      <c r="C1331" s="16" t="s">
        <v>3412</v>
      </c>
      <c r="D1331" s="16" t="s">
        <v>3403</v>
      </c>
    </row>
    <row r="1332" spans="1:4">
      <c r="A1332" s="16">
        <v>3100000000</v>
      </c>
      <c r="B1332" s="16">
        <v>-7966034</v>
      </c>
      <c r="C1332" s="16" t="s">
        <v>3402</v>
      </c>
      <c r="D1332" s="16" t="s">
        <v>3403</v>
      </c>
    </row>
    <row r="1333" spans="1:4">
      <c r="A1333" s="16">
        <v>2750010000</v>
      </c>
      <c r="B1333" s="16">
        <v>0</v>
      </c>
      <c r="C1333" s="16" t="s">
        <v>3419</v>
      </c>
      <c r="D1333" s="16" t="s">
        <v>3403</v>
      </c>
    </row>
    <row r="1334" spans="1:4">
      <c r="A1334" s="16">
        <v>4203000000</v>
      </c>
      <c r="B1334" s="16">
        <v>0</v>
      </c>
      <c r="C1334" s="16" t="s">
        <v>3408</v>
      </c>
      <c r="D1334" s="16" t="s">
        <v>3403</v>
      </c>
    </row>
    <row r="1335" spans="1:4">
      <c r="A1335" s="16">
        <v>6700000000</v>
      </c>
      <c r="B1335" s="16">
        <v>0</v>
      </c>
      <c r="C1335" s="16" t="s">
        <v>3404</v>
      </c>
      <c r="D1335" s="16" t="s">
        <v>3405</v>
      </c>
    </row>
    <row r="1336" spans="1:4">
      <c r="A1336" s="16">
        <v>6610100100</v>
      </c>
      <c r="B1336" s="16">
        <v>0</v>
      </c>
      <c r="C1336" s="16" t="s">
        <v>3413</v>
      </c>
      <c r="D1336" s="16" t="s">
        <v>3414</v>
      </c>
    </row>
    <row r="1337" spans="1:4">
      <c r="A1337" s="16">
        <v>6700200000</v>
      </c>
      <c r="B1337" s="16">
        <v>0</v>
      </c>
      <c r="C1337" s="16" t="s">
        <v>3404</v>
      </c>
      <c r="D1337" s="16" t="s">
        <v>3409</v>
      </c>
    </row>
    <row r="1338" spans="1:4">
      <c r="A1338" s="16">
        <v>2500000000</v>
      </c>
      <c r="B1338" s="16">
        <v>0</v>
      </c>
      <c r="C1338" s="16" t="s">
        <v>3412</v>
      </c>
      <c r="D1338" s="16" t="s">
        <v>3403</v>
      </c>
    </row>
    <row r="1339" spans="1:4">
      <c r="A1339" s="16">
        <v>2201200030</v>
      </c>
      <c r="B1339" s="16">
        <v>0</v>
      </c>
      <c r="C1339" s="16" t="s">
        <v>3415</v>
      </c>
      <c r="D1339" s="16" t="s">
        <v>3403</v>
      </c>
    </row>
    <row r="1340" spans="1:4">
      <c r="A1340" s="16">
        <v>6700200000</v>
      </c>
      <c r="B1340" s="16">
        <v>0</v>
      </c>
      <c r="C1340" s="16" t="s">
        <v>3404</v>
      </c>
      <c r="D1340" s="16" t="s">
        <v>3409</v>
      </c>
    </row>
    <row r="1341" spans="1:4">
      <c r="A1341" s="16">
        <v>6102000000</v>
      </c>
      <c r="B1341" s="16">
        <v>0</v>
      </c>
      <c r="C1341" s="16" t="s">
        <v>3425</v>
      </c>
      <c r="D1341" s="16" t="s">
        <v>3426</v>
      </c>
    </row>
    <row r="1342" spans="1:4">
      <c r="A1342" s="16">
        <v>3103000000</v>
      </c>
      <c r="B1342" s="16">
        <v>0</v>
      </c>
      <c r="C1342" s="16" t="s">
        <v>3402</v>
      </c>
      <c r="D1342" s="16" t="s">
        <v>3403</v>
      </c>
    </row>
    <row r="1343" spans="1:4">
      <c r="A1343" s="16">
        <v>6610100000</v>
      </c>
      <c r="B1343" s="16">
        <v>0</v>
      </c>
      <c r="C1343" s="16" t="s">
        <v>3413</v>
      </c>
      <c r="D1343" s="16" t="s">
        <v>3414</v>
      </c>
    </row>
    <row r="1344" spans="1:4">
      <c r="A1344" s="16">
        <v>5010100010</v>
      </c>
      <c r="B1344" s="16">
        <v>0</v>
      </c>
      <c r="C1344" s="16" t="s">
        <v>3406</v>
      </c>
      <c r="D1344" s="16" t="s">
        <v>3407</v>
      </c>
    </row>
    <row r="1345" spans="1:4">
      <c r="A1345" s="16">
        <v>6700600000</v>
      </c>
      <c r="B1345" s="16">
        <v>0</v>
      </c>
      <c r="C1345" s="16" t="s">
        <v>3404</v>
      </c>
      <c r="D1345" s="16" t="s">
        <v>3409</v>
      </c>
    </row>
    <row r="1346" spans="1:4">
      <c r="A1346" s="16">
        <v>6104001000</v>
      </c>
      <c r="B1346" s="16">
        <v>0</v>
      </c>
      <c r="C1346" s="16" t="s">
        <v>3427</v>
      </c>
      <c r="D1346" s="16" t="s">
        <v>3417</v>
      </c>
    </row>
    <row r="1347" spans="1:4">
      <c r="A1347" s="16">
        <v>2500000000</v>
      </c>
      <c r="B1347" s="16">
        <v>0</v>
      </c>
      <c r="C1347" s="16" t="s">
        <v>3412</v>
      </c>
      <c r="D1347" s="16" t="s">
        <v>3403</v>
      </c>
    </row>
    <row r="1348" spans="1:4">
      <c r="A1348" s="16">
        <v>6700500000</v>
      </c>
      <c r="B1348" s="16">
        <v>0</v>
      </c>
      <c r="C1348" s="16" t="s">
        <v>3404</v>
      </c>
      <c r="D1348" s="16" t="s">
        <v>3405</v>
      </c>
    </row>
    <row r="1349" spans="1:4">
      <c r="A1349" s="16">
        <v>6102000000</v>
      </c>
      <c r="B1349" s="16">
        <v>0</v>
      </c>
      <c r="C1349" s="16" t="s">
        <v>3425</v>
      </c>
      <c r="D1349" s="16" t="s">
        <v>3426</v>
      </c>
    </row>
    <row r="1350" spans="1:4">
      <c r="A1350" s="16">
        <v>6700500000</v>
      </c>
      <c r="B1350" s="16">
        <v>0</v>
      </c>
      <c r="C1350" s="16" t="s">
        <v>3404</v>
      </c>
      <c r="D1350" s="16" t="s">
        <v>3405</v>
      </c>
    </row>
    <row r="1351" spans="1:4">
      <c r="A1351" s="16">
        <v>5010000000</v>
      </c>
      <c r="B1351" s="16">
        <v>0</v>
      </c>
      <c r="C1351" s="16" t="s">
        <v>3406</v>
      </c>
      <c r="D1351" s="16" t="s">
        <v>3411</v>
      </c>
    </row>
    <row r="1352" spans="1:4">
      <c r="A1352" s="16">
        <v>6700600000</v>
      </c>
      <c r="B1352" s="16">
        <v>0</v>
      </c>
      <c r="C1352" s="16" t="s">
        <v>3404</v>
      </c>
      <c r="D1352" s="16" t="s">
        <v>3409</v>
      </c>
    </row>
    <row r="1353" spans="1:4">
      <c r="A1353" s="16">
        <v>6104000000</v>
      </c>
      <c r="B1353" s="16">
        <v>0</v>
      </c>
      <c r="C1353" s="16" t="s">
        <v>3416</v>
      </c>
      <c r="D1353" s="16" t="s">
        <v>3417</v>
      </c>
    </row>
    <row r="1354" spans="1:4">
      <c r="A1354" s="16">
        <v>3032000000</v>
      </c>
      <c r="B1354" s="16">
        <v>0</v>
      </c>
      <c r="C1354" s="16" t="s">
        <v>3424</v>
      </c>
      <c r="D1354" s="16" t="s">
        <v>3403</v>
      </c>
    </row>
    <row r="1355" spans="1:4">
      <c r="A1355" s="16">
        <v>6610000100</v>
      </c>
      <c r="B1355" s="16">
        <v>0</v>
      </c>
      <c r="C1355" s="16" t="s">
        <v>3413</v>
      </c>
      <c r="D1355" s="16" t="s">
        <v>3418</v>
      </c>
    </row>
    <row r="1356" spans="1:4">
      <c r="A1356" s="16">
        <v>6700100000</v>
      </c>
      <c r="B1356" s="16">
        <v>0</v>
      </c>
      <c r="C1356" s="16" t="s">
        <v>3404</v>
      </c>
      <c r="D1356" s="16" t="s">
        <v>3410</v>
      </c>
    </row>
    <row r="1357" spans="1:4">
      <c r="A1357" s="16">
        <v>5010000000</v>
      </c>
      <c r="B1357" s="16">
        <v>0</v>
      </c>
      <c r="C1357" s="16" t="s">
        <v>3406</v>
      </c>
      <c r="D1357" s="16" t="s">
        <v>3411</v>
      </c>
    </row>
    <row r="1358" spans="1:4">
      <c r="A1358" s="16">
        <v>6610100000</v>
      </c>
      <c r="B1358" s="16">
        <v>0</v>
      </c>
      <c r="C1358" s="16" t="s">
        <v>3413</v>
      </c>
      <c r="D1358" s="16" t="s">
        <v>3414</v>
      </c>
    </row>
    <row r="1359" spans="1:4">
      <c r="A1359" s="16">
        <v>6700000000</v>
      </c>
      <c r="B1359" s="16">
        <v>0</v>
      </c>
      <c r="C1359" s="16" t="s">
        <v>3404</v>
      </c>
      <c r="D1359" s="16" t="s">
        <v>3405</v>
      </c>
    </row>
    <row r="1360" spans="1:4">
      <c r="A1360" s="16">
        <v>6150000000</v>
      </c>
      <c r="B1360" s="16">
        <v>0</v>
      </c>
      <c r="C1360" s="16" t="s">
        <v>3416</v>
      </c>
      <c r="D1360" s="16" t="s">
        <v>3417</v>
      </c>
    </row>
    <row r="1361" spans="1:4">
      <c r="A1361" s="16">
        <v>4203000000</v>
      </c>
      <c r="B1361" s="16">
        <v>0</v>
      </c>
      <c r="C1361" s="16" t="s">
        <v>3408</v>
      </c>
      <c r="D1361" s="16" t="s">
        <v>3403</v>
      </c>
    </row>
    <row r="1362" spans="1:4">
      <c r="A1362" s="16">
        <v>3710000000</v>
      </c>
      <c r="B1362" s="16">
        <v>0</v>
      </c>
      <c r="C1362" s="16" t="s">
        <v>3402</v>
      </c>
      <c r="D1362" s="16" t="s">
        <v>3403</v>
      </c>
    </row>
    <row r="1363" spans="1:4">
      <c r="A1363" s="16">
        <v>6700400000</v>
      </c>
      <c r="B1363" s="16">
        <v>0</v>
      </c>
      <c r="C1363" s="16" t="s">
        <v>3404</v>
      </c>
      <c r="D1363" s="16" t="s">
        <v>3405</v>
      </c>
    </row>
    <row r="1364" spans="1:4">
      <c r="A1364" s="16">
        <v>3103001000</v>
      </c>
      <c r="B1364" s="16">
        <v>0</v>
      </c>
      <c r="C1364" s="16" t="s">
        <v>3402</v>
      </c>
      <c r="D1364" s="16" t="s">
        <v>3403</v>
      </c>
    </row>
    <row r="1365" spans="1:4">
      <c r="A1365" s="16">
        <v>5010000000</v>
      </c>
      <c r="B1365" s="16">
        <v>0</v>
      </c>
      <c r="C1365" s="16" t="s">
        <v>3406</v>
      </c>
      <c r="D1365" s="16" t="s">
        <v>3411</v>
      </c>
    </row>
    <row r="1366" spans="1:4">
      <c r="A1366" s="16">
        <v>6700400000</v>
      </c>
      <c r="B1366" s="16">
        <v>0</v>
      </c>
      <c r="C1366" s="16" t="s">
        <v>3404</v>
      </c>
      <c r="D1366" s="16" t="s">
        <v>3405</v>
      </c>
    </row>
    <row r="1367" spans="1:4">
      <c r="A1367" s="16">
        <v>3103000000</v>
      </c>
      <c r="B1367" s="16">
        <v>0</v>
      </c>
      <c r="C1367" s="16" t="s">
        <v>3402</v>
      </c>
      <c r="D1367" s="16" t="s">
        <v>3403</v>
      </c>
    </row>
    <row r="1368" spans="1:4">
      <c r="A1368" s="16">
        <v>6032000000</v>
      </c>
      <c r="B1368" s="16">
        <v>0</v>
      </c>
      <c r="C1368" s="16" t="s">
        <v>3429</v>
      </c>
      <c r="D1368" s="16" t="s">
        <v>3430</v>
      </c>
    </row>
    <row r="1369" spans="1:4">
      <c r="A1369" s="16">
        <v>6700200000</v>
      </c>
      <c r="B1369" s="16">
        <v>0</v>
      </c>
      <c r="C1369" s="16" t="s">
        <v>3404</v>
      </c>
      <c r="D1369" s="16" t="s">
        <v>3409</v>
      </c>
    </row>
    <row r="1370" spans="1:4">
      <c r="A1370" s="16">
        <v>4203000000</v>
      </c>
      <c r="B1370" s="16">
        <v>0</v>
      </c>
      <c r="C1370" s="16" t="s">
        <v>3408</v>
      </c>
      <c r="D1370" s="16" t="s">
        <v>3403</v>
      </c>
    </row>
    <row r="1371" spans="1:4">
      <c r="A1371" s="16">
        <v>3510000000</v>
      </c>
      <c r="B1371" s="16">
        <v>0</v>
      </c>
      <c r="C1371" s="16" t="s">
        <v>3402</v>
      </c>
      <c r="D1371" s="16" t="s">
        <v>3403</v>
      </c>
    </row>
    <row r="1372" spans="1:4">
      <c r="A1372" s="16">
        <v>6104000000</v>
      </c>
      <c r="B1372" s="16">
        <v>0</v>
      </c>
      <c r="C1372" s="16" t="s">
        <v>3416</v>
      </c>
      <c r="D1372" s="16" t="s">
        <v>3417</v>
      </c>
    </row>
    <row r="1373" spans="1:4">
      <c r="A1373" s="16">
        <v>2201200030</v>
      </c>
      <c r="B1373" s="16">
        <v>0</v>
      </c>
      <c r="C1373" s="16" t="s">
        <v>3415</v>
      </c>
      <c r="D1373" s="16" t="s">
        <v>3403</v>
      </c>
    </row>
    <row r="1374" spans="1:4">
      <c r="A1374" s="16">
        <v>3032000000</v>
      </c>
      <c r="B1374" s="16">
        <v>384554</v>
      </c>
      <c r="C1374" s="16" t="s">
        <v>3424</v>
      </c>
      <c r="D1374" s="16" t="s">
        <v>3403</v>
      </c>
    </row>
    <row r="1375" spans="1:4">
      <c r="A1375" s="16">
        <v>2201000000</v>
      </c>
      <c r="B1375" s="16">
        <v>0</v>
      </c>
      <c r="C1375" s="16" t="s">
        <v>3415</v>
      </c>
      <c r="D1375" s="16" t="s">
        <v>3403</v>
      </c>
    </row>
    <row r="1376" spans="1:4">
      <c r="A1376" s="16">
        <v>2750010000</v>
      </c>
      <c r="B1376" s="16">
        <v>43905</v>
      </c>
      <c r="C1376" s="16" t="s">
        <v>3419</v>
      </c>
      <c r="D1376" s="16" t="s">
        <v>3403</v>
      </c>
    </row>
    <row r="1377" spans="1:4">
      <c r="A1377" s="16">
        <v>3103000000</v>
      </c>
      <c r="B1377" s="16">
        <v>0</v>
      </c>
      <c r="C1377" s="16" t="s">
        <v>3402</v>
      </c>
      <c r="D1377" s="16" t="s">
        <v>3403</v>
      </c>
    </row>
    <row r="1378" spans="1:4">
      <c r="A1378" s="16">
        <v>6700200000</v>
      </c>
      <c r="B1378" s="16">
        <v>0</v>
      </c>
      <c r="C1378" s="16" t="s">
        <v>3404</v>
      </c>
      <c r="D1378" s="16" t="s">
        <v>3409</v>
      </c>
    </row>
    <row r="1379" spans="1:4">
      <c r="A1379" s="16">
        <v>6100000020</v>
      </c>
      <c r="B1379" s="16">
        <v>0</v>
      </c>
      <c r="C1379" s="16" t="s">
        <v>3416</v>
      </c>
      <c r="D1379" s="16" t="s">
        <v>3417</v>
      </c>
    </row>
    <row r="1380" spans="1:4">
      <c r="A1380" s="16">
        <v>6700200000</v>
      </c>
      <c r="B1380" s="16">
        <v>0</v>
      </c>
      <c r="C1380" s="16" t="s">
        <v>3404</v>
      </c>
      <c r="D1380" s="16" t="s">
        <v>3409</v>
      </c>
    </row>
    <row r="1381" spans="1:4">
      <c r="A1381" s="16">
        <v>5010000010</v>
      </c>
      <c r="B1381" s="16">
        <v>0</v>
      </c>
      <c r="C1381" s="16" t="s">
        <v>3406</v>
      </c>
      <c r="D1381" s="16" t="s">
        <v>3411</v>
      </c>
    </row>
    <row r="1382" spans="1:4">
      <c r="A1382" s="16">
        <v>3102000000</v>
      </c>
      <c r="B1382" s="16">
        <v>721698</v>
      </c>
      <c r="C1382" s="16" t="s">
        <v>3424</v>
      </c>
      <c r="D1382" s="16" t="s">
        <v>3403</v>
      </c>
    </row>
    <row r="1383" spans="1:4">
      <c r="A1383" s="16">
        <v>6104000000</v>
      </c>
      <c r="B1383" s="16">
        <v>0</v>
      </c>
      <c r="C1383" s="16" t="s">
        <v>3416</v>
      </c>
      <c r="D1383" s="16" t="s">
        <v>3417</v>
      </c>
    </row>
    <row r="1384" spans="1:4">
      <c r="A1384" s="16">
        <v>5050000000</v>
      </c>
      <c r="B1384" s="16">
        <v>0</v>
      </c>
      <c r="C1384" s="16" t="s">
        <v>3406</v>
      </c>
      <c r="D1384" s="16" t="s">
        <v>3422</v>
      </c>
    </row>
    <row r="1385" spans="1:4">
      <c r="A1385" s="16">
        <v>2500000000</v>
      </c>
      <c r="B1385" s="16">
        <v>334285</v>
      </c>
      <c r="C1385" s="16" t="s">
        <v>3412</v>
      </c>
      <c r="D1385" s="16" t="s">
        <v>3403</v>
      </c>
    </row>
    <row r="1386" spans="1:4">
      <c r="A1386" s="16">
        <v>6032000000</v>
      </c>
      <c r="B1386" s="16">
        <v>-384554</v>
      </c>
      <c r="C1386" s="16" t="s">
        <v>3429</v>
      </c>
      <c r="D1386" s="16" t="s">
        <v>3430</v>
      </c>
    </row>
    <row r="1387" spans="1:4">
      <c r="A1387" s="16">
        <v>6100000000</v>
      </c>
      <c r="B1387" s="16">
        <v>0</v>
      </c>
      <c r="C1387" s="16" t="s">
        <v>3427</v>
      </c>
      <c r="D1387" s="16" t="s">
        <v>3417</v>
      </c>
    </row>
    <row r="1388" spans="1:4">
      <c r="A1388" s="16">
        <v>6700200000</v>
      </c>
      <c r="B1388" s="16">
        <v>0</v>
      </c>
      <c r="C1388" s="16" t="s">
        <v>3404</v>
      </c>
      <c r="D1388" s="16" t="s">
        <v>3409</v>
      </c>
    </row>
    <row r="1389" spans="1:4">
      <c r="A1389" s="16">
        <v>2500000000</v>
      </c>
      <c r="B1389" s="16">
        <v>0</v>
      </c>
      <c r="C1389" s="16" t="s">
        <v>3412</v>
      </c>
      <c r="D1389" s="16" t="s">
        <v>3403</v>
      </c>
    </row>
    <row r="1390" spans="1:4">
      <c r="A1390" s="16">
        <v>6610000100</v>
      </c>
      <c r="B1390" s="16">
        <v>-43905</v>
      </c>
      <c r="C1390" s="16" t="s">
        <v>3413</v>
      </c>
      <c r="D1390" s="16" t="s">
        <v>3418</v>
      </c>
    </row>
    <row r="1391" spans="1:4">
      <c r="A1391" s="16">
        <v>6700100000</v>
      </c>
      <c r="B1391" s="16">
        <v>0</v>
      </c>
      <c r="C1391" s="16" t="s">
        <v>3404</v>
      </c>
      <c r="D1391" s="16" t="s">
        <v>3410</v>
      </c>
    </row>
    <row r="1392" spans="1:4">
      <c r="A1392" s="16">
        <v>3810000000</v>
      </c>
      <c r="B1392" s="16">
        <v>0</v>
      </c>
      <c r="C1392" s="16" t="s">
        <v>3402</v>
      </c>
      <c r="D1392" s="16" t="s">
        <v>3403</v>
      </c>
    </row>
    <row r="1393" spans="1:4">
      <c r="A1393" s="16">
        <v>6700000000</v>
      </c>
      <c r="B1393" s="16">
        <v>0</v>
      </c>
      <c r="C1393" s="16" t="s">
        <v>3404</v>
      </c>
      <c r="D1393" s="16" t="s">
        <v>3405</v>
      </c>
    </row>
    <row r="1394" spans="1:4">
      <c r="A1394" s="16">
        <v>3710000000</v>
      </c>
      <c r="B1394" s="16">
        <v>0</v>
      </c>
      <c r="C1394" s="16" t="s">
        <v>3402</v>
      </c>
      <c r="D1394" s="16" t="s">
        <v>3403</v>
      </c>
    </row>
    <row r="1395" spans="1:4">
      <c r="A1395" s="16">
        <v>6102000000</v>
      </c>
      <c r="B1395" s="16">
        <v>-721698</v>
      </c>
      <c r="C1395" s="16" t="s">
        <v>3425</v>
      </c>
      <c r="D1395" s="16" t="s">
        <v>3426</v>
      </c>
    </row>
    <row r="1396" spans="1:4">
      <c r="A1396" s="16">
        <v>3103000000</v>
      </c>
      <c r="B1396" s="16">
        <v>0</v>
      </c>
      <c r="C1396" s="16" t="s">
        <v>3402</v>
      </c>
      <c r="D1396" s="16" t="s">
        <v>3403</v>
      </c>
    </row>
    <row r="1397" spans="1:4">
      <c r="A1397" s="16">
        <v>3800000000</v>
      </c>
      <c r="B1397" s="16">
        <v>0</v>
      </c>
      <c r="C1397" s="16" t="s">
        <v>3402</v>
      </c>
      <c r="D1397" s="16" t="s">
        <v>3403</v>
      </c>
    </row>
    <row r="1398" spans="1:4">
      <c r="A1398" s="16">
        <v>2750010000</v>
      </c>
      <c r="B1398" s="16">
        <v>0</v>
      </c>
      <c r="C1398" s="16" t="s">
        <v>3419</v>
      </c>
      <c r="D1398" s="16" t="s">
        <v>3403</v>
      </c>
    </row>
    <row r="1399" spans="1:4">
      <c r="A1399" s="16">
        <v>5010100010</v>
      </c>
      <c r="B1399" s="16">
        <v>2846</v>
      </c>
      <c r="C1399" s="16" t="s">
        <v>3406</v>
      </c>
      <c r="D1399" s="16" t="s">
        <v>3407</v>
      </c>
    </row>
    <row r="1400" spans="1:4">
      <c r="A1400" s="16">
        <v>3102000000</v>
      </c>
      <c r="B1400" s="16">
        <v>0</v>
      </c>
      <c r="C1400" s="16" t="s">
        <v>3424</v>
      </c>
      <c r="D1400" s="16" t="s">
        <v>3403</v>
      </c>
    </row>
    <row r="1401" spans="1:4">
      <c r="A1401" s="16">
        <v>6700200000</v>
      </c>
      <c r="B1401" s="16">
        <v>0</v>
      </c>
      <c r="C1401" s="16" t="s">
        <v>3404</v>
      </c>
      <c r="D1401" s="16" t="s">
        <v>3409</v>
      </c>
    </row>
    <row r="1402" spans="1:4">
      <c r="A1402" s="16">
        <v>5010100000</v>
      </c>
      <c r="B1402" s="16">
        <v>-334285</v>
      </c>
      <c r="C1402" s="16" t="s">
        <v>3406</v>
      </c>
      <c r="D1402" s="16" t="s">
        <v>3407</v>
      </c>
    </row>
    <row r="1403" spans="1:4">
      <c r="A1403" s="16">
        <v>3100000000</v>
      </c>
      <c r="B1403" s="16">
        <v>0</v>
      </c>
      <c r="C1403" s="16" t="s">
        <v>3402</v>
      </c>
      <c r="D1403" s="16" t="s">
        <v>3403</v>
      </c>
    </row>
    <row r="1404" spans="1:4">
      <c r="A1404" s="16">
        <v>5010100000</v>
      </c>
      <c r="B1404" s="16">
        <v>0</v>
      </c>
      <c r="C1404" s="16" t="s">
        <v>3406</v>
      </c>
      <c r="D1404" s="16" t="s">
        <v>3407</v>
      </c>
    </row>
    <row r="1405" spans="1:4">
      <c r="A1405" s="16">
        <v>5050000000</v>
      </c>
      <c r="B1405" s="16">
        <v>0</v>
      </c>
      <c r="C1405" s="16" t="s">
        <v>3406</v>
      </c>
      <c r="D1405" s="16" t="s">
        <v>3422</v>
      </c>
    </row>
    <row r="1406" spans="1:4">
      <c r="A1406" s="16">
        <v>6700200000</v>
      </c>
      <c r="B1406" s="16">
        <v>0</v>
      </c>
      <c r="C1406" s="16" t="s">
        <v>3404</v>
      </c>
      <c r="D1406" s="16" t="s">
        <v>3409</v>
      </c>
    </row>
    <row r="1407" spans="1:4">
      <c r="A1407" s="16">
        <v>6700200000</v>
      </c>
      <c r="B1407" s="16">
        <v>0</v>
      </c>
      <c r="C1407" s="16" t="s">
        <v>3404</v>
      </c>
      <c r="D1407" s="16" t="s">
        <v>3409</v>
      </c>
    </row>
    <row r="1408" spans="1:4">
      <c r="A1408" s="16">
        <v>6610000000</v>
      </c>
      <c r="B1408" s="16">
        <v>0</v>
      </c>
      <c r="C1408" s="16" t="s">
        <v>3413</v>
      </c>
      <c r="D1408" s="16" t="s">
        <v>3418</v>
      </c>
    </row>
    <row r="1409" spans="1:4">
      <c r="A1409" s="16">
        <v>6610000100</v>
      </c>
      <c r="B1409" s="16">
        <v>0</v>
      </c>
      <c r="C1409" s="16" t="s">
        <v>3413</v>
      </c>
      <c r="D1409" s="16" t="s">
        <v>3418</v>
      </c>
    </row>
    <row r="1410" spans="1:4">
      <c r="A1410" s="16">
        <v>3710000000</v>
      </c>
      <c r="B1410" s="16">
        <v>-2846</v>
      </c>
      <c r="C1410" s="16" t="s">
        <v>3402</v>
      </c>
      <c r="D1410" s="16" t="s">
        <v>3403</v>
      </c>
    </row>
    <row r="1411" spans="1:4">
      <c r="A1411" s="16">
        <v>6700200000</v>
      </c>
      <c r="B1411" s="16">
        <v>0</v>
      </c>
      <c r="C1411" s="16" t="s">
        <v>3404</v>
      </c>
      <c r="D1411" s="16" t="s">
        <v>3409</v>
      </c>
    </row>
    <row r="1412" spans="1:4">
      <c r="A1412" s="16">
        <v>6102000000</v>
      </c>
      <c r="B1412" s="16">
        <v>0</v>
      </c>
      <c r="C1412" s="16" t="s">
        <v>3425</v>
      </c>
      <c r="D1412" s="16" t="s">
        <v>3426</v>
      </c>
    </row>
    <row r="1413" spans="1:4">
      <c r="A1413" s="16">
        <v>2201200030</v>
      </c>
      <c r="B1413" s="16">
        <v>0</v>
      </c>
      <c r="C1413" s="16" t="s">
        <v>3415</v>
      </c>
      <c r="D1413" s="16" t="s">
        <v>3403</v>
      </c>
    </row>
    <row r="1414" spans="1:4">
      <c r="A1414" s="16">
        <v>6104000000</v>
      </c>
      <c r="B1414" s="16">
        <v>0</v>
      </c>
      <c r="C1414" s="16" t="s">
        <v>3416</v>
      </c>
      <c r="D1414" s="16" t="s">
        <v>3417</v>
      </c>
    </row>
    <row r="1415" spans="1:4">
      <c r="A1415" s="16">
        <v>2500000000</v>
      </c>
      <c r="B1415" s="16">
        <v>-15005</v>
      </c>
      <c r="C1415" s="16" t="s">
        <v>3412</v>
      </c>
      <c r="D1415" s="16" t="s">
        <v>3403</v>
      </c>
    </row>
    <row r="1416" spans="1:4">
      <c r="A1416" s="16">
        <v>2203000000</v>
      </c>
      <c r="B1416" s="16">
        <v>0</v>
      </c>
      <c r="C1416" s="16" t="s">
        <v>3415</v>
      </c>
      <c r="D1416" s="16" t="s">
        <v>3403</v>
      </c>
    </row>
    <row r="1417" spans="1:4">
      <c r="A1417" s="16">
        <v>6104001000</v>
      </c>
      <c r="B1417" s="16">
        <v>0</v>
      </c>
      <c r="C1417" s="16" t="s">
        <v>3427</v>
      </c>
      <c r="D1417" s="16" t="s">
        <v>3417</v>
      </c>
    </row>
    <row r="1418" spans="1:4">
      <c r="A1418" s="16">
        <v>2201000000</v>
      </c>
      <c r="B1418" s="16">
        <v>2344928</v>
      </c>
      <c r="C1418" s="16" t="s">
        <v>3415</v>
      </c>
      <c r="D1418" s="16" t="s">
        <v>3403</v>
      </c>
    </row>
    <row r="1419" spans="1:4">
      <c r="A1419" s="16">
        <v>6700200000</v>
      </c>
      <c r="B1419" s="16">
        <v>0</v>
      </c>
      <c r="C1419" s="16" t="s">
        <v>3404</v>
      </c>
      <c r="D1419" s="16" t="s">
        <v>3409</v>
      </c>
    </row>
    <row r="1420" spans="1:4">
      <c r="A1420" s="16">
        <v>6700200000</v>
      </c>
      <c r="B1420" s="16">
        <v>0</v>
      </c>
      <c r="C1420" s="16" t="s">
        <v>3404</v>
      </c>
      <c r="D1420" s="16" t="s">
        <v>3409</v>
      </c>
    </row>
    <row r="1421" spans="1:4">
      <c r="A1421" s="16">
        <v>3800000000</v>
      </c>
      <c r="B1421" s="16">
        <v>0</v>
      </c>
      <c r="C1421" s="16" t="s">
        <v>3402</v>
      </c>
      <c r="D1421" s="16" t="s">
        <v>3403</v>
      </c>
    </row>
    <row r="1422" spans="1:4">
      <c r="A1422" s="16">
        <v>5010000010</v>
      </c>
      <c r="B1422" s="16">
        <v>84888</v>
      </c>
      <c r="C1422" s="16" t="s">
        <v>3406</v>
      </c>
      <c r="D1422" s="16" t="s">
        <v>3411</v>
      </c>
    </row>
    <row r="1423" spans="1:4">
      <c r="A1423" s="16">
        <v>2201000000</v>
      </c>
      <c r="B1423" s="16">
        <v>0</v>
      </c>
      <c r="C1423" s="16" t="s">
        <v>3415</v>
      </c>
      <c r="D1423" s="16" t="s">
        <v>3403</v>
      </c>
    </row>
    <row r="1424" spans="1:4">
      <c r="A1424" s="16">
        <v>6700100000</v>
      </c>
      <c r="B1424" s="16">
        <v>0</v>
      </c>
      <c r="C1424" s="16" t="s">
        <v>3404</v>
      </c>
      <c r="D1424" s="16" t="s">
        <v>3410</v>
      </c>
    </row>
    <row r="1425" spans="1:4">
      <c r="A1425" s="16">
        <v>6610000000</v>
      </c>
      <c r="B1425" s="16">
        <v>0</v>
      </c>
      <c r="C1425" s="16" t="s">
        <v>3413</v>
      </c>
      <c r="D1425" s="16" t="s">
        <v>3418</v>
      </c>
    </row>
    <row r="1426" spans="1:4">
      <c r="A1426" s="16">
        <v>6700000000</v>
      </c>
      <c r="B1426" s="16">
        <v>0</v>
      </c>
      <c r="C1426" s="16" t="s">
        <v>3404</v>
      </c>
      <c r="D1426" s="16" t="s">
        <v>3405</v>
      </c>
    </row>
    <row r="1427" spans="1:4">
      <c r="A1427" s="16">
        <v>6100000000</v>
      </c>
      <c r="B1427" s="16">
        <v>22385902040</v>
      </c>
      <c r="C1427" s="16" t="s">
        <v>3416</v>
      </c>
      <c r="D1427" s="16" t="s">
        <v>3417</v>
      </c>
    </row>
    <row r="1428" spans="1:4">
      <c r="A1428" s="16">
        <v>2500000000</v>
      </c>
      <c r="B1428" s="16">
        <v>0</v>
      </c>
      <c r="C1428" s="16" t="s">
        <v>3412</v>
      </c>
      <c r="D1428" s="16" t="s">
        <v>3403</v>
      </c>
    </row>
    <row r="1429" spans="1:4">
      <c r="A1429" s="16">
        <v>6700200000</v>
      </c>
      <c r="B1429" s="16">
        <v>0</v>
      </c>
      <c r="C1429" s="16" t="s">
        <v>3404</v>
      </c>
      <c r="D1429" s="16" t="s">
        <v>3409</v>
      </c>
    </row>
    <row r="1430" spans="1:4">
      <c r="A1430" s="16">
        <v>6150000000</v>
      </c>
      <c r="B1430" s="16">
        <v>0</v>
      </c>
      <c r="C1430" s="16" t="s">
        <v>3416</v>
      </c>
      <c r="D1430" s="16" t="s">
        <v>3417</v>
      </c>
    </row>
    <row r="1431" spans="1:4">
      <c r="A1431" s="16">
        <v>4203000000</v>
      </c>
      <c r="B1431" s="16">
        <v>0</v>
      </c>
      <c r="C1431" s="16" t="s">
        <v>3408</v>
      </c>
      <c r="D1431" s="16" t="s">
        <v>3403</v>
      </c>
    </row>
    <row r="1432" spans="1:4">
      <c r="A1432" s="16">
        <v>2750010000</v>
      </c>
      <c r="B1432" s="16">
        <v>0</v>
      </c>
      <c r="C1432" s="16" t="s">
        <v>3419</v>
      </c>
      <c r="D1432" s="16" t="s">
        <v>3403</v>
      </c>
    </row>
    <row r="1433" spans="1:4">
      <c r="A1433" s="16">
        <v>2201200030</v>
      </c>
      <c r="B1433" s="16">
        <v>0</v>
      </c>
      <c r="C1433" s="16" t="s">
        <v>3415</v>
      </c>
      <c r="D1433" s="16" t="s">
        <v>3403</v>
      </c>
    </row>
    <row r="1434" spans="1:4">
      <c r="A1434" s="16">
        <v>6610100000</v>
      </c>
      <c r="B1434" s="16">
        <v>0</v>
      </c>
      <c r="C1434" s="16" t="s">
        <v>3413</v>
      </c>
      <c r="D1434" s="16" t="s">
        <v>3414</v>
      </c>
    </row>
    <row r="1435" spans="1:4">
      <c r="A1435" s="16">
        <v>6700700000</v>
      </c>
      <c r="B1435" s="16">
        <v>0</v>
      </c>
      <c r="C1435" s="16" t="s">
        <v>3404</v>
      </c>
      <c r="D1435" s="16" t="s">
        <v>3409</v>
      </c>
    </row>
    <row r="1436" spans="1:4">
      <c r="A1436" s="16">
        <v>6104000000</v>
      </c>
      <c r="B1436" s="16">
        <v>0</v>
      </c>
      <c r="C1436" s="16" t="s">
        <v>3416</v>
      </c>
      <c r="D1436" s="16" t="s">
        <v>3417</v>
      </c>
    </row>
    <row r="1437" spans="1:4">
      <c r="A1437" s="16">
        <v>3103000000</v>
      </c>
      <c r="B1437" s="16">
        <v>0</v>
      </c>
      <c r="C1437" s="16" t="s">
        <v>3402</v>
      </c>
      <c r="D1437" s="16" t="s">
        <v>3403</v>
      </c>
    </row>
    <row r="1438" spans="1:4">
      <c r="A1438" s="16">
        <v>5010000000</v>
      </c>
      <c r="B1438" s="16">
        <v>15005</v>
      </c>
      <c r="C1438" s="16" t="s">
        <v>3406</v>
      </c>
      <c r="D1438" s="16" t="s">
        <v>3411</v>
      </c>
    </row>
    <row r="1439" spans="1:4">
      <c r="A1439" s="16">
        <v>6060110000</v>
      </c>
      <c r="B1439" s="16">
        <v>0</v>
      </c>
      <c r="C1439" s="16" t="s">
        <v>3420</v>
      </c>
      <c r="D1439" s="16" t="s">
        <v>3421</v>
      </c>
    </row>
    <row r="1440" spans="1:4">
      <c r="A1440" s="16">
        <v>6100000000</v>
      </c>
      <c r="B1440" s="16">
        <v>0</v>
      </c>
      <c r="C1440" s="16" t="s">
        <v>3427</v>
      </c>
      <c r="D1440" s="16" t="s">
        <v>3417</v>
      </c>
    </row>
    <row r="1441" spans="1:4">
      <c r="A1441" s="16">
        <v>3103001000</v>
      </c>
      <c r="B1441" s="16">
        <v>0</v>
      </c>
      <c r="C1441" s="16" t="s">
        <v>3402</v>
      </c>
      <c r="D1441" s="16" t="s">
        <v>3403</v>
      </c>
    </row>
    <row r="1442" spans="1:4">
      <c r="A1442" s="16">
        <v>6700200000</v>
      </c>
      <c r="B1442" s="16">
        <v>-2344928</v>
      </c>
      <c r="C1442" s="16" t="s">
        <v>3404</v>
      </c>
      <c r="D1442" s="16" t="s">
        <v>3409</v>
      </c>
    </row>
    <row r="1443" spans="1:4">
      <c r="A1443" s="16">
        <v>6700200000</v>
      </c>
      <c r="B1443" s="16">
        <v>0</v>
      </c>
      <c r="C1443" s="16" t="s">
        <v>3404</v>
      </c>
      <c r="D1443" s="16" t="s">
        <v>3409</v>
      </c>
    </row>
    <row r="1444" spans="1:4">
      <c r="A1444" s="16">
        <v>6700100000</v>
      </c>
      <c r="B1444" s="16">
        <v>0</v>
      </c>
      <c r="C1444" s="16" t="s">
        <v>3404</v>
      </c>
      <c r="D1444" s="16" t="s">
        <v>3410</v>
      </c>
    </row>
    <row r="1445" spans="1:4">
      <c r="A1445" s="16">
        <v>6700000000</v>
      </c>
      <c r="B1445" s="16">
        <v>0</v>
      </c>
      <c r="C1445" s="16" t="s">
        <v>3404</v>
      </c>
      <c r="D1445" s="16" t="s">
        <v>3405</v>
      </c>
    </row>
    <row r="1446" spans="1:4">
      <c r="A1446" s="16">
        <v>2500000000</v>
      </c>
      <c r="B1446" s="16">
        <v>0</v>
      </c>
      <c r="C1446" s="16" t="s">
        <v>3412</v>
      </c>
      <c r="D1446" s="16" t="s">
        <v>3403</v>
      </c>
    </row>
    <row r="1447" spans="1:4">
      <c r="A1447" s="16">
        <v>3710000000</v>
      </c>
      <c r="B1447" s="16">
        <v>-84888</v>
      </c>
      <c r="C1447" s="16" t="s">
        <v>3402</v>
      </c>
      <c r="D1447" s="16" t="s">
        <v>3403</v>
      </c>
    </row>
    <row r="1448" spans="1:4">
      <c r="A1448" s="16">
        <v>6700200000</v>
      </c>
      <c r="B1448" s="16">
        <v>0</v>
      </c>
      <c r="C1448" s="16" t="s">
        <v>3404</v>
      </c>
      <c r="D1448" s="16" t="s">
        <v>3409</v>
      </c>
    </row>
    <row r="1449" spans="1:4">
      <c r="A1449" s="16">
        <v>4203000000</v>
      </c>
      <c r="B1449" s="16">
        <v>0</v>
      </c>
      <c r="C1449" s="16" t="s">
        <v>3408</v>
      </c>
      <c r="D1449" s="16" t="s">
        <v>3403</v>
      </c>
    </row>
    <row r="1450" spans="1:4">
      <c r="A1450" s="16">
        <v>3100000000</v>
      </c>
      <c r="B1450" s="16">
        <v>-22385902040</v>
      </c>
      <c r="C1450" s="16" t="s">
        <v>3402</v>
      </c>
      <c r="D1450" s="16" t="s">
        <v>3403</v>
      </c>
    </row>
    <row r="1451" spans="1:4">
      <c r="A1451" s="16">
        <v>5010100000</v>
      </c>
      <c r="B1451" s="16">
        <v>0</v>
      </c>
      <c r="C1451" s="16" t="s">
        <v>3406</v>
      </c>
      <c r="D1451" s="16" t="s">
        <v>3407</v>
      </c>
    </row>
    <row r="1452" spans="1:4">
      <c r="A1452" s="16">
        <v>6700000000</v>
      </c>
      <c r="B1452" s="16">
        <v>0</v>
      </c>
      <c r="C1452" s="16" t="s">
        <v>3404</v>
      </c>
      <c r="D1452" s="16" t="s">
        <v>3405</v>
      </c>
    </row>
    <row r="1453" spans="1:4">
      <c r="A1453" s="16">
        <v>3510000000</v>
      </c>
      <c r="B1453" s="16">
        <v>0</v>
      </c>
      <c r="C1453" s="16" t="s">
        <v>3402</v>
      </c>
      <c r="D1453" s="16" t="s">
        <v>3403</v>
      </c>
    </row>
    <row r="1454" spans="1:4">
      <c r="A1454" s="16">
        <v>2500000000</v>
      </c>
      <c r="B1454" s="16">
        <v>0</v>
      </c>
      <c r="C1454" s="16" t="s">
        <v>3412</v>
      </c>
      <c r="D1454" s="16" t="s">
        <v>3403</v>
      </c>
    </row>
    <row r="1455" spans="1:4">
      <c r="A1455" s="16">
        <v>6610100100</v>
      </c>
      <c r="B1455" s="16">
        <v>0</v>
      </c>
      <c r="C1455" s="16" t="s">
        <v>3413</v>
      </c>
      <c r="D1455" s="16" t="s">
        <v>3414</v>
      </c>
    </row>
    <row r="1456" spans="1:4">
      <c r="A1456" s="16">
        <v>5010000010</v>
      </c>
      <c r="B1456" s="16">
        <v>0</v>
      </c>
      <c r="C1456" s="16" t="s">
        <v>3406</v>
      </c>
      <c r="D1456" s="16" t="s">
        <v>3411</v>
      </c>
    </row>
    <row r="1457" spans="1:4">
      <c r="A1457" s="16">
        <v>5010100010</v>
      </c>
      <c r="B1457" s="16">
        <v>0</v>
      </c>
      <c r="C1457" s="16" t="s">
        <v>3406</v>
      </c>
      <c r="D1457" s="16" t="s">
        <v>3407</v>
      </c>
    </row>
    <row r="1458" spans="1:4">
      <c r="A1458" s="16">
        <v>6104000000</v>
      </c>
      <c r="B1458" s="16">
        <v>0</v>
      </c>
      <c r="C1458" s="16" t="s">
        <v>3416</v>
      </c>
      <c r="D1458" s="16" t="s">
        <v>3417</v>
      </c>
    </row>
    <row r="1459" spans="1:4">
      <c r="A1459" s="16">
        <v>4203000000</v>
      </c>
      <c r="B1459" s="16">
        <v>0</v>
      </c>
      <c r="C1459" s="16" t="s">
        <v>3408</v>
      </c>
      <c r="D1459" s="16" t="s">
        <v>3403</v>
      </c>
    </row>
    <row r="1460" spans="1:4">
      <c r="A1460" s="16">
        <v>2750010000</v>
      </c>
      <c r="B1460" s="16">
        <v>0</v>
      </c>
      <c r="C1460" s="16" t="s">
        <v>3419</v>
      </c>
      <c r="D1460" s="16" t="s">
        <v>3403</v>
      </c>
    </row>
    <row r="1461" spans="1:4">
      <c r="A1461" s="16">
        <v>6700500000</v>
      </c>
      <c r="B1461" s="16">
        <v>0</v>
      </c>
      <c r="C1461" s="16" t="s">
        <v>3404</v>
      </c>
      <c r="D1461" s="16" t="s">
        <v>3405</v>
      </c>
    </row>
    <row r="1462" spans="1:4">
      <c r="A1462" s="16">
        <v>3103000000</v>
      </c>
      <c r="B1462" s="16">
        <v>0</v>
      </c>
      <c r="C1462" s="16" t="s">
        <v>3402</v>
      </c>
      <c r="D1462" s="16" t="s">
        <v>3403</v>
      </c>
    </row>
    <row r="1463" spans="1:4">
      <c r="A1463" s="16">
        <v>3100000000</v>
      </c>
      <c r="B1463" s="16">
        <v>0</v>
      </c>
      <c r="C1463" s="16" t="s">
        <v>3402</v>
      </c>
      <c r="D1463" s="16" t="s">
        <v>3403</v>
      </c>
    </row>
    <row r="1464" spans="1:4">
      <c r="A1464" s="16">
        <v>6700100000</v>
      </c>
      <c r="B1464" s="16">
        <v>0</v>
      </c>
      <c r="C1464" s="16" t="s">
        <v>3404</v>
      </c>
      <c r="D1464" s="16" t="s">
        <v>3410</v>
      </c>
    </row>
    <row r="1465" spans="1:4">
      <c r="A1465" s="16">
        <v>2500000000</v>
      </c>
      <c r="B1465" s="16">
        <v>0</v>
      </c>
      <c r="C1465" s="16" t="s">
        <v>3412</v>
      </c>
      <c r="D1465" s="16" t="s">
        <v>3403</v>
      </c>
    </row>
    <row r="1466" spans="1:4">
      <c r="A1466" s="16">
        <v>5010000000</v>
      </c>
      <c r="B1466" s="16">
        <v>0</v>
      </c>
      <c r="C1466" s="16" t="s">
        <v>3406</v>
      </c>
      <c r="D1466" s="16" t="s">
        <v>3411</v>
      </c>
    </row>
    <row r="1467" spans="1:4">
      <c r="A1467" s="16">
        <v>5050000000</v>
      </c>
      <c r="B1467" s="16">
        <v>157</v>
      </c>
      <c r="C1467" s="16" t="s">
        <v>3406</v>
      </c>
      <c r="D1467" s="16" t="s">
        <v>3422</v>
      </c>
    </row>
    <row r="1468" spans="1:4">
      <c r="A1468" s="16">
        <v>6100000020</v>
      </c>
      <c r="B1468" s="16">
        <v>0</v>
      </c>
      <c r="C1468" s="16" t="s">
        <v>3416</v>
      </c>
      <c r="D1468" s="16" t="s">
        <v>3417</v>
      </c>
    </row>
    <row r="1469" spans="1:4">
      <c r="A1469" s="16">
        <v>6700700000</v>
      </c>
      <c r="B1469" s="16">
        <v>0</v>
      </c>
      <c r="C1469" s="16" t="s">
        <v>3404</v>
      </c>
      <c r="D1469" s="16" t="s">
        <v>3409</v>
      </c>
    </row>
    <row r="1470" spans="1:4">
      <c r="A1470" s="16">
        <v>6100000000</v>
      </c>
      <c r="B1470" s="16">
        <v>0</v>
      </c>
      <c r="C1470" s="16" t="s">
        <v>3416</v>
      </c>
      <c r="D1470" s="16" t="s">
        <v>3417</v>
      </c>
    </row>
    <row r="1471" spans="1:4">
      <c r="A1471" s="16">
        <v>2500000000</v>
      </c>
      <c r="B1471" s="16">
        <v>0</v>
      </c>
      <c r="C1471" s="16" t="s">
        <v>3412</v>
      </c>
      <c r="D1471" s="16" t="s">
        <v>3403</v>
      </c>
    </row>
    <row r="1472" spans="1:4">
      <c r="A1472" s="16">
        <v>6104000000</v>
      </c>
      <c r="B1472" s="16">
        <v>500089991</v>
      </c>
      <c r="C1472" s="16" t="s">
        <v>3416</v>
      </c>
      <c r="D1472" s="16" t="s">
        <v>3417</v>
      </c>
    </row>
    <row r="1473" spans="1:4">
      <c r="A1473" s="16">
        <v>5010000000</v>
      </c>
      <c r="B1473" s="16">
        <v>0</v>
      </c>
      <c r="C1473" s="16" t="s">
        <v>3406</v>
      </c>
      <c r="D1473" s="16" t="s">
        <v>3411</v>
      </c>
    </row>
    <row r="1474" spans="1:4">
      <c r="A1474" s="16">
        <v>6700700000</v>
      </c>
      <c r="B1474" s="16">
        <v>0</v>
      </c>
      <c r="C1474" s="16" t="s">
        <v>3404</v>
      </c>
      <c r="D1474" s="16" t="s">
        <v>3409</v>
      </c>
    </row>
    <row r="1475" spans="1:4">
      <c r="A1475" s="16">
        <v>3710000000</v>
      </c>
      <c r="B1475" s="16">
        <v>0</v>
      </c>
      <c r="C1475" s="16" t="s">
        <v>3402</v>
      </c>
      <c r="D1475" s="16" t="s">
        <v>3403</v>
      </c>
    </row>
    <row r="1476" spans="1:4">
      <c r="A1476" s="16">
        <v>3710000000</v>
      </c>
      <c r="B1476" s="16">
        <v>0</v>
      </c>
      <c r="C1476" s="16" t="s">
        <v>3402</v>
      </c>
      <c r="D1476" s="16" t="s">
        <v>3403</v>
      </c>
    </row>
    <row r="1477" spans="1:4">
      <c r="A1477" s="16">
        <v>3103000000</v>
      </c>
      <c r="B1477" s="16">
        <v>0</v>
      </c>
      <c r="C1477" s="16" t="s">
        <v>3402</v>
      </c>
      <c r="D1477" s="16" t="s">
        <v>3403</v>
      </c>
    </row>
    <row r="1478" spans="1:4">
      <c r="A1478" s="16">
        <v>6610000100</v>
      </c>
      <c r="B1478" s="16">
        <v>0</v>
      </c>
      <c r="C1478" s="16" t="s">
        <v>3413</v>
      </c>
      <c r="D1478" s="16" t="s">
        <v>3418</v>
      </c>
    </row>
    <row r="1479" spans="1:4">
      <c r="A1479" s="16">
        <v>2500000000</v>
      </c>
      <c r="B1479" s="16">
        <v>0</v>
      </c>
      <c r="C1479" s="16" t="s">
        <v>3412</v>
      </c>
      <c r="D1479" s="16" t="s">
        <v>3403</v>
      </c>
    </row>
    <row r="1480" spans="1:4">
      <c r="A1480" s="16">
        <v>5010100010</v>
      </c>
      <c r="B1480" s="16">
        <v>0</v>
      </c>
      <c r="C1480" s="16" t="s">
        <v>3406</v>
      </c>
      <c r="D1480" s="16" t="s">
        <v>3407</v>
      </c>
    </row>
    <row r="1481" spans="1:4">
      <c r="A1481" s="16">
        <v>5010000000</v>
      </c>
      <c r="B1481" s="16">
        <v>0</v>
      </c>
      <c r="C1481" s="16" t="s">
        <v>3406</v>
      </c>
      <c r="D1481" s="16" t="s">
        <v>3411</v>
      </c>
    </row>
    <row r="1482" spans="1:4">
      <c r="A1482" s="16">
        <v>3800000000</v>
      </c>
      <c r="B1482" s="16">
        <v>-157</v>
      </c>
      <c r="C1482" s="16" t="s">
        <v>3402</v>
      </c>
      <c r="D1482" s="16" t="s">
        <v>3403</v>
      </c>
    </row>
    <row r="1483" spans="1:4">
      <c r="A1483" s="16">
        <v>2500000000</v>
      </c>
      <c r="B1483" s="16">
        <v>0</v>
      </c>
      <c r="C1483" s="16" t="s">
        <v>3412</v>
      </c>
      <c r="D1483" s="16" t="s">
        <v>3403</v>
      </c>
    </row>
    <row r="1484" spans="1:4">
      <c r="A1484" s="16">
        <v>3810000000</v>
      </c>
      <c r="B1484" s="16">
        <v>0</v>
      </c>
      <c r="C1484" s="16" t="s">
        <v>3402</v>
      </c>
      <c r="D1484" s="16" t="s">
        <v>3403</v>
      </c>
    </row>
    <row r="1485" spans="1:4">
      <c r="A1485" s="16">
        <v>6700500000</v>
      </c>
      <c r="B1485" s="16">
        <v>0</v>
      </c>
      <c r="C1485" s="16" t="s">
        <v>3404</v>
      </c>
      <c r="D1485" s="16" t="s">
        <v>3405</v>
      </c>
    </row>
    <row r="1486" spans="1:4">
      <c r="A1486" s="16">
        <v>4010100000</v>
      </c>
      <c r="B1486" s="16">
        <v>0</v>
      </c>
      <c r="C1486" s="16" t="s">
        <v>3431</v>
      </c>
      <c r="D1486" s="16" t="s">
        <v>3403</v>
      </c>
    </row>
    <row r="1487" spans="1:4">
      <c r="A1487" s="16">
        <v>6700200000</v>
      </c>
      <c r="B1487" s="16">
        <v>0</v>
      </c>
      <c r="C1487" s="16" t="s">
        <v>3404</v>
      </c>
      <c r="D1487" s="16" t="s">
        <v>3409</v>
      </c>
    </row>
    <row r="1488" spans="1:4">
      <c r="A1488" s="16">
        <v>5010100000</v>
      </c>
      <c r="B1488" s="16">
        <v>0</v>
      </c>
      <c r="C1488" s="16" t="s">
        <v>3406</v>
      </c>
      <c r="D1488" s="16" t="s">
        <v>3407</v>
      </c>
    </row>
    <row r="1489" spans="1:4">
      <c r="A1489" s="16">
        <v>3032000000</v>
      </c>
      <c r="B1489" s="16">
        <v>0</v>
      </c>
      <c r="C1489" s="16" t="s">
        <v>3424</v>
      </c>
      <c r="D1489" s="16" t="s">
        <v>3403</v>
      </c>
    </row>
    <row r="1490" spans="1:4">
      <c r="A1490" s="16">
        <v>3102000000</v>
      </c>
      <c r="B1490" s="16">
        <v>0</v>
      </c>
      <c r="C1490" s="16" t="s">
        <v>3424</v>
      </c>
      <c r="D1490" s="16" t="s">
        <v>3403</v>
      </c>
    </row>
    <row r="1491" spans="1:4">
      <c r="A1491" s="16">
        <v>3103000000</v>
      </c>
      <c r="B1491" s="16">
        <v>-500089991</v>
      </c>
      <c r="C1491" s="16" t="s">
        <v>3402</v>
      </c>
      <c r="D1491" s="16" t="s">
        <v>3403</v>
      </c>
    </row>
    <row r="1492" spans="1:4">
      <c r="A1492" s="16">
        <v>3102000000</v>
      </c>
      <c r="B1492" s="16">
        <v>0</v>
      </c>
      <c r="C1492" s="16" t="s">
        <v>3424</v>
      </c>
      <c r="D1492" s="16" t="s">
        <v>3403</v>
      </c>
    </row>
    <row r="1493" spans="1:4">
      <c r="A1493" s="16">
        <v>6700500000</v>
      </c>
      <c r="B1493" s="16">
        <v>0</v>
      </c>
      <c r="C1493" s="16" t="s">
        <v>3404</v>
      </c>
      <c r="D1493" s="16" t="s">
        <v>3405</v>
      </c>
    </row>
    <row r="1494" spans="1:4">
      <c r="A1494" s="16">
        <v>6700200000</v>
      </c>
      <c r="B1494" s="16">
        <v>0</v>
      </c>
      <c r="C1494" s="16" t="s">
        <v>3404</v>
      </c>
      <c r="D1494" s="16" t="s">
        <v>3409</v>
      </c>
    </row>
    <row r="1495" spans="1:4">
      <c r="A1495" s="16">
        <v>6104000000</v>
      </c>
      <c r="B1495" s="16">
        <v>0</v>
      </c>
      <c r="C1495" s="16" t="s">
        <v>3416</v>
      </c>
      <c r="D1495" s="16" t="s">
        <v>3417</v>
      </c>
    </row>
    <row r="1496" spans="1:4">
      <c r="A1496" s="16">
        <v>6700600000</v>
      </c>
      <c r="B1496" s="16">
        <v>0</v>
      </c>
      <c r="C1496" s="16" t="s">
        <v>3404</v>
      </c>
      <c r="D1496" s="16" t="s">
        <v>3409</v>
      </c>
    </row>
    <row r="1497" spans="1:4">
      <c r="A1497" s="16">
        <v>5010100000</v>
      </c>
      <c r="B1497" s="16">
        <v>0</v>
      </c>
      <c r="C1497" s="16" t="s">
        <v>3406</v>
      </c>
      <c r="D1497" s="16" t="s">
        <v>3407</v>
      </c>
    </row>
    <row r="1498" spans="1:4">
      <c r="A1498" s="16">
        <v>3102000000</v>
      </c>
      <c r="B1498" s="16">
        <v>0</v>
      </c>
      <c r="C1498" s="16" t="s">
        <v>3424</v>
      </c>
      <c r="D1498" s="16" t="s">
        <v>3403</v>
      </c>
    </row>
    <row r="1499" spans="1:4">
      <c r="A1499" s="16">
        <v>6610100000</v>
      </c>
      <c r="B1499" s="16">
        <v>67877</v>
      </c>
      <c r="C1499" s="16" t="s">
        <v>3413</v>
      </c>
      <c r="D1499" s="16" t="s">
        <v>3414</v>
      </c>
    </row>
    <row r="1500" spans="1:4">
      <c r="A1500" s="16">
        <v>3710000000</v>
      </c>
      <c r="B1500" s="16">
        <v>0</v>
      </c>
      <c r="C1500" s="16" t="s">
        <v>3402</v>
      </c>
      <c r="D1500" s="16" t="s">
        <v>3403</v>
      </c>
    </row>
    <row r="1501" spans="1:4">
      <c r="A1501" s="16">
        <v>6100000000</v>
      </c>
      <c r="B1501" s="16">
        <v>158193</v>
      </c>
      <c r="C1501" s="16" t="s">
        <v>3416</v>
      </c>
      <c r="D1501" s="16" t="s">
        <v>3417</v>
      </c>
    </row>
    <row r="1502" spans="1:4">
      <c r="A1502" s="16">
        <v>2201000000</v>
      </c>
      <c r="B1502" s="16">
        <v>70887</v>
      </c>
      <c r="C1502" s="16" t="s">
        <v>3415</v>
      </c>
      <c r="D1502" s="16" t="s">
        <v>3403</v>
      </c>
    </row>
    <row r="1503" spans="1:4">
      <c r="A1503" s="16">
        <v>3102000000</v>
      </c>
      <c r="B1503" s="16">
        <v>0</v>
      </c>
      <c r="C1503" s="16" t="s">
        <v>3424</v>
      </c>
      <c r="D1503" s="16" t="s">
        <v>3403</v>
      </c>
    </row>
    <row r="1504" spans="1:4">
      <c r="A1504" s="16">
        <v>2500000000</v>
      </c>
      <c r="B1504" s="16">
        <v>0</v>
      </c>
      <c r="C1504" s="16" t="s">
        <v>3412</v>
      </c>
      <c r="D1504" s="16" t="s">
        <v>3403</v>
      </c>
    </row>
    <row r="1505" spans="1:4">
      <c r="A1505" s="16">
        <v>6030000000</v>
      </c>
      <c r="B1505" s="16">
        <v>7487892</v>
      </c>
      <c r="C1505" s="16" t="s">
        <v>3420</v>
      </c>
      <c r="D1505" s="16" t="s">
        <v>3423</v>
      </c>
    </row>
    <row r="1506" spans="1:4">
      <c r="A1506" s="16">
        <v>5010100000</v>
      </c>
      <c r="B1506" s="16">
        <v>0</v>
      </c>
      <c r="C1506" s="16" t="s">
        <v>3406</v>
      </c>
      <c r="D1506" s="16" t="s">
        <v>3407</v>
      </c>
    </row>
    <row r="1507" spans="1:4">
      <c r="A1507" s="16">
        <v>6700000000</v>
      </c>
      <c r="B1507" s="16">
        <v>0</v>
      </c>
      <c r="C1507" s="16" t="s">
        <v>3404</v>
      </c>
      <c r="D1507" s="16" t="s">
        <v>3405</v>
      </c>
    </row>
    <row r="1508" spans="1:4">
      <c r="A1508" s="16">
        <v>3102000000</v>
      </c>
      <c r="B1508" s="16">
        <v>0</v>
      </c>
      <c r="C1508" s="16" t="s">
        <v>3424</v>
      </c>
      <c r="D1508" s="16" t="s">
        <v>3403</v>
      </c>
    </row>
    <row r="1509" spans="1:4">
      <c r="A1509" s="16">
        <v>6102000000</v>
      </c>
      <c r="B1509" s="16">
        <v>0</v>
      </c>
      <c r="C1509" s="16" t="s">
        <v>3425</v>
      </c>
      <c r="D1509" s="16" t="s">
        <v>3426</v>
      </c>
    </row>
    <row r="1510" spans="1:4">
      <c r="A1510" s="16">
        <v>6104000000</v>
      </c>
      <c r="B1510" s="16">
        <v>11326</v>
      </c>
      <c r="C1510" s="16" t="s">
        <v>3427</v>
      </c>
      <c r="D1510" s="16" t="s">
        <v>3417</v>
      </c>
    </row>
    <row r="1511" spans="1:4">
      <c r="A1511" s="16">
        <v>3103000000</v>
      </c>
      <c r="B1511" s="16">
        <v>-11326</v>
      </c>
      <c r="C1511" s="16" t="s">
        <v>3402</v>
      </c>
      <c r="D1511" s="16" t="s">
        <v>3403</v>
      </c>
    </row>
    <row r="1512" spans="1:4">
      <c r="A1512" s="16">
        <v>6700700000</v>
      </c>
      <c r="B1512" s="16">
        <v>0</v>
      </c>
      <c r="C1512" s="16" t="s">
        <v>3404</v>
      </c>
      <c r="D1512" s="16" t="s">
        <v>3409</v>
      </c>
    </row>
    <row r="1513" spans="1:4">
      <c r="A1513" s="16">
        <v>6700500000</v>
      </c>
      <c r="B1513" s="16">
        <v>0</v>
      </c>
      <c r="C1513" s="16" t="s">
        <v>3404</v>
      </c>
      <c r="D1513" s="16" t="s">
        <v>3405</v>
      </c>
    </row>
    <row r="1514" spans="1:4">
      <c r="A1514" s="16">
        <v>2201000010</v>
      </c>
      <c r="B1514" s="16">
        <v>0</v>
      </c>
      <c r="C1514" s="16" t="s">
        <v>3415</v>
      </c>
      <c r="D1514" s="16" t="s">
        <v>3403</v>
      </c>
    </row>
    <row r="1515" spans="1:4">
      <c r="A1515" s="16">
        <v>4610000000</v>
      </c>
      <c r="B1515" s="16">
        <v>0</v>
      </c>
      <c r="C1515" s="16" t="s">
        <v>3428</v>
      </c>
      <c r="D1515" s="16" t="s">
        <v>3403</v>
      </c>
    </row>
    <row r="1516" spans="1:4">
      <c r="A1516" s="16">
        <v>2750010000</v>
      </c>
      <c r="B1516" s="16">
        <v>0</v>
      </c>
      <c r="C1516" s="16" t="s">
        <v>3419</v>
      </c>
      <c r="D1516" s="16" t="s">
        <v>3403</v>
      </c>
    </row>
    <row r="1517" spans="1:4">
      <c r="A1517" s="16">
        <v>6610000100</v>
      </c>
      <c r="B1517" s="16">
        <v>0</v>
      </c>
      <c r="C1517" s="16" t="s">
        <v>3413</v>
      </c>
      <c r="D1517" s="16" t="s">
        <v>3418</v>
      </c>
    </row>
    <row r="1518" spans="1:4">
      <c r="A1518" s="16">
        <v>3032000000</v>
      </c>
      <c r="B1518" s="16">
        <v>0</v>
      </c>
      <c r="C1518" s="16" t="s">
        <v>3424</v>
      </c>
      <c r="D1518" s="16" t="s">
        <v>3403</v>
      </c>
    </row>
    <row r="1519" spans="1:4">
      <c r="A1519" s="16">
        <v>6032000000</v>
      </c>
      <c r="B1519" s="16">
        <v>0</v>
      </c>
      <c r="C1519" s="16" t="s">
        <v>3429</v>
      </c>
      <c r="D1519" s="16" t="s">
        <v>3430</v>
      </c>
    </row>
    <row r="1520" spans="1:4">
      <c r="A1520" s="16">
        <v>6100000000</v>
      </c>
      <c r="B1520" s="16">
        <v>1240776354</v>
      </c>
      <c r="C1520" s="16" t="s">
        <v>3416</v>
      </c>
      <c r="D1520" s="16" t="s">
        <v>3417</v>
      </c>
    </row>
    <row r="1521" spans="1:4">
      <c r="A1521" s="16">
        <v>3100000000</v>
      </c>
      <c r="B1521" s="16">
        <v>-1240776354</v>
      </c>
      <c r="C1521" s="16" t="s">
        <v>3402</v>
      </c>
      <c r="D1521" s="16" t="s">
        <v>3403</v>
      </c>
    </row>
    <row r="1522" spans="1:4">
      <c r="A1522" s="16">
        <v>3102000000</v>
      </c>
      <c r="B1522" s="16">
        <v>1440973</v>
      </c>
      <c r="C1522" s="16" t="s">
        <v>3424</v>
      </c>
      <c r="D1522" s="16" t="s">
        <v>3403</v>
      </c>
    </row>
    <row r="1523" spans="1:4">
      <c r="A1523" s="16">
        <v>6102000000</v>
      </c>
      <c r="B1523" s="16">
        <v>-1440973</v>
      </c>
      <c r="C1523" s="16" t="s">
        <v>3425</v>
      </c>
      <c r="D1523" s="16" t="s">
        <v>3426</v>
      </c>
    </row>
    <row r="1524" spans="1:4">
      <c r="A1524" s="16">
        <v>2500000000</v>
      </c>
      <c r="B1524" s="16">
        <v>-79610</v>
      </c>
      <c r="C1524" s="16" t="s">
        <v>3412</v>
      </c>
      <c r="D1524" s="16" t="s">
        <v>3403</v>
      </c>
    </row>
    <row r="1525" spans="1:4">
      <c r="A1525" s="16">
        <v>5010000000</v>
      </c>
      <c r="B1525" s="16">
        <v>79610</v>
      </c>
      <c r="C1525" s="16" t="s">
        <v>3406</v>
      </c>
      <c r="D1525" s="16" t="s">
        <v>3411</v>
      </c>
    </row>
    <row r="1526" spans="1:4">
      <c r="A1526" s="16">
        <v>5010100010</v>
      </c>
      <c r="B1526" s="16">
        <v>0</v>
      </c>
      <c r="C1526" s="16" t="s">
        <v>3406</v>
      </c>
      <c r="D1526" s="16" t="s">
        <v>3407</v>
      </c>
    </row>
    <row r="1527" spans="1:4">
      <c r="A1527" s="16">
        <v>3710000000</v>
      </c>
      <c r="B1527" s="16">
        <v>0</v>
      </c>
      <c r="C1527" s="16" t="s">
        <v>3402</v>
      </c>
      <c r="D1527" s="16" t="s">
        <v>3403</v>
      </c>
    </row>
    <row r="1528" spans="1:4">
      <c r="A1528" s="16">
        <v>6700600000</v>
      </c>
      <c r="B1528" s="16">
        <v>0</v>
      </c>
      <c r="C1528" s="16" t="s">
        <v>3404</v>
      </c>
      <c r="D1528" s="16" t="s">
        <v>3409</v>
      </c>
    </row>
    <row r="1529" spans="1:4">
      <c r="A1529" s="16">
        <v>6700400000</v>
      </c>
      <c r="B1529" s="16">
        <v>0</v>
      </c>
      <c r="C1529" s="16" t="s">
        <v>3404</v>
      </c>
      <c r="D1529" s="16" t="s">
        <v>3405</v>
      </c>
    </row>
    <row r="1530" spans="1:4">
      <c r="A1530" s="16">
        <v>2201000030</v>
      </c>
      <c r="B1530" s="16">
        <v>0</v>
      </c>
      <c r="C1530" s="16" t="s">
        <v>3415</v>
      </c>
      <c r="D1530" s="16" t="s">
        <v>3403</v>
      </c>
    </row>
    <row r="1531" spans="1:4">
      <c r="A1531" s="16">
        <v>6700200000</v>
      </c>
      <c r="B1531" s="16">
        <v>0</v>
      </c>
      <c r="C1531" s="16" t="s">
        <v>3404</v>
      </c>
      <c r="D1531" s="16" t="s">
        <v>3409</v>
      </c>
    </row>
    <row r="1532" spans="1:4">
      <c r="A1532" s="16">
        <v>6610100000</v>
      </c>
      <c r="B1532" s="16">
        <v>0</v>
      </c>
      <c r="C1532" s="16" t="s">
        <v>3413</v>
      </c>
      <c r="D1532" s="16" t="s">
        <v>3414</v>
      </c>
    </row>
    <row r="1533" spans="1:4">
      <c r="A1533" s="16">
        <v>4203000000</v>
      </c>
      <c r="B1533" s="16">
        <v>0</v>
      </c>
      <c r="C1533" s="16" t="s">
        <v>3408</v>
      </c>
      <c r="D1533" s="16" t="s">
        <v>3403</v>
      </c>
    </row>
    <row r="1534" spans="1:4">
      <c r="A1534" s="16">
        <v>5050010000</v>
      </c>
      <c r="B1534" s="16">
        <v>0</v>
      </c>
      <c r="C1534" s="16" t="s">
        <v>3406</v>
      </c>
      <c r="D1534" s="16" t="s">
        <v>3422</v>
      </c>
    </row>
    <row r="1535" spans="1:4">
      <c r="A1535" s="16">
        <v>5050000000</v>
      </c>
      <c r="B1535" s="16">
        <v>0</v>
      </c>
      <c r="C1535" s="16" t="s">
        <v>3406</v>
      </c>
      <c r="D1535" s="16" t="s">
        <v>3422</v>
      </c>
    </row>
    <row r="1536" spans="1:4">
      <c r="A1536" s="16">
        <v>3102000000</v>
      </c>
      <c r="B1536" s="16">
        <v>0</v>
      </c>
      <c r="C1536" s="16" t="s">
        <v>3424</v>
      </c>
      <c r="D1536" s="16" t="s">
        <v>3403</v>
      </c>
    </row>
    <row r="1537" spans="1:4">
      <c r="A1537" s="16">
        <v>6102000000</v>
      </c>
      <c r="B1537" s="16">
        <v>0</v>
      </c>
      <c r="C1537" s="16" t="s">
        <v>3425</v>
      </c>
      <c r="D1537" s="16" t="s">
        <v>3426</v>
      </c>
    </row>
    <row r="1538" spans="1:4">
      <c r="A1538" s="16">
        <v>6160000000</v>
      </c>
      <c r="B1538" s="16">
        <v>315388</v>
      </c>
      <c r="C1538" s="16" t="s">
        <v>3416</v>
      </c>
      <c r="D1538" s="16" t="s">
        <v>3417</v>
      </c>
    </row>
    <row r="1539" spans="1:4">
      <c r="A1539" s="16">
        <v>4010000000</v>
      </c>
      <c r="B1539" s="16">
        <v>-315388</v>
      </c>
      <c r="C1539" s="16" t="s">
        <v>3431</v>
      </c>
      <c r="D1539" s="16" t="s">
        <v>3403</v>
      </c>
    </row>
    <row r="1540" spans="1:4">
      <c r="A1540" s="16">
        <v>2500000000</v>
      </c>
      <c r="B1540" s="16">
        <v>0</v>
      </c>
      <c r="C1540" s="16" t="s">
        <v>3412</v>
      </c>
      <c r="D1540" s="16" t="s">
        <v>3403</v>
      </c>
    </row>
    <row r="1541" spans="1:4">
      <c r="A1541" s="16">
        <v>5010000000</v>
      </c>
      <c r="B1541" s="16">
        <v>0</v>
      </c>
      <c r="C1541" s="16" t="s">
        <v>3406</v>
      </c>
      <c r="D1541" s="16" t="s">
        <v>3411</v>
      </c>
    </row>
    <row r="1542" spans="1:4">
      <c r="A1542" s="16">
        <v>3102000000</v>
      </c>
      <c r="B1542" s="16">
        <v>0</v>
      </c>
      <c r="C1542" s="16" t="s">
        <v>3424</v>
      </c>
      <c r="D1542" s="16" t="s">
        <v>3403</v>
      </c>
    </row>
    <row r="1543" spans="1:4">
      <c r="A1543" s="16">
        <v>6102000000</v>
      </c>
      <c r="B1543" s="16">
        <v>0</v>
      </c>
      <c r="C1543" s="16" t="s">
        <v>3425</v>
      </c>
      <c r="D1543" s="16" t="s">
        <v>3426</v>
      </c>
    </row>
    <row r="1544" spans="1:4">
      <c r="A1544" s="16">
        <v>2500000000</v>
      </c>
      <c r="B1544" s="16">
        <v>0</v>
      </c>
      <c r="C1544" s="16" t="s">
        <v>3412</v>
      </c>
      <c r="D1544" s="16" t="s">
        <v>3403</v>
      </c>
    </row>
    <row r="1545" spans="1:4">
      <c r="A1545" s="16">
        <v>5010100000</v>
      </c>
      <c r="B1545" s="16">
        <v>0</v>
      </c>
      <c r="C1545" s="16" t="s">
        <v>3406</v>
      </c>
      <c r="D1545" s="16" t="s">
        <v>3407</v>
      </c>
    </row>
    <row r="1546" spans="1:4">
      <c r="A1546" s="16">
        <v>6030000000</v>
      </c>
      <c r="B1546" s="16">
        <v>0</v>
      </c>
      <c r="C1546" s="16" t="s">
        <v>3420</v>
      </c>
      <c r="D1546" s="16" t="s">
        <v>3423</v>
      </c>
    </row>
    <row r="1547" spans="1:4">
      <c r="A1547" s="16">
        <v>3030000000</v>
      </c>
      <c r="B1547" s="16">
        <v>0</v>
      </c>
      <c r="C1547" s="16" t="s">
        <v>3402</v>
      </c>
      <c r="D1547" s="16" t="s">
        <v>3403</v>
      </c>
    </row>
    <row r="1548" spans="1:4">
      <c r="A1548" s="16">
        <v>6610100000</v>
      </c>
      <c r="B1548" s="16">
        <v>0</v>
      </c>
      <c r="C1548" s="16" t="s">
        <v>3413</v>
      </c>
      <c r="D1548" s="16" t="s">
        <v>3414</v>
      </c>
    </row>
    <row r="1549" spans="1:4">
      <c r="A1549" s="16">
        <v>4203000000</v>
      </c>
      <c r="B1549" s="16">
        <v>0</v>
      </c>
      <c r="C1549" s="16" t="s">
        <v>3408</v>
      </c>
      <c r="D1549" s="16" t="s">
        <v>3403</v>
      </c>
    </row>
    <row r="1550" spans="1:4">
      <c r="A1550" s="16">
        <v>6700700000</v>
      </c>
      <c r="B1550" s="16">
        <v>0</v>
      </c>
      <c r="C1550" s="16" t="s">
        <v>3404</v>
      </c>
      <c r="D1550" s="16" t="s">
        <v>3409</v>
      </c>
    </row>
    <row r="1551" spans="1:4">
      <c r="A1551" s="16">
        <v>6700500000</v>
      </c>
      <c r="B1551" s="16">
        <v>0</v>
      </c>
      <c r="C1551" s="16" t="s">
        <v>3404</v>
      </c>
      <c r="D1551" s="16" t="s">
        <v>3405</v>
      </c>
    </row>
    <row r="1552" spans="1:4">
      <c r="A1552" s="16">
        <v>2201000000</v>
      </c>
      <c r="B1552" s="16">
        <v>0</v>
      </c>
      <c r="C1552" s="16" t="s">
        <v>3415</v>
      </c>
      <c r="D1552" s="16" t="s">
        <v>3403</v>
      </c>
    </row>
    <row r="1553" spans="1:4">
      <c r="A1553" s="16">
        <v>6700200000</v>
      </c>
      <c r="B1553" s="16">
        <v>0</v>
      </c>
      <c r="C1553" s="16" t="s">
        <v>3404</v>
      </c>
      <c r="D1553" s="16" t="s">
        <v>3409</v>
      </c>
    </row>
    <row r="1554" spans="1:4">
      <c r="A1554" s="16">
        <v>6100000020</v>
      </c>
      <c r="B1554" s="16">
        <v>0</v>
      </c>
      <c r="C1554" s="16" t="s">
        <v>3416</v>
      </c>
      <c r="D1554" s="16" t="s">
        <v>3417</v>
      </c>
    </row>
    <row r="1555" spans="1:4">
      <c r="A1555" s="16">
        <v>3810000000</v>
      </c>
      <c r="B1555" s="16">
        <v>0</v>
      </c>
      <c r="C1555" s="16" t="s">
        <v>3402</v>
      </c>
      <c r="D1555" s="16" t="s">
        <v>3403</v>
      </c>
    </row>
    <row r="1556" spans="1:4">
      <c r="A1556" s="16">
        <v>6030000000</v>
      </c>
      <c r="B1556" s="16">
        <v>0</v>
      </c>
      <c r="C1556" s="16" t="s">
        <v>3420</v>
      </c>
      <c r="D1556" s="16" t="s">
        <v>3423</v>
      </c>
    </row>
    <row r="1557" spans="1:4">
      <c r="A1557" s="16">
        <v>3030000000</v>
      </c>
      <c r="B1557" s="16">
        <v>0</v>
      </c>
      <c r="C1557" s="16" t="s">
        <v>3402</v>
      </c>
      <c r="D1557" s="16" t="s">
        <v>3403</v>
      </c>
    </row>
    <row r="1558" spans="1:4">
      <c r="A1558" s="16">
        <v>2203000000</v>
      </c>
      <c r="B1558" s="16">
        <v>0</v>
      </c>
      <c r="C1558" s="16" t="s">
        <v>3415</v>
      </c>
      <c r="D1558" s="16" t="s">
        <v>3403</v>
      </c>
    </row>
    <row r="1559" spans="1:4">
      <c r="A1559" s="16">
        <v>6060110000</v>
      </c>
      <c r="B1559" s="16">
        <v>0</v>
      </c>
      <c r="C1559" s="16" t="s">
        <v>3420</v>
      </c>
      <c r="D1559" s="16" t="s">
        <v>3421</v>
      </c>
    </row>
    <row r="1560" spans="1:4">
      <c r="A1560" s="16">
        <v>2500000000</v>
      </c>
      <c r="B1560" s="16">
        <v>0</v>
      </c>
      <c r="C1560" s="16" t="s">
        <v>3412</v>
      </c>
      <c r="D1560" s="16" t="s">
        <v>3403</v>
      </c>
    </row>
    <row r="1561" spans="1:4">
      <c r="A1561" s="16">
        <v>5010000000</v>
      </c>
      <c r="B1561" s="16">
        <v>0</v>
      </c>
      <c r="C1561" s="16" t="s">
        <v>3406</v>
      </c>
      <c r="D1561" s="16" t="s">
        <v>3411</v>
      </c>
    </row>
    <row r="1562" spans="1:4">
      <c r="A1562" s="16">
        <v>6700700000</v>
      </c>
      <c r="B1562" s="16">
        <v>0</v>
      </c>
      <c r="C1562" s="16" t="s">
        <v>3404</v>
      </c>
      <c r="D1562" s="16" t="s">
        <v>3409</v>
      </c>
    </row>
    <row r="1563" spans="1:4">
      <c r="A1563" s="16">
        <v>6700500000</v>
      </c>
      <c r="B1563" s="16">
        <v>0</v>
      </c>
      <c r="C1563" s="16" t="s">
        <v>3404</v>
      </c>
      <c r="D1563" s="16" t="s">
        <v>3405</v>
      </c>
    </row>
    <row r="1564" spans="1:4">
      <c r="A1564" s="16">
        <v>6700600000</v>
      </c>
      <c r="B1564" s="16">
        <v>0</v>
      </c>
      <c r="C1564" s="16" t="s">
        <v>3404</v>
      </c>
      <c r="D1564" s="16" t="s">
        <v>3409</v>
      </c>
    </row>
    <row r="1565" spans="1:4">
      <c r="A1565" s="16">
        <v>6700400000</v>
      </c>
      <c r="B1565" s="16">
        <v>0</v>
      </c>
      <c r="C1565" s="16" t="s">
        <v>3404</v>
      </c>
      <c r="D1565" s="16" t="s">
        <v>3405</v>
      </c>
    </row>
    <row r="1566" spans="1:4">
      <c r="A1566" s="16">
        <v>6104000000</v>
      </c>
      <c r="B1566" s="16">
        <v>0</v>
      </c>
      <c r="C1566" s="16" t="s">
        <v>3427</v>
      </c>
      <c r="D1566" s="16" t="s">
        <v>3417</v>
      </c>
    </row>
    <row r="1567" spans="1:4">
      <c r="A1567" s="16">
        <v>3103000000</v>
      </c>
      <c r="B1567" s="16">
        <v>0</v>
      </c>
      <c r="C1567" s="16" t="s">
        <v>3402</v>
      </c>
      <c r="D1567" s="16" t="s">
        <v>3403</v>
      </c>
    </row>
    <row r="1568" spans="1:4">
      <c r="A1568" s="16">
        <v>6030000000</v>
      </c>
      <c r="B1568" s="16">
        <v>0</v>
      </c>
      <c r="C1568" s="16" t="s">
        <v>3420</v>
      </c>
      <c r="D1568" s="16" t="s">
        <v>3423</v>
      </c>
    </row>
    <row r="1569" spans="1:4">
      <c r="A1569" s="16">
        <v>3030000000</v>
      </c>
      <c r="B1569" s="16">
        <v>0</v>
      </c>
      <c r="C1569" s="16" t="s">
        <v>3402</v>
      </c>
      <c r="D1569" s="16" t="s">
        <v>3403</v>
      </c>
    </row>
    <row r="1570" spans="1:4">
      <c r="A1570" s="16">
        <v>6700600000</v>
      </c>
      <c r="B1570" s="16">
        <v>0</v>
      </c>
      <c r="C1570" s="16" t="s">
        <v>3404</v>
      </c>
      <c r="D1570" s="16" t="s">
        <v>3409</v>
      </c>
    </row>
    <row r="1571" spans="1:4">
      <c r="A1571" s="16">
        <v>6700400000</v>
      </c>
      <c r="B1571" s="16">
        <v>0</v>
      </c>
      <c r="C1571" s="16" t="s">
        <v>3404</v>
      </c>
      <c r="D1571" s="16" t="s">
        <v>3405</v>
      </c>
    </row>
    <row r="1572" spans="1:4">
      <c r="A1572" s="16">
        <v>3102000000</v>
      </c>
      <c r="B1572" s="16">
        <v>0</v>
      </c>
      <c r="C1572" s="16" t="s">
        <v>3424</v>
      </c>
      <c r="D1572" s="16" t="s">
        <v>3403</v>
      </c>
    </row>
    <row r="1573" spans="1:4">
      <c r="A1573" s="16">
        <v>6102000000</v>
      </c>
      <c r="B1573" s="16">
        <v>0</v>
      </c>
      <c r="C1573" s="16" t="s">
        <v>3425</v>
      </c>
      <c r="D1573" s="16" t="s">
        <v>3426</v>
      </c>
    </row>
    <row r="1574" spans="1:4">
      <c r="A1574" s="16">
        <v>5010000010</v>
      </c>
      <c r="B1574" s="16">
        <v>0</v>
      </c>
      <c r="C1574" s="16" t="s">
        <v>3406</v>
      </c>
      <c r="D1574" s="16" t="s">
        <v>3411</v>
      </c>
    </row>
    <row r="1575" spans="1:4">
      <c r="A1575" s="16">
        <v>3710000000</v>
      </c>
      <c r="B1575" s="16">
        <v>0</v>
      </c>
      <c r="C1575" s="16" t="s">
        <v>3402</v>
      </c>
      <c r="D1575" s="16" t="s">
        <v>3403</v>
      </c>
    </row>
    <row r="1576" spans="1:4">
      <c r="A1576" s="16">
        <v>5052010000</v>
      </c>
      <c r="B1576" s="16">
        <v>698525</v>
      </c>
      <c r="C1576" s="16" t="s">
        <v>3406</v>
      </c>
      <c r="D1576" s="16" t="s">
        <v>3422</v>
      </c>
    </row>
    <row r="1577" spans="1:4">
      <c r="A1577" s="16">
        <v>5052000000</v>
      </c>
      <c r="B1577" s="16">
        <v>-698525</v>
      </c>
      <c r="C1577" s="16" t="s">
        <v>3406</v>
      </c>
      <c r="D1577" s="16" t="s">
        <v>3422</v>
      </c>
    </row>
    <row r="1578" spans="1:4">
      <c r="A1578" s="16">
        <v>6700600000</v>
      </c>
      <c r="B1578" s="16">
        <v>0</v>
      </c>
      <c r="C1578" s="16" t="s">
        <v>3404</v>
      </c>
      <c r="D1578" s="16" t="s">
        <v>3409</v>
      </c>
    </row>
    <row r="1579" spans="1:4">
      <c r="A1579" s="16">
        <v>6700400000</v>
      </c>
      <c r="B1579" s="16">
        <v>0</v>
      </c>
      <c r="C1579" s="16" t="s">
        <v>3404</v>
      </c>
      <c r="D1579" s="16" t="s">
        <v>3405</v>
      </c>
    </row>
    <row r="1580" spans="1:4">
      <c r="A1580" s="16">
        <v>3102000000</v>
      </c>
      <c r="B1580" s="16">
        <v>0</v>
      </c>
      <c r="C1580" s="16" t="s">
        <v>3424</v>
      </c>
      <c r="D1580" s="16" t="s">
        <v>3403</v>
      </c>
    </row>
    <row r="1581" spans="1:4">
      <c r="A1581" s="16">
        <v>6102000000</v>
      </c>
      <c r="B1581" s="16">
        <v>0</v>
      </c>
      <c r="C1581" s="16" t="s">
        <v>3425</v>
      </c>
      <c r="D1581" s="16" t="s">
        <v>3426</v>
      </c>
    </row>
    <row r="1582" spans="1:4">
      <c r="A1582" s="16">
        <v>5050000000</v>
      </c>
      <c r="B1582" s="16">
        <v>0</v>
      </c>
      <c r="C1582" s="16" t="s">
        <v>3406</v>
      </c>
      <c r="D1582" s="16" t="s">
        <v>3422</v>
      </c>
    </row>
    <row r="1583" spans="1:4">
      <c r="A1583" s="16">
        <v>3800000000</v>
      </c>
      <c r="B1583" s="16">
        <v>0</v>
      </c>
      <c r="C1583" s="16" t="s">
        <v>3402</v>
      </c>
      <c r="D1583" s="16" t="s">
        <v>3403</v>
      </c>
    </row>
    <row r="1584" spans="1:4">
      <c r="A1584" s="16">
        <v>6700200000</v>
      </c>
      <c r="B1584" s="16">
        <v>0</v>
      </c>
      <c r="C1584" s="16" t="s">
        <v>3404</v>
      </c>
      <c r="D1584" s="16" t="s">
        <v>3409</v>
      </c>
    </row>
    <row r="1585" spans="1:4">
      <c r="A1585" s="16">
        <v>6700000000</v>
      </c>
      <c r="B1585" s="16">
        <v>0</v>
      </c>
      <c r="C1585" s="16" t="s">
        <v>3404</v>
      </c>
      <c r="D1585" s="16" t="s">
        <v>3405</v>
      </c>
    </row>
    <row r="1586" spans="1:4">
      <c r="A1586" s="16">
        <v>6700700000</v>
      </c>
      <c r="B1586" s="16">
        <v>0</v>
      </c>
      <c r="C1586" s="16" t="s">
        <v>3404</v>
      </c>
      <c r="D1586" s="16" t="s">
        <v>3409</v>
      </c>
    </row>
    <row r="1587" spans="1:4">
      <c r="A1587" s="16">
        <v>6700500000</v>
      </c>
      <c r="B1587" s="16">
        <v>0</v>
      </c>
      <c r="C1587" s="16" t="s">
        <v>3404</v>
      </c>
      <c r="D1587" s="16" t="s">
        <v>3405</v>
      </c>
    </row>
    <row r="1588" spans="1:4">
      <c r="A1588" s="16">
        <v>6104001000</v>
      </c>
      <c r="B1588" s="16">
        <v>0</v>
      </c>
      <c r="C1588" s="16" t="s">
        <v>3416</v>
      </c>
      <c r="D1588" s="16" t="s">
        <v>3417</v>
      </c>
    </row>
    <row r="1589" spans="1:4">
      <c r="A1589" s="16">
        <v>3103001000</v>
      </c>
      <c r="B1589" s="16">
        <v>0</v>
      </c>
      <c r="C1589" s="16" t="s">
        <v>3402</v>
      </c>
      <c r="D1589" s="16" t="s">
        <v>3403</v>
      </c>
    </row>
    <row r="1590" spans="1:4">
      <c r="A1590" s="16">
        <v>6700200000</v>
      </c>
      <c r="B1590" s="16">
        <v>0</v>
      </c>
      <c r="C1590" s="16" t="s">
        <v>3404</v>
      </c>
      <c r="D1590" s="16" t="s">
        <v>3409</v>
      </c>
    </row>
    <row r="1591" spans="1:4">
      <c r="A1591" s="16">
        <v>6700000000</v>
      </c>
      <c r="B1591" s="16">
        <v>0</v>
      </c>
      <c r="C1591" s="16" t="s">
        <v>3404</v>
      </c>
      <c r="D1591" s="16" t="s">
        <v>3405</v>
      </c>
    </row>
    <row r="1592" spans="1:4">
      <c r="A1592" s="16">
        <v>3032000000</v>
      </c>
      <c r="B1592" s="16">
        <v>0</v>
      </c>
      <c r="C1592" s="16" t="s">
        <v>3424</v>
      </c>
      <c r="D1592" s="16" t="s">
        <v>3403</v>
      </c>
    </row>
    <row r="1593" spans="1:4">
      <c r="A1593" s="16">
        <v>6032000000</v>
      </c>
      <c r="B1593" s="16">
        <v>0</v>
      </c>
      <c r="C1593" s="16" t="s">
        <v>3429</v>
      </c>
      <c r="D1593" s="16" t="s">
        <v>3430</v>
      </c>
    </row>
    <row r="1594" spans="1:4">
      <c r="A1594" s="16">
        <v>6700200000</v>
      </c>
      <c r="B1594" s="16">
        <v>0</v>
      </c>
      <c r="C1594" s="16" t="s">
        <v>3404</v>
      </c>
      <c r="D1594" s="16" t="s">
        <v>3409</v>
      </c>
    </row>
    <row r="1595" spans="1:4">
      <c r="A1595" s="16">
        <v>6700100000</v>
      </c>
      <c r="B1595" s="16">
        <v>0</v>
      </c>
      <c r="C1595" s="16" t="s">
        <v>3404</v>
      </c>
      <c r="D1595" s="16" t="s">
        <v>3410</v>
      </c>
    </row>
    <row r="1596" spans="1:4">
      <c r="A1596" s="16">
        <v>6700200000</v>
      </c>
      <c r="B1596" s="16">
        <v>0</v>
      </c>
      <c r="C1596" s="16" t="s">
        <v>3404</v>
      </c>
      <c r="D1596" s="16" t="s">
        <v>3409</v>
      </c>
    </row>
    <row r="1597" spans="1:4">
      <c r="A1597" s="16">
        <v>6700000000</v>
      </c>
      <c r="B1597" s="16">
        <v>0</v>
      </c>
      <c r="C1597" s="16" t="s">
        <v>3404</v>
      </c>
      <c r="D1597" s="16" t="s">
        <v>3405</v>
      </c>
    </row>
    <row r="1598" spans="1:4">
      <c r="A1598" s="16">
        <v>6700700000</v>
      </c>
      <c r="B1598" s="16">
        <v>0</v>
      </c>
      <c r="C1598" s="16" t="s">
        <v>3404</v>
      </c>
      <c r="D1598" s="16" t="s">
        <v>3409</v>
      </c>
    </row>
    <row r="1599" spans="1:4">
      <c r="A1599" s="16">
        <v>6700500000</v>
      </c>
      <c r="B1599" s="16">
        <v>0</v>
      </c>
      <c r="C1599" s="16" t="s">
        <v>3404</v>
      </c>
      <c r="D1599" s="16" t="s">
        <v>3405</v>
      </c>
    </row>
    <row r="1600" spans="1:4">
      <c r="A1600" s="16">
        <v>3102000000</v>
      </c>
      <c r="B1600" s="16">
        <v>0</v>
      </c>
      <c r="C1600" s="16" t="s">
        <v>3424</v>
      </c>
      <c r="D1600" s="16" t="s">
        <v>3403</v>
      </c>
    </row>
    <row r="1601" spans="1:4">
      <c r="A1601" s="16">
        <v>6102000000</v>
      </c>
      <c r="B1601" s="16">
        <v>0</v>
      </c>
      <c r="C1601" s="16" t="s">
        <v>3425</v>
      </c>
      <c r="D1601" s="16" t="s">
        <v>3426</v>
      </c>
    </row>
    <row r="1602" spans="1:4">
      <c r="A1602" s="16">
        <v>2203000000</v>
      </c>
      <c r="B1602" s="16">
        <v>0</v>
      </c>
      <c r="C1602" s="16" t="s">
        <v>3415</v>
      </c>
      <c r="D1602" s="16" t="s">
        <v>3403</v>
      </c>
    </row>
    <row r="1603" spans="1:4">
      <c r="A1603" s="16">
        <v>6060110000</v>
      </c>
      <c r="B1603" s="16">
        <v>0</v>
      </c>
      <c r="C1603" s="16" t="s">
        <v>3420</v>
      </c>
      <c r="D1603" s="16" t="s">
        <v>3421</v>
      </c>
    </row>
    <row r="1604" spans="1:4">
      <c r="A1604" s="16">
        <v>6700700000</v>
      </c>
      <c r="B1604" s="16">
        <v>0</v>
      </c>
      <c r="C1604" s="16" t="s">
        <v>3404</v>
      </c>
      <c r="D1604" s="16" t="s">
        <v>3409</v>
      </c>
    </row>
    <row r="1605" spans="1:4">
      <c r="A1605" s="16">
        <v>6700500000</v>
      </c>
      <c r="B1605" s="16">
        <v>0</v>
      </c>
      <c r="C1605" s="16" t="s">
        <v>3404</v>
      </c>
      <c r="D1605" s="16" t="s">
        <v>3405</v>
      </c>
    </row>
    <row r="1606" spans="1:4">
      <c r="A1606" s="16">
        <v>6100000000</v>
      </c>
      <c r="B1606" s="16">
        <v>0</v>
      </c>
      <c r="C1606" s="16" t="s">
        <v>3416</v>
      </c>
      <c r="D1606" s="16" t="s">
        <v>3417</v>
      </c>
    </row>
    <row r="1607" spans="1:4">
      <c r="A1607" s="16">
        <v>3100000000</v>
      </c>
      <c r="B1607" s="16">
        <v>0</v>
      </c>
      <c r="C1607" s="16" t="s">
        <v>3402</v>
      </c>
      <c r="D1607" s="16" t="s">
        <v>3403</v>
      </c>
    </row>
    <row r="1608" spans="1:4">
      <c r="A1608" s="16">
        <v>2201000000</v>
      </c>
      <c r="B1608" s="16">
        <v>0</v>
      </c>
      <c r="C1608" s="16" t="s">
        <v>3415</v>
      </c>
      <c r="D1608" s="16" t="s">
        <v>3403</v>
      </c>
    </row>
    <row r="1609" spans="1:4">
      <c r="A1609" s="16">
        <v>6700200000</v>
      </c>
      <c r="B1609" s="16">
        <v>0</v>
      </c>
      <c r="C1609" s="16" t="s">
        <v>3404</v>
      </c>
      <c r="D1609" s="16" t="s">
        <v>3409</v>
      </c>
    </row>
    <row r="1610" spans="1:4">
      <c r="A1610" s="16">
        <v>6700200000</v>
      </c>
      <c r="B1610" s="16">
        <v>0</v>
      </c>
      <c r="C1610" s="16" t="s">
        <v>3404</v>
      </c>
      <c r="D1610" s="16" t="s">
        <v>3409</v>
      </c>
    </row>
    <row r="1611" spans="1:4">
      <c r="A1611" s="16">
        <v>6700000000</v>
      </c>
      <c r="B1611" s="16">
        <v>0</v>
      </c>
      <c r="C1611" s="16" t="s">
        <v>3404</v>
      </c>
      <c r="D1611" s="16" t="s">
        <v>3405</v>
      </c>
    </row>
    <row r="1612" spans="1:4">
      <c r="A1612" s="16">
        <v>5050000000</v>
      </c>
      <c r="B1612" s="16">
        <v>0</v>
      </c>
      <c r="C1612" s="16" t="s">
        <v>3406</v>
      </c>
      <c r="D1612" s="16" t="s">
        <v>3422</v>
      </c>
    </row>
    <row r="1613" spans="1:4">
      <c r="A1613" s="16">
        <v>3800000000</v>
      </c>
      <c r="B1613" s="16">
        <v>0</v>
      </c>
      <c r="C1613" s="16" t="s">
        <v>3402</v>
      </c>
      <c r="D1613" s="16" t="s">
        <v>3403</v>
      </c>
    </row>
    <row r="1614" spans="1:4">
      <c r="A1614" s="16">
        <v>6610000000</v>
      </c>
      <c r="B1614" s="16">
        <v>0</v>
      </c>
      <c r="C1614" s="16" t="s">
        <v>3413</v>
      </c>
      <c r="D1614" s="16" t="s">
        <v>3418</v>
      </c>
    </row>
    <row r="1615" spans="1:4">
      <c r="A1615" s="16">
        <v>4203000000</v>
      </c>
      <c r="B1615" s="16">
        <v>0</v>
      </c>
      <c r="C1615" s="16" t="s">
        <v>3408</v>
      </c>
      <c r="D1615" s="16" t="s">
        <v>3403</v>
      </c>
    </row>
    <row r="1616" spans="1:4">
      <c r="A1616" s="16">
        <v>5050010000</v>
      </c>
      <c r="B1616" s="16">
        <v>0</v>
      </c>
      <c r="C1616" s="16" t="s">
        <v>3406</v>
      </c>
      <c r="D1616" s="16" t="s">
        <v>3422</v>
      </c>
    </row>
    <row r="1617" spans="1:4">
      <c r="A1617" s="16">
        <v>5050000000</v>
      </c>
      <c r="B1617" s="16">
        <v>0</v>
      </c>
      <c r="C1617" s="16" t="s">
        <v>3406</v>
      </c>
      <c r="D1617" s="16" t="s">
        <v>3422</v>
      </c>
    </row>
    <row r="1618" spans="1:4">
      <c r="A1618" s="16">
        <v>3032000000</v>
      </c>
      <c r="B1618" s="16">
        <v>0</v>
      </c>
      <c r="C1618" s="16" t="s">
        <v>3424</v>
      </c>
      <c r="D1618" s="16" t="s">
        <v>3403</v>
      </c>
    </row>
    <row r="1619" spans="1:4">
      <c r="A1619" s="16">
        <v>6032000000</v>
      </c>
      <c r="B1619" s="16">
        <v>0</v>
      </c>
      <c r="C1619" s="16" t="s">
        <v>3429</v>
      </c>
      <c r="D1619" s="16" t="s">
        <v>3430</v>
      </c>
    </row>
    <row r="1620" spans="1:4">
      <c r="A1620" s="16">
        <v>6700200000</v>
      </c>
      <c r="B1620" s="16">
        <v>0</v>
      </c>
      <c r="C1620" s="16" t="s">
        <v>3404</v>
      </c>
      <c r="D1620" s="16" t="s">
        <v>3409</v>
      </c>
    </row>
    <row r="1621" spans="1:4">
      <c r="A1621" s="16">
        <v>6700000000</v>
      </c>
      <c r="B1621" s="16">
        <v>0</v>
      </c>
      <c r="C1621" s="16" t="s">
        <v>3404</v>
      </c>
      <c r="D1621" s="16" t="s">
        <v>3405</v>
      </c>
    </row>
    <row r="1622" spans="1:4">
      <c r="A1622" s="16">
        <v>2750010000</v>
      </c>
      <c r="B1622" s="16">
        <v>0</v>
      </c>
      <c r="C1622" s="16" t="s">
        <v>3419</v>
      </c>
      <c r="D1622" s="16" t="s">
        <v>3403</v>
      </c>
    </row>
    <row r="1623" spans="1:4">
      <c r="A1623" s="16">
        <v>6610100100</v>
      </c>
      <c r="B1623" s="16">
        <v>0</v>
      </c>
      <c r="C1623" s="16" t="s">
        <v>3413</v>
      </c>
      <c r="D1623" s="16" t="s">
        <v>3414</v>
      </c>
    </row>
    <row r="1624" spans="1:4">
      <c r="A1624" s="16">
        <v>6104000000</v>
      </c>
      <c r="B1624" s="16">
        <v>0</v>
      </c>
      <c r="C1624" s="16" t="s">
        <v>3416</v>
      </c>
      <c r="D1624" s="16" t="s">
        <v>3417</v>
      </c>
    </row>
    <row r="1625" spans="1:4">
      <c r="A1625" s="16">
        <v>3103000000</v>
      </c>
      <c r="B1625" s="16">
        <v>0</v>
      </c>
      <c r="C1625" s="16" t="s">
        <v>3402</v>
      </c>
      <c r="D1625" s="16" t="s">
        <v>3403</v>
      </c>
    </row>
    <row r="1626" spans="1:4">
      <c r="A1626" s="16">
        <v>3102000000</v>
      </c>
      <c r="B1626" s="16">
        <v>0</v>
      </c>
      <c r="C1626" s="16" t="s">
        <v>3424</v>
      </c>
      <c r="D1626" s="16" t="s">
        <v>3403</v>
      </c>
    </row>
    <row r="1627" spans="1:4">
      <c r="A1627" s="16">
        <v>6102000000</v>
      </c>
      <c r="B1627" s="16">
        <v>0</v>
      </c>
      <c r="C1627" s="16" t="s">
        <v>3425</v>
      </c>
      <c r="D1627" s="16" t="s">
        <v>3426</v>
      </c>
    </row>
    <row r="1628" spans="1:4">
      <c r="A1628" s="16">
        <v>6610100000</v>
      </c>
      <c r="B1628" s="16">
        <v>2202</v>
      </c>
      <c r="C1628" s="16" t="s">
        <v>3413</v>
      </c>
      <c r="D1628" s="16" t="s">
        <v>3414</v>
      </c>
    </row>
    <row r="1629" spans="1:4">
      <c r="A1629" s="16">
        <v>4203000000</v>
      </c>
      <c r="B1629" s="16">
        <v>-2202</v>
      </c>
      <c r="C1629" s="16" t="s">
        <v>3408</v>
      </c>
      <c r="D1629" s="16" t="s">
        <v>3403</v>
      </c>
    </row>
    <row r="1630" spans="1:4">
      <c r="A1630" s="16">
        <v>6030000000</v>
      </c>
      <c r="B1630" s="16">
        <v>0</v>
      </c>
      <c r="C1630" s="16" t="s">
        <v>3420</v>
      </c>
      <c r="D1630" s="16" t="s">
        <v>3423</v>
      </c>
    </row>
    <row r="1631" spans="1:4">
      <c r="A1631" s="16">
        <v>3030000000</v>
      </c>
      <c r="B1631" s="16">
        <v>0</v>
      </c>
      <c r="C1631" s="16" t="s">
        <v>3402</v>
      </c>
      <c r="D1631" s="16" t="s">
        <v>3403</v>
      </c>
    </row>
    <row r="1632" spans="1:4">
      <c r="A1632" s="16">
        <v>6100000000</v>
      </c>
      <c r="B1632" s="16">
        <v>1259249800</v>
      </c>
      <c r="C1632" s="16" t="s">
        <v>3427</v>
      </c>
      <c r="D1632" s="16" t="s">
        <v>3417</v>
      </c>
    </row>
    <row r="1633" spans="1:4">
      <c r="A1633" s="16">
        <v>3100000000</v>
      </c>
      <c r="B1633" s="16">
        <v>-1259249800</v>
      </c>
      <c r="C1633" s="16" t="s">
        <v>3402</v>
      </c>
      <c r="D1633" s="16" t="s">
        <v>3403</v>
      </c>
    </row>
    <row r="1634" spans="1:4">
      <c r="A1634" s="16">
        <v>6700200000</v>
      </c>
      <c r="B1634" s="16">
        <v>0</v>
      </c>
      <c r="C1634" s="16" t="s">
        <v>3404</v>
      </c>
      <c r="D1634" s="16" t="s">
        <v>3409</v>
      </c>
    </row>
    <row r="1635" spans="1:4">
      <c r="A1635" s="16">
        <v>6700100000</v>
      </c>
      <c r="B1635" s="16">
        <v>0</v>
      </c>
      <c r="C1635" s="16" t="s">
        <v>3404</v>
      </c>
      <c r="D1635" s="16" t="s">
        <v>3410</v>
      </c>
    </row>
    <row r="1636" spans="1:4">
      <c r="A1636" s="16">
        <v>6104001000</v>
      </c>
      <c r="B1636" s="16">
        <v>0</v>
      </c>
      <c r="C1636" s="16" t="s">
        <v>3416</v>
      </c>
      <c r="D1636" s="16" t="s">
        <v>3417</v>
      </c>
    </row>
    <row r="1637" spans="1:4">
      <c r="A1637" s="16">
        <v>3103001000</v>
      </c>
      <c r="B1637" s="16">
        <v>0</v>
      </c>
      <c r="C1637" s="16" t="s">
        <v>3402</v>
      </c>
      <c r="D1637" s="16" t="s">
        <v>3403</v>
      </c>
    </row>
    <row r="1638" spans="1:4">
      <c r="A1638" s="16">
        <v>6150000000</v>
      </c>
      <c r="B1638" s="16">
        <v>0</v>
      </c>
      <c r="C1638" s="16" t="s">
        <v>3416</v>
      </c>
      <c r="D1638" s="16" t="s">
        <v>3417</v>
      </c>
    </row>
    <row r="1639" spans="1:4">
      <c r="A1639" s="16">
        <v>3510000000</v>
      </c>
      <c r="B1639" s="16">
        <v>0</v>
      </c>
      <c r="C1639" s="16" t="s">
        <v>3402</v>
      </c>
      <c r="D1639" s="16" t="s">
        <v>3403</v>
      </c>
    </row>
    <row r="1640" spans="1:4">
      <c r="A1640" s="16">
        <v>6700200000</v>
      </c>
      <c r="B1640" s="16">
        <v>0</v>
      </c>
      <c r="C1640" s="16" t="s">
        <v>3404</v>
      </c>
      <c r="D1640" s="16" t="s">
        <v>3409</v>
      </c>
    </row>
    <row r="1641" spans="1:4">
      <c r="A1641" s="16">
        <v>6700100000</v>
      </c>
      <c r="B1641" s="16">
        <v>0</v>
      </c>
      <c r="C1641" s="16" t="s">
        <v>3404</v>
      </c>
      <c r="D1641" s="16" t="s">
        <v>3410</v>
      </c>
    </row>
    <row r="1642" spans="1:4">
      <c r="A1642" s="16">
        <v>2500000000</v>
      </c>
      <c r="B1642" s="16">
        <v>0</v>
      </c>
      <c r="C1642" s="16" t="s">
        <v>3412</v>
      </c>
      <c r="D1642" s="16" t="s">
        <v>3403</v>
      </c>
    </row>
    <row r="1643" spans="1:4">
      <c r="A1643" s="16">
        <v>5010000000</v>
      </c>
      <c r="B1643" s="16">
        <v>0</v>
      </c>
      <c r="C1643" s="16" t="s">
        <v>3406</v>
      </c>
      <c r="D1643" s="16" t="s">
        <v>3411</v>
      </c>
    </row>
    <row r="1644" spans="1:4">
      <c r="A1644" s="16">
        <v>6610100000</v>
      </c>
      <c r="B1644" s="16">
        <v>0</v>
      </c>
      <c r="C1644" s="16" t="s">
        <v>3413</v>
      </c>
      <c r="D1644" s="16" t="s">
        <v>3414</v>
      </c>
    </row>
    <row r="1645" spans="1:4">
      <c r="A1645" s="16">
        <v>4203000000</v>
      </c>
      <c r="B1645" s="16">
        <v>0</v>
      </c>
      <c r="C1645" s="16" t="s">
        <v>3408</v>
      </c>
      <c r="D1645" s="16" t="s">
        <v>3403</v>
      </c>
    </row>
    <row r="1646" spans="1:4">
      <c r="A1646" s="16">
        <v>3032000000</v>
      </c>
      <c r="B1646" s="16">
        <v>145702</v>
      </c>
      <c r="C1646" s="16" t="s">
        <v>3424</v>
      </c>
      <c r="D1646" s="16" t="s">
        <v>3403</v>
      </c>
    </row>
    <row r="1647" spans="1:4">
      <c r="A1647" s="16">
        <v>6032000000</v>
      </c>
      <c r="B1647" s="16">
        <v>-145702</v>
      </c>
      <c r="C1647" s="16" t="s">
        <v>3429</v>
      </c>
      <c r="D1647" s="16" t="s">
        <v>3430</v>
      </c>
    </row>
    <row r="1648" spans="1:4">
      <c r="A1648" s="16">
        <v>6700600000</v>
      </c>
      <c r="B1648" s="16">
        <v>0</v>
      </c>
      <c r="C1648" s="16" t="s">
        <v>3404</v>
      </c>
      <c r="D1648" s="16" t="s">
        <v>3409</v>
      </c>
    </row>
    <row r="1649" spans="1:4">
      <c r="A1649" s="16">
        <v>6700400000</v>
      </c>
      <c r="B1649" s="16">
        <v>0</v>
      </c>
      <c r="C1649" s="16" t="s">
        <v>3404</v>
      </c>
      <c r="D1649" s="16" t="s">
        <v>3405</v>
      </c>
    </row>
    <row r="1650" spans="1:4">
      <c r="A1650" s="16">
        <v>3032000000</v>
      </c>
      <c r="B1650" s="16">
        <v>0</v>
      </c>
      <c r="C1650" s="16" t="s">
        <v>3424</v>
      </c>
      <c r="D1650" s="16" t="s">
        <v>3403</v>
      </c>
    </row>
    <row r="1651" spans="1:4">
      <c r="A1651" s="16">
        <v>6032000000</v>
      </c>
      <c r="B1651" s="16">
        <v>0</v>
      </c>
      <c r="C1651" s="16" t="s">
        <v>3429</v>
      </c>
      <c r="D1651" s="16" t="s">
        <v>3430</v>
      </c>
    </row>
    <row r="1652" spans="1:4">
      <c r="A1652" s="16">
        <v>6700200000</v>
      </c>
      <c r="B1652" s="16">
        <v>0</v>
      </c>
      <c r="C1652" s="16" t="s">
        <v>3404</v>
      </c>
      <c r="D1652" s="16" t="s">
        <v>3409</v>
      </c>
    </row>
    <row r="1653" spans="1:4">
      <c r="A1653" s="16">
        <v>6700100000</v>
      </c>
      <c r="B1653" s="16">
        <v>0</v>
      </c>
      <c r="C1653" s="16" t="s">
        <v>3404</v>
      </c>
      <c r="D1653" s="16" t="s">
        <v>3410</v>
      </c>
    </row>
    <row r="1654" spans="1:4">
      <c r="A1654" s="16">
        <v>6700700000</v>
      </c>
      <c r="B1654" s="16">
        <v>0</v>
      </c>
      <c r="C1654" s="16" t="s">
        <v>3404</v>
      </c>
      <c r="D1654" s="16" t="s">
        <v>3409</v>
      </c>
    </row>
    <row r="1655" spans="1:4">
      <c r="A1655" s="16">
        <v>6700500000</v>
      </c>
      <c r="B1655" s="16">
        <v>0</v>
      </c>
      <c r="C1655" s="16" t="s">
        <v>3404</v>
      </c>
      <c r="D1655" s="16" t="s">
        <v>3405</v>
      </c>
    </row>
    <row r="1656" spans="1:4">
      <c r="A1656" s="16">
        <v>6700200000</v>
      </c>
      <c r="B1656" s="16">
        <v>0</v>
      </c>
      <c r="C1656" s="16" t="s">
        <v>3404</v>
      </c>
      <c r="D1656" s="16" t="s">
        <v>3409</v>
      </c>
    </row>
    <row r="1657" spans="1:4">
      <c r="A1657" s="16">
        <v>2201200030</v>
      </c>
      <c r="B1657" s="16">
        <v>0</v>
      </c>
      <c r="C1657" s="16" t="s">
        <v>3415</v>
      </c>
      <c r="D1657" s="16" t="s">
        <v>3403</v>
      </c>
    </row>
    <row r="1658" spans="1:4">
      <c r="A1658" s="16">
        <v>3102000000</v>
      </c>
      <c r="B1658" s="16">
        <v>0</v>
      </c>
      <c r="C1658" s="16" t="s">
        <v>3424</v>
      </c>
      <c r="D1658" s="16" t="s">
        <v>3403</v>
      </c>
    </row>
    <row r="1659" spans="1:4">
      <c r="A1659" s="16">
        <v>6102000000</v>
      </c>
      <c r="B1659" s="16">
        <v>0</v>
      </c>
      <c r="C1659" s="16" t="s">
        <v>3425</v>
      </c>
      <c r="D1659" s="16" t="s">
        <v>3426</v>
      </c>
    </row>
    <row r="1660" spans="1:4">
      <c r="A1660" s="16">
        <v>2750010000</v>
      </c>
      <c r="B1660" s="16">
        <v>0</v>
      </c>
      <c r="C1660" s="16" t="s">
        <v>3419</v>
      </c>
      <c r="D1660" s="16" t="s">
        <v>3403</v>
      </c>
    </row>
    <row r="1661" spans="1:4">
      <c r="A1661" s="16">
        <v>6610100100</v>
      </c>
      <c r="B1661" s="16">
        <v>0</v>
      </c>
      <c r="C1661" s="16" t="s">
        <v>3413</v>
      </c>
      <c r="D1661" s="16" t="s">
        <v>3414</v>
      </c>
    </row>
    <row r="1662" spans="1:4">
      <c r="A1662" s="16">
        <v>6100000000</v>
      </c>
      <c r="B1662" s="16">
        <v>0</v>
      </c>
      <c r="C1662" s="16" t="s">
        <v>3416</v>
      </c>
      <c r="D1662" s="16" t="s">
        <v>3417</v>
      </c>
    </row>
    <row r="1663" spans="1:4">
      <c r="A1663" s="16">
        <v>3100000000</v>
      </c>
      <c r="B1663" s="16">
        <v>0</v>
      </c>
      <c r="C1663" s="16" t="s">
        <v>3402</v>
      </c>
      <c r="D1663" s="16" t="s">
        <v>3403</v>
      </c>
    </row>
    <row r="1664" spans="1:4">
      <c r="A1664" s="16">
        <v>3032000000</v>
      </c>
      <c r="B1664" s="16">
        <v>0</v>
      </c>
      <c r="C1664" s="16" t="s">
        <v>3424</v>
      </c>
      <c r="D1664" s="16" t="s">
        <v>3403</v>
      </c>
    </row>
    <row r="1665" spans="1:4">
      <c r="A1665" s="16">
        <v>6032000000</v>
      </c>
      <c r="B1665" s="16">
        <v>0</v>
      </c>
      <c r="C1665" s="16" t="s">
        <v>3429</v>
      </c>
      <c r="D1665" s="16" t="s">
        <v>3430</v>
      </c>
    </row>
    <row r="1666" spans="1:4">
      <c r="A1666" s="16">
        <v>6700200000</v>
      </c>
      <c r="B1666" s="16">
        <v>0</v>
      </c>
      <c r="C1666" s="16" t="s">
        <v>3404</v>
      </c>
      <c r="D1666" s="16" t="s">
        <v>3409</v>
      </c>
    </row>
    <row r="1667" spans="1:4">
      <c r="A1667" s="16">
        <v>6700000000</v>
      </c>
      <c r="B1667" s="16">
        <v>0</v>
      </c>
      <c r="C1667" s="16" t="s">
        <v>3404</v>
      </c>
      <c r="D1667" s="16" t="s">
        <v>3405</v>
      </c>
    </row>
    <row r="1668" spans="1:4">
      <c r="A1668" s="16">
        <v>6700700000</v>
      </c>
      <c r="B1668" s="16">
        <v>0</v>
      </c>
      <c r="C1668" s="16" t="s">
        <v>3404</v>
      </c>
      <c r="D1668" s="16" t="s">
        <v>3409</v>
      </c>
    </row>
    <row r="1669" spans="1:4">
      <c r="A1669" s="16">
        <v>6700500000</v>
      </c>
      <c r="B1669" s="16">
        <v>0</v>
      </c>
      <c r="C1669" s="16" t="s">
        <v>3404</v>
      </c>
      <c r="D1669" s="16" t="s">
        <v>3405</v>
      </c>
    </row>
    <row r="1670" spans="1:4">
      <c r="A1670" s="16">
        <v>2500000000</v>
      </c>
      <c r="B1670" s="16">
        <v>1641461</v>
      </c>
      <c r="C1670" s="16" t="s">
        <v>3412</v>
      </c>
      <c r="D1670" s="16" t="s">
        <v>3403</v>
      </c>
    </row>
    <row r="1671" spans="1:4">
      <c r="A1671" s="16">
        <v>5010100000</v>
      </c>
      <c r="B1671" s="16">
        <v>-1641461</v>
      </c>
      <c r="C1671" s="16" t="s">
        <v>3406</v>
      </c>
      <c r="D1671" s="16" t="s">
        <v>3407</v>
      </c>
    </row>
    <row r="1672" spans="1:4">
      <c r="A1672" s="16">
        <v>6100000000</v>
      </c>
      <c r="B1672" s="16">
        <v>0</v>
      </c>
      <c r="C1672" s="16" t="s">
        <v>3416</v>
      </c>
      <c r="D1672" s="16" t="s">
        <v>3417</v>
      </c>
    </row>
    <row r="1673" spans="1:4">
      <c r="A1673" s="16">
        <v>3100000000</v>
      </c>
      <c r="B1673" s="16">
        <v>0</v>
      </c>
      <c r="C1673" s="16" t="s">
        <v>3402</v>
      </c>
      <c r="D1673" s="16" t="s">
        <v>3403</v>
      </c>
    </row>
    <row r="1674" spans="1:4">
      <c r="A1674" s="16">
        <v>2750010000</v>
      </c>
      <c r="B1674" s="16">
        <v>0</v>
      </c>
      <c r="C1674" s="16" t="s">
        <v>3419</v>
      </c>
      <c r="D1674" s="16" t="s">
        <v>3403</v>
      </c>
    </row>
    <row r="1675" spans="1:4">
      <c r="A1675" s="16">
        <v>6610000100</v>
      </c>
      <c r="B1675" s="16">
        <v>0</v>
      </c>
      <c r="C1675" s="16" t="s">
        <v>3413</v>
      </c>
      <c r="D1675" s="16" t="s">
        <v>3418</v>
      </c>
    </row>
    <row r="1676" spans="1:4">
      <c r="A1676" s="16">
        <v>6610100000</v>
      </c>
      <c r="B1676" s="16">
        <v>-3</v>
      </c>
      <c r="C1676" s="16" t="s">
        <v>3413</v>
      </c>
      <c r="D1676" s="16" t="s">
        <v>3414</v>
      </c>
    </row>
    <row r="1677" spans="1:4">
      <c r="A1677" s="16">
        <v>4203000000</v>
      </c>
      <c r="B1677" s="16">
        <v>3</v>
      </c>
      <c r="C1677" s="16" t="s">
        <v>3408</v>
      </c>
      <c r="D1677" s="16" t="s">
        <v>3403</v>
      </c>
    </row>
    <row r="1678" spans="1:4">
      <c r="A1678" s="16">
        <v>6700200000</v>
      </c>
      <c r="B1678" s="16">
        <v>0</v>
      </c>
      <c r="C1678" s="16" t="s">
        <v>3404</v>
      </c>
      <c r="D1678" s="16" t="s">
        <v>3409</v>
      </c>
    </row>
    <row r="1679" spans="1:4">
      <c r="A1679" s="16">
        <v>6700100000</v>
      </c>
      <c r="B1679" s="16">
        <v>0</v>
      </c>
      <c r="C1679" s="16" t="s">
        <v>3404</v>
      </c>
      <c r="D1679" s="16" t="s">
        <v>3410</v>
      </c>
    </row>
    <row r="1680" spans="1:4">
      <c r="A1680" s="16">
        <v>2201000030</v>
      </c>
      <c r="B1680" s="16">
        <v>39368</v>
      </c>
      <c r="C1680" s="16" t="s">
        <v>3415</v>
      </c>
      <c r="D1680" s="16" t="s">
        <v>3403</v>
      </c>
    </row>
    <row r="1681" spans="1:4">
      <c r="A1681" s="16">
        <v>6700200000</v>
      </c>
      <c r="B1681" s="16">
        <v>-39368</v>
      </c>
      <c r="C1681" s="16" t="s">
        <v>3404</v>
      </c>
      <c r="D1681" s="16" t="s">
        <v>3409</v>
      </c>
    </row>
    <row r="1682" spans="1:4">
      <c r="A1682" s="16">
        <v>6100000000</v>
      </c>
      <c r="B1682" s="16">
        <v>23909</v>
      </c>
      <c r="C1682" s="16" t="s">
        <v>3416</v>
      </c>
      <c r="D1682" s="16" t="s">
        <v>3417</v>
      </c>
    </row>
    <row r="1683" spans="1:4">
      <c r="A1683" s="16">
        <v>3100000000</v>
      </c>
      <c r="B1683" s="16">
        <v>-23909</v>
      </c>
      <c r="C1683" s="16" t="s">
        <v>3402</v>
      </c>
      <c r="D1683" s="16" t="s">
        <v>3403</v>
      </c>
    </row>
    <row r="1684" spans="1:4">
      <c r="A1684" s="16">
        <v>2500000000</v>
      </c>
      <c r="B1684" s="16">
        <v>0</v>
      </c>
      <c r="C1684" s="16" t="s">
        <v>3412</v>
      </c>
      <c r="D1684" s="16" t="s">
        <v>3403</v>
      </c>
    </row>
    <row r="1685" spans="1:4">
      <c r="A1685" s="16">
        <v>5010100000</v>
      </c>
      <c r="B1685" s="16">
        <v>0</v>
      </c>
      <c r="C1685" s="16" t="s">
        <v>3406</v>
      </c>
      <c r="D1685" s="16" t="s">
        <v>3407</v>
      </c>
    </row>
    <row r="1686" spans="1:4">
      <c r="A1686" s="16">
        <v>2500000000</v>
      </c>
      <c r="B1686" s="16">
        <v>0</v>
      </c>
      <c r="C1686" s="16" t="s">
        <v>3412</v>
      </c>
      <c r="D1686" s="16" t="s">
        <v>3403</v>
      </c>
    </row>
    <row r="1687" spans="1:4">
      <c r="A1687" s="16">
        <v>5010100000</v>
      </c>
      <c r="B1687" s="16">
        <v>0</v>
      </c>
      <c r="C1687" s="16" t="s">
        <v>3406</v>
      </c>
      <c r="D1687" s="16" t="s">
        <v>3407</v>
      </c>
    </row>
    <row r="1688" spans="1:4">
      <c r="A1688" s="16">
        <v>6100000020</v>
      </c>
      <c r="B1688" s="16">
        <v>0</v>
      </c>
      <c r="C1688" s="16" t="s">
        <v>3416</v>
      </c>
      <c r="D1688" s="16" t="s">
        <v>3417</v>
      </c>
    </row>
    <row r="1689" spans="1:4">
      <c r="A1689" s="16">
        <v>3810000000</v>
      </c>
      <c r="B1689" s="16">
        <v>0</v>
      </c>
      <c r="C1689" s="16" t="s">
        <v>3402</v>
      </c>
      <c r="D1689" s="16" t="s">
        <v>3403</v>
      </c>
    </row>
    <row r="1690" spans="1:4">
      <c r="A1690" s="16">
        <v>5010100010</v>
      </c>
      <c r="B1690" s="16">
        <v>3084</v>
      </c>
      <c r="C1690" s="16" t="s">
        <v>3406</v>
      </c>
      <c r="D1690" s="16" t="s">
        <v>3407</v>
      </c>
    </row>
    <row r="1691" spans="1:4">
      <c r="A1691" s="16">
        <v>3710000000</v>
      </c>
      <c r="B1691" s="16">
        <v>-3084</v>
      </c>
      <c r="C1691" s="16" t="s">
        <v>3402</v>
      </c>
      <c r="D1691" s="16" t="s">
        <v>3403</v>
      </c>
    </row>
    <row r="1692" spans="1:4">
      <c r="A1692" s="16">
        <v>6610000000</v>
      </c>
      <c r="B1692" s="16">
        <v>0</v>
      </c>
      <c r="C1692" s="16" t="s">
        <v>3413</v>
      </c>
      <c r="D1692" s="16" t="s">
        <v>3418</v>
      </c>
    </row>
    <row r="1693" spans="1:4">
      <c r="A1693" s="16">
        <v>4203000000</v>
      </c>
      <c r="B1693" s="16">
        <v>0</v>
      </c>
      <c r="C1693" s="16" t="s">
        <v>3408</v>
      </c>
      <c r="D1693" s="16" t="s">
        <v>3403</v>
      </c>
    </row>
    <row r="1694" spans="1:4">
      <c r="A1694" s="16">
        <v>6100000000</v>
      </c>
      <c r="B1694" s="16">
        <v>2358827</v>
      </c>
      <c r="C1694" s="16" t="s">
        <v>3427</v>
      </c>
      <c r="D1694" s="16" t="s">
        <v>3417</v>
      </c>
    </row>
    <row r="1695" spans="1:4">
      <c r="A1695" s="16">
        <v>3100000000</v>
      </c>
      <c r="B1695" s="16">
        <v>-2358827</v>
      </c>
      <c r="C1695" s="16" t="s">
        <v>3402</v>
      </c>
      <c r="D1695" s="16" t="s">
        <v>3403</v>
      </c>
    </row>
    <row r="1696" spans="1:4">
      <c r="A1696" s="16">
        <v>2203000010</v>
      </c>
      <c r="B1696" s="16">
        <v>0</v>
      </c>
      <c r="C1696" s="16" t="s">
        <v>3415</v>
      </c>
      <c r="D1696" s="16" t="s">
        <v>3403</v>
      </c>
    </row>
    <row r="1697" spans="1:4">
      <c r="A1697" s="16">
        <v>4612000000</v>
      </c>
      <c r="B1697" s="16">
        <v>0</v>
      </c>
      <c r="C1697" s="16" t="s">
        <v>3428</v>
      </c>
      <c r="D1697" s="16" t="s">
        <v>3403</v>
      </c>
    </row>
    <row r="1698" spans="1:4">
      <c r="A1698" s="16">
        <v>6030000000</v>
      </c>
      <c r="B1698" s="16">
        <v>0</v>
      </c>
      <c r="C1698" s="16" t="s">
        <v>3420</v>
      </c>
      <c r="D1698" s="16" t="s">
        <v>3423</v>
      </c>
    </row>
    <row r="1699" spans="1:4">
      <c r="A1699" s="16">
        <v>3030000000</v>
      </c>
      <c r="B1699" s="16">
        <v>0</v>
      </c>
      <c r="C1699" s="16" t="s">
        <v>3402</v>
      </c>
      <c r="D1699" s="16" t="s">
        <v>3403</v>
      </c>
    </row>
    <row r="1700" spans="1:4">
      <c r="A1700" s="16">
        <v>6700600000</v>
      </c>
      <c r="B1700" s="16">
        <v>0</v>
      </c>
      <c r="C1700" s="16" t="s">
        <v>3404</v>
      </c>
      <c r="D1700" s="16" t="s">
        <v>3409</v>
      </c>
    </row>
    <row r="1701" spans="1:4">
      <c r="A1701" s="16">
        <v>6700400000</v>
      </c>
      <c r="B1701" s="16">
        <v>0</v>
      </c>
      <c r="C1701" s="16" t="s">
        <v>3404</v>
      </c>
      <c r="D1701" s="16" t="s">
        <v>3405</v>
      </c>
    </row>
    <row r="1702" spans="1:4">
      <c r="A1702" s="16">
        <v>2500000000</v>
      </c>
      <c r="B1702" s="16">
        <v>0</v>
      </c>
      <c r="C1702" s="16" t="s">
        <v>3412</v>
      </c>
      <c r="D1702" s="16" t="s">
        <v>3403</v>
      </c>
    </row>
    <row r="1703" spans="1:4">
      <c r="A1703" s="16">
        <v>5010000000</v>
      </c>
      <c r="B1703" s="16">
        <v>0</v>
      </c>
      <c r="C1703" s="16" t="s">
        <v>3406</v>
      </c>
      <c r="D1703" s="16" t="s">
        <v>3411</v>
      </c>
    </row>
    <row r="1704" spans="1:4">
      <c r="A1704" s="16">
        <v>3102000000</v>
      </c>
      <c r="B1704" s="16">
        <v>0</v>
      </c>
      <c r="C1704" s="16" t="s">
        <v>3424</v>
      </c>
      <c r="D1704" s="16" t="s">
        <v>3403</v>
      </c>
    </row>
    <row r="1705" spans="1:4">
      <c r="A1705" s="16">
        <v>6102000000</v>
      </c>
      <c r="B1705" s="16">
        <v>0</v>
      </c>
      <c r="C1705" s="16" t="s">
        <v>3425</v>
      </c>
      <c r="D1705" s="16" t="s">
        <v>3426</v>
      </c>
    </row>
    <row r="1706" spans="1:4">
      <c r="A1706" s="16">
        <v>2203000000</v>
      </c>
      <c r="B1706" s="16">
        <v>0</v>
      </c>
      <c r="C1706" s="16" t="s">
        <v>3415</v>
      </c>
      <c r="D1706" s="16" t="s">
        <v>3403</v>
      </c>
    </row>
    <row r="1707" spans="1:4">
      <c r="A1707" s="16">
        <v>6060110000</v>
      </c>
      <c r="B1707" s="16">
        <v>0</v>
      </c>
      <c r="C1707" s="16" t="s">
        <v>3420</v>
      </c>
      <c r="D1707" s="16" t="s">
        <v>3421</v>
      </c>
    </row>
    <row r="1708" spans="1:4">
      <c r="A1708" s="16">
        <v>2500000000</v>
      </c>
      <c r="B1708" s="16">
        <v>6623879</v>
      </c>
      <c r="C1708" s="16" t="s">
        <v>3412</v>
      </c>
      <c r="D1708" s="16" t="s">
        <v>3403</v>
      </c>
    </row>
    <row r="1709" spans="1:4">
      <c r="A1709" s="16">
        <v>5010000000</v>
      </c>
      <c r="B1709" s="16">
        <v>-6623879</v>
      </c>
      <c r="C1709" s="16" t="s">
        <v>3406</v>
      </c>
      <c r="D1709" s="16" t="s">
        <v>3411</v>
      </c>
    </row>
    <row r="1710" spans="1:4">
      <c r="A1710" s="16">
        <v>6610000000</v>
      </c>
      <c r="B1710" s="16">
        <v>0</v>
      </c>
      <c r="C1710" s="16" t="s">
        <v>3413</v>
      </c>
      <c r="D1710" s="16" t="s">
        <v>3418</v>
      </c>
    </row>
    <row r="1711" spans="1:4">
      <c r="A1711" s="16">
        <v>4203000000</v>
      </c>
      <c r="B1711" s="16">
        <v>0</v>
      </c>
      <c r="C1711" s="16" t="s">
        <v>3408</v>
      </c>
      <c r="D1711" s="16" t="s">
        <v>3403</v>
      </c>
    </row>
    <row r="1712" spans="1:4">
      <c r="A1712" s="16">
        <v>6700700000</v>
      </c>
      <c r="B1712" s="16">
        <v>0</v>
      </c>
      <c r="C1712" s="16" t="s">
        <v>3404</v>
      </c>
      <c r="D1712" s="16" t="s">
        <v>3409</v>
      </c>
    </row>
    <row r="1713" spans="1:4">
      <c r="A1713" s="16">
        <v>6700500000</v>
      </c>
      <c r="B1713" s="16">
        <v>0</v>
      </c>
      <c r="C1713" s="16" t="s">
        <v>3404</v>
      </c>
      <c r="D1713" s="16" t="s">
        <v>3405</v>
      </c>
    </row>
    <row r="1714" spans="1:4">
      <c r="A1714" s="16">
        <v>6700600000</v>
      </c>
      <c r="B1714" s="16">
        <v>0</v>
      </c>
      <c r="C1714" s="16" t="s">
        <v>3404</v>
      </c>
      <c r="D1714" s="16" t="s">
        <v>3409</v>
      </c>
    </row>
    <row r="1715" spans="1:4">
      <c r="A1715" s="16">
        <v>6700400000</v>
      </c>
      <c r="B1715" s="16">
        <v>0</v>
      </c>
      <c r="C1715" s="16" t="s">
        <v>3404</v>
      </c>
      <c r="D1715" s="16" t="s">
        <v>3405</v>
      </c>
    </row>
    <row r="1716" spans="1:4">
      <c r="A1716" s="16">
        <v>5010000010</v>
      </c>
      <c r="B1716" s="16">
        <v>0</v>
      </c>
      <c r="C1716" s="16" t="s">
        <v>3406</v>
      </c>
      <c r="D1716" s="16" t="s">
        <v>3411</v>
      </c>
    </row>
    <row r="1717" spans="1:4">
      <c r="A1717" s="16">
        <v>3710000000</v>
      </c>
      <c r="B1717" s="16">
        <v>0</v>
      </c>
      <c r="C1717" s="16" t="s">
        <v>3402</v>
      </c>
      <c r="D1717" s="16" t="s">
        <v>3403</v>
      </c>
    </row>
    <row r="1718" spans="1:4">
      <c r="A1718" s="16">
        <v>3032000000</v>
      </c>
      <c r="B1718" s="16">
        <v>0</v>
      </c>
      <c r="C1718" s="16" t="s">
        <v>3424</v>
      </c>
      <c r="D1718" s="16" t="s">
        <v>3403</v>
      </c>
    </row>
    <row r="1719" spans="1:4">
      <c r="A1719" s="16">
        <v>6032000000</v>
      </c>
      <c r="B1719" s="16">
        <v>0</v>
      </c>
      <c r="C1719" s="16" t="s">
        <v>3429</v>
      </c>
      <c r="D1719" s="16" t="s">
        <v>3430</v>
      </c>
    </row>
    <row r="1720" spans="1:4">
      <c r="A1720" s="16">
        <v>5010100010</v>
      </c>
      <c r="B1720" s="16">
        <v>0</v>
      </c>
      <c r="C1720" s="16" t="s">
        <v>3406</v>
      </c>
      <c r="D1720" s="16" t="s">
        <v>3407</v>
      </c>
    </row>
    <row r="1721" spans="1:4">
      <c r="A1721" s="16">
        <v>3710000000</v>
      </c>
      <c r="B1721" s="16">
        <v>0</v>
      </c>
      <c r="C1721" s="16" t="s">
        <v>3402</v>
      </c>
      <c r="D1721" s="16" t="s">
        <v>3403</v>
      </c>
    </row>
    <row r="1722" spans="1:4">
      <c r="A1722" s="16">
        <v>6700000000</v>
      </c>
      <c r="B1722" s="16">
        <v>0</v>
      </c>
      <c r="C1722" s="16" t="s">
        <v>3404</v>
      </c>
      <c r="D1722" s="16" t="s">
        <v>3405</v>
      </c>
    </row>
    <row r="1723" spans="1:4">
      <c r="A1723" s="16">
        <v>5010000010</v>
      </c>
      <c r="B1723" s="16">
        <v>0</v>
      </c>
      <c r="C1723" s="16" t="s">
        <v>3406</v>
      </c>
      <c r="D1723" s="16" t="s">
        <v>3411</v>
      </c>
    </row>
    <row r="1724" spans="1:4">
      <c r="A1724" s="16">
        <v>6032000000</v>
      </c>
      <c r="B1724" s="16">
        <v>0</v>
      </c>
      <c r="C1724" s="16" t="s">
        <v>3429</v>
      </c>
      <c r="D1724" s="16" t="s">
        <v>3430</v>
      </c>
    </row>
    <row r="1725" spans="1:4">
      <c r="A1725" s="16">
        <v>6102000000</v>
      </c>
      <c r="B1725" s="16">
        <v>0</v>
      </c>
      <c r="C1725" s="16" t="s">
        <v>3425</v>
      </c>
      <c r="D1725" s="16" t="s">
        <v>3426</v>
      </c>
    </row>
    <row r="1726" spans="1:4">
      <c r="A1726" s="16">
        <v>6104001000</v>
      </c>
      <c r="B1726" s="16">
        <v>0</v>
      </c>
      <c r="C1726" s="16" t="s">
        <v>3416</v>
      </c>
      <c r="D1726" s="16" t="s">
        <v>3417</v>
      </c>
    </row>
    <row r="1727" spans="1:4">
      <c r="A1727" s="16">
        <v>6700600000</v>
      </c>
      <c r="B1727" s="16">
        <v>0</v>
      </c>
      <c r="C1727" s="16" t="s">
        <v>3404</v>
      </c>
      <c r="D1727" s="16" t="s">
        <v>3409</v>
      </c>
    </row>
    <row r="1728" spans="1:4">
      <c r="A1728" s="16">
        <v>5010100010</v>
      </c>
      <c r="B1728" s="16">
        <v>0</v>
      </c>
      <c r="C1728" s="16" t="s">
        <v>3406</v>
      </c>
      <c r="D1728" s="16" t="s">
        <v>3407</v>
      </c>
    </row>
    <row r="1729" spans="1:4">
      <c r="A1729" s="16">
        <v>6610000000</v>
      </c>
      <c r="B1729" s="16">
        <v>0</v>
      </c>
      <c r="C1729" s="16" t="s">
        <v>3413</v>
      </c>
      <c r="D1729" s="16" t="s">
        <v>3418</v>
      </c>
    </row>
    <row r="1730" spans="1:4">
      <c r="A1730" s="16">
        <v>2201000000</v>
      </c>
      <c r="B1730" s="16">
        <v>0</v>
      </c>
      <c r="C1730" s="16" t="s">
        <v>3415</v>
      </c>
      <c r="D1730" s="16" t="s">
        <v>3403</v>
      </c>
    </row>
    <row r="1731" spans="1:4">
      <c r="A1731" s="16">
        <v>6102000000</v>
      </c>
      <c r="B1731" s="16">
        <v>0</v>
      </c>
      <c r="C1731" s="16" t="s">
        <v>3425</v>
      </c>
      <c r="D1731" s="16" t="s">
        <v>3426</v>
      </c>
    </row>
    <row r="1732" spans="1:4">
      <c r="A1732" s="16">
        <v>6100000000</v>
      </c>
      <c r="B1732" s="16">
        <v>65495408</v>
      </c>
      <c r="C1732" s="16" t="s">
        <v>3427</v>
      </c>
      <c r="D1732" s="16" t="s">
        <v>3417</v>
      </c>
    </row>
    <row r="1733" spans="1:4">
      <c r="A1733" s="16">
        <v>2500000000</v>
      </c>
      <c r="B1733" s="16">
        <v>0</v>
      </c>
      <c r="C1733" s="16" t="s">
        <v>3412</v>
      </c>
      <c r="D1733" s="16" t="s">
        <v>3403</v>
      </c>
    </row>
    <row r="1734" spans="1:4">
      <c r="A1734" s="16">
        <v>6700100000</v>
      </c>
      <c r="B1734" s="16">
        <v>0</v>
      </c>
      <c r="C1734" s="16" t="s">
        <v>3404</v>
      </c>
      <c r="D1734" s="16" t="s">
        <v>3410</v>
      </c>
    </row>
    <row r="1735" spans="1:4">
      <c r="A1735" s="16">
        <v>3103000000</v>
      </c>
      <c r="B1735" s="16">
        <v>0</v>
      </c>
      <c r="C1735" s="16" t="s">
        <v>3402</v>
      </c>
      <c r="D1735" s="16" t="s">
        <v>3403</v>
      </c>
    </row>
    <row r="1736" spans="1:4">
      <c r="A1736" s="16">
        <v>6700400000</v>
      </c>
      <c r="B1736" s="16">
        <v>0</v>
      </c>
      <c r="C1736" s="16" t="s">
        <v>3404</v>
      </c>
      <c r="D1736" s="16" t="s">
        <v>3405</v>
      </c>
    </row>
    <row r="1737" spans="1:4">
      <c r="A1737" s="16">
        <v>6102000000</v>
      </c>
      <c r="B1737" s="16">
        <v>0</v>
      </c>
      <c r="C1737" s="16" t="s">
        <v>3425</v>
      </c>
      <c r="D1737" s="16" t="s">
        <v>3426</v>
      </c>
    </row>
    <row r="1738" spans="1:4">
      <c r="A1738" s="16">
        <v>6030000000</v>
      </c>
      <c r="B1738" s="16">
        <v>0</v>
      </c>
      <c r="C1738" s="16" t="s">
        <v>3420</v>
      </c>
      <c r="D1738" s="16" t="s">
        <v>3423</v>
      </c>
    </row>
    <row r="1739" spans="1:4">
      <c r="A1739" s="16">
        <v>3032000000</v>
      </c>
      <c r="B1739" s="16">
        <v>0</v>
      </c>
      <c r="C1739" s="16" t="s">
        <v>3424</v>
      </c>
      <c r="D1739" s="16" t="s">
        <v>3403</v>
      </c>
    </row>
    <row r="1740" spans="1:4">
      <c r="A1740" s="16">
        <v>4203000000</v>
      </c>
      <c r="B1740" s="16">
        <v>-67877</v>
      </c>
      <c r="C1740" s="16" t="s">
        <v>3408</v>
      </c>
      <c r="D1740" s="16" t="s">
        <v>3403</v>
      </c>
    </row>
    <row r="1741" spans="1:4">
      <c r="A1741" s="16">
        <v>3100000000</v>
      </c>
      <c r="B1741" s="16">
        <v>-158193</v>
      </c>
      <c r="C1741" s="16" t="s">
        <v>3402</v>
      </c>
      <c r="D1741" s="16" t="s">
        <v>3403</v>
      </c>
    </row>
    <row r="1742" spans="1:4">
      <c r="A1742" s="16">
        <v>6700200000</v>
      </c>
      <c r="B1742" s="16">
        <v>0</v>
      </c>
      <c r="C1742" s="16" t="s">
        <v>3404</v>
      </c>
      <c r="D1742" s="16" t="s">
        <v>3409</v>
      </c>
    </row>
    <row r="1743" spans="1:4">
      <c r="A1743" s="16">
        <v>6700200000</v>
      </c>
      <c r="B1743" s="16">
        <v>-70887</v>
      </c>
      <c r="C1743" s="16" t="s">
        <v>3404</v>
      </c>
      <c r="D1743" s="16" t="s">
        <v>3409</v>
      </c>
    </row>
    <row r="1744" spans="1:4">
      <c r="A1744" s="16">
        <v>6700600000</v>
      </c>
      <c r="B1744" s="16">
        <v>0</v>
      </c>
      <c r="C1744" s="16" t="s">
        <v>3404</v>
      </c>
      <c r="D1744" s="16" t="s">
        <v>3409</v>
      </c>
    </row>
    <row r="1745" spans="1:4">
      <c r="A1745" s="16">
        <v>2201000000</v>
      </c>
      <c r="B1745" s="16">
        <v>36697166</v>
      </c>
      <c r="C1745" s="16" t="s">
        <v>3415</v>
      </c>
      <c r="D1745" s="16" t="s">
        <v>3403</v>
      </c>
    </row>
    <row r="1746" spans="1:4">
      <c r="A1746" s="16">
        <v>6102000000</v>
      </c>
      <c r="B1746" s="16">
        <v>0</v>
      </c>
      <c r="C1746" s="16" t="s">
        <v>3425</v>
      </c>
      <c r="D1746" s="16" t="s">
        <v>3426</v>
      </c>
    </row>
    <row r="1747" spans="1:4">
      <c r="A1747" s="16">
        <v>6100000000</v>
      </c>
      <c r="B1747" s="16">
        <v>0</v>
      </c>
      <c r="C1747" s="16" t="s">
        <v>3427</v>
      </c>
      <c r="D1747" s="16" t="s">
        <v>3417</v>
      </c>
    </row>
    <row r="1748" spans="1:4">
      <c r="A1748" s="16">
        <v>5010100000</v>
      </c>
      <c r="B1748" s="16">
        <v>0</v>
      </c>
      <c r="C1748" s="16" t="s">
        <v>3406</v>
      </c>
      <c r="D1748" s="16" t="s">
        <v>3407</v>
      </c>
    </row>
    <row r="1749" spans="1:4">
      <c r="A1749" s="16">
        <v>3030000000</v>
      </c>
      <c r="B1749" s="16">
        <v>-7487892</v>
      </c>
      <c r="C1749" s="16" t="s">
        <v>3402</v>
      </c>
      <c r="D1749" s="16" t="s">
        <v>3403</v>
      </c>
    </row>
    <row r="1750" spans="1:4">
      <c r="A1750" s="16">
        <v>3710000000</v>
      </c>
      <c r="B1750" s="16">
        <v>0</v>
      </c>
      <c r="C1750" s="16" t="s">
        <v>3402</v>
      </c>
      <c r="D1750" s="16" t="s">
        <v>3403</v>
      </c>
    </row>
    <row r="1751" spans="1:4">
      <c r="A1751" s="16">
        <v>5052010000</v>
      </c>
      <c r="B1751" s="16">
        <v>0</v>
      </c>
      <c r="C1751" s="16" t="s">
        <v>3406</v>
      </c>
      <c r="D1751" s="16" t="s">
        <v>3422</v>
      </c>
    </row>
    <row r="1752" spans="1:4">
      <c r="A1752" s="16">
        <v>3103001000</v>
      </c>
      <c r="B1752" s="16">
        <v>0</v>
      </c>
      <c r="C1752" s="16" t="s">
        <v>3402</v>
      </c>
      <c r="D1752" s="16" t="s">
        <v>3403</v>
      </c>
    </row>
    <row r="1753" spans="1:4">
      <c r="A1753" s="16">
        <v>6700400000</v>
      </c>
      <c r="B1753" s="16">
        <v>0</v>
      </c>
      <c r="C1753" s="16" t="s">
        <v>3404</v>
      </c>
      <c r="D1753" s="16" t="s">
        <v>3405</v>
      </c>
    </row>
    <row r="1754" spans="1:4">
      <c r="A1754" s="16">
        <v>3710000000</v>
      </c>
      <c r="B1754" s="16">
        <v>0</v>
      </c>
      <c r="C1754" s="16" t="s">
        <v>3402</v>
      </c>
      <c r="D1754" s="16" t="s">
        <v>3403</v>
      </c>
    </row>
    <row r="1755" spans="1:4">
      <c r="A1755" s="16">
        <v>4203000000</v>
      </c>
      <c r="B1755" s="16">
        <v>0</v>
      </c>
      <c r="C1755" s="16" t="s">
        <v>3408</v>
      </c>
      <c r="D1755" s="16" t="s">
        <v>3403</v>
      </c>
    </row>
    <row r="1756" spans="1:4">
      <c r="A1756" s="16">
        <v>2500000000</v>
      </c>
      <c r="B1756" s="16">
        <v>0</v>
      </c>
      <c r="C1756" s="16" t="s">
        <v>3412</v>
      </c>
      <c r="D1756" s="16" t="s">
        <v>3403</v>
      </c>
    </row>
    <row r="1757" spans="1:4">
      <c r="A1757" s="16">
        <v>6700200000</v>
      </c>
      <c r="B1757" s="16">
        <v>0</v>
      </c>
      <c r="C1757" s="16" t="s">
        <v>3404</v>
      </c>
      <c r="D1757" s="16" t="s">
        <v>3409</v>
      </c>
    </row>
    <row r="1758" spans="1:4">
      <c r="A1758" s="16">
        <v>3100000000</v>
      </c>
      <c r="B1758" s="16">
        <v>-65495408</v>
      </c>
      <c r="C1758" s="16" t="s">
        <v>3402</v>
      </c>
      <c r="D1758" s="16" t="s">
        <v>3403</v>
      </c>
    </row>
    <row r="1759" spans="1:4">
      <c r="A1759" s="16">
        <v>3102000000</v>
      </c>
      <c r="B1759" s="16">
        <v>7038549</v>
      </c>
      <c r="C1759" s="16" t="s">
        <v>3424</v>
      </c>
      <c r="D1759" s="16" t="s">
        <v>3403</v>
      </c>
    </row>
    <row r="1760" spans="1:4">
      <c r="A1760" s="16">
        <v>5010000000</v>
      </c>
      <c r="B1760" s="16">
        <v>0</v>
      </c>
      <c r="C1760" s="16" t="s">
        <v>3406</v>
      </c>
      <c r="D1760" s="16" t="s">
        <v>3411</v>
      </c>
    </row>
    <row r="1761" spans="1:4">
      <c r="A1761" s="16">
        <v>3030000000</v>
      </c>
      <c r="B1761" s="16">
        <v>0</v>
      </c>
      <c r="C1761" s="16" t="s">
        <v>3402</v>
      </c>
      <c r="D1761" s="16" t="s">
        <v>3403</v>
      </c>
    </row>
    <row r="1762" spans="1:4">
      <c r="A1762" s="16">
        <v>6032000000</v>
      </c>
      <c r="B1762" s="16">
        <v>0</v>
      </c>
      <c r="C1762" s="16" t="s">
        <v>3429</v>
      </c>
      <c r="D1762" s="16" t="s">
        <v>3430</v>
      </c>
    </row>
    <row r="1763" spans="1:4">
      <c r="A1763" s="16">
        <v>6610000000</v>
      </c>
      <c r="B1763" s="16">
        <v>4094</v>
      </c>
      <c r="C1763" s="16" t="s">
        <v>3413</v>
      </c>
      <c r="D1763" s="16" t="s">
        <v>3418</v>
      </c>
    </row>
    <row r="1764" spans="1:4">
      <c r="A1764" s="16">
        <v>6700100000</v>
      </c>
      <c r="B1764" s="16">
        <v>0</v>
      </c>
      <c r="C1764" s="16" t="s">
        <v>3404</v>
      </c>
      <c r="D1764" s="16" t="s">
        <v>3410</v>
      </c>
    </row>
    <row r="1765" spans="1:4">
      <c r="A1765" s="16">
        <v>6700700000</v>
      </c>
      <c r="B1765" s="16">
        <v>0</v>
      </c>
      <c r="C1765" s="16" t="s">
        <v>3404</v>
      </c>
      <c r="D1765" s="16" t="s">
        <v>3409</v>
      </c>
    </row>
    <row r="1766" spans="1:4">
      <c r="A1766" s="16">
        <v>2500000000</v>
      </c>
      <c r="B1766" s="16">
        <v>0</v>
      </c>
      <c r="C1766" s="16" t="s">
        <v>3412</v>
      </c>
      <c r="D1766" s="16" t="s">
        <v>3403</v>
      </c>
    </row>
    <row r="1767" spans="1:4">
      <c r="A1767" s="16">
        <v>6610000000</v>
      </c>
      <c r="B1767" s="16">
        <v>0</v>
      </c>
      <c r="C1767" s="16" t="s">
        <v>3413</v>
      </c>
      <c r="D1767" s="16" t="s">
        <v>3418</v>
      </c>
    </row>
    <row r="1768" spans="1:4">
      <c r="A1768" s="16">
        <v>6700400000</v>
      </c>
      <c r="B1768" s="16">
        <v>0</v>
      </c>
      <c r="C1768" s="16" t="s">
        <v>3404</v>
      </c>
      <c r="D1768" s="16" t="s">
        <v>3405</v>
      </c>
    </row>
    <row r="1769" spans="1:4">
      <c r="A1769" s="16">
        <v>6700200000</v>
      </c>
      <c r="B1769" s="16">
        <v>-36697166</v>
      </c>
      <c r="C1769" s="16" t="s">
        <v>3404</v>
      </c>
      <c r="D1769" s="16" t="s">
        <v>3409</v>
      </c>
    </row>
    <row r="1770" spans="1:4">
      <c r="A1770" s="16">
        <v>3100000000</v>
      </c>
      <c r="B1770" s="16">
        <v>0</v>
      </c>
      <c r="C1770" s="16" t="s">
        <v>3402</v>
      </c>
      <c r="D1770" s="16" t="s">
        <v>3403</v>
      </c>
    </row>
    <row r="1771" spans="1:4">
      <c r="A1771" s="16">
        <v>3102000000</v>
      </c>
      <c r="B1771" s="16">
        <v>32925237</v>
      </c>
      <c r="C1771" s="16" t="s">
        <v>3424</v>
      </c>
      <c r="D1771" s="16" t="s">
        <v>3403</v>
      </c>
    </row>
    <row r="1772" spans="1:4">
      <c r="A1772" s="16">
        <v>5052010000</v>
      </c>
      <c r="B1772" s="16">
        <v>0</v>
      </c>
      <c r="C1772" s="16" t="s">
        <v>3406</v>
      </c>
      <c r="D1772" s="16" t="s">
        <v>3422</v>
      </c>
    </row>
    <row r="1773" spans="1:4">
      <c r="A1773" s="16">
        <v>2500000000</v>
      </c>
      <c r="B1773" s="16">
        <v>0</v>
      </c>
      <c r="C1773" s="16" t="s">
        <v>3412</v>
      </c>
      <c r="D1773" s="16" t="s">
        <v>3403</v>
      </c>
    </row>
    <row r="1774" spans="1:4">
      <c r="A1774" s="16">
        <v>2750010000</v>
      </c>
      <c r="B1774" s="16">
        <v>0</v>
      </c>
      <c r="C1774" s="16" t="s">
        <v>3419</v>
      </c>
      <c r="D1774" s="16" t="s">
        <v>3403</v>
      </c>
    </row>
    <row r="1775" spans="1:4">
      <c r="A1775" s="16">
        <v>6030000000</v>
      </c>
      <c r="B1775" s="16">
        <v>20124559</v>
      </c>
      <c r="C1775" s="16" t="s">
        <v>3432</v>
      </c>
      <c r="D1775" s="16" t="s">
        <v>3423</v>
      </c>
    </row>
    <row r="1776" spans="1:4">
      <c r="A1776" s="16">
        <v>6700200000</v>
      </c>
      <c r="B1776" s="16">
        <v>0</v>
      </c>
      <c r="C1776" s="16" t="s">
        <v>3404</v>
      </c>
      <c r="D1776" s="16" t="s">
        <v>3409</v>
      </c>
    </row>
    <row r="1777" spans="1:4">
      <c r="A1777" s="16">
        <v>6700700000</v>
      </c>
      <c r="B1777" s="16">
        <v>0</v>
      </c>
      <c r="C1777" s="16" t="s">
        <v>3404</v>
      </c>
      <c r="D1777" s="16" t="s">
        <v>3409</v>
      </c>
    </row>
    <row r="1778" spans="1:4">
      <c r="A1778" s="16">
        <v>5052000000</v>
      </c>
      <c r="B1778" s="16">
        <v>0</v>
      </c>
      <c r="C1778" s="16" t="s">
        <v>3406</v>
      </c>
      <c r="D1778" s="16" t="s">
        <v>3422</v>
      </c>
    </row>
    <row r="1779" spans="1:4">
      <c r="A1779" s="16">
        <v>5010100010</v>
      </c>
      <c r="B1779" s="16">
        <v>0</v>
      </c>
      <c r="C1779" s="16" t="s">
        <v>3406</v>
      </c>
      <c r="D1779" s="16" t="s">
        <v>3407</v>
      </c>
    </row>
    <row r="1780" spans="1:4">
      <c r="A1780" s="16">
        <v>6610000000</v>
      </c>
      <c r="B1780" s="16">
        <v>0</v>
      </c>
      <c r="C1780" s="16" t="s">
        <v>3413</v>
      </c>
      <c r="D1780" s="16" t="s">
        <v>3418</v>
      </c>
    </row>
    <row r="1781" spans="1:4">
      <c r="A1781" s="16">
        <v>5010000000</v>
      </c>
      <c r="B1781" s="16">
        <v>0</v>
      </c>
      <c r="C1781" s="16" t="s">
        <v>3406</v>
      </c>
      <c r="D1781" s="16" t="s">
        <v>3411</v>
      </c>
    </row>
    <row r="1782" spans="1:4">
      <c r="A1782" s="16">
        <v>2201000000</v>
      </c>
      <c r="B1782" s="16">
        <v>0</v>
      </c>
      <c r="C1782" s="16" t="s">
        <v>3415</v>
      </c>
      <c r="D1782" s="16" t="s">
        <v>3403</v>
      </c>
    </row>
    <row r="1783" spans="1:4">
      <c r="A1783" s="16">
        <v>5050010000</v>
      </c>
      <c r="B1783" s="16">
        <v>0</v>
      </c>
      <c r="C1783" s="16" t="s">
        <v>3406</v>
      </c>
      <c r="D1783" s="16" t="s">
        <v>3422</v>
      </c>
    </row>
    <row r="1784" spans="1:4">
      <c r="A1784" s="16">
        <v>6102000000</v>
      </c>
      <c r="B1784" s="16">
        <v>-7038549</v>
      </c>
      <c r="C1784" s="16" t="s">
        <v>3425</v>
      </c>
      <c r="D1784" s="16" t="s">
        <v>3426</v>
      </c>
    </row>
    <row r="1785" spans="1:4">
      <c r="A1785" s="16">
        <v>2201000000</v>
      </c>
      <c r="B1785" s="16">
        <v>0</v>
      </c>
      <c r="C1785" s="16" t="s">
        <v>3415</v>
      </c>
      <c r="D1785" s="16" t="s">
        <v>3403</v>
      </c>
    </row>
    <row r="1786" spans="1:4">
      <c r="A1786" s="16">
        <v>6700200000</v>
      </c>
      <c r="B1786" s="16">
        <v>0</v>
      </c>
      <c r="C1786" s="16" t="s">
        <v>3404</v>
      </c>
      <c r="D1786" s="16" t="s">
        <v>3409</v>
      </c>
    </row>
    <row r="1787" spans="1:4">
      <c r="A1787" s="16">
        <v>6100000000</v>
      </c>
      <c r="B1787" s="16">
        <v>0</v>
      </c>
      <c r="C1787" s="16" t="s">
        <v>3416</v>
      </c>
      <c r="D1787" s="16" t="s">
        <v>3417</v>
      </c>
    </row>
    <row r="1788" spans="1:4">
      <c r="A1788" s="16">
        <v>4203000000</v>
      </c>
      <c r="B1788" s="16">
        <v>-4094</v>
      </c>
      <c r="C1788" s="16" t="s">
        <v>3408</v>
      </c>
      <c r="D1788" s="16" t="s">
        <v>3403</v>
      </c>
    </row>
    <row r="1789" spans="1:4">
      <c r="A1789" s="16">
        <v>6700500000</v>
      </c>
      <c r="B1789" s="16">
        <v>0</v>
      </c>
      <c r="C1789" s="16" t="s">
        <v>3404</v>
      </c>
      <c r="D1789" s="16" t="s">
        <v>3405</v>
      </c>
    </row>
    <row r="1790" spans="1:4">
      <c r="A1790" s="16">
        <v>6610100000</v>
      </c>
      <c r="B1790" s="16">
        <v>0</v>
      </c>
      <c r="C1790" s="16" t="s">
        <v>3413</v>
      </c>
      <c r="D1790" s="16" t="s">
        <v>3414</v>
      </c>
    </row>
    <row r="1791" spans="1:4">
      <c r="A1791" s="16">
        <v>5010000000</v>
      </c>
      <c r="B1791" s="16">
        <v>0</v>
      </c>
      <c r="C1791" s="16" t="s">
        <v>3406</v>
      </c>
      <c r="D1791" s="16" t="s">
        <v>3411</v>
      </c>
    </row>
    <row r="1792" spans="1:4">
      <c r="A1792" s="16">
        <v>4203000000</v>
      </c>
      <c r="B1792" s="16">
        <v>0</v>
      </c>
      <c r="C1792" s="16" t="s">
        <v>3408</v>
      </c>
      <c r="D1792" s="16" t="s">
        <v>3403</v>
      </c>
    </row>
    <row r="1793" spans="1:4">
      <c r="A1793" s="16">
        <v>2500000000</v>
      </c>
      <c r="B1793" s="16">
        <v>0</v>
      </c>
      <c r="C1793" s="16" t="s">
        <v>3412</v>
      </c>
      <c r="D1793" s="16" t="s">
        <v>3403</v>
      </c>
    </row>
    <row r="1794" spans="1:4">
      <c r="A1794" s="16">
        <v>3032000000</v>
      </c>
      <c r="B1794" s="16">
        <v>0</v>
      </c>
      <c r="C1794" s="16" t="s">
        <v>3424</v>
      </c>
      <c r="D1794" s="16" t="s">
        <v>3403</v>
      </c>
    </row>
    <row r="1795" spans="1:4">
      <c r="A1795" s="16">
        <v>6100000000</v>
      </c>
      <c r="B1795" s="16">
        <v>5504</v>
      </c>
      <c r="C1795" s="16" t="s">
        <v>3416</v>
      </c>
      <c r="D1795" s="16" t="s">
        <v>3417</v>
      </c>
    </row>
    <row r="1796" spans="1:4">
      <c r="A1796" s="16">
        <v>6700200000</v>
      </c>
      <c r="B1796" s="16">
        <v>0</v>
      </c>
      <c r="C1796" s="16" t="s">
        <v>3404</v>
      </c>
      <c r="D1796" s="16" t="s">
        <v>3409</v>
      </c>
    </row>
    <row r="1797" spans="1:4">
      <c r="A1797" s="16">
        <v>6102000000</v>
      </c>
      <c r="B1797" s="16">
        <v>-32925237</v>
      </c>
      <c r="C1797" s="16" t="s">
        <v>3425</v>
      </c>
      <c r="D1797" s="16" t="s">
        <v>3426</v>
      </c>
    </row>
    <row r="1798" spans="1:4">
      <c r="A1798" s="16">
        <v>5052000000</v>
      </c>
      <c r="B1798" s="16">
        <v>0</v>
      </c>
      <c r="C1798" s="16" t="s">
        <v>3406</v>
      </c>
      <c r="D1798" s="16" t="s">
        <v>3422</v>
      </c>
    </row>
    <row r="1799" spans="1:4">
      <c r="A1799" s="16">
        <v>5010100000</v>
      </c>
      <c r="B1799" s="16">
        <v>0</v>
      </c>
      <c r="C1799" s="16" t="s">
        <v>3406</v>
      </c>
      <c r="D1799" s="16" t="s">
        <v>3407</v>
      </c>
    </row>
    <row r="1800" spans="1:4">
      <c r="A1800" s="16">
        <v>6610000100</v>
      </c>
      <c r="B1800" s="16">
        <v>0</v>
      </c>
      <c r="C1800" s="16" t="s">
        <v>3413</v>
      </c>
      <c r="D1800" s="16" t="s">
        <v>3418</v>
      </c>
    </row>
    <row r="1801" spans="1:4">
      <c r="A1801" s="16">
        <v>3030000000</v>
      </c>
      <c r="B1801" s="16">
        <v>-20124559</v>
      </c>
      <c r="C1801" s="16" t="s">
        <v>3402</v>
      </c>
      <c r="D1801" s="16" t="s">
        <v>3403</v>
      </c>
    </row>
    <row r="1802" spans="1:4">
      <c r="A1802" s="16">
        <v>6150000000</v>
      </c>
      <c r="B1802" s="16">
        <v>0</v>
      </c>
      <c r="C1802" s="16" t="s">
        <v>3416</v>
      </c>
      <c r="D1802" s="16" t="s">
        <v>3417</v>
      </c>
    </row>
    <row r="1803" spans="1:4">
      <c r="A1803" s="16">
        <v>2500000000</v>
      </c>
      <c r="B1803" s="16">
        <v>0</v>
      </c>
      <c r="C1803" s="16" t="s">
        <v>3412</v>
      </c>
      <c r="D1803" s="16" t="s">
        <v>3403</v>
      </c>
    </row>
    <row r="1804" spans="1:4">
      <c r="A1804" s="16">
        <v>6700000000</v>
      </c>
      <c r="B1804" s="16">
        <v>0</v>
      </c>
      <c r="C1804" s="16" t="s">
        <v>3404</v>
      </c>
      <c r="D1804" s="16" t="s">
        <v>3405</v>
      </c>
    </row>
    <row r="1805" spans="1:4">
      <c r="A1805" s="16">
        <v>6700500000</v>
      </c>
      <c r="B1805" s="16">
        <v>0</v>
      </c>
      <c r="C1805" s="16" t="s">
        <v>3404</v>
      </c>
      <c r="D1805" s="16" t="s">
        <v>3405</v>
      </c>
    </row>
    <row r="1806" spans="1:4">
      <c r="A1806" s="16">
        <v>3710000000</v>
      </c>
      <c r="B1806" s="16">
        <v>0</v>
      </c>
      <c r="C1806" s="16" t="s">
        <v>3402</v>
      </c>
      <c r="D1806" s="16" t="s">
        <v>3403</v>
      </c>
    </row>
    <row r="1807" spans="1:4">
      <c r="A1807" s="16">
        <v>4203000000</v>
      </c>
      <c r="B1807" s="16">
        <v>0</v>
      </c>
      <c r="C1807" s="16" t="s">
        <v>3408</v>
      </c>
      <c r="D1807" s="16" t="s">
        <v>3403</v>
      </c>
    </row>
    <row r="1808" spans="1:4">
      <c r="A1808" s="16">
        <v>2500000000</v>
      </c>
      <c r="B1808" s="16">
        <v>0</v>
      </c>
      <c r="C1808" s="16" t="s">
        <v>3412</v>
      </c>
      <c r="D1808" s="16" t="s">
        <v>3403</v>
      </c>
    </row>
    <row r="1809" spans="1:4">
      <c r="A1809" s="16">
        <v>5052000000</v>
      </c>
      <c r="B1809" s="16">
        <v>0</v>
      </c>
      <c r="C1809" s="16" t="s">
        <v>3406</v>
      </c>
      <c r="D1809" s="16" t="s">
        <v>3422</v>
      </c>
    </row>
    <row r="1810" spans="1:4">
      <c r="A1810" s="16">
        <v>6700200000</v>
      </c>
      <c r="B1810" s="16">
        <v>0</v>
      </c>
      <c r="C1810" s="16" t="s">
        <v>3404</v>
      </c>
      <c r="D1810" s="16" t="s">
        <v>3409</v>
      </c>
    </row>
    <row r="1811" spans="1:4">
      <c r="A1811" s="16">
        <v>5050000000</v>
      </c>
      <c r="B1811" s="16">
        <v>0</v>
      </c>
      <c r="C1811" s="16" t="s">
        <v>3406</v>
      </c>
      <c r="D1811" s="16" t="s">
        <v>3422</v>
      </c>
    </row>
    <row r="1812" spans="1:4">
      <c r="A1812" s="16">
        <v>6700200000</v>
      </c>
      <c r="B1812" s="16">
        <v>0</v>
      </c>
      <c r="C1812" s="16" t="s">
        <v>3404</v>
      </c>
      <c r="D1812" s="16" t="s">
        <v>3409</v>
      </c>
    </row>
    <row r="1813" spans="1:4">
      <c r="A1813" s="16">
        <v>6700100000</v>
      </c>
      <c r="B1813" s="16">
        <v>0</v>
      </c>
      <c r="C1813" s="16" t="s">
        <v>3404</v>
      </c>
      <c r="D1813" s="16" t="s">
        <v>3410</v>
      </c>
    </row>
    <row r="1814" spans="1:4">
      <c r="A1814" s="16">
        <v>4010100000</v>
      </c>
      <c r="B1814" s="16">
        <v>0</v>
      </c>
      <c r="C1814" s="16" t="s">
        <v>3431</v>
      </c>
      <c r="D1814" s="16" t="s">
        <v>3403</v>
      </c>
    </row>
    <row r="1815" spans="1:4">
      <c r="A1815" s="16">
        <v>6100000000</v>
      </c>
      <c r="B1815" s="16">
        <v>367453572</v>
      </c>
      <c r="C1815" s="16" t="s">
        <v>3416</v>
      </c>
      <c r="D1815" s="16" t="s">
        <v>3417</v>
      </c>
    </row>
    <row r="1816" spans="1:4">
      <c r="A1816" s="16">
        <v>4203000000</v>
      </c>
      <c r="B1816" s="16">
        <v>0</v>
      </c>
      <c r="C1816" s="16" t="s">
        <v>3408</v>
      </c>
      <c r="D1816" s="16" t="s">
        <v>3403</v>
      </c>
    </row>
    <row r="1817" spans="1:4">
      <c r="A1817" s="16">
        <v>5010000000</v>
      </c>
      <c r="B1817" s="16">
        <v>0</v>
      </c>
      <c r="C1817" s="16" t="s">
        <v>3406</v>
      </c>
      <c r="D1817" s="16" t="s">
        <v>3411</v>
      </c>
    </row>
    <row r="1818" spans="1:4">
      <c r="A1818" s="16">
        <v>6032000000</v>
      </c>
      <c r="B1818" s="16">
        <v>0</v>
      </c>
      <c r="C1818" s="16" t="s">
        <v>3429</v>
      </c>
      <c r="D1818" s="16" t="s">
        <v>3430</v>
      </c>
    </row>
    <row r="1819" spans="1:4">
      <c r="A1819" s="16">
        <v>2750010000</v>
      </c>
      <c r="B1819" s="16">
        <v>0</v>
      </c>
      <c r="C1819" s="16" t="s">
        <v>3419</v>
      </c>
      <c r="D1819" s="16" t="s">
        <v>3403</v>
      </c>
    </row>
    <row r="1820" spans="1:4">
      <c r="A1820" s="16">
        <v>3100000000</v>
      </c>
      <c r="B1820" s="16">
        <v>-5504</v>
      </c>
      <c r="C1820" s="16" t="s">
        <v>3402</v>
      </c>
      <c r="D1820" s="16" t="s">
        <v>3403</v>
      </c>
    </row>
    <row r="1821" spans="1:4">
      <c r="A1821" s="16">
        <v>6700100000</v>
      </c>
      <c r="B1821" s="16">
        <v>0</v>
      </c>
      <c r="C1821" s="16" t="s">
        <v>3404</v>
      </c>
      <c r="D1821" s="16" t="s">
        <v>3410</v>
      </c>
    </row>
    <row r="1822" spans="1:4">
      <c r="A1822" s="16">
        <v>6610100000</v>
      </c>
      <c r="B1822" s="16">
        <v>379</v>
      </c>
      <c r="C1822" s="16" t="s">
        <v>3413</v>
      </c>
      <c r="D1822" s="16" t="s">
        <v>3414</v>
      </c>
    </row>
    <row r="1823" spans="1:4">
      <c r="A1823" s="16">
        <v>6100000000</v>
      </c>
      <c r="B1823" s="16">
        <v>0</v>
      </c>
      <c r="C1823" s="16" t="s">
        <v>3416</v>
      </c>
      <c r="D1823" s="16" t="s">
        <v>3417</v>
      </c>
    </row>
    <row r="1824" spans="1:4">
      <c r="A1824" s="16">
        <v>2201000000</v>
      </c>
      <c r="B1824" s="16">
        <v>0</v>
      </c>
      <c r="C1824" s="16" t="s">
        <v>3415</v>
      </c>
      <c r="D1824" s="16" t="s">
        <v>3403</v>
      </c>
    </row>
    <row r="1825" spans="1:4">
      <c r="A1825" s="16">
        <v>2201000000</v>
      </c>
      <c r="B1825" s="16">
        <v>0</v>
      </c>
      <c r="C1825" s="16" t="s">
        <v>3415</v>
      </c>
      <c r="D1825" s="16" t="s">
        <v>3403</v>
      </c>
    </row>
    <row r="1826" spans="1:4">
      <c r="A1826" s="16">
        <v>3510000000</v>
      </c>
      <c r="B1826" s="16">
        <v>0</v>
      </c>
      <c r="C1826" s="16" t="s">
        <v>3402</v>
      </c>
      <c r="D1826" s="16" t="s">
        <v>3403</v>
      </c>
    </row>
    <row r="1827" spans="1:4">
      <c r="A1827" s="16">
        <v>5010100000</v>
      </c>
      <c r="B1827" s="16">
        <v>0</v>
      </c>
      <c r="C1827" s="16" t="s">
        <v>3406</v>
      </c>
      <c r="D1827" s="16" t="s">
        <v>3407</v>
      </c>
    </row>
    <row r="1828" spans="1:4">
      <c r="A1828" s="16">
        <v>3102000000</v>
      </c>
      <c r="B1828" s="16">
        <v>0</v>
      </c>
      <c r="C1828" s="16" t="s">
        <v>3424</v>
      </c>
      <c r="D1828" s="16" t="s">
        <v>3403</v>
      </c>
    </row>
    <row r="1829" spans="1:4">
      <c r="A1829" s="16">
        <v>6150000000</v>
      </c>
      <c r="B1829" s="16">
        <v>0</v>
      </c>
      <c r="C1829" s="16" t="s">
        <v>3416</v>
      </c>
      <c r="D1829" s="16" t="s">
        <v>3417</v>
      </c>
    </row>
    <row r="1830" spans="1:4">
      <c r="A1830" s="16">
        <v>5010000000</v>
      </c>
      <c r="B1830" s="16">
        <v>0</v>
      </c>
      <c r="C1830" s="16" t="s">
        <v>3406</v>
      </c>
      <c r="D1830" s="16" t="s">
        <v>3411</v>
      </c>
    </row>
    <row r="1831" spans="1:4">
      <c r="A1831" s="16">
        <v>4011000000</v>
      </c>
      <c r="B1831" s="16">
        <v>0</v>
      </c>
      <c r="C1831" s="16" t="s">
        <v>3431</v>
      </c>
      <c r="D1831" s="16" t="s">
        <v>3403</v>
      </c>
    </row>
    <row r="1832" spans="1:4">
      <c r="A1832" s="16">
        <v>5010000010</v>
      </c>
      <c r="B1832" s="16">
        <v>0</v>
      </c>
      <c r="C1832" s="16" t="s">
        <v>3406</v>
      </c>
      <c r="D1832" s="16" t="s">
        <v>3411</v>
      </c>
    </row>
    <row r="1833" spans="1:4">
      <c r="A1833" s="16">
        <v>3100000000</v>
      </c>
      <c r="B1833" s="16">
        <v>-367453572</v>
      </c>
      <c r="C1833" s="16" t="s">
        <v>3402</v>
      </c>
      <c r="D1833" s="16" t="s">
        <v>3403</v>
      </c>
    </row>
    <row r="1834" spans="1:4">
      <c r="A1834" s="16">
        <v>2500000000</v>
      </c>
      <c r="B1834" s="16">
        <v>0</v>
      </c>
      <c r="C1834" s="16" t="s">
        <v>3412</v>
      </c>
      <c r="D1834" s="16" t="s">
        <v>3403</v>
      </c>
    </row>
    <row r="1835" spans="1:4">
      <c r="A1835" s="16">
        <v>6700600000</v>
      </c>
      <c r="B1835" s="16">
        <v>0</v>
      </c>
      <c r="C1835" s="16" t="s">
        <v>3404</v>
      </c>
      <c r="D1835" s="16" t="s">
        <v>3409</v>
      </c>
    </row>
    <row r="1836" spans="1:4">
      <c r="A1836" s="16">
        <v>6700200000</v>
      </c>
      <c r="B1836" s="16">
        <v>399884823</v>
      </c>
      <c r="C1836" s="16" t="s">
        <v>3404</v>
      </c>
      <c r="D1836" s="16" t="s">
        <v>3409</v>
      </c>
    </row>
    <row r="1837" spans="1:4">
      <c r="A1837" s="16">
        <v>6610100100</v>
      </c>
      <c r="B1837" s="16">
        <v>0</v>
      </c>
      <c r="C1837" s="16" t="s">
        <v>3413</v>
      </c>
      <c r="D1837" s="16" t="s">
        <v>3414</v>
      </c>
    </row>
    <row r="1838" spans="1:4">
      <c r="A1838" s="16">
        <v>6700600000</v>
      </c>
      <c r="B1838" s="16">
        <v>0</v>
      </c>
      <c r="C1838" s="16" t="s">
        <v>3404</v>
      </c>
      <c r="D1838" s="16" t="s">
        <v>3409</v>
      </c>
    </row>
    <row r="1839" spans="1:4">
      <c r="A1839" s="16">
        <v>4203000000</v>
      </c>
      <c r="B1839" s="16">
        <v>-379</v>
      </c>
      <c r="C1839" s="16" t="s">
        <v>3408</v>
      </c>
      <c r="D1839" s="16" t="s">
        <v>3403</v>
      </c>
    </row>
    <row r="1840" spans="1:4">
      <c r="A1840" s="16">
        <v>3100000000</v>
      </c>
      <c r="B1840" s="16">
        <v>0</v>
      </c>
      <c r="C1840" s="16" t="s">
        <v>3402</v>
      </c>
      <c r="D1840" s="16" t="s">
        <v>3403</v>
      </c>
    </row>
    <row r="1841" spans="1:4">
      <c r="A1841" s="16">
        <v>6700200000</v>
      </c>
      <c r="B1841" s="16">
        <v>0</v>
      </c>
      <c r="C1841" s="16" t="s">
        <v>3404</v>
      </c>
      <c r="D1841" s="16" t="s">
        <v>3409</v>
      </c>
    </row>
    <row r="1842" spans="1:4">
      <c r="A1842" s="16">
        <v>6610000000</v>
      </c>
      <c r="B1842" s="16">
        <v>0</v>
      </c>
      <c r="C1842" s="16" t="s">
        <v>3413</v>
      </c>
      <c r="D1842" s="16" t="s">
        <v>3418</v>
      </c>
    </row>
    <row r="1843" spans="1:4">
      <c r="A1843" s="16">
        <v>6700200000</v>
      </c>
      <c r="B1843" s="16">
        <v>0</v>
      </c>
      <c r="C1843" s="16" t="s">
        <v>3404</v>
      </c>
      <c r="D1843" s="16" t="s">
        <v>3409</v>
      </c>
    </row>
    <row r="1844" spans="1:4">
      <c r="A1844" s="16">
        <v>6102000000</v>
      </c>
      <c r="B1844" s="16">
        <v>0</v>
      </c>
      <c r="C1844" s="16" t="s">
        <v>3425</v>
      </c>
      <c r="D1844" s="16" t="s">
        <v>3426</v>
      </c>
    </row>
    <row r="1845" spans="1:4">
      <c r="A1845" s="16">
        <v>3510000000</v>
      </c>
      <c r="B1845" s="16">
        <v>0</v>
      </c>
      <c r="C1845" s="16" t="s">
        <v>3402</v>
      </c>
      <c r="D1845" s="16" t="s">
        <v>3403</v>
      </c>
    </row>
    <row r="1846" spans="1:4">
      <c r="A1846" s="16">
        <v>5052010000</v>
      </c>
      <c r="B1846" s="16">
        <v>0</v>
      </c>
      <c r="C1846" s="16" t="s">
        <v>3406</v>
      </c>
      <c r="D1846" s="16" t="s">
        <v>3422</v>
      </c>
    </row>
    <row r="1847" spans="1:4">
      <c r="A1847" s="16">
        <v>6700200000</v>
      </c>
      <c r="B1847" s="16">
        <v>0</v>
      </c>
      <c r="C1847" s="16" t="s">
        <v>3404</v>
      </c>
      <c r="D1847" s="16" t="s">
        <v>3409</v>
      </c>
    </row>
    <row r="1848" spans="1:4">
      <c r="A1848" s="16">
        <v>6610100000</v>
      </c>
      <c r="B1848" s="16">
        <v>0</v>
      </c>
      <c r="C1848" s="16" t="s">
        <v>3413</v>
      </c>
      <c r="D1848" s="16" t="s">
        <v>3414</v>
      </c>
    </row>
    <row r="1849" spans="1:4">
      <c r="A1849" s="16">
        <v>3710000000</v>
      </c>
      <c r="B1849" s="16">
        <v>0</v>
      </c>
      <c r="C1849" s="16" t="s">
        <v>3402</v>
      </c>
      <c r="D1849" s="16" t="s">
        <v>3403</v>
      </c>
    </row>
    <row r="1850" spans="1:4">
      <c r="A1850" s="16">
        <v>5010000000</v>
      </c>
      <c r="B1850" s="16">
        <v>0</v>
      </c>
      <c r="C1850" s="16" t="s">
        <v>3406</v>
      </c>
      <c r="D1850" s="16" t="s">
        <v>3411</v>
      </c>
    </row>
    <row r="1851" spans="1:4">
      <c r="A1851" s="16">
        <v>6700400000</v>
      </c>
      <c r="B1851" s="16">
        <v>0</v>
      </c>
      <c r="C1851" s="16" t="s">
        <v>3404</v>
      </c>
      <c r="D1851" s="16" t="s">
        <v>3405</v>
      </c>
    </row>
    <row r="1852" spans="1:4">
      <c r="A1852" s="16">
        <v>3102000000</v>
      </c>
      <c r="B1852" s="16">
        <v>0</v>
      </c>
      <c r="C1852" s="16" t="s">
        <v>3424</v>
      </c>
      <c r="D1852" s="16" t="s">
        <v>3403</v>
      </c>
    </row>
    <row r="1853" spans="1:4">
      <c r="A1853" s="16">
        <v>6700100000</v>
      </c>
      <c r="B1853" s="16">
        <v>-399884823</v>
      </c>
      <c r="C1853" s="16" t="s">
        <v>3404</v>
      </c>
      <c r="D1853" s="16" t="s">
        <v>3410</v>
      </c>
    </row>
    <row r="1854" spans="1:4">
      <c r="A1854" s="16">
        <v>6060010000</v>
      </c>
      <c r="B1854" s="16">
        <v>0</v>
      </c>
      <c r="C1854" s="16" t="s">
        <v>3420</v>
      </c>
      <c r="D1854" s="16" t="s">
        <v>3421</v>
      </c>
    </row>
    <row r="1855" spans="1:4">
      <c r="A1855" s="16">
        <v>6700200000</v>
      </c>
      <c r="B1855" s="16">
        <v>0</v>
      </c>
      <c r="C1855" s="16" t="s">
        <v>3404</v>
      </c>
      <c r="D1855" s="16" t="s">
        <v>3409</v>
      </c>
    </row>
    <row r="1856" spans="1:4">
      <c r="A1856" s="16">
        <v>3032000000</v>
      </c>
      <c r="B1856" s="16">
        <v>0</v>
      </c>
      <c r="C1856" s="16" t="s">
        <v>3424</v>
      </c>
      <c r="D1856" s="16" t="s">
        <v>3403</v>
      </c>
    </row>
    <row r="1857" spans="1:4">
      <c r="A1857" s="16">
        <v>6700400000</v>
      </c>
      <c r="B1857" s="16">
        <v>0</v>
      </c>
      <c r="C1857" s="16" t="s">
        <v>3404</v>
      </c>
      <c r="D1857" s="16" t="s">
        <v>3405</v>
      </c>
    </row>
    <row r="1858" spans="1:4">
      <c r="A1858" s="16">
        <v>6700700000</v>
      </c>
      <c r="B1858" s="16">
        <v>0</v>
      </c>
      <c r="C1858" s="16" t="s">
        <v>3404</v>
      </c>
      <c r="D1858" s="16" t="s">
        <v>3409</v>
      </c>
    </row>
    <row r="1859" spans="1:4">
      <c r="A1859" s="16">
        <v>6700200000</v>
      </c>
      <c r="B1859" s="16">
        <v>0</v>
      </c>
      <c r="C1859" s="16" t="s">
        <v>3404</v>
      </c>
      <c r="D1859" s="16" t="s">
        <v>3409</v>
      </c>
    </row>
    <row r="1860" spans="1:4">
      <c r="A1860" s="16">
        <v>4203000000</v>
      </c>
      <c r="B1860" s="16">
        <v>0</v>
      </c>
      <c r="C1860" s="16" t="s">
        <v>3408</v>
      </c>
      <c r="D1860" s="16" t="s">
        <v>3403</v>
      </c>
    </row>
    <row r="1861" spans="1:4">
      <c r="A1861" s="16">
        <v>5052000000</v>
      </c>
      <c r="B1861" s="16">
        <v>0</v>
      </c>
      <c r="C1861" s="16" t="s">
        <v>3406</v>
      </c>
      <c r="D1861" s="16" t="s">
        <v>3422</v>
      </c>
    </row>
    <row r="1862" spans="1:4">
      <c r="A1862" s="16">
        <v>6700000000</v>
      </c>
      <c r="B1862" s="16">
        <v>0</v>
      </c>
      <c r="C1862" s="16" t="s">
        <v>3404</v>
      </c>
      <c r="D1862" s="16" t="s">
        <v>3405</v>
      </c>
    </row>
    <row r="1863" spans="1:4">
      <c r="A1863" s="16">
        <v>4203000000</v>
      </c>
      <c r="B1863" s="16">
        <v>0</v>
      </c>
      <c r="C1863" s="16" t="s">
        <v>3408</v>
      </c>
      <c r="D1863" s="16" t="s">
        <v>3403</v>
      </c>
    </row>
    <row r="1864" spans="1:4">
      <c r="A1864" s="16">
        <v>6104001000</v>
      </c>
      <c r="B1864" s="16">
        <v>0</v>
      </c>
      <c r="C1864" s="16" t="s">
        <v>3416</v>
      </c>
      <c r="D1864" s="16" t="s">
        <v>3417</v>
      </c>
    </row>
    <row r="1865" spans="1:4">
      <c r="A1865" s="16">
        <v>6700200000</v>
      </c>
      <c r="B1865" s="16">
        <v>0</v>
      </c>
      <c r="C1865" s="16" t="s">
        <v>3404</v>
      </c>
      <c r="D1865" s="16" t="s">
        <v>3409</v>
      </c>
    </row>
    <row r="1866" spans="1:4">
      <c r="A1866" s="16">
        <v>6102000000</v>
      </c>
      <c r="B1866" s="16">
        <v>0</v>
      </c>
      <c r="C1866" s="16" t="s">
        <v>3425</v>
      </c>
      <c r="D1866" s="16" t="s">
        <v>3426</v>
      </c>
    </row>
    <row r="1867" spans="1:4">
      <c r="A1867" s="16">
        <v>5052000000</v>
      </c>
      <c r="B1867" s="16">
        <v>0</v>
      </c>
      <c r="C1867" s="16" t="s">
        <v>3406</v>
      </c>
      <c r="D1867" s="16" t="s">
        <v>3422</v>
      </c>
    </row>
    <row r="1868" spans="1:4">
      <c r="A1868" s="16">
        <v>6700100000</v>
      </c>
      <c r="B1868" s="16">
        <v>0</v>
      </c>
      <c r="C1868" s="16" t="s">
        <v>3404</v>
      </c>
      <c r="D1868" s="16" t="s">
        <v>3410</v>
      </c>
    </row>
    <row r="1869" spans="1:4">
      <c r="A1869" s="16">
        <v>6032000000</v>
      </c>
      <c r="B1869" s="16">
        <v>0</v>
      </c>
      <c r="C1869" s="16" t="s">
        <v>3429</v>
      </c>
      <c r="D1869" s="16" t="s">
        <v>3430</v>
      </c>
    </row>
    <row r="1870" spans="1:4">
      <c r="A1870" s="16">
        <v>6030000000</v>
      </c>
      <c r="B1870" s="16">
        <v>0</v>
      </c>
      <c r="C1870" s="16" t="s">
        <v>3420</v>
      </c>
      <c r="D1870" s="16" t="s">
        <v>3423</v>
      </c>
    </row>
    <row r="1871" spans="1:4">
      <c r="A1871" s="16">
        <v>6700200000</v>
      </c>
      <c r="B1871" s="16">
        <v>0</v>
      </c>
      <c r="C1871" s="16" t="s">
        <v>3404</v>
      </c>
      <c r="D1871" s="16" t="s">
        <v>3409</v>
      </c>
    </row>
    <row r="1872" spans="1:4">
      <c r="A1872" s="16">
        <v>6700500000</v>
      </c>
      <c r="B1872" s="16">
        <v>0</v>
      </c>
      <c r="C1872" s="16" t="s">
        <v>3404</v>
      </c>
      <c r="D1872" s="16" t="s">
        <v>3405</v>
      </c>
    </row>
    <row r="1873" spans="1:4">
      <c r="A1873" s="16">
        <v>2500000000</v>
      </c>
      <c r="B1873" s="16">
        <v>0</v>
      </c>
      <c r="C1873" s="16" t="s">
        <v>3412</v>
      </c>
      <c r="D1873" s="16" t="s">
        <v>3403</v>
      </c>
    </row>
    <row r="1874" spans="1:4">
      <c r="A1874" s="16">
        <v>6700000000</v>
      </c>
      <c r="B1874" s="16">
        <v>0</v>
      </c>
      <c r="C1874" s="16" t="s">
        <v>3404</v>
      </c>
      <c r="D1874" s="16" t="s">
        <v>3405</v>
      </c>
    </row>
    <row r="1875" spans="1:4">
      <c r="A1875" s="16">
        <v>2201000000</v>
      </c>
      <c r="B1875" s="16">
        <v>0</v>
      </c>
      <c r="C1875" s="16" t="s">
        <v>3415</v>
      </c>
      <c r="D1875" s="16" t="s">
        <v>3403</v>
      </c>
    </row>
    <row r="1876" spans="1:4">
      <c r="A1876" s="16">
        <v>2203000000</v>
      </c>
      <c r="B1876" s="16">
        <v>5087911</v>
      </c>
      <c r="C1876" s="16" t="s">
        <v>3415</v>
      </c>
      <c r="D1876" s="16" t="s">
        <v>3403</v>
      </c>
    </row>
    <row r="1877" spans="1:4">
      <c r="A1877" s="16">
        <v>2500000000</v>
      </c>
      <c r="B1877" s="16">
        <v>0</v>
      </c>
      <c r="C1877" s="16" t="s">
        <v>3412</v>
      </c>
      <c r="D1877" s="16" t="s">
        <v>3403</v>
      </c>
    </row>
    <row r="1878" spans="1:4">
      <c r="A1878" s="16">
        <v>4611000000</v>
      </c>
      <c r="B1878" s="16">
        <v>0</v>
      </c>
      <c r="C1878" s="16" t="s">
        <v>3428</v>
      </c>
      <c r="D1878" s="16" t="s">
        <v>3403</v>
      </c>
    </row>
    <row r="1879" spans="1:4">
      <c r="A1879" s="16">
        <v>3103001000</v>
      </c>
      <c r="B1879" s="16">
        <v>0</v>
      </c>
      <c r="C1879" s="16" t="s">
        <v>3402</v>
      </c>
      <c r="D1879" s="16" t="s">
        <v>3403</v>
      </c>
    </row>
    <row r="1880" spans="1:4">
      <c r="A1880" s="16">
        <v>6610100000</v>
      </c>
      <c r="B1880" s="16">
        <v>0</v>
      </c>
      <c r="C1880" s="16" t="s">
        <v>3413</v>
      </c>
      <c r="D1880" s="16" t="s">
        <v>3414</v>
      </c>
    </row>
    <row r="1881" spans="1:4">
      <c r="A1881" s="16">
        <v>6700100000</v>
      </c>
      <c r="B1881" s="16">
        <v>0</v>
      </c>
      <c r="C1881" s="16" t="s">
        <v>3404</v>
      </c>
      <c r="D1881" s="16" t="s">
        <v>3410</v>
      </c>
    </row>
    <row r="1882" spans="1:4">
      <c r="A1882" s="16">
        <v>2500000000</v>
      </c>
      <c r="B1882" s="16">
        <v>0</v>
      </c>
      <c r="C1882" s="16" t="s">
        <v>3412</v>
      </c>
      <c r="D1882" s="16" t="s">
        <v>3403</v>
      </c>
    </row>
    <row r="1883" spans="1:4">
      <c r="A1883" s="16">
        <v>2203000000</v>
      </c>
      <c r="B1883" s="16">
        <v>0</v>
      </c>
      <c r="C1883" s="16" t="s">
        <v>3415</v>
      </c>
      <c r="D1883" s="16" t="s">
        <v>3403</v>
      </c>
    </row>
    <row r="1884" spans="1:4">
      <c r="A1884" s="16">
        <v>6060010000</v>
      </c>
      <c r="B1884" s="16">
        <v>6162492</v>
      </c>
      <c r="C1884" s="16" t="s">
        <v>3420</v>
      </c>
      <c r="D1884" s="16" t="s">
        <v>3421</v>
      </c>
    </row>
    <row r="1885" spans="1:4">
      <c r="A1885" s="16">
        <v>3030000000</v>
      </c>
      <c r="B1885" s="16">
        <v>0</v>
      </c>
      <c r="C1885" s="16" t="s">
        <v>3402</v>
      </c>
      <c r="D1885" s="16" t="s">
        <v>3403</v>
      </c>
    </row>
    <row r="1886" spans="1:4">
      <c r="A1886" s="16">
        <v>6700000000</v>
      </c>
      <c r="B1886" s="16">
        <v>0</v>
      </c>
      <c r="C1886" s="16" t="s">
        <v>3404</v>
      </c>
      <c r="D1886" s="16" t="s">
        <v>3405</v>
      </c>
    </row>
    <row r="1887" spans="1:4">
      <c r="A1887" s="16">
        <v>5010100000</v>
      </c>
      <c r="B1887" s="16">
        <v>0</v>
      </c>
      <c r="C1887" s="16" t="s">
        <v>3406</v>
      </c>
      <c r="D1887" s="16" t="s">
        <v>3407</v>
      </c>
    </row>
    <row r="1888" spans="1:4">
      <c r="A1888" s="16">
        <v>2500000000</v>
      </c>
      <c r="B1888" s="16">
        <v>0</v>
      </c>
      <c r="C1888" s="16" t="s">
        <v>3412</v>
      </c>
      <c r="D1888" s="16" t="s">
        <v>3403</v>
      </c>
    </row>
    <row r="1889" spans="1:4">
      <c r="A1889" s="16">
        <v>6150000000</v>
      </c>
      <c r="B1889" s="16">
        <v>0</v>
      </c>
      <c r="C1889" s="16" t="s">
        <v>3416</v>
      </c>
      <c r="D1889" s="16" t="s">
        <v>3417</v>
      </c>
    </row>
    <row r="1890" spans="1:4">
      <c r="A1890" s="16">
        <v>6700200000</v>
      </c>
      <c r="B1890" s="16">
        <v>0</v>
      </c>
      <c r="C1890" s="16" t="s">
        <v>3404</v>
      </c>
      <c r="D1890" s="16" t="s">
        <v>3409</v>
      </c>
    </row>
    <row r="1891" spans="1:4">
      <c r="A1891" s="16">
        <v>6060110000</v>
      </c>
      <c r="B1891" s="16">
        <v>-5087911</v>
      </c>
      <c r="C1891" s="16" t="s">
        <v>3420</v>
      </c>
      <c r="D1891" s="16" t="s">
        <v>3421</v>
      </c>
    </row>
    <row r="1892" spans="1:4">
      <c r="A1892" s="16">
        <v>6700600000</v>
      </c>
      <c r="B1892" s="16">
        <v>0</v>
      </c>
      <c r="C1892" s="16" t="s">
        <v>3404</v>
      </c>
      <c r="D1892" s="16" t="s">
        <v>3409</v>
      </c>
    </row>
    <row r="1893" spans="1:4">
      <c r="A1893" s="16">
        <v>5010100000</v>
      </c>
      <c r="B1893" s="16">
        <v>0</v>
      </c>
      <c r="C1893" s="16" t="s">
        <v>3406</v>
      </c>
      <c r="D1893" s="16" t="s">
        <v>3407</v>
      </c>
    </row>
    <row r="1894" spans="1:4">
      <c r="A1894" s="16">
        <v>2500000000</v>
      </c>
      <c r="B1894" s="16">
        <v>0</v>
      </c>
      <c r="C1894" s="16" t="s">
        <v>3412</v>
      </c>
      <c r="D1894" s="16" t="s">
        <v>3403</v>
      </c>
    </row>
    <row r="1895" spans="1:4">
      <c r="A1895" s="16">
        <v>5010100010</v>
      </c>
      <c r="B1895" s="16">
        <v>0</v>
      </c>
      <c r="C1895" s="16" t="s">
        <v>3406</v>
      </c>
      <c r="D1895" s="16" t="s">
        <v>3407</v>
      </c>
    </row>
    <row r="1896" spans="1:4">
      <c r="A1896" s="16">
        <v>2750010000</v>
      </c>
      <c r="B1896" s="16">
        <v>0</v>
      </c>
      <c r="C1896" s="16" t="s">
        <v>3419</v>
      </c>
      <c r="D1896" s="16" t="s">
        <v>3403</v>
      </c>
    </row>
    <row r="1897" spans="1:4">
      <c r="A1897" s="16">
        <v>6030000000</v>
      </c>
      <c r="B1897" s="16">
        <v>0</v>
      </c>
      <c r="C1897" s="16" t="s">
        <v>3432</v>
      </c>
      <c r="D1897" s="16" t="s">
        <v>3423</v>
      </c>
    </row>
    <row r="1898" spans="1:4">
      <c r="A1898" s="16">
        <v>6700700000</v>
      </c>
      <c r="B1898" s="16">
        <v>0</v>
      </c>
      <c r="C1898" s="16" t="s">
        <v>3404</v>
      </c>
      <c r="D1898" s="16" t="s">
        <v>3409</v>
      </c>
    </row>
    <row r="1899" spans="1:4">
      <c r="A1899" s="16">
        <v>6700200000</v>
      </c>
      <c r="B1899" s="16">
        <v>0</v>
      </c>
      <c r="C1899" s="16" t="s">
        <v>3404</v>
      </c>
      <c r="D1899" s="16" t="s">
        <v>3409</v>
      </c>
    </row>
    <row r="1900" spans="1:4">
      <c r="A1900" s="16">
        <v>3800000010</v>
      </c>
      <c r="B1900" s="16">
        <v>0</v>
      </c>
      <c r="C1900" s="16" t="s">
        <v>3402</v>
      </c>
      <c r="D1900" s="16" t="s">
        <v>3403</v>
      </c>
    </row>
    <row r="1901" spans="1:4">
      <c r="A1901" s="16">
        <v>6700700000</v>
      </c>
      <c r="B1901" s="16">
        <v>0</v>
      </c>
      <c r="C1901" s="16" t="s">
        <v>3404</v>
      </c>
      <c r="D1901" s="16" t="s">
        <v>3409</v>
      </c>
    </row>
    <row r="1902" spans="1:4">
      <c r="A1902" s="16">
        <v>4203000000</v>
      </c>
      <c r="B1902" s="16">
        <v>0</v>
      </c>
      <c r="C1902" s="16" t="s">
        <v>3408</v>
      </c>
      <c r="D1902" s="16" t="s">
        <v>3403</v>
      </c>
    </row>
    <row r="1903" spans="1:4">
      <c r="A1903" s="16">
        <v>5010100000</v>
      </c>
      <c r="B1903" s="16">
        <v>0</v>
      </c>
      <c r="C1903" s="16" t="s">
        <v>3406</v>
      </c>
      <c r="D1903" s="16" t="s">
        <v>3407</v>
      </c>
    </row>
    <row r="1904" spans="1:4">
      <c r="A1904" s="16">
        <v>6060110000</v>
      </c>
      <c r="B1904" s="16">
        <v>0</v>
      </c>
      <c r="C1904" s="16" t="s">
        <v>3420</v>
      </c>
      <c r="D1904" s="16" t="s">
        <v>3421</v>
      </c>
    </row>
    <row r="1905" spans="1:4">
      <c r="A1905" s="16">
        <v>2201000000</v>
      </c>
      <c r="B1905" s="16">
        <v>0</v>
      </c>
      <c r="C1905" s="16" t="s">
        <v>3415</v>
      </c>
      <c r="D1905" s="16" t="s">
        <v>3403</v>
      </c>
    </row>
    <row r="1906" spans="1:4">
      <c r="A1906" s="16">
        <v>5052000000</v>
      </c>
      <c r="B1906" s="16">
        <v>-6162492</v>
      </c>
      <c r="C1906" s="16" t="s">
        <v>3406</v>
      </c>
      <c r="D1906" s="16" t="s">
        <v>3422</v>
      </c>
    </row>
    <row r="1907" spans="1:4">
      <c r="A1907" s="16">
        <v>6104000000</v>
      </c>
      <c r="B1907" s="16">
        <v>0</v>
      </c>
      <c r="C1907" s="16" t="s">
        <v>3427</v>
      </c>
      <c r="D1907" s="16" t="s">
        <v>3417</v>
      </c>
    </row>
    <row r="1908" spans="1:4">
      <c r="A1908" s="16">
        <v>6700200000</v>
      </c>
      <c r="B1908" s="16">
        <v>0</v>
      </c>
      <c r="C1908" s="16" t="s">
        <v>3404</v>
      </c>
      <c r="D1908" s="16" t="s">
        <v>3409</v>
      </c>
    </row>
    <row r="1909" spans="1:4">
      <c r="A1909" s="16">
        <v>5010000000</v>
      </c>
      <c r="B1909" s="16">
        <v>0</v>
      </c>
      <c r="C1909" s="16" t="s">
        <v>3406</v>
      </c>
      <c r="D1909" s="16" t="s">
        <v>3411</v>
      </c>
    </row>
    <row r="1910" spans="1:4">
      <c r="A1910" s="16">
        <v>3510000000</v>
      </c>
      <c r="B1910" s="16">
        <v>0</v>
      </c>
      <c r="C1910" s="16" t="s">
        <v>3402</v>
      </c>
      <c r="D1910" s="16" t="s">
        <v>3403</v>
      </c>
    </row>
    <row r="1911" spans="1:4">
      <c r="A1911" s="16">
        <v>5050000000</v>
      </c>
      <c r="B1911" s="16">
        <v>201304895</v>
      </c>
      <c r="C1911" s="16" t="s">
        <v>3406</v>
      </c>
      <c r="D1911" s="16" t="s">
        <v>3422</v>
      </c>
    </row>
    <row r="1912" spans="1:4">
      <c r="A1912" s="16">
        <v>6700400000</v>
      </c>
      <c r="B1912" s="16">
        <v>0</v>
      </c>
      <c r="C1912" s="16" t="s">
        <v>3404</v>
      </c>
      <c r="D1912" s="16" t="s">
        <v>3405</v>
      </c>
    </row>
    <row r="1913" spans="1:4">
      <c r="A1913" s="16">
        <v>2500000000</v>
      </c>
      <c r="B1913" s="16">
        <v>0</v>
      </c>
      <c r="C1913" s="16" t="s">
        <v>3412</v>
      </c>
      <c r="D1913" s="16" t="s">
        <v>3403</v>
      </c>
    </row>
    <row r="1914" spans="1:4">
      <c r="A1914" s="16">
        <v>5010100000</v>
      </c>
      <c r="B1914" s="16">
        <v>0</v>
      </c>
      <c r="C1914" s="16" t="s">
        <v>3406</v>
      </c>
      <c r="D1914" s="16" t="s">
        <v>3407</v>
      </c>
    </row>
    <row r="1915" spans="1:4">
      <c r="A1915" s="16">
        <v>3710000000</v>
      </c>
      <c r="B1915" s="16">
        <v>0</v>
      </c>
      <c r="C1915" s="16" t="s">
        <v>3402</v>
      </c>
      <c r="D1915" s="16" t="s">
        <v>3403</v>
      </c>
    </row>
    <row r="1916" spans="1:4">
      <c r="A1916" s="16">
        <v>6610000100</v>
      </c>
      <c r="B1916" s="16">
        <v>0</v>
      </c>
      <c r="C1916" s="16" t="s">
        <v>3413</v>
      </c>
      <c r="D1916" s="16" t="s">
        <v>3418</v>
      </c>
    </row>
    <row r="1917" spans="1:4">
      <c r="A1917" s="16">
        <v>3030000000</v>
      </c>
      <c r="B1917" s="16">
        <v>0</v>
      </c>
      <c r="C1917" s="16" t="s">
        <v>3402</v>
      </c>
      <c r="D1917" s="16" t="s">
        <v>3403</v>
      </c>
    </row>
    <row r="1918" spans="1:4">
      <c r="A1918" s="16">
        <v>6700500000</v>
      </c>
      <c r="B1918" s="16">
        <v>0</v>
      </c>
      <c r="C1918" s="16" t="s">
        <v>3404</v>
      </c>
      <c r="D1918" s="16" t="s">
        <v>3405</v>
      </c>
    </row>
    <row r="1919" spans="1:4">
      <c r="A1919" s="16">
        <v>6700100000</v>
      </c>
      <c r="B1919" s="16">
        <v>0</v>
      </c>
      <c r="C1919" s="16" t="s">
        <v>3404</v>
      </c>
      <c r="D1919" s="16" t="s">
        <v>3410</v>
      </c>
    </row>
    <row r="1920" spans="1:4">
      <c r="A1920" s="16">
        <v>6700500000</v>
      </c>
      <c r="B1920" s="16">
        <v>0</v>
      </c>
      <c r="C1920" s="16" t="s">
        <v>3404</v>
      </c>
      <c r="D1920" s="16" t="s">
        <v>3405</v>
      </c>
    </row>
    <row r="1921" spans="1:4">
      <c r="A1921" s="16">
        <v>6610000000</v>
      </c>
      <c r="B1921" s="16">
        <v>0</v>
      </c>
      <c r="C1921" s="16" t="s">
        <v>3413</v>
      </c>
      <c r="D1921" s="16" t="s">
        <v>3418</v>
      </c>
    </row>
    <row r="1922" spans="1:4">
      <c r="A1922" s="16">
        <v>6700200000</v>
      </c>
      <c r="B1922" s="16">
        <v>0</v>
      </c>
      <c r="C1922" s="16" t="s">
        <v>3404</v>
      </c>
      <c r="D1922" s="16" t="s">
        <v>3409</v>
      </c>
    </row>
    <row r="1923" spans="1:4">
      <c r="A1923" s="16">
        <v>6150000000</v>
      </c>
      <c r="B1923" s="16">
        <v>0</v>
      </c>
      <c r="C1923" s="16" t="s">
        <v>3416</v>
      </c>
      <c r="D1923" s="16" t="s">
        <v>3417</v>
      </c>
    </row>
    <row r="1924" spans="1:4">
      <c r="A1924" s="16">
        <v>3103000000</v>
      </c>
      <c r="B1924" s="16">
        <v>0</v>
      </c>
      <c r="C1924" s="16" t="s">
        <v>3402</v>
      </c>
      <c r="D1924" s="16" t="s">
        <v>3403</v>
      </c>
    </row>
    <row r="1925" spans="1:4">
      <c r="A1925" s="16">
        <v>6700000000</v>
      </c>
      <c r="B1925" s="16">
        <v>0</v>
      </c>
      <c r="C1925" s="16" t="s">
        <v>3404</v>
      </c>
      <c r="D1925" s="16" t="s">
        <v>3405</v>
      </c>
    </row>
    <row r="1926" spans="1:4">
      <c r="A1926" s="16">
        <v>6700700000</v>
      </c>
      <c r="B1926" s="16">
        <v>0</v>
      </c>
      <c r="C1926" s="16" t="s">
        <v>3404</v>
      </c>
      <c r="D1926" s="16" t="s">
        <v>3409</v>
      </c>
    </row>
    <row r="1927" spans="1:4">
      <c r="A1927" s="16">
        <v>6150000000</v>
      </c>
      <c r="B1927" s="16">
        <v>0</v>
      </c>
      <c r="C1927" s="16" t="s">
        <v>3416</v>
      </c>
      <c r="D1927" s="16" t="s">
        <v>3417</v>
      </c>
    </row>
    <row r="1928" spans="1:4">
      <c r="A1928" s="16">
        <v>3800000000</v>
      </c>
      <c r="B1928" s="16">
        <v>-201304895</v>
      </c>
      <c r="C1928" s="16" t="s">
        <v>3402</v>
      </c>
      <c r="D1928" s="16" t="s">
        <v>3403</v>
      </c>
    </row>
    <row r="1929" spans="1:4">
      <c r="A1929" s="16">
        <v>5010100000</v>
      </c>
      <c r="B1929" s="16">
        <v>0</v>
      </c>
      <c r="C1929" s="16" t="s">
        <v>3406</v>
      </c>
      <c r="D1929" s="16" t="s">
        <v>3407</v>
      </c>
    </row>
    <row r="1930" spans="1:4">
      <c r="A1930" s="16">
        <v>3032000000</v>
      </c>
      <c r="B1930" s="16">
        <v>0</v>
      </c>
      <c r="C1930" s="16" t="s">
        <v>3424</v>
      </c>
      <c r="D1930" s="16" t="s">
        <v>3403</v>
      </c>
    </row>
    <row r="1931" spans="1:4">
      <c r="A1931" s="16">
        <v>4203000000</v>
      </c>
      <c r="B1931" s="16">
        <v>0</v>
      </c>
      <c r="C1931" s="16" t="s">
        <v>3408</v>
      </c>
      <c r="D1931" s="16" t="s">
        <v>3403</v>
      </c>
    </row>
    <row r="1932" spans="1:4">
      <c r="A1932" s="16">
        <v>6060010000</v>
      </c>
      <c r="B1932" s="16">
        <v>187</v>
      </c>
      <c r="C1932" s="16" t="s">
        <v>3420</v>
      </c>
      <c r="D1932" s="16" t="s">
        <v>3421</v>
      </c>
    </row>
    <row r="1933" spans="1:4">
      <c r="A1933" s="16">
        <v>6700700000</v>
      </c>
      <c r="B1933" s="16">
        <v>0</v>
      </c>
      <c r="C1933" s="16" t="s">
        <v>3404</v>
      </c>
      <c r="D1933" s="16" t="s">
        <v>3409</v>
      </c>
    </row>
    <row r="1934" spans="1:4">
      <c r="A1934" s="16">
        <v>6030000000</v>
      </c>
      <c r="B1934" s="16">
        <v>4993931</v>
      </c>
      <c r="C1934" s="16" t="s">
        <v>3420</v>
      </c>
      <c r="D1934" s="16" t="s">
        <v>3423</v>
      </c>
    </row>
    <row r="1935" spans="1:4">
      <c r="A1935" s="16">
        <v>3510000000</v>
      </c>
      <c r="B1935" s="16">
        <v>0</v>
      </c>
      <c r="C1935" s="16" t="s">
        <v>3402</v>
      </c>
      <c r="D1935" s="16" t="s">
        <v>3403</v>
      </c>
    </row>
    <row r="1936" spans="1:4">
      <c r="A1936" s="16">
        <v>2750010000</v>
      </c>
      <c r="B1936" s="16">
        <v>0</v>
      </c>
      <c r="C1936" s="16" t="s">
        <v>3419</v>
      </c>
      <c r="D1936" s="16" t="s">
        <v>3403</v>
      </c>
    </row>
    <row r="1937" spans="1:4">
      <c r="A1937" s="16">
        <v>6700700000</v>
      </c>
      <c r="B1937" s="16">
        <v>0</v>
      </c>
      <c r="C1937" s="16" t="s">
        <v>3404</v>
      </c>
      <c r="D1937" s="16" t="s">
        <v>3409</v>
      </c>
    </row>
    <row r="1938" spans="1:4">
      <c r="A1938" s="16">
        <v>6700500000</v>
      </c>
      <c r="B1938" s="16">
        <v>0</v>
      </c>
      <c r="C1938" s="16" t="s">
        <v>3404</v>
      </c>
      <c r="D1938" s="16" t="s">
        <v>3405</v>
      </c>
    </row>
    <row r="1939" spans="1:4">
      <c r="A1939" s="16">
        <v>3102000000</v>
      </c>
      <c r="B1939" s="16">
        <v>0</v>
      </c>
      <c r="C1939" s="16" t="s">
        <v>3424</v>
      </c>
      <c r="D1939" s="16" t="s">
        <v>3403</v>
      </c>
    </row>
    <row r="1940" spans="1:4">
      <c r="A1940" s="16">
        <v>6102000000</v>
      </c>
      <c r="B1940" s="16">
        <v>0</v>
      </c>
      <c r="C1940" s="16" t="s">
        <v>3425</v>
      </c>
      <c r="D1940" s="16" t="s">
        <v>3426</v>
      </c>
    </row>
    <row r="1941" spans="1:4">
      <c r="A1941" s="16">
        <v>6700700000</v>
      </c>
      <c r="B1941" s="16">
        <v>0</v>
      </c>
      <c r="C1941" s="16" t="s">
        <v>3404</v>
      </c>
      <c r="D1941" s="16" t="s">
        <v>3409</v>
      </c>
    </row>
    <row r="1942" spans="1:4">
      <c r="A1942" s="16">
        <v>6700500000</v>
      </c>
      <c r="B1942" s="16">
        <v>0</v>
      </c>
      <c r="C1942" s="16" t="s">
        <v>3404</v>
      </c>
      <c r="D1942" s="16" t="s">
        <v>3405</v>
      </c>
    </row>
    <row r="1943" spans="1:4">
      <c r="A1943" s="16">
        <v>6700700000</v>
      </c>
      <c r="B1943" s="16">
        <v>0</v>
      </c>
      <c r="C1943" s="16" t="s">
        <v>3404</v>
      </c>
      <c r="D1943" s="16" t="s">
        <v>3409</v>
      </c>
    </row>
    <row r="1944" spans="1:4">
      <c r="A1944" s="16">
        <v>6700500000</v>
      </c>
      <c r="B1944" s="16">
        <v>0</v>
      </c>
      <c r="C1944" s="16" t="s">
        <v>3404</v>
      </c>
      <c r="D1944" s="16" t="s">
        <v>3405</v>
      </c>
    </row>
    <row r="1945" spans="1:4">
      <c r="A1945" s="16">
        <v>6700700000</v>
      </c>
      <c r="B1945" s="16">
        <v>0</v>
      </c>
      <c r="C1945" s="16" t="s">
        <v>3404</v>
      </c>
      <c r="D1945" s="16" t="s">
        <v>3409</v>
      </c>
    </row>
    <row r="1946" spans="1:4">
      <c r="A1946" s="16">
        <v>6700500000</v>
      </c>
      <c r="B1946" s="16">
        <v>0</v>
      </c>
      <c r="C1946" s="16" t="s">
        <v>3404</v>
      </c>
      <c r="D1946" s="16" t="s">
        <v>3405</v>
      </c>
    </row>
    <row r="1947" spans="1:4">
      <c r="A1947" s="16">
        <v>6700200000</v>
      </c>
      <c r="B1947" s="16">
        <v>0</v>
      </c>
      <c r="C1947" s="16" t="s">
        <v>3404</v>
      </c>
      <c r="D1947" s="16" t="s">
        <v>3409</v>
      </c>
    </row>
    <row r="1948" spans="1:4">
      <c r="A1948" s="16">
        <v>6700100000</v>
      </c>
      <c r="B1948" s="16">
        <v>0</v>
      </c>
      <c r="C1948" s="16" t="s">
        <v>3404</v>
      </c>
      <c r="D1948" s="16" t="s">
        <v>3410</v>
      </c>
    </row>
    <row r="1949" spans="1:4">
      <c r="A1949" s="16">
        <v>6610100000</v>
      </c>
      <c r="B1949" s="16">
        <v>0</v>
      </c>
      <c r="C1949" s="16" t="s">
        <v>3413</v>
      </c>
      <c r="D1949" s="16" t="s">
        <v>3414</v>
      </c>
    </row>
    <row r="1950" spans="1:4">
      <c r="A1950" s="16">
        <v>4203000000</v>
      </c>
      <c r="B1950" s="16">
        <v>0</v>
      </c>
      <c r="C1950" s="16" t="s">
        <v>3408</v>
      </c>
      <c r="D1950" s="16" t="s">
        <v>3403</v>
      </c>
    </row>
    <row r="1951" spans="1:4">
      <c r="A1951" s="16">
        <v>5010100010</v>
      </c>
      <c r="B1951" s="16">
        <v>0</v>
      </c>
      <c r="C1951" s="16" t="s">
        <v>3406</v>
      </c>
      <c r="D1951" s="16" t="s">
        <v>3407</v>
      </c>
    </row>
    <row r="1952" spans="1:4">
      <c r="A1952" s="16">
        <v>3710000000</v>
      </c>
      <c r="B1952" s="16">
        <v>0</v>
      </c>
      <c r="C1952" s="16" t="s">
        <v>3402</v>
      </c>
      <c r="D1952" s="16" t="s">
        <v>3403</v>
      </c>
    </row>
    <row r="1953" spans="1:4">
      <c r="A1953" s="16">
        <v>3032000000</v>
      </c>
      <c r="B1953" s="16">
        <v>0</v>
      </c>
      <c r="C1953" s="16" t="s">
        <v>3424</v>
      </c>
      <c r="D1953" s="16" t="s">
        <v>3403</v>
      </c>
    </row>
    <row r="1954" spans="1:4">
      <c r="A1954" s="16">
        <v>6032000000</v>
      </c>
      <c r="B1954" s="16">
        <v>0</v>
      </c>
      <c r="C1954" s="16" t="s">
        <v>3429</v>
      </c>
      <c r="D1954" s="16" t="s">
        <v>3430</v>
      </c>
    </row>
    <row r="1955" spans="1:4">
      <c r="A1955" s="16">
        <v>6150000000</v>
      </c>
      <c r="B1955" s="16">
        <v>0</v>
      </c>
      <c r="C1955" s="16" t="s">
        <v>3416</v>
      </c>
      <c r="D1955" s="16" t="s">
        <v>3417</v>
      </c>
    </row>
    <row r="1956" spans="1:4">
      <c r="A1956" s="16">
        <v>3510000000</v>
      </c>
      <c r="B1956" s="16">
        <v>0</v>
      </c>
      <c r="C1956" s="16" t="s">
        <v>3402</v>
      </c>
      <c r="D1956" s="16" t="s">
        <v>3403</v>
      </c>
    </row>
    <row r="1957" spans="1:4">
      <c r="A1957" s="16">
        <v>2750010000</v>
      </c>
      <c r="B1957" s="16">
        <v>0</v>
      </c>
      <c r="C1957" s="16" t="s">
        <v>3419</v>
      </c>
      <c r="D1957" s="16" t="s">
        <v>3403</v>
      </c>
    </row>
    <row r="1958" spans="1:4">
      <c r="A1958" s="16">
        <v>6610000100</v>
      </c>
      <c r="B1958" s="16">
        <v>0</v>
      </c>
      <c r="C1958" s="16" t="s">
        <v>3413</v>
      </c>
      <c r="D1958" s="16" t="s">
        <v>3418</v>
      </c>
    </row>
    <row r="1959" spans="1:4">
      <c r="A1959" s="16">
        <v>6100000020</v>
      </c>
      <c r="B1959" s="16">
        <v>0</v>
      </c>
      <c r="C1959" s="16" t="s">
        <v>3416</v>
      </c>
      <c r="D1959" s="16" t="s">
        <v>3417</v>
      </c>
    </row>
    <row r="1960" spans="1:4">
      <c r="A1960" s="16">
        <v>3810000000</v>
      </c>
      <c r="B1960" s="16">
        <v>0</v>
      </c>
      <c r="C1960" s="16" t="s">
        <v>3402</v>
      </c>
      <c r="D1960" s="16" t="s">
        <v>3403</v>
      </c>
    </row>
    <row r="1961" spans="1:4">
      <c r="A1961" s="16">
        <v>6060010000</v>
      </c>
      <c r="B1961" s="16">
        <v>15661</v>
      </c>
      <c r="C1961" s="16" t="s">
        <v>3420</v>
      </c>
      <c r="D1961" s="16" t="s">
        <v>3421</v>
      </c>
    </row>
    <row r="1962" spans="1:4">
      <c r="A1962" s="16">
        <v>5052000000</v>
      </c>
      <c r="B1962" s="16">
        <v>-15661</v>
      </c>
      <c r="C1962" s="16" t="s">
        <v>3406</v>
      </c>
      <c r="D1962" s="16" t="s">
        <v>3422</v>
      </c>
    </row>
    <row r="1963" spans="1:4">
      <c r="A1963" s="16">
        <v>6104001000</v>
      </c>
      <c r="B1963" s="16">
        <v>0</v>
      </c>
      <c r="C1963" s="16" t="s">
        <v>3427</v>
      </c>
      <c r="D1963" s="16" t="s">
        <v>3417</v>
      </c>
    </row>
    <row r="1964" spans="1:4">
      <c r="A1964" s="16">
        <v>3103001000</v>
      </c>
      <c r="B1964" s="16">
        <v>0</v>
      </c>
      <c r="C1964" s="16" t="s">
        <v>3402</v>
      </c>
      <c r="D1964" s="16" t="s">
        <v>3403</v>
      </c>
    </row>
    <row r="1965" spans="1:4">
      <c r="A1965" s="16">
        <v>2201000000</v>
      </c>
      <c r="B1965" s="16">
        <v>0</v>
      </c>
      <c r="C1965" s="16" t="s">
        <v>3415</v>
      </c>
      <c r="D1965" s="16" t="s">
        <v>3403</v>
      </c>
    </row>
    <row r="1966" spans="1:4">
      <c r="A1966" s="16">
        <v>6700200000</v>
      </c>
      <c r="B1966" s="16">
        <v>0</v>
      </c>
      <c r="C1966" s="16" t="s">
        <v>3404</v>
      </c>
      <c r="D1966" s="16" t="s">
        <v>3409</v>
      </c>
    </row>
    <row r="1967" spans="1:4">
      <c r="A1967" s="16">
        <v>4611000000</v>
      </c>
      <c r="B1967" s="16">
        <v>5860716</v>
      </c>
      <c r="C1967" s="16" t="s">
        <v>3428</v>
      </c>
      <c r="D1967" s="16" t="s">
        <v>3403</v>
      </c>
    </row>
    <row r="1968" spans="1:4">
      <c r="A1968" s="16">
        <v>3800000010</v>
      </c>
      <c r="B1968" s="16">
        <v>-5860716</v>
      </c>
      <c r="C1968" s="16" t="s">
        <v>3402</v>
      </c>
      <c r="D1968" s="16" t="s">
        <v>3403</v>
      </c>
    </row>
    <row r="1969" spans="1:4">
      <c r="A1969" s="16">
        <v>3032000000</v>
      </c>
      <c r="B1969" s="16">
        <v>0</v>
      </c>
      <c r="C1969" s="16" t="s">
        <v>3424</v>
      </c>
      <c r="D1969" s="16" t="s">
        <v>3403</v>
      </c>
    </row>
    <row r="1970" spans="1:4">
      <c r="A1970" s="16">
        <v>6032000000</v>
      </c>
      <c r="B1970" s="16">
        <v>0</v>
      </c>
      <c r="C1970" s="16" t="s">
        <v>3429</v>
      </c>
      <c r="D1970" s="16" t="s">
        <v>3430</v>
      </c>
    </row>
    <row r="1971" spans="1:4">
      <c r="A1971" s="16">
        <v>2750010000</v>
      </c>
      <c r="B1971" s="16">
        <v>0</v>
      </c>
      <c r="C1971" s="16" t="s">
        <v>3419</v>
      </c>
      <c r="D1971" s="16" t="s">
        <v>3403</v>
      </c>
    </row>
    <row r="1972" spans="1:4">
      <c r="A1972" s="16">
        <v>6610100100</v>
      </c>
      <c r="B1972" s="16">
        <v>0</v>
      </c>
      <c r="C1972" s="16" t="s">
        <v>3413</v>
      </c>
      <c r="D1972" s="16" t="s">
        <v>3414</v>
      </c>
    </row>
    <row r="1973" spans="1:4">
      <c r="A1973" s="16">
        <v>6104000000</v>
      </c>
      <c r="B1973" s="16">
        <v>0</v>
      </c>
      <c r="C1973" s="16" t="s">
        <v>3416</v>
      </c>
      <c r="D1973" s="16" t="s">
        <v>3417</v>
      </c>
    </row>
    <row r="1974" spans="1:4">
      <c r="A1974" s="16">
        <v>3103000000</v>
      </c>
      <c r="B1974" s="16">
        <v>0</v>
      </c>
      <c r="C1974" s="16" t="s">
        <v>3402</v>
      </c>
      <c r="D1974" s="16" t="s">
        <v>3403</v>
      </c>
    </row>
    <row r="1975" spans="1:4">
      <c r="A1975" s="16">
        <v>6700200000</v>
      </c>
      <c r="B1975" s="16">
        <v>0</v>
      </c>
      <c r="C1975" s="16" t="s">
        <v>3404</v>
      </c>
      <c r="D1975" s="16" t="s">
        <v>3409</v>
      </c>
    </row>
    <row r="1976" spans="1:4">
      <c r="A1976" s="16">
        <v>6700100000</v>
      </c>
      <c r="B1976" s="16">
        <v>0</v>
      </c>
      <c r="C1976" s="16" t="s">
        <v>3404</v>
      </c>
      <c r="D1976" s="16" t="s">
        <v>3410</v>
      </c>
    </row>
    <row r="1977" spans="1:4">
      <c r="A1977" s="16">
        <v>2500000000</v>
      </c>
      <c r="B1977" s="16">
        <v>0</v>
      </c>
      <c r="C1977" s="16" t="s">
        <v>3412</v>
      </c>
      <c r="D1977" s="16" t="s">
        <v>3403</v>
      </c>
    </row>
    <row r="1978" spans="1:4">
      <c r="A1978" s="16">
        <v>5010100000</v>
      </c>
      <c r="B1978" s="16">
        <v>0</v>
      </c>
      <c r="C1978" s="16" t="s">
        <v>3406</v>
      </c>
      <c r="D1978" s="16" t="s">
        <v>3407</v>
      </c>
    </row>
    <row r="1979" spans="1:4">
      <c r="A1979" s="16">
        <v>6104000000</v>
      </c>
      <c r="B1979" s="16">
        <v>0</v>
      </c>
      <c r="C1979" s="16" t="s">
        <v>3416</v>
      </c>
      <c r="D1979" s="16" t="s">
        <v>3417</v>
      </c>
    </row>
    <row r="1980" spans="1:4">
      <c r="A1980" s="16">
        <v>3103000000</v>
      </c>
      <c r="B1980" s="16">
        <v>0</v>
      </c>
      <c r="C1980" s="16" t="s">
        <v>3402</v>
      </c>
      <c r="D1980" s="16" t="s">
        <v>3403</v>
      </c>
    </row>
    <row r="1981" spans="1:4">
      <c r="A1981" s="16">
        <v>6100000000</v>
      </c>
      <c r="B1981" s="16">
        <v>0</v>
      </c>
      <c r="C1981" s="16" t="s">
        <v>3416</v>
      </c>
      <c r="D1981" s="16" t="s">
        <v>3417</v>
      </c>
    </row>
    <row r="1982" spans="1:4">
      <c r="A1982" s="16">
        <v>3100000000</v>
      </c>
      <c r="B1982" s="16">
        <v>0</v>
      </c>
      <c r="C1982" s="16" t="s">
        <v>3402</v>
      </c>
      <c r="D1982" s="16" t="s">
        <v>3403</v>
      </c>
    </row>
    <row r="1983" spans="1:4">
      <c r="A1983" s="16">
        <v>6700600000</v>
      </c>
      <c r="B1983" s="16">
        <v>0</v>
      </c>
      <c r="C1983" s="16" t="s">
        <v>3404</v>
      </c>
      <c r="D1983" s="16" t="s">
        <v>3409</v>
      </c>
    </row>
    <row r="1984" spans="1:4">
      <c r="A1984" s="16">
        <v>6700400000</v>
      </c>
      <c r="B1984" s="16">
        <v>0</v>
      </c>
      <c r="C1984" s="16" t="s">
        <v>3404</v>
      </c>
      <c r="D1984" s="16" t="s">
        <v>3405</v>
      </c>
    </row>
    <row r="1985" spans="1:4">
      <c r="A1985" s="16">
        <v>3102000000</v>
      </c>
      <c r="B1985" s="16">
        <v>0</v>
      </c>
      <c r="C1985" s="16" t="s">
        <v>3424</v>
      </c>
      <c r="D1985" s="16" t="s">
        <v>3403</v>
      </c>
    </row>
    <row r="1986" spans="1:4">
      <c r="A1986" s="16">
        <v>6102000000</v>
      </c>
      <c r="B1986" s="16">
        <v>0</v>
      </c>
      <c r="C1986" s="16" t="s">
        <v>3425</v>
      </c>
      <c r="D1986" s="16" t="s">
        <v>3426</v>
      </c>
    </row>
    <row r="1987" spans="1:4">
      <c r="A1987" s="16">
        <v>6100000000</v>
      </c>
      <c r="B1987" s="16">
        <v>23141</v>
      </c>
      <c r="C1987" s="16" t="s">
        <v>3416</v>
      </c>
      <c r="D1987" s="16" t="s">
        <v>3417</v>
      </c>
    </row>
    <row r="1988" spans="1:4">
      <c r="A1988" s="16">
        <v>3100000000</v>
      </c>
      <c r="B1988" s="16">
        <v>-23141</v>
      </c>
      <c r="C1988" s="16" t="s">
        <v>3402</v>
      </c>
      <c r="D1988" s="16" t="s">
        <v>3403</v>
      </c>
    </row>
    <row r="1989" spans="1:4">
      <c r="A1989" s="16">
        <v>2201000000</v>
      </c>
      <c r="B1989" s="16">
        <v>0</v>
      </c>
      <c r="C1989" s="16" t="s">
        <v>3415</v>
      </c>
      <c r="D1989" s="16" t="s">
        <v>3403</v>
      </c>
    </row>
    <row r="1990" spans="1:4">
      <c r="A1990" s="16">
        <v>6700200000</v>
      </c>
      <c r="B1990" s="16">
        <v>0</v>
      </c>
      <c r="C1990" s="16" t="s">
        <v>3404</v>
      </c>
      <c r="D1990" s="16" t="s">
        <v>3409</v>
      </c>
    </row>
    <row r="1991" spans="1:4">
      <c r="A1991" s="16">
        <v>2201000000</v>
      </c>
      <c r="B1991" s="16">
        <v>0</v>
      </c>
      <c r="C1991" s="16" t="s">
        <v>3415</v>
      </c>
      <c r="D1991" s="16" t="s">
        <v>3403</v>
      </c>
    </row>
    <row r="1992" spans="1:4">
      <c r="A1992" s="16">
        <v>6700200000</v>
      </c>
      <c r="B1992" s="16">
        <v>0</v>
      </c>
      <c r="C1992" s="16" t="s">
        <v>3404</v>
      </c>
      <c r="D1992" s="16" t="s">
        <v>3409</v>
      </c>
    </row>
    <row r="1993" spans="1:4">
      <c r="A1993" s="16">
        <v>6700200000</v>
      </c>
      <c r="B1993" s="16">
        <v>0</v>
      </c>
      <c r="C1993" s="16" t="s">
        <v>3404</v>
      </c>
      <c r="D1993" s="16" t="s">
        <v>3409</v>
      </c>
    </row>
    <row r="1994" spans="1:4">
      <c r="A1994" s="16">
        <v>6700100000</v>
      </c>
      <c r="B1994" s="16">
        <v>0</v>
      </c>
      <c r="C1994" s="16" t="s">
        <v>3404</v>
      </c>
      <c r="D1994" s="16" t="s">
        <v>3410</v>
      </c>
    </row>
    <row r="1995" spans="1:4">
      <c r="A1995" s="16">
        <v>6610100000</v>
      </c>
      <c r="B1995" s="16">
        <v>1034956</v>
      </c>
      <c r="C1995" s="16" t="s">
        <v>3413</v>
      </c>
      <c r="D1995" s="16" t="s">
        <v>3414</v>
      </c>
    </row>
    <row r="1996" spans="1:4">
      <c r="A1996" s="16">
        <v>4203000000</v>
      </c>
      <c r="B1996" s="16">
        <v>-1034956</v>
      </c>
      <c r="C1996" s="16" t="s">
        <v>3408</v>
      </c>
      <c r="D1996" s="16" t="s">
        <v>3403</v>
      </c>
    </row>
    <row r="1997" spans="1:4">
      <c r="A1997" s="16">
        <v>6700200000</v>
      </c>
      <c r="B1997" s="16">
        <v>0</v>
      </c>
      <c r="C1997" s="16" t="s">
        <v>3404</v>
      </c>
      <c r="D1997" s="16" t="s">
        <v>3409</v>
      </c>
    </row>
    <row r="1998" spans="1:4">
      <c r="A1998" s="16">
        <v>6700000000</v>
      </c>
      <c r="B1998" s="16">
        <v>0</v>
      </c>
      <c r="C1998" s="16" t="s">
        <v>3404</v>
      </c>
      <c r="D1998" s="16" t="s">
        <v>3405</v>
      </c>
    </row>
    <row r="1999" spans="1:4">
      <c r="A1999" s="16">
        <v>6100000000</v>
      </c>
      <c r="B1999" s="16">
        <v>0</v>
      </c>
      <c r="C1999" s="16" t="s">
        <v>3416</v>
      </c>
      <c r="D1999" s="16" t="s">
        <v>3417</v>
      </c>
    </row>
    <row r="2000" spans="1:4">
      <c r="A2000" s="16">
        <v>3100000000</v>
      </c>
      <c r="B2000" s="16">
        <v>0</v>
      </c>
      <c r="C2000" s="16" t="s">
        <v>3402</v>
      </c>
      <c r="D2000" s="16" t="s">
        <v>3403</v>
      </c>
    </row>
    <row r="2001" spans="1:4">
      <c r="A2001" s="16">
        <v>2201000000</v>
      </c>
      <c r="B2001" s="16">
        <v>0</v>
      </c>
      <c r="C2001" s="16" t="s">
        <v>3415</v>
      </c>
      <c r="D2001" s="16" t="s">
        <v>3403</v>
      </c>
    </row>
    <row r="2002" spans="1:4">
      <c r="A2002" s="16">
        <v>6700200000</v>
      </c>
      <c r="B2002" s="16">
        <v>0</v>
      </c>
      <c r="C2002" s="16" t="s">
        <v>3404</v>
      </c>
      <c r="D2002" s="16" t="s">
        <v>3409</v>
      </c>
    </row>
    <row r="2003" spans="1:4">
      <c r="A2003" s="16">
        <v>2201000000</v>
      </c>
      <c r="B2003" s="16">
        <v>46558521</v>
      </c>
      <c r="C2003" s="16" t="s">
        <v>3415</v>
      </c>
      <c r="D2003" s="16" t="s">
        <v>3403</v>
      </c>
    </row>
    <row r="2004" spans="1:4">
      <c r="A2004" s="16">
        <v>6700200000</v>
      </c>
      <c r="B2004" s="16">
        <v>-46558521</v>
      </c>
      <c r="C2004" s="16" t="s">
        <v>3404</v>
      </c>
      <c r="D2004" s="16" t="s">
        <v>3409</v>
      </c>
    </row>
    <row r="2005" spans="1:4">
      <c r="A2005" s="16">
        <v>6700700000</v>
      </c>
      <c r="B2005" s="16">
        <v>0</v>
      </c>
      <c r="C2005" s="16" t="s">
        <v>3404</v>
      </c>
      <c r="D2005" s="16" t="s">
        <v>3409</v>
      </c>
    </row>
    <row r="2006" spans="1:4">
      <c r="A2006" s="16">
        <v>6700500000</v>
      </c>
      <c r="B2006" s="16">
        <v>0</v>
      </c>
      <c r="C2006" s="16" t="s">
        <v>3404</v>
      </c>
      <c r="D2006" s="16" t="s">
        <v>3405</v>
      </c>
    </row>
    <row r="2007" spans="1:4">
      <c r="A2007" s="16">
        <v>2500000000</v>
      </c>
      <c r="B2007" s="16">
        <v>0</v>
      </c>
      <c r="C2007" s="16" t="s">
        <v>3412</v>
      </c>
      <c r="D2007" s="16" t="s">
        <v>3403</v>
      </c>
    </row>
    <row r="2008" spans="1:4">
      <c r="A2008" s="16">
        <v>5010100000</v>
      </c>
      <c r="B2008" s="16">
        <v>0</v>
      </c>
      <c r="C2008" s="16" t="s">
        <v>3406</v>
      </c>
      <c r="D2008" s="16" t="s">
        <v>3407</v>
      </c>
    </row>
    <row r="2009" spans="1:4">
      <c r="A2009" s="16">
        <v>5010000010</v>
      </c>
      <c r="B2009" s="16">
        <v>0</v>
      </c>
      <c r="C2009" s="16" t="s">
        <v>3406</v>
      </c>
      <c r="D2009" s="16" t="s">
        <v>3411</v>
      </c>
    </row>
    <row r="2010" spans="1:4">
      <c r="A2010" s="16">
        <v>3710000000</v>
      </c>
      <c r="B2010" s="16">
        <v>0</v>
      </c>
      <c r="C2010" s="16" t="s">
        <v>3402</v>
      </c>
      <c r="D2010" s="16" t="s">
        <v>3403</v>
      </c>
    </row>
    <row r="2011" spans="1:4">
      <c r="A2011" s="16">
        <v>6700200000</v>
      </c>
      <c r="B2011" s="16">
        <v>0</v>
      </c>
      <c r="C2011" s="16" t="s">
        <v>3404</v>
      </c>
      <c r="D2011" s="16" t="s">
        <v>3409</v>
      </c>
    </row>
    <row r="2012" spans="1:4">
      <c r="A2012" s="16">
        <v>6700100000</v>
      </c>
      <c r="B2012" s="16">
        <v>0</v>
      </c>
      <c r="C2012" s="16" t="s">
        <v>3404</v>
      </c>
      <c r="D2012" s="16" t="s">
        <v>3410</v>
      </c>
    </row>
    <row r="2013" spans="1:4">
      <c r="A2013" s="16">
        <v>2203000000</v>
      </c>
      <c r="B2013" s="16">
        <v>0</v>
      </c>
      <c r="C2013" s="16" t="s">
        <v>3415</v>
      </c>
      <c r="D2013" s="16" t="s">
        <v>3403</v>
      </c>
    </row>
    <row r="2014" spans="1:4">
      <c r="A2014" s="16">
        <v>6060110000</v>
      </c>
      <c r="B2014" s="16">
        <v>0</v>
      </c>
      <c r="C2014" s="16" t="s">
        <v>3420</v>
      </c>
      <c r="D2014" s="16" t="s">
        <v>3421</v>
      </c>
    </row>
    <row r="2015" spans="1:4">
      <c r="A2015" s="16">
        <v>6610000000</v>
      </c>
      <c r="B2015" s="16">
        <v>417</v>
      </c>
      <c r="C2015" s="16" t="s">
        <v>3413</v>
      </c>
      <c r="D2015" s="16" t="s">
        <v>3418</v>
      </c>
    </row>
    <row r="2016" spans="1:4">
      <c r="A2016" s="16">
        <v>4203000000</v>
      </c>
      <c r="B2016" s="16">
        <v>-417</v>
      </c>
      <c r="C2016" s="16" t="s">
        <v>3408</v>
      </c>
      <c r="D2016" s="16" t="s">
        <v>3403</v>
      </c>
    </row>
    <row r="2017" spans="1:4">
      <c r="A2017" s="16">
        <v>6700200000</v>
      </c>
      <c r="B2017" s="16">
        <v>0</v>
      </c>
      <c r="C2017" s="16" t="s">
        <v>3404</v>
      </c>
      <c r="D2017" s="16" t="s">
        <v>3409</v>
      </c>
    </row>
    <row r="2018" spans="1:4">
      <c r="A2018" s="16">
        <v>6700000000</v>
      </c>
      <c r="B2018" s="16">
        <v>0</v>
      </c>
      <c r="C2018" s="16" t="s">
        <v>3404</v>
      </c>
      <c r="D2018" s="16" t="s">
        <v>3405</v>
      </c>
    </row>
    <row r="2019" spans="1:4">
      <c r="A2019" s="16">
        <v>6100000020</v>
      </c>
      <c r="B2019" s="16">
        <v>0</v>
      </c>
      <c r="C2019" s="16" t="s">
        <v>3416</v>
      </c>
      <c r="D2019" s="16" t="s">
        <v>3417</v>
      </c>
    </row>
    <row r="2020" spans="1:4">
      <c r="A2020" s="16">
        <v>3810000000</v>
      </c>
      <c r="B2020" s="16">
        <v>0</v>
      </c>
      <c r="C2020" s="16" t="s">
        <v>3402</v>
      </c>
      <c r="D2020" s="16" t="s">
        <v>3403</v>
      </c>
    </row>
    <row r="2021" spans="1:4">
      <c r="A2021" s="16">
        <v>5010100010</v>
      </c>
      <c r="B2021" s="16">
        <v>0</v>
      </c>
      <c r="C2021" s="16" t="s">
        <v>3406</v>
      </c>
      <c r="D2021" s="16" t="s">
        <v>3407</v>
      </c>
    </row>
    <row r="2022" spans="1:4">
      <c r="A2022" s="16">
        <v>3710000000</v>
      </c>
      <c r="B2022" s="16">
        <v>0</v>
      </c>
      <c r="C2022" s="16" t="s">
        <v>3402</v>
      </c>
      <c r="D2022" s="16" t="s">
        <v>3403</v>
      </c>
    </row>
    <row r="2023" spans="1:4">
      <c r="A2023" s="16">
        <v>5050000000</v>
      </c>
      <c r="B2023" s="16">
        <v>0</v>
      </c>
      <c r="C2023" s="16" t="s">
        <v>3406</v>
      </c>
      <c r="D2023" s="16" t="s">
        <v>3422</v>
      </c>
    </row>
    <row r="2024" spans="1:4">
      <c r="A2024" s="16">
        <v>3800000000</v>
      </c>
      <c r="B2024" s="16">
        <v>0</v>
      </c>
      <c r="C2024" s="16" t="s">
        <v>3402</v>
      </c>
      <c r="D2024" s="16" t="s">
        <v>3403</v>
      </c>
    </row>
    <row r="2025" spans="1:4">
      <c r="A2025" s="16">
        <v>5052010000</v>
      </c>
      <c r="B2025" s="16">
        <v>0</v>
      </c>
      <c r="C2025" s="16" t="s">
        <v>3406</v>
      </c>
      <c r="D2025" s="16" t="s">
        <v>3422</v>
      </c>
    </row>
    <row r="2026" spans="1:4">
      <c r="A2026" s="16">
        <v>5052000000</v>
      </c>
      <c r="B2026" s="16">
        <v>0</v>
      </c>
      <c r="C2026" s="16" t="s">
        <v>3406</v>
      </c>
      <c r="D2026" s="16" t="s">
        <v>3422</v>
      </c>
    </row>
    <row r="2027" spans="1:4">
      <c r="A2027" s="16">
        <v>6700700000</v>
      </c>
      <c r="B2027" s="16">
        <v>0</v>
      </c>
      <c r="C2027" s="16" t="s">
        <v>3404</v>
      </c>
      <c r="D2027" s="16" t="s">
        <v>3409</v>
      </c>
    </row>
    <row r="2028" spans="1:4">
      <c r="A2028" s="16">
        <v>6700500000</v>
      </c>
      <c r="B2028" s="16">
        <v>0</v>
      </c>
      <c r="C2028" s="16" t="s">
        <v>3404</v>
      </c>
      <c r="D2028" s="16" t="s">
        <v>3405</v>
      </c>
    </row>
    <row r="2029" spans="1:4">
      <c r="A2029" s="16">
        <v>6104001000</v>
      </c>
      <c r="B2029" s="16">
        <v>0</v>
      </c>
      <c r="C2029" s="16" t="s">
        <v>3416</v>
      </c>
      <c r="D2029" s="16" t="s">
        <v>3417</v>
      </c>
    </row>
    <row r="2030" spans="1:4">
      <c r="A2030" s="16">
        <v>3103001000</v>
      </c>
      <c r="B2030" s="16">
        <v>0</v>
      </c>
      <c r="C2030" s="16" t="s">
        <v>3402</v>
      </c>
      <c r="D2030" s="16" t="s">
        <v>3403</v>
      </c>
    </row>
    <row r="2031" spans="1:4">
      <c r="A2031" s="16">
        <v>2500000000</v>
      </c>
      <c r="B2031" s="16">
        <v>0</v>
      </c>
      <c r="C2031" s="16" t="s">
        <v>3412</v>
      </c>
      <c r="D2031" s="16" t="s">
        <v>3403</v>
      </c>
    </row>
    <row r="2032" spans="1:4">
      <c r="A2032" s="16">
        <v>5010000000</v>
      </c>
      <c r="B2032" s="16">
        <v>0</v>
      </c>
      <c r="C2032" s="16" t="s">
        <v>3406</v>
      </c>
      <c r="D2032" s="16" t="s">
        <v>3411</v>
      </c>
    </row>
    <row r="2033" spans="1:4">
      <c r="A2033" s="16">
        <v>3102000000</v>
      </c>
      <c r="B2033" s="16">
        <v>0</v>
      </c>
      <c r="C2033" s="16" t="s">
        <v>3424</v>
      </c>
      <c r="D2033" s="16" t="s">
        <v>3403</v>
      </c>
    </row>
    <row r="2034" spans="1:4">
      <c r="A2034" s="16">
        <v>6102000000</v>
      </c>
      <c r="B2034" s="16">
        <v>0</v>
      </c>
      <c r="C2034" s="16" t="s">
        <v>3425</v>
      </c>
      <c r="D2034" s="16" t="s">
        <v>3426</v>
      </c>
    </row>
    <row r="2035" spans="1:4">
      <c r="A2035" s="16">
        <v>6700200000</v>
      </c>
      <c r="B2035" s="16">
        <v>0</v>
      </c>
      <c r="C2035" s="16" t="s">
        <v>3404</v>
      </c>
      <c r="D2035" s="16" t="s">
        <v>3409</v>
      </c>
    </row>
    <row r="2036" spans="1:4">
      <c r="A2036" s="16">
        <v>6700000000</v>
      </c>
      <c r="B2036" s="16">
        <v>0</v>
      </c>
      <c r="C2036" s="16" t="s">
        <v>3404</v>
      </c>
      <c r="D2036" s="16" t="s">
        <v>3405</v>
      </c>
    </row>
    <row r="2037" spans="1:4">
      <c r="A2037" s="16">
        <v>2500000000</v>
      </c>
      <c r="B2037" s="16">
        <v>14510</v>
      </c>
      <c r="C2037" s="16" t="s">
        <v>3412</v>
      </c>
      <c r="D2037" s="16" t="s">
        <v>3403</v>
      </c>
    </row>
    <row r="2038" spans="1:4">
      <c r="A2038" s="16">
        <v>5010100000</v>
      </c>
      <c r="B2038" s="16">
        <v>-14510</v>
      </c>
      <c r="C2038" s="16" t="s">
        <v>3406</v>
      </c>
      <c r="D2038" s="16" t="s">
        <v>3407</v>
      </c>
    </row>
    <row r="2039" spans="1:4">
      <c r="A2039" s="16">
        <v>6700200000</v>
      </c>
      <c r="B2039" s="16">
        <v>0</v>
      </c>
      <c r="C2039" s="16" t="s">
        <v>3404</v>
      </c>
      <c r="D2039" s="16" t="s">
        <v>3409</v>
      </c>
    </row>
    <row r="2040" spans="1:4">
      <c r="A2040" s="16">
        <v>6700100000</v>
      </c>
      <c r="B2040" s="16">
        <v>0</v>
      </c>
      <c r="C2040" s="16" t="s">
        <v>3404</v>
      </c>
      <c r="D2040" s="16" t="s">
        <v>3410</v>
      </c>
    </row>
    <row r="2041" spans="1:4">
      <c r="A2041" s="16">
        <v>6030000000</v>
      </c>
      <c r="B2041" s="16">
        <v>0</v>
      </c>
      <c r="C2041" s="16" t="s">
        <v>3420</v>
      </c>
      <c r="D2041" s="16" t="s">
        <v>3423</v>
      </c>
    </row>
    <row r="2042" spans="1:4">
      <c r="A2042" s="16">
        <v>3030000000</v>
      </c>
      <c r="B2042" s="16">
        <v>0</v>
      </c>
      <c r="C2042" s="16" t="s">
        <v>3402</v>
      </c>
      <c r="D2042" s="16" t="s">
        <v>3403</v>
      </c>
    </row>
    <row r="2043" spans="1:4">
      <c r="A2043" s="16">
        <v>6610100000</v>
      </c>
      <c r="B2043" s="16">
        <v>0</v>
      </c>
      <c r="C2043" s="16" t="s">
        <v>3413</v>
      </c>
      <c r="D2043" s="16" t="s">
        <v>3414</v>
      </c>
    </row>
    <row r="2044" spans="1:4">
      <c r="A2044" s="16">
        <v>4203000000</v>
      </c>
      <c r="B2044" s="16">
        <v>0</v>
      </c>
      <c r="C2044" s="16" t="s">
        <v>3408</v>
      </c>
      <c r="D2044" s="16" t="s">
        <v>3403</v>
      </c>
    </row>
    <row r="2045" spans="1:4">
      <c r="A2045" s="16">
        <v>6700200000</v>
      </c>
      <c r="B2045" s="16">
        <v>0</v>
      </c>
      <c r="C2045" s="16" t="s">
        <v>3404</v>
      </c>
      <c r="D2045" s="16" t="s">
        <v>3409</v>
      </c>
    </row>
    <row r="2046" spans="1:4">
      <c r="A2046" s="16">
        <v>2201200030</v>
      </c>
      <c r="B2046" s="16">
        <v>0</v>
      </c>
      <c r="C2046" s="16" t="s">
        <v>3415</v>
      </c>
      <c r="D2046" s="16" t="s">
        <v>3403</v>
      </c>
    </row>
    <row r="2047" spans="1:4">
      <c r="A2047" s="16">
        <v>6700200000</v>
      </c>
      <c r="B2047" s="16">
        <v>0</v>
      </c>
      <c r="C2047" s="16" t="s">
        <v>3404</v>
      </c>
      <c r="D2047" s="16" t="s">
        <v>3409</v>
      </c>
    </row>
    <row r="2048" spans="1:4">
      <c r="A2048" s="16">
        <v>6700000000</v>
      </c>
      <c r="B2048" s="16">
        <v>0</v>
      </c>
      <c r="C2048" s="16" t="s">
        <v>3404</v>
      </c>
      <c r="D2048" s="16" t="s">
        <v>3405</v>
      </c>
    </row>
    <row r="2049" spans="1:4">
      <c r="A2049" s="16">
        <v>2500000000</v>
      </c>
      <c r="B2049" s="16">
        <v>0</v>
      </c>
      <c r="C2049" s="16" t="s">
        <v>3412</v>
      </c>
      <c r="D2049" s="16" t="s">
        <v>3403</v>
      </c>
    </row>
    <row r="2050" spans="1:4">
      <c r="A2050" s="16">
        <v>5010000000</v>
      </c>
      <c r="B2050" s="16">
        <v>0</v>
      </c>
      <c r="C2050" s="16" t="s">
        <v>3406</v>
      </c>
      <c r="D2050" s="16" t="s">
        <v>3411</v>
      </c>
    </row>
    <row r="2051" spans="1:4">
      <c r="A2051" s="16">
        <v>2201000000</v>
      </c>
      <c r="B2051" s="16">
        <v>0</v>
      </c>
      <c r="C2051" s="16" t="s">
        <v>3415</v>
      </c>
      <c r="D2051" s="16" t="s">
        <v>3403</v>
      </c>
    </row>
    <row r="2052" spans="1:4">
      <c r="A2052" s="16">
        <v>6700200000</v>
      </c>
      <c r="B2052" s="16">
        <v>0</v>
      </c>
      <c r="C2052" s="16" t="s">
        <v>3404</v>
      </c>
      <c r="D2052" s="16" t="s">
        <v>3409</v>
      </c>
    </row>
    <row r="2053" spans="1:4">
      <c r="A2053" s="16">
        <v>3102000000</v>
      </c>
      <c r="B2053" s="16">
        <v>0</v>
      </c>
      <c r="C2053" s="16" t="s">
        <v>3424</v>
      </c>
      <c r="D2053" s="16" t="s">
        <v>3403</v>
      </c>
    </row>
    <row r="2054" spans="1:4">
      <c r="A2054" s="16">
        <v>6102000000</v>
      </c>
      <c r="B2054" s="16">
        <v>0</v>
      </c>
      <c r="C2054" s="16" t="s">
        <v>3425</v>
      </c>
      <c r="D2054" s="16" t="s">
        <v>3426</v>
      </c>
    </row>
    <row r="2055" spans="1:4">
      <c r="A2055" s="16">
        <v>6700200000</v>
      </c>
      <c r="B2055" s="16">
        <v>0</v>
      </c>
      <c r="C2055" s="16" t="s">
        <v>3404</v>
      </c>
      <c r="D2055" s="16" t="s">
        <v>3409</v>
      </c>
    </row>
    <row r="2056" spans="1:4">
      <c r="A2056" s="16">
        <v>6700100000</v>
      </c>
      <c r="B2056" s="16">
        <v>0</v>
      </c>
      <c r="C2056" s="16" t="s">
        <v>3404</v>
      </c>
      <c r="D2056" s="16" t="s">
        <v>3410</v>
      </c>
    </row>
    <row r="2057" spans="1:4">
      <c r="A2057" s="16">
        <v>6610100000</v>
      </c>
      <c r="B2057" s="16">
        <v>0</v>
      </c>
      <c r="C2057" s="16" t="s">
        <v>3413</v>
      </c>
      <c r="D2057" s="16" t="s">
        <v>3414</v>
      </c>
    </row>
    <row r="2058" spans="1:4">
      <c r="A2058" s="16">
        <v>4203000000</v>
      </c>
      <c r="B2058" s="16">
        <v>0</v>
      </c>
      <c r="C2058" s="16" t="s">
        <v>3408</v>
      </c>
      <c r="D2058" s="16" t="s">
        <v>3403</v>
      </c>
    </row>
    <row r="2059" spans="1:4">
      <c r="A2059" s="16">
        <v>6610100000</v>
      </c>
      <c r="B2059" s="16">
        <v>0</v>
      </c>
      <c r="C2059" s="16" t="s">
        <v>3413</v>
      </c>
      <c r="D2059" s="16" t="s">
        <v>3414</v>
      </c>
    </row>
    <row r="2060" spans="1:4">
      <c r="A2060" s="16">
        <v>4203000000</v>
      </c>
      <c r="B2060" s="16">
        <v>0</v>
      </c>
      <c r="C2060" s="16" t="s">
        <v>3408</v>
      </c>
      <c r="D2060" s="16" t="s">
        <v>3403</v>
      </c>
    </row>
    <row r="2061" spans="1:4">
      <c r="A2061" s="16">
        <v>2500000000</v>
      </c>
      <c r="B2061" s="16">
        <v>0</v>
      </c>
      <c r="C2061" s="16" t="s">
        <v>3412</v>
      </c>
      <c r="D2061" s="16" t="s">
        <v>3403</v>
      </c>
    </row>
    <row r="2062" spans="1:4">
      <c r="A2062" s="16">
        <v>5010000000</v>
      </c>
      <c r="B2062" s="16">
        <v>0</v>
      </c>
      <c r="C2062" s="16" t="s">
        <v>3406</v>
      </c>
      <c r="D2062" s="16" t="s">
        <v>3411</v>
      </c>
    </row>
    <row r="2063" spans="1:4">
      <c r="A2063" s="16">
        <v>6030000000</v>
      </c>
      <c r="B2063" s="16">
        <v>102645081</v>
      </c>
      <c r="C2063" s="16" t="s">
        <v>3432</v>
      </c>
      <c r="D2063" s="16" t="s">
        <v>3423</v>
      </c>
    </row>
    <row r="2064" spans="1:4">
      <c r="A2064" s="16">
        <v>3030000000</v>
      </c>
      <c r="B2064" s="16">
        <v>-102645081</v>
      </c>
      <c r="C2064" s="16" t="s">
        <v>3402</v>
      </c>
      <c r="D2064" s="16" t="s">
        <v>3403</v>
      </c>
    </row>
    <row r="2065" spans="1:4">
      <c r="A2065" s="16">
        <v>6100000000</v>
      </c>
      <c r="B2065" s="16">
        <v>0</v>
      </c>
      <c r="C2065" s="16" t="s">
        <v>3416</v>
      </c>
      <c r="D2065" s="16" t="s">
        <v>3417</v>
      </c>
    </row>
    <row r="2066" spans="1:4">
      <c r="A2066" s="16">
        <v>3100000000</v>
      </c>
      <c r="B2066" s="16">
        <v>0</v>
      </c>
      <c r="C2066" s="16" t="s">
        <v>3402</v>
      </c>
      <c r="D2066" s="16" t="s">
        <v>3403</v>
      </c>
    </row>
    <row r="2067" spans="1:4">
      <c r="A2067" s="16">
        <v>2203000000</v>
      </c>
      <c r="B2067" s="16">
        <v>0</v>
      </c>
      <c r="C2067" s="16" t="s">
        <v>3415</v>
      </c>
      <c r="D2067" s="16" t="s">
        <v>3403</v>
      </c>
    </row>
    <row r="2068" spans="1:4">
      <c r="A2068" s="16">
        <v>6060110000</v>
      </c>
      <c r="B2068" s="16">
        <v>0</v>
      </c>
      <c r="C2068" s="16" t="s">
        <v>3420</v>
      </c>
      <c r="D2068" s="16" t="s">
        <v>3421</v>
      </c>
    </row>
    <row r="2069" spans="1:4">
      <c r="A2069" s="16">
        <v>6700700000</v>
      </c>
      <c r="B2069" s="16">
        <v>0</v>
      </c>
      <c r="C2069" s="16" t="s">
        <v>3404</v>
      </c>
      <c r="D2069" s="16" t="s">
        <v>3409</v>
      </c>
    </row>
    <row r="2070" spans="1:4">
      <c r="A2070" s="16">
        <v>6700500000</v>
      </c>
      <c r="B2070" s="16">
        <v>0</v>
      </c>
      <c r="C2070" s="16" t="s">
        <v>3404</v>
      </c>
      <c r="D2070" s="16" t="s">
        <v>3405</v>
      </c>
    </row>
    <row r="2071" spans="1:4">
      <c r="A2071" s="16">
        <v>6700200000</v>
      </c>
      <c r="B2071" s="16">
        <v>0</v>
      </c>
      <c r="C2071" s="16" t="s">
        <v>3404</v>
      </c>
      <c r="D2071" s="16" t="s">
        <v>3409</v>
      </c>
    </row>
    <row r="2072" spans="1:4">
      <c r="A2072" s="16">
        <v>6700000000</v>
      </c>
      <c r="B2072" s="16">
        <v>0</v>
      </c>
      <c r="C2072" s="16" t="s">
        <v>3404</v>
      </c>
      <c r="D2072" s="16" t="s">
        <v>3405</v>
      </c>
    </row>
    <row r="2073" spans="1:4">
      <c r="A2073" s="16">
        <v>2500000000</v>
      </c>
      <c r="B2073" s="16">
        <v>0</v>
      </c>
      <c r="C2073" s="16" t="s">
        <v>3412</v>
      </c>
      <c r="D2073" s="16" t="s">
        <v>3403</v>
      </c>
    </row>
    <row r="2074" spans="1:4">
      <c r="A2074" s="16">
        <v>5010100000</v>
      </c>
      <c r="B2074" s="16">
        <v>0</v>
      </c>
      <c r="C2074" s="16" t="s">
        <v>3406</v>
      </c>
      <c r="D2074" s="16" t="s">
        <v>3407</v>
      </c>
    </row>
    <row r="2075" spans="1:4">
      <c r="A2075" s="16">
        <v>2500000000</v>
      </c>
      <c r="B2075" s="16">
        <v>0</v>
      </c>
      <c r="C2075" s="16" t="s">
        <v>3412</v>
      </c>
      <c r="D2075" s="16" t="s">
        <v>3403</v>
      </c>
    </row>
    <row r="2076" spans="1:4">
      <c r="A2076" s="16">
        <v>5010000000</v>
      </c>
      <c r="B2076" s="16">
        <v>0</v>
      </c>
      <c r="C2076" s="16" t="s">
        <v>3406</v>
      </c>
      <c r="D2076" s="16" t="s">
        <v>3411</v>
      </c>
    </row>
    <row r="2077" spans="1:4">
      <c r="A2077" s="16">
        <v>2750010000</v>
      </c>
      <c r="B2077" s="16">
        <v>0</v>
      </c>
      <c r="C2077" s="16" t="s">
        <v>3419</v>
      </c>
      <c r="D2077" s="16" t="s">
        <v>3403</v>
      </c>
    </row>
    <row r="2078" spans="1:4">
      <c r="A2078" s="16">
        <v>6610100100</v>
      </c>
      <c r="B2078" s="16">
        <v>0</v>
      </c>
      <c r="C2078" s="16" t="s">
        <v>3413</v>
      </c>
      <c r="D2078" s="16" t="s">
        <v>3414</v>
      </c>
    </row>
    <row r="2079" spans="1:4">
      <c r="A2079" s="16">
        <v>2500000000</v>
      </c>
      <c r="B2079" s="16">
        <v>1820244</v>
      </c>
      <c r="C2079" s="16" t="s">
        <v>3412</v>
      </c>
      <c r="D2079" s="16" t="s">
        <v>3403</v>
      </c>
    </row>
    <row r="2080" spans="1:4">
      <c r="A2080" s="16">
        <v>5010100000</v>
      </c>
      <c r="B2080" s="16">
        <v>-1820244</v>
      </c>
      <c r="C2080" s="16" t="s">
        <v>3406</v>
      </c>
      <c r="D2080" s="16" t="s">
        <v>3407</v>
      </c>
    </row>
    <row r="2081" spans="1:4">
      <c r="A2081" s="16">
        <v>2201000000</v>
      </c>
      <c r="B2081" s="16">
        <v>0</v>
      </c>
      <c r="C2081" s="16" t="s">
        <v>3415</v>
      </c>
      <c r="D2081" s="16" t="s">
        <v>3403</v>
      </c>
    </row>
    <row r="2082" spans="1:4">
      <c r="A2082" s="16">
        <v>6700200000</v>
      </c>
      <c r="B2082" s="16">
        <v>0</v>
      </c>
      <c r="C2082" s="16" t="s">
        <v>3404</v>
      </c>
      <c r="D2082" s="16" t="s">
        <v>3409</v>
      </c>
    </row>
    <row r="2083" spans="1:4">
      <c r="A2083" s="16">
        <v>3032000000</v>
      </c>
      <c r="B2083" s="16">
        <v>0</v>
      </c>
      <c r="C2083" s="16" t="s">
        <v>3424</v>
      </c>
      <c r="D2083" s="16" t="s">
        <v>3403</v>
      </c>
    </row>
    <row r="2084" spans="1:4">
      <c r="A2084" s="16">
        <v>6032000000</v>
      </c>
      <c r="B2084" s="16">
        <v>0</v>
      </c>
      <c r="C2084" s="16" t="s">
        <v>3429</v>
      </c>
      <c r="D2084" s="16" t="s">
        <v>3430</v>
      </c>
    </row>
    <row r="2085" spans="1:4">
      <c r="A2085" s="16">
        <v>5050010000</v>
      </c>
      <c r="B2085" s="16">
        <v>0</v>
      </c>
      <c r="C2085" s="16" t="s">
        <v>3406</v>
      </c>
      <c r="D2085" s="16" t="s">
        <v>3422</v>
      </c>
    </row>
    <row r="2086" spans="1:4">
      <c r="A2086" s="16">
        <v>5050000000</v>
      </c>
      <c r="B2086" s="16">
        <v>0</v>
      </c>
      <c r="C2086" s="16" t="s">
        <v>3406</v>
      </c>
      <c r="D2086" s="16" t="s">
        <v>3422</v>
      </c>
    </row>
    <row r="2087" spans="1:4">
      <c r="A2087" s="16">
        <v>6100000000</v>
      </c>
      <c r="B2087" s="16">
        <v>0</v>
      </c>
      <c r="C2087" s="16" t="s">
        <v>3416</v>
      </c>
      <c r="D2087" s="16" t="s">
        <v>3417</v>
      </c>
    </row>
    <row r="2088" spans="1:4">
      <c r="A2088" s="16">
        <v>3100000000</v>
      </c>
      <c r="B2088" s="16">
        <v>0</v>
      </c>
      <c r="C2088" s="16" t="s">
        <v>3402</v>
      </c>
      <c r="D2088" s="16" t="s">
        <v>3403</v>
      </c>
    </row>
    <row r="2089" spans="1:4">
      <c r="A2089" s="16">
        <v>6100000000</v>
      </c>
      <c r="B2089" s="16">
        <v>0</v>
      </c>
      <c r="C2089" s="16" t="s">
        <v>3427</v>
      </c>
      <c r="D2089" s="16" t="s">
        <v>3417</v>
      </c>
    </row>
    <row r="2090" spans="1:4">
      <c r="A2090" s="16">
        <v>3100000000</v>
      </c>
      <c r="B2090" s="16">
        <v>0</v>
      </c>
      <c r="C2090" s="16" t="s">
        <v>3402</v>
      </c>
      <c r="D2090" s="16" t="s">
        <v>3403</v>
      </c>
    </row>
    <row r="2091" spans="1:4">
      <c r="A2091" s="16">
        <v>2500000000</v>
      </c>
      <c r="B2091" s="16">
        <v>0</v>
      </c>
      <c r="C2091" s="16" t="s">
        <v>3412</v>
      </c>
      <c r="D2091" s="16" t="s">
        <v>3403</v>
      </c>
    </row>
    <row r="2092" spans="1:4">
      <c r="A2092" s="16">
        <v>5010000000</v>
      </c>
      <c r="B2092" s="16">
        <v>0</v>
      </c>
      <c r="C2092" s="16" t="s">
        <v>3406</v>
      </c>
      <c r="D2092" s="16" t="s">
        <v>3411</v>
      </c>
    </row>
    <row r="2093" spans="1:4">
      <c r="A2093" s="16">
        <v>6060010000</v>
      </c>
      <c r="B2093" s="16">
        <v>0</v>
      </c>
      <c r="C2093" s="16" t="s">
        <v>3420</v>
      </c>
      <c r="D2093" s="16" t="s">
        <v>3421</v>
      </c>
    </row>
    <row r="2094" spans="1:4">
      <c r="A2094" s="16">
        <v>5052000000</v>
      </c>
      <c r="B2094" s="16">
        <v>0</v>
      </c>
      <c r="C2094" s="16" t="s">
        <v>3406</v>
      </c>
      <c r="D2094" s="16" t="s">
        <v>3422</v>
      </c>
    </row>
    <row r="2095" spans="1:4">
      <c r="A2095" s="16">
        <v>6700200000</v>
      </c>
      <c r="B2095" s="16">
        <v>0</v>
      </c>
      <c r="C2095" s="16" t="s">
        <v>3404</v>
      </c>
      <c r="D2095" s="16" t="s">
        <v>3409</v>
      </c>
    </row>
    <row r="2096" spans="1:4">
      <c r="A2096" s="16">
        <v>6700100000</v>
      </c>
      <c r="B2096" s="16">
        <v>0</v>
      </c>
      <c r="C2096" s="16" t="s">
        <v>3404</v>
      </c>
      <c r="D2096" s="16" t="s">
        <v>3410</v>
      </c>
    </row>
    <row r="2097" spans="1:4">
      <c r="A2097" s="16">
        <v>2201000000</v>
      </c>
      <c r="B2097" s="16">
        <v>2320444</v>
      </c>
      <c r="C2097" s="16" t="s">
        <v>3415</v>
      </c>
      <c r="D2097" s="16" t="s">
        <v>3403</v>
      </c>
    </row>
    <row r="2098" spans="1:4">
      <c r="A2098" s="16">
        <v>6700200000</v>
      </c>
      <c r="B2098" s="16">
        <v>-2320444</v>
      </c>
      <c r="C2098" s="16" t="s">
        <v>3404</v>
      </c>
      <c r="D2098" s="16" t="s">
        <v>3409</v>
      </c>
    </row>
    <row r="2099" spans="1:4">
      <c r="A2099" s="16">
        <v>2750010000</v>
      </c>
      <c r="B2099" s="16">
        <v>0</v>
      </c>
      <c r="C2099" s="16" t="s">
        <v>3419</v>
      </c>
      <c r="D2099" s="16" t="s">
        <v>3403</v>
      </c>
    </row>
    <row r="2100" spans="1:4">
      <c r="A2100" s="16">
        <v>6610100100</v>
      </c>
      <c r="B2100" s="16">
        <v>0</v>
      </c>
      <c r="C2100" s="16" t="s">
        <v>3413</v>
      </c>
      <c r="D2100" s="16" t="s">
        <v>3414</v>
      </c>
    </row>
    <row r="2101" spans="1:4">
      <c r="A2101" s="16">
        <v>6104000000</v>
      </c>
      <c r="B2101" s="16">
        <v>0</v>
      </c>
      <c r="C2101" s="16" t="s">
        <v>3416</v>
      </c>
      <c r="D2101" s="16" t="s">
        <v>3417</v>
      </c>
    </row>
    <row r="2102" spans="1:4">
      <c r="A2102" s="16">
        <v>3103000000</v>
      </c>
      <c r="B2102" s="16">
        <v>0</v>
      </c>
      <c r="C2102" s="16" t="s">
        <v>3402</v>
      </c>
      <c r="D2102" s="16" t="s">
        <v>3403</v>
      </c>
    </row>
    <row r="2103" spans="1:4">
      <c r="A2103" s="16">
        <v>6100000000</v>
      </c>
      <c r="B2103" s="16">
        <v>0</v>
      </c>
      <c r="C2103" s="16" t="s">
        <v>3416</v>
      </c>
      <c r="D2103" s="16" t="s">
        <v>3417</v>
      </c>
    </row>
    <row r="2104" spans="1:4">
      <c r="A2104" s="16">
        <v>3100000000</v>
      </c>
      <c r="B2104" s="16">
        <v>0</v>
      </c>
      <c r="C2104" s="16" t="s">
        <v>3402</v>
      </c>
      <c r="D2104" s="16" t="s">
        <v>3403</v>
      </c>
    </row>
    <row r="2105" spans="1:4">
      <c r="A2105" s="16">
        <v>6700200000</v>
      </c>
      <c r="B2105" s="16">
        <v>0</v>
      </c>
      <c r="C2105" s="16" t="s">
        <v>3404</v>
      </c>
      <c r="D2105" s="16" t="s">
        <v>3409</v>
      </c>
    </row>
    <row r="2106" spans="1:4">
      <c r="A2106" s="16">
        <v>6700100000</v>
      </c>
      <c r="B2106" s="16">
        <v>0</v>
      </c>
      <c r="C2106" s="16" t="s">
        <v>3404</v>
      </c>
      <c r="D2106" s="16" t="s">
        <v>3410</v>
      </c>
    </row>
    <row r="2107" spans="1:4">
      <c r="A2107" s="16">
        <v>6700700000</v>
      </c>
      <c r="B2107" s="16">
        <v>0</v>
      </c>
      <c r="C2107" s="16" t="s">
        <v>3404</v>
      </c>
      <c r="D2107" s="16" t="s">
        <v>3409</v>
      </c>
    </row>
    <row r="2108" spans="1:4">
      <c r="A2108" s="16">
        <v>6700500000</v>
      </c>
      <c r="B2108" s="16">
        <v>0</v>
      </c>
      <c r="C2108" s="16" t="s">
        <v>3404</v>
      </c>
      <c r="D2108" s="16" t="s">
        <v>3405</v>
      </c>
    </row>
    <row r="2109" spans="1:4">
      <c r="A2109" s="16">
        <v>6700600000</v>
      </c>
      <c r="B2109" s="16">
        <v>0</v>
      </c>
      <c r="C2109" s="16" t="s">
        <v>3404</v>
      </c>
      <c r="D2109" s="16" t="s">
        <v>3409</v>
      </c>
    </row>
    <row r="2110" spans="1:4">
      <c r="A2110" s="16">
        <v>6700400000</v>
      </c>
      <c r="B2110" s="16">
        <v>0</v>
      </c>
      <c r="C2110" s="16" t="s">
        <v>3404</v>
      </c>
      <c r="D2110" s="16" t="s">
        <v>3405</v>
      </c>
    </row>
    <row r="2111" spans="1:4">
      <c r="A2111" s="16">
        <v>6030000000</v>
      </c>
      <c r="B2111" s="16">
        <v>0</v>
      </c>
      <c r="C2111" s="16" t="s">
        <v>3420</v>
      </c>
      <c r="D2111" s="16" t="s">
        <v>3423</v>
      </c>
    </row>
    <row r="2112" spans="1:4">
      <c r="A2112" s="16">
        <v>3030000000</v>
      </c>
      <c r="B2112" s="16">
        <v>0</v>
      </c>
      <c r="C2112" s="16" t="s">
        <v>3402</v>
      </c>
      <c r="D2112" s="16" t="s">
        <v>3403</v>
      </c>
    </row>
    <row r="2113" spans="1:4">
      <c r="A2113" s="16">
        <v>6100000000</v>
      </c>
      <c r="B2113" s="16">
        <v>0</v>
      </c>
      <c r="C2113" s="16" t="s">
        <v>3416</v>
      </c>
      <c r="D2113" s="16" t="s">
        <v>3417</v>
      </c>
    </row>
    <row r="2114" spans="1:4">
      <c r="A2114" s="16">
        <v>3100000000</v>
      </c>
      <c r="B2114" s="16">
        <v>0</v>
      </c>
      <c r="C2114" s="16" t="s">
        <v>3402</v>
      </c>
      <c r="D2114" s="16" t="s">
        <v>3403</v>
      </c>
    </row>
    <row r="2115" spans="1:4">
      <c r="A2115" s="16">
        <v>6700700000</v>
      </c>
      <c r="B2115" s="16">
        <v>0</v>
      </c>
      <c r="C2115" s="16" t="s">
        <v>3404</v>
      </c>
      <c r="D2115" s="16" t="s">
        <v>3409</v>
      </c>
    </row>
    <row r="2116" spans="1:4">
      <c r="A2116" s="16">
        <v>6700500000</v>
      </c>
      <c r="B2116" s="16">
        <v>0</v>
      </c>
      <c r="C2116" s="16" t="s">
        <v>3404</v>
      </c>
      <c r="D2116" s="16" t="s">
        <v>3405</v>
      </c>
    </row>
    <row r="2117" spans="1:4">
      <c r="A2117" s="16">
        <v>6700200000</v>
      </c>
      <c r="B2117" s="16">
        <v>0</v>
      </c>
      <c r="C2117" s="16" t="s">
        <v>3404</v>
      </c>
      <c r="D2117" s="16" t="s">
        <v>3409</v>
      </c>
    </row>
    <row r="2118" spans="1:4">
      <c r="A2118" s="16">
        <v>6700000000</v>
      </c>
      <c r="B2118" s="16">
        <v>0</v>
      </c>
      <c r="C2118" s="16" t="s">
        <v>3404</v>
      </c>
      <c r="D2118" s="16" t="s">
        <v>3405</v>
      </c>
    </row>
    <row r="2119" spans="1:4">
      <c r="A2119" s="16">
        <v>6610100000</v>
      </c>
      <c r="B2119" s="16">
        <v>4212289</v>
      </c>
      <c r="C2119" s="16" t="s">
        <v>3413</v>
      </c>
      <c r="D2119" s="16" t="s">
        <v>3414</v>
      </c>
    </row>
    <row r="2120" spans="1:4">
      <c r="A2120" s="16">
        <v>4203000000</v>
      </c>
      <c r="B2120" s="16">
        <v>-4212289</v>
      </c>
      <c r="C2120" s="16" t="s">
        <v>3408</v>
      </c>
      <c r="D2120" s="16" t="s">
        <v>3403</v>
      </c>
    </row>
    <row r="2121" spans="1:4">
      <c r="A2121" s="16">
        <v>6610000000</v>
      </c>
      <c r="B2121" s="16">
        <v>0</v>
      </c>
      <c r="C2121" s="16" t="s">
        <v>3413</v>
      </c>
      <c r="D2121" s="16" t="s">
        <v>3418</v>
      </c>
    </row>
    <row r="2122" spans="1:4">
      <c r="A2122" s="16">
        <v>4203000000</v>
      </c>
      <c r="B2122" s="16">
        <v>0</v>
      </c>
      <c r="C2122" s="16" t="s">
        <v>3408</v>
      </c>
      <c r="D2122" s="16" t="s">
        <v>3403</v>
      </c>
    </row>
    <row r="2123" spans="1:4">
      <c r="A2123" s="16">
        <v>6700200000</v>
      </c>
      <c r="B2123" s="16">
        <v>0</v>
      </c>
      <c r="C2123" s="16" t="s">
        <v>3404</v>
      </c>
      <c r="D2123" s="16" t="s">
        <v>3409</v>
      </c>
    </row>
    <row r="2124" spans="1:4">
      <c r="A2124" s="16">
        <v>6700100000</v>
      </c>
      <c r="B2124" s="16">
        <v>0</v>
      </c>
      <c r="C2124" s="16" t="s">
        <v>3404</v>
      </c>
      <c r="D2124" s="16" t="s">
        <v>3410</v>
      </c>
    </row>
    <row r="2125" spans="1:4">
      <c r="A2125" s="16">
        <v>6104001000</v>
      </c>
      <c r="B2125" s="16">
        <v>0</v>
      </c>
      <c r="C2125" s="16" t="s">
        <v>3416</v>
      </c>
      <c r="D2125" s="16" t="s">
        <v>3417</v>
      </c>
    </row>
    <row r="2126" spans="1:4">
      <c r="A2126" s="16">
        <v>3103001000</v>
      </c>
      <c r="B2126" s="16">
        <v>0</v>
      </c>
      <c r="C2126" s="16" t="s">
        <v>3402</v>
      </c>
      <c r="D2126" s="16" t="s">
        <v>3403</v>
      </c>
    </row>
    <row r="2127" spans="1:4">
      <c r="A2127" s="16">
        <v>3102000000</v>
      </c>
      <c r="B2127" s="16">
        <v>0</v>
      </c>
      <c r="C2127" s="16" t="s">
        <v>3424</v>
      </c>
      <c r="D2127" s="16" t="s">
        <v>3403</v>
      </c>
    </row>
    <row r="2128" spans="1:4">
      <c r="A2128" s="16">
        <v>6102000000</v>
      </c>
      <c r="B2128" s="16">
        <v>0</v>
      </c>
      <c r="C2128" s="16" t="s">
        <v>3425</v>
      </c>
      <c r="D2128" s="16" t="s">
        <v>3426</v>
      </c>
    </row>
    <row r="2129" spans="1:4">
      <c r="A2129" s="16">
        <v>2500000000</v>
      </c>
      <c r="B2129" s="16">
        <v>46075</v>
      </c>
      <c r="C2129" s="16" t="s">
        <v>3412</v>
      </c>
      <c r="D2129" s="16" t="s">
        <v>3403</v>
      </c>
    </row>
    <row r="2130" spans="1:4">
      <c r="A2130" s="16">
        <v>5010100000</v>
      </c>
      <c r="B2130" s="16">
        <v>-46075</v>
      </c>
      <c r="C2130" s="16" t="s">
        <v>3406</v>
      </c>
      <c r="D2130" s="16" t="s">
        <v>3407</v>
      </c>
    </row>
    <row r="2131" spans="1:4">
      <c r="A2131" s="16">
        <v>6700200000</v>
      </c>
      <c r="B2131" s="16">
        <v>0</v>
      </c>
      <c r="C2131" s="16" t="s">
        <v>3404</v>
      </c>
      <c r="D2131" s="16" t="s">
        <v>3409</v>
      </c>
    </row>
    <row r="2132" spans="1:4">
      <c r="A2132" s="16">
        <v>6700100000</v>
      </c>
      <c r="B2132" s="16">
        <v>0</v>
      </c>
      <c r="C2132" s="16" t="s">
        <v>3404</v>
      </c>
      <c r="D2132" s="16" t="s">
        <v>3410</v>
      </c>
    </row>
    <row r="2133" spans="1:4">
      <c r="A2133" s="16">
        <v>3102000000</v>
      </c>
      <c r="B2133" s="16">
        <v>0</v>
      </c>
      <c r="C2133" s="16" t="s">
        <v>3424</v>
      </c>
      <c r="D2133" s="16" t="s">
        <v>3403</v>
      </c>
    </row>
    <row r="2134" spans="1:4">
      <c r="A2134" s="16">
        <v>6102000000</v>
      </c>
      <c r="B2134" s="16">
        <v>0</v>
      </c>
      <c r="C2134" s="16" t="s">
        <v>3425</v>
      </c>
      <c r="D2134" s="16" t="s">
        <v>3426</v>
      </c>
    </row>
    <row r="2135" spans="1:4">
      <c r="A2135" s="16">
        <v>6610100000</v>
      </c>
      <c r="B2135" s="16">
        <v>0</v>
      </c>
      <c r="C2135" s="16" t="s">
        <v>3413</v>
      </c>
      <c r="D2135" s="16" t="s">
        <v>3414</v>
      </c>
    </row>
    <row r="2136" spans="1:4">
      <c r="A2136" s="16">
        <v>4203000000</v>
      </c>
      <c r="B2136" s="16">
        <v>0</v>
      </c>
      <c r="C2136" s="16" t="s">
        <v>3408</v>
      </c>
      <c r="D2136" s="16" t="s">
        <v>3403</v>
      </c>
    </row>
    <row r="2137" spans="1:4">
      <c r="A2137" s="16">
        <v>6700700000</v>
      </c>
      <c r="B2137" s="16">
        <v>0</v>
      </c>
      <c r="C2137" s="16" t="s">
        <v>3404</v>
      </c>
      <c r="D2137" s="16" t="s">
        <v>3409</v>
      </c>
    </row>
    <row r="2138" spans="1:4">
      <c r="A2138" s="16">
        <v>6700500000</v>
      </c>
      <c r="B2138" s="16">
        <v>0</v>
      </c>
      <c r="C2138" s="16" t="s">
        <v>3404</v>
      </c>
      <c r="D2138" s="16" t="s">
        <v>3405</v>
      </c>
    </row>
    <row r="2139" spans="1:4">
      <c r="A2139" s="16">
        <v>2500000000</v>
      </c>
      <c r="B2139" s="16">
        <v>0</v>
      </c>
      <c r="C2139" s="16" t="s">
        <v>3412</v>
      </c>
      <c r="D2139" s="16" t="s">
        <v>3403</v>
      </c>
    </row>
    <row r="2140" spans="1:4">
      <c r="A2140" s="16">
        <v>5010100000</v>
      </c>
      <c r="B2140" s="16">
        <v>0</v>
      </c>
      <c r="C2140" s="16" t="s">
        <v>3406</v>
      </c>
      <c r="D2140" s="16" t="s">
        <v>3407</v>
      </c>
    </row>
    <row r="2141" spans="1:4">
      <c r="A2141" s="16">
        <v>6700200000</v>
      </c>
      <c r="B2141" s="16">
        <v>0</v>
      </c>
      <c r="C2141" s="16" t="s">
        <v>3404</v>
      </c>
      <c r="D2141" s="16" t="s">
        <v>3409</v>
      </c>
    </row>
    <row r="2142" spans="1:4">
      <c r="A2142" s="16">
        <v>6700100000</v>
      </c>
      <c r="B2142" s="16">
        <v>0</v>
      </c>
      <c r="C2142" s="16" t="s">
        <v>3404</v>
      </c>
      <c r="D2142" s="16" t="s">
        <v>3410</v>
      </c>
    </row>
    <row r="2143" spans="1:4">
      <c r="A2143" s="16">
        <v>6104000000</v>
      </c>
      <c r="B2143" s="16">
        <v>0</v>
      </c>
      <c r="C2143" s="16" t="s">
        <v>3416</v>
      </c>
      <c r="D2143" s="16" t="s">
        <v>3417</v>
      </c>
    </row>
    <row r="2144" spans="1:4">
      <c r="A2144" s="16">
        <v>3103000000</v>
      </c>
      <c r="B2144" s="16">
        <v>0</v>
      </c>
      <c r="C2144" s="16" t="s">
        <v>3402</v>
      </c>
      <c r="D2144" s="16" t="s">
        <v>3403</v>
      </c>
    </row>
    <row r="2145" spans="1:4">
      <c r="A2145" s="16">
        <v>6610000000</v>
      </c>
      <c r="B2145" s="16">
        <v>0</v>
      </c>
      <c r="C2145" s="16" t="s">
        <v>3413</v>
      </c>
      <c r="D2145" s="16" t="s">
        <v>3418</v>
      </c>
    </row>
    <row r="2146" spans="1:4">
      <c r="A2146" s="16">
        <v>4203000000</v>
      </c>
      <c r="B2146" s="16">
        <v>0</v>
      </c>
      <c r="C2146" s="16" t="s">
        <v>3408</v>
      </c>
      <c r="D2146" s="16" t="s">
        <v>3403</v>
      </c>
    </row>
    <row r="2147" spans="1:4">
      <c r="A2147" s="16">
        <v>6100000020</v>
      </c>
      <c r="B2147" s="16">
        <v>0</v>
      </c>
      <c r="C2147" s="16" t="s">
        <v>3416</v>
      </c>
      <c r="D2147" s="16" t="s">
        <v>3417</v>
      </c>
    </row>
    <row r="2148" spans="1:4">
      <c r="A2148" s="16">
        <v>3810000000</v>
      </c>
      <c r="B2148" s="16">
        <v>0</v>
      </c>
      <c r="C2148" s="16" t="s">
        <v>3402</v>
      </c>
      <c r="D2148" s="16" t="s">
        <v>3403</v>
      </c>
    </row>
    <row r="2149" spans="1:4">
      <c r="A2149" s="16">
        <v>2500000000</v>
      </c>
      <c r="B2149" s="16">
        <v>0</v>
      </c>
      <c r="C2149" s="16" t="s">
        <v>3412</v>
      </c>
      <c r="D2149" s="16" t="s">
        <v>3403</v>
      </c>
    </row>
    <row r="2150" spans="1:4">
      <c r="A2150" s="16">
        <v>5010100000</v>
      </c>
      <c r="B2150" s="16">
        <v>0</v>
      </c>
      <c r="C2150" s="16" t="s">
        <v>3406</v>
      </c>
      <c r="D2150" s="16" t="s">
        <v>3407</v>
      </c>
    </row>
    <row r="2151" spans="1:4">
      <c r="A2151" s="16">
        <v>6100000000</v>
      </c>
      <c r="B2151" s="16">
        <v>0</v>
      </c>
      <c r="C2151" s="16" t="s">
        <v>3416</v>
      </c>
      <c r="D2151" s="16" t="s">
        <v>3417</v>
      </c>
    </row>
    <row r="2152" spans="1:4">
      <c r="A2152" s="16">
        <v>6700500000</v>
      </c>
      <c r="B2152" s="16">
        <v>0</v>
      </c>
      <c r="C2152" s="16" t="s">
        <v>3404</v>
      </c>
      <c r="D2152" s="16" t="s">
        <v>3405</v>
      </c>
    </row>
    <row r="2153" spans="1:4">
      <c r="A2153" s="16">
        <v>6700700000</v>
      </c>
      <c r="B2153" s="16">
        <v>45535</v>
      </c>
      <c r="C2153" s="16" t="s">
        <v>3404</v>
      </c>
      <c r="D2153" s="16" t="s">
        <v>3409</v>
      </c>
    </row>
    <row r="2154" spans="1:4">
      <c r="A2154" s="16">
        <v>3510000000</v>
      </c>
      <c r="B2154" s="16">
        <v>0</v>
      </c>
      <c r="C2154" s="16" t="s">
        <v>3402</v>
      </c>
      <c r="D2154" s="16" t="s">
        <v>3403</v>
      </c>
    </row>
    <row r="2155" spans="1:4">
      <c r="A2155" s="16">
        <v>6700200000</v>
      </c>
      <c r="B2155" s="16">
        <v>0</v>
      </c>
      <c r="C2155" s="16" t="s">
        <v>3404</v>
      </c>
      <c r="D2155" s="16" t="s">
        <v>3409</v>
      </c>
    </row>
    <row r="2156" spans="1:4">
      <c r="A2156" s="16">
        <v>2201000000</v>
      </c>
      <c r="B2156" s="16">
        <v>77</v>
      </c>
      <c r="C2156" s="16" t="s">
        <v>3415</v>
      </c>
      <c r="D2156" s="16" t="s">
        <v>3403</v>
      </c>
    </row>
    <row r="2157" spans="1:4">
      <c r="A2157" s="16">
        <v>6700200000</v>
      </c>
      <c r="B2157" s="16">
        <v>0</v>
      </c>
      <c r="C2157" s="16" t="s">
        <v>3404</v>
      </c>
      <c r="D2157" s="16" t="s">
        <v>3409</v>
      </c>
    </row>
    <row r="2158" spans="1:4">
      <c r="A2158" s="16">
        <v>6700600000</v>
      </c>
      <c r="B2158" s="16">
        <v>0</v>
      </c>
      <c r="C2158" s="16" t="s">
        <v>3404</v>
      </c>
      <c r="D2158" s="16" t="s">
        <v>3409</v>
      </c>
    </row>
    <row r="2159" spans="1:4">
      <c r="A2159" s="16">
        <v>3102000000</v>
      </c>
      <c r="B2159" s="16">
        <v>970551</v>
      </c>
      <c r="C2159" s="16" t="s">
        <v>3424</v>
      </c>
      <c r="D2159" s="16" t="s">
        <v>3403</v>
      </c>
    </row>
    <row r="2160" spans="1:4">
      <c r="A2160" s="16">
        <v>6032000000</v>
      </c>
      <c r="B2160" s="16">
        <v>0</v>
      </c>
      <c r="C2160" s="16" t="s">
        <v>3429</v>
      </c>
      <c r="D2160" s="16" t="s">
        <v>3430</v>
      </c>
    </row>
    <row r="2161" spans="1:4">
      <c r="A2161" s="16">
        <v>6150000000</v>
      </c>
      <c r="B2161" s="16">
        <v>0</v>
      </c>
      <c r="C2161" s="16" t="s">
        <v>3416</v>
      </c>
      <c r="D2161" s="16" t="s">
        <v>3417</v>
      </c>
    </row>
    <row r="2162" spans="1:4">
      <c r="A2162" s="16">
        <v>3032000000</v>
      </c>
      <c r="B2162" s="16">
        <v>0</v>
      </c>
      <c r="C2162" s="16" t="s">
        <v>3424</v>
      </c>
      <c r="D2162" s="16" t="s">
        <v>3403</v>
      </c>
    </row>
    <row r="2163" spans="1:4">
      <c r="A2163" s="16">
        <v>5052000000</v>
      </c>
      <c r="B2163" s="16">
        <v>-187</v>
      </c>
      <c r="C2163" s="16" t="s">
        <v>3406</v>
      </c>
      <c r="D2163" s="16" t="s">
        <v>3422</v>
      </c>
    </row>
    <row r="2164" spans="1:4">
      <c r="A2164" s="16">
        <v>6700500000</v>
      </c>
      <c r="B2164" s="16">
        <v>0</v>
      </c>
      <c r="C2164" s="16" t="s">
        <v>3404</v>
      </c>
      <c r="D2164" s="16" t="s">
        <v>3405</v>
      </c>
    </row>
    <row r="2165" spans="1:4">
      <c r="A2165" s="16">
        <v>6610000000</v>
      </c>
      <c r="B2165" s="16">
        <v>-2703</v>
      </c>
      <c r="C2165" s="16" t="s">
        <v>3413</v>
      </c>
      <c r="D2165" s="16" t="s">
        <v>3418</v>
      </c>
    </row>
    <row r="2166" spans="1:4">
      <c r="A2166" s="16">
        <v>3030000000</v>
      </c>
      <c r="B2166" s="16">
        <v>-4993931</v>
      </c>
      <c r="C2166" s="16" t="s">
        <v>3402</v>
      </c>
      <c r="D2166" s="16" t="s">
        <v>3403</v>
      </c>
    </row>
    <row r="2167" spans="1:4">
      <c r="A2167" s="16">
        <v>6610100100</v>
      </c>
      <c r="B2167" s="16">
        <v>0</v>
      </c>
      <c r="C2167" s="16" t="s">
        <v>3413</v>
      </c>
      <c r="D2167" s="16" t="s">
        <v>3414</v>
      </c>
    </row>
    <row r="2168" spans="1:4">
      <c r="A2168" s="16">
        <v>6700500000</v>
      </c>
      <c r="B2168" s="16">
        <v>-45535</v>
      </c>
      <c r="C2168" s="16" t="s">
        <v>3404</v>
      </c>
      <c r="D2168" s="16" t="s">
        <v>3405</v>
      </c>
    </row>
    <row r="2169" spans="1:4">
      <c r="A2169" s="16">
        <v>6700100000</v>
      </c>
      <c r="B2169" s="16">
        <v>0</v>
      </c>
      <c r="C2169" s="16" t="s">
        <v>3404</v>
      </c>
      <c r="D2169" s="16" t="s">
        <v>3410</v>
      </c>
    </row>
    <row r="2170" spans="1:4">
      <c r="A2170" s="16">
        <v>6700200000</v>
      </c>
      <c r="B2170" s="16">
        <v>-77</v>
      </c>
      <c r="C2170" s="16" t="s">
        <v>3404</v>
      </c>
      <c r="D2170" s="16" t="s">
        <v>3409</v>
      </c>
    </row>
    <row r="2171" spans="1:4">
      <c r="A2171" s="16">
        <v>5010000010</v>
      </c>
      <c r="B2171" s="16">
        <v>0</v>
      </c>
      <c r="C2171" s="16" t="s">
        <v>3406</v>
      </c>
      <c r="D2171" s="16" t="s">
        <v>3411</v>
      </c>
    </row>
    <row r="2172" spans="1:4">
      <c r="A2172" s="16">
        <v>6700000000</v>
      </c>
      <c r="B2172" s="16">
        <v>0</v>
      </c>
      <c r="C2172" s="16" t="s">
        <v>3404</v>
      </c>
      <c r="D2172" s="16" t="s">
        <v>3405</v>
      </c>
    </row>
    <row r="2173" spans="1:4">
      <c r="A2173" s="16">
        <v>6700200000</v>
      </c>
      <c r="B2173" s="16">
        <v>0</v>
      </c>
      <c r="C2173" s="16" t="s">
        <v>3404</v>
      </c>
      <c r="D2173" s="16" t="s">
        <v>3409</v>
      </c>
    </row>
    <row r="2174" spans="1:4">
      <c r="A2174" s="16">
        <v>2750010000</v>
      </c>
      <c r="B2174" s="16">
        <v>0</v>
      </c>
      <c r="C2174" s="16" t="s">
        <v>3419</v>
      </c>
      <c r="D2174" s="16" t="s">
        <v>3403</v>
      </c>
    </row>
    <row r="2175" spans="1:4">
      <c r="A2175" s="16">
        <v>6700400000</v>
      </c>
      <c r="B2175" s="16">
        <v>0</v>
      </c>
      <c r="C2175" s="16" t="s">
        <v>3404</v>
      </c>
      <c r="D2175" s="16" t="s">
        <v>3405</v>
      </c>
    </row>
    <row r="2176" spans="1:4">
      <c r="A2176" s="16">
        <v>6102000000</v>
      </c>
      <c r="B2176" s="16">
        <v>-970551</v>
      </c>
      <c r="C2176" s="16" t="s">
        <v>3425</v>
      </c>
      <c r="D2176" s="16" t="s">
        <v>3426</v>
      </c>
    </row>
    <row r="2177" spans="1:4">
      <c r="A2177" s="16">
        <v>3510000000</v>
      </c>
      <c r="B2177" s="16">
        <v>0</v>
      </c>
      <c r="C2177" s="16" t="s">
        <v>3402</v>
      </c>
      <c r="D2177" s="16" t="s">
        <v>3403</v>
      </c>
    </row>
    <row r="2178" spans="1:4">
      <c r="A2178" s="16">
        <v>6700700000</v>
      </c>
      <c r="B2178" s="16">
        <v>0</v>
      </c>
      <c r="C2178" s="16" t="s">
        <v>3404</v>
      </c>
      <c r="D2178" s="16" t="s">
        <v>3409</v>
      </c>
    </row>
    <row r="2179" spans="1:4">
      <c r="A2179" s="16">
        <v>6032000000</v>
      </c>
      <c r="B2179" s="16">
        <v>0</v>
      </c>
      <c r="C2179" s="16" t="s">
        <v>3429</v>
      </c>
      <c r="D2179" s="16" t="s">
        <v>3430</v>
      </c>
    </row>
    <row r="2180" spans="1:4">
      <c r="A2180" s="16">
        <v>6700200000</v>
      </c>
      <c r="B2180" s="16">
        <v>0</v>
      </c>
      <c r="C2180" s="16" t="s">
        <v>3404</v>
      </c>
      <c r="D2180" s="16" t="s">
        <v>3409</v>
      </c>
    </row>
    <row r="2181" spans="1:4">
      <c r="A2181" s="16">
        <v>3032000000</v>
      </c>
      <c r="B2181" s="16">
        <v>6083984</v>
      </c>
      <c r="C2181" s="16" t="s">
        <v>3424</v>
      </c>
      <c r="D2181" s="16" t="s">
        <v>3403</v>
      </c>
    </row>
    <row r="2182" spans="1:4">
      <c r="A2182" s="16">
        <v>6700200000</v>
      </c>
      <c r="B2182" s="16">
        <v>0</v>
      </c>
      <c r="C2182" s="16" t="s">
        <v>3404</v>
      </c>
      <c r="D2182" s="16" t="s">
        <v>3409</v>
      </c>
    </row>
    <row r="2183" spans="1:4">
      <c r="A2183" s="16">
        <v>4203000000</v>
      </c>
      <c r="B2183" s="16">
        <v>2703</v>
      </c>
      <c r="C2183" s="16" t="s">
        <v>3408</v>
      </c>
      <c r="D2183" s="16" t="s">
        <v>3403</v>
      </c>
    </row>
    <row r="2184" spans="1:4">
      <c r="A2184" s="16">
        <v>3102000000</v>
      </c>
      <c r="B2184" s="16">
        <v>-11046</v>
      </c>
      <c r="C2184" s="16" t="s">
        <v>3424</v>
      </c>
      <c r="D2184" s="16" t="s">
        <v>3403</v>
      </c>
    </row>
    <row r="2185" spans="1:4">
      <c r="A2185" s="16">
        <v>6700200000</v>
      </c>
      <c r="B2185" s="16">
        <v>0</v>
      </c>
      <c r="C2185" s="16" t="s">
        <v>3404</v>
      </c>
      <c r="D2185" s="16" t="s">
        <v>3409</v>
      </c>
    </row>
    <row r="2186" spans="1:4">
      <c r="A2186" s="16">
        <v>6100000000</v>
      </c>
      <c r="B2186" s="16">
        <v>0</v>
      </c>
      <c r="C2186" s="16" t="s">
        <v>3416</v>
      </c>
      <c r="D2186" s="16" t="s">
        <v>3417</v>
      </c>
    </row>
    <row r="2187" spans="1:4">
      <c r="A2187" s="16">
        <v>6700600000</v>
      </c>
      <c r="B2187" s="16">
        <v>0</v>
      </c>
      <c r="C2187" s="16" t="s">
        <v>3404</v>
      </c>
      <c r="D2187" s="16" t="s">
        <v>3409</v>
      </c>
    </row>
    <row r="2188" spans="1:4">
      <c r="A2188" s="16">
        <v>3710000000</v>
      </c>
      <c r="B2188" s="16">
        <v>0</v>
      </c>
      <c r="C2188" s="16" t="s">
        <v>3402</v>
      </c>
      <c r="D2188" s="16" t="s">
        <v>3403</v>
      </c>
    </row>
    <row r="2189" spans="1:4">
      <c r="A2189" s="16">
        <v>6150000000</v>
      </c>
      <c r="B2189" s="16">
        <v>0</v>
      </c>
      <c r="C2189" s="16" t="s">
        <v>3416</v>
      </c>
      <c r="D2189" s="16" t="s">
        <v>3417</v>
      </c>
    </row>
    <row r="2190" spans="1:4">
      <c r="A2190" s="16">
        <v>2500000000</v>
      </c>
      <c r="B2190" s="16">
        <v>0</v>
      </c>
      <c r="C2190" s="16" t="s">
        <v>3412</v>
      </c>
      <c r="D2190" s="16" t="s">
        <v>3403</v>
      </c>
    </row>
    <row r="2191" spans="1:4">
      <c r="A2191" s="16">
        <v>6700000000</v>
      </c>
      <c r="B2191" s="16">
        <v>0</v>
      </c>
      <c r="C2191" s="16" t="s">
        <v>3404</v>
      </c>
      <c r="D2191" s="16" t="s">
        <v>3405</v>
      </c>
    </row>
    <row r="2192" spans="1:4">
      <c r="A2192" s="16">
        <v>6610100100</v>
      </c>
      <c r="B2192" s="16">
        <v>0</v>
      </c>
      <c r="C2192" s="16" t="s">
        <v>3413</v>
      </c>
      <c r="D2192" s="16" t="s">
        <v>3414</v>
      </c>
    </row>
    <row r="2193" spans="1:4">
      <c r="A2193" s="16">
        <v>6700500000</v>
      </c>
      <c r="B2193" s="16">
        <v>0</v>
      </c>
      <c r="C2193" s="16" t="s">
        <v>3404</v>
      </c>
      <c r="D2193" s="16" t="s">
        <v>3405</v>
      </c>
    </row>
    <row r="2194" spans="1:4">
      <c r="A2194" s="16">
        <v>6700100000</v>
      </c>
      <c r="B2194" s="16">
        <v>0</v>
      </c>
      <c r="C2194" s="16" t="s">
        <v>3404</v>
      </c>
      <c r="D2194" s="16" t="s">
        <v>3410</v>
      </c>
    </row>
    <row r="2195" spans="1:4">
      <c r="A2195" s="16">
        <v>6032000000</v>
      </c>
      <c r="B2195" s="16">
        <v>-6083984</v>
      </c>
      <c r="C2195" s="16" t="s">
        <v>3429</v>
      </c>
      <c r="D2195" s="16" t="s">
        <v>3430</v>
      </c>
    </row>
    <row r="2196" spans="1:4">
      <c r="A2196" s="16">
        <v>6700100000</v>
      </c>
      <c r="B2196" s="16">
        <v>0</v>
      </c>
      <c r="C2196" s="16" t="s">
        <v>3404</v>
      </c>
      <c r="D2196" s="16" t="s">
        <v>3410</v>
      </c>
    </row>
    <row r="2197" spans="1:4">
      <c r="A2197" s="16">
        <v>6102000000</v>
      </c>
      <c r="B2197" s="16">
        <v>11046</v>
      </c>
      <c r="C2197" s="16" t="s">
        <v>3425</v>
      </c>
      <c r="D2197" s="16" t="s">
        <v>3426</v>
      </c>
    </row>
    <row r="2198" spans="1:4">
      <c r="A2198" s="16">
        <v>6700700000</v>
      </c>
      <c r="B2198" s="16">
        <v>0</v>
      </c>
      <c r="C2198" s="16" t="s">
        <v>3404</v>
      </c>
      <c r="D2198" s="16" t="s">
        <v>3409</v>
      </c>
    </row>
    <row r="2199" spans="1:4">
      <c r="A2199" s="16">
        <v>2201000000</v>
      </c>
      <c r="B2199" s="16">
        <v>0</v>
      </c>
      <c r="C2199" s="16" t="s">
        <v>3415</v>
      </c>
      <c r="D2199" s="16" t="s">
        <v>3403</v>
      </c>
    </row>
    <row r="2200" spans="1:4">
      <c r="A2200" s="16">
        <v>6700100000</v>
      </c>
      <c r="B2200" s="16">
        <v>0</v>
      </c>
      <c r="C2200" s="16" t="s">
        <v>3404</v>
      </c>
      <c r="D2200" s="16" t="s">
        <v>3410</v>
      </c>
    </row>
    <row r="2201" spans="1:4">
      <c r="A2201" s="16">
        <v>3100000000</v>
      </c>
      <c r="B2201" s="16">
        <v>0</v>
      </c>
      <c r="C2201" s="16" t="s">
        <v>3402</v>
      </c>
      <c r="D2201" s="16" t="s">
        <v>3403</v>
      </c>
    </row>
    <row r="2202" spans="1:4">
      <c r="A2202" s="16">
        <v>6700400000</v>
      </c>
      <c r="B2202" s="16">
        <v>0</v>
      </c>
      <c r="C2202" s="16" t="s">
        <v>3404</v>
      </c>
      <c r="D2202" s="16" t="s">
        <v>3405</v>
      </c>
    </row>
    <row r="2203" spans="1:4">
      <c r="A2203" s="16">
        <v>3510000000</v>
      </c>
      <c r="B2203" s="16">
        <v>0</v>
      </c>
      <c r="C2203" s="16" t="s">
        <v>3402</v>
      </c>
      <c r="D2203" s="16" t="s">
        <v>3403</v>
      </c>
    </row>
    <row r="2204" spans="1:4">
      <c r="A2204" s="16">
        <v>5010100000</v>
      </c>
      <c r="B2204" s="16">
        <v>0</v>
      </c>
      <c r="C2204" s="16" t="s">
        <v>3406</v>
      </c>
      <c r="D2204" s="16" t="s">
        <v>3407</v>
      </c>
    </row>
    <row r="2205" spans="1:4">
      <c r="A2205" s="16">
        <v>2201000010</v>
      </c>
      <c r="B2205" s="16">
        <v>3803234</v>
      </c>
      <c r="C2205" s="16" t="s">
        <v>3415</v>
      </c>
      <c r="D2205" s="16" t="s">
        <v>3403</v>
      </c>
    </row>
    <row r="2206" spans="1:4">
      <c r="A2206" s="16">
        <v>3102000000</v>
      </c>
      <c r="B2206" s="16">
        <v>0</v>
      </c>
      <c r="C2206" s="16" t="s">
        <v>3424</v>
      </c>
      <c r="D2206" s="16" t="s">
        <v>3403</v>
      </c>
    </row>
    <row r="2207" spans="1:4">
      <c r="A2207" s="16">
        <v>2500000000</v>
      </c>
      <c r="B2207" s="16">
        <v>0</v>
      </c>
      <c r="C2207" s="16" t="s">
        <v>3412</v>
      </c>
      <c r="D2207" s="16" t="s">
        <v>3403</v>
      </c>
    </row>
    <row r="2208" spans="1:4">
      <c r="A2208" s="16">
        <v>6700500000</v>
      </c>
      <c r="B2208" s="16">
        <v>0</v>
      </c>
      <c r="C2208" s="16" t="s">
        <v>3404</v>
      </c>
      <c r="D2208" s="16" t="s">
        <v>3405</v>
      </c>
    </row>
    <row r="2209" spans="1:4">
      <c r="A2209" s="16">
        <v>6700200000</v>
      </c>
      <c r="B2209" s="16">
        <v>0</v>
      </c>
      <c r="C2209" s="16" t="s">
        <v>3404</v>
      </c>
      <c r="D2209" s="16" t="s">
        <v>3409</v>
      </c>
    </row>
    <row r="2210" spans="1:4">
      <c r="A2210" s="16">
        <v>2750010000</v>
      </c>
      <c r="B2210" s="16">
        <v>42</v>
      </c>
      <c r="C2210" s="16" t="s">
        <v>3419</v>
      </c>
      <c r="D2210" s="16" t="s">
        <v>3403</v>
      </c>
    </row>
    <row r="2211" spans="1:4">
      <c r="A2211" s="16">
        <v>6610100000</v>
      </c>
      <c r="B2211" s="16">
        <v>0</v>
      </c>
      <c r="C2211" s="16" t="s">
        <v>3413</v>
      </c>
      <c r="D2211" s="16" t="s">
        <v>3414</v>
      </c>
    </row>
    <row r="2212" spans="1:4">
      <c r="A2212" s="16">
        <v>6030000000</v>
      </c>
      <c r="B2212" s="16">
        <v>0</v>
      </c>
      <c r="C2212" s="16" t="s">
        <v>3420</v>
      </c>
      <c r="D2212" s="16" t="s">
        <v>3423</v>
      </c>
    </row>
    <row r="2213" spans="1:4">
      <c r="A2213" s="16">
        <v>4610000000</v>
      </c>
      <c r="B2213" s="16">
        <v>-3803234</v>
      </c>
      <c r="C2213" s="16" t="s">
        <v>3428</v>
      </c>
      <c r="D2213" s="16" t="s">
        <v>3403</v>
      </c>
    </row>
    <row r="2214" spans="1:4">
      <c r="A2214" s="16">
        <v>6610000000</v>
      </c>
      <c r="B2214" s="16">
        <v>0</v>
      </c>
      <c r="C2214" s="16" t="s">
        <v>3413</v>
      </c>
      <c r="D2214" s="16" t="s">
        <v>3418</v>
      </c>
    </row>
    <row r="2215" spans="1:4">
      <c r="A2215" s="16">
        <v>6102000000</v>
      </c>
      <c r="B2215" s="16">
        <v>0</v>
      </c>
      <c r="C2215" s="16" t="s">
        <v>3425</v>
      </c>
      <c r="D2215" s="16" t="s">
        <v>3426</v>
      </c>
    </row>
    <row r="2216" spans="1:4">
      <c r="A2216" s="16">
        <v>6700600000</v>
      </c>
      <c r="B2216" s="16">
        <v>0</v>
      </c>
      <c r="C2216" s="16" t="s">
        <v>3404</v>
      </c>
      <c r="D2216" s="16" t="s">
        <v>3409</v>
      </c>
    </row>
    <row r="2217" spans="1:4">
      <c r="A2217" s="16">
        <v>5010100000</v>
      </c>
      <c r="B2217" s="16">
        <v>0</v>
      </c>
      <c r="C2217" s="16" t="s">
        <v>3406</v>
      </c>
      <c r="D2217" s="16" t="s">
        <v>3407</v>
      </c>
    </row>
    <row r="2218" spans="1:4">
      <c r="A2218" s="16">
        <v>6610100100</v>
      </c>
      <c r="B2218" s="16">
        <v>-42</v>
      </c>
      <c r="C2218" s="16" t="s">
        <v>3413</v>
      </c>
      <c r="D2218" s="16" t="s">
        <v>3414</v>
      </c>
    </row>
    <row r="2219" spans="1:4">
      <c r="A2219" s="16">
        <v>4203000000</v>
      </c>
      <c r="B2219" s="16">
        <v>0</v>
      </c>
      <c r="C2219" s="16" t="s">
        <v>3408</v>
      </c>
      <c r="D2219" s="16" t="s">
        <v>3403</v>
      </c>
    </row>
    <row r="2220" spans="1:4">
      <c r="A2220" s="16">
        <v>6060010000</v>
      </c>
      <c r="B2220" s="16">
        <v>0</v>
      </c>
      <c r="C2220" s="16" t="s">
        <v>3420</v>
      </c>
      <c r="D2220" s="16" t="s">
        <v>3421</v>
      </c>
    </row>
    <row r="2221" spans="1:4">
      <c r="A2221" s="16">
        <v>3030000000</v>
      </c>
      <c r="B2221" s="16">
        <v>0</v>
      </c>
      <c r="C2221" s="16" t="s">
        <v>3402</v>
      </c>
      <c r="D2221" s="16" t="s">
        <v>3403</v>
      </c>
    </row>
    <row r="2222" spans="1:4">
      <c r="A2222" s="16">
        <v>4203000000</v>
      </c>
      <c r="B2222" s="16">
        <v>0</v>
      </c>
      <c r="C2222" s="16" t="s">
        <v>3408</v>
      </c>
      <c r="D2222" s="16" t="s">
        <v>3403</v>
      </c>
    </row>
    <row r="2223" spans="1:4">
      <c r="A2223" s="16">
        <v>3102000000</v>
      </c>
      <c r="B2223" s="16">
        <v>0</v>
      </c>
      <c r="C2223" s="16" t="s">
        <v>3424</v>
      </c>
      <c r="D2223" s="16" t="s">
        <v>3403</v>
      </c>
    </row>
    <row r="2224" spans="1:4">
      <c r="A2224" s="16">
        <v>2500000000</v>
      </c>
      <c r="B2224" s="16">
        <v>10788</v>
      </c>
      <c r="C2224" s="16" t="s">
        <v>3412</v>
      </c>
      <c r="D2224" s="16" t="s">
        <v>3403</v>
      </c>
    </row>
    <row r="2225" spans="1:4">
      <c r="A2225" s="16">
        <v>2201000030</v>
      </c>
      <c r="B2225" s="16">
        <v>0</v>
      </c>
      <c r="C2225" s="16" t="s">
        <v>3415</v>
      </c>
      <c r="D2225" s="16" t="s">
        <v>3403</v>
      </c>
    </row>
    <row r="2226" spans="1:4">
      <c r="A2226" s="16">
        <v>6700400000</v>
      </c>
      <c r="B2226" s="16">
        <v>0</v>
      </c>
      <c r="C2226" s="16" t="s">
        <v>3404</v>
      </c>
      <c r="D2226" s="16" t="s">
        <v>3405</v>
      </c>
    </row>
    <row r="2227" spans="1:4">
      <c r="A2227" s="16">
        <v>5052000000</v>
      </c>
      <c r="B2227" s="16">
        <v>0</v>
      </c>
      <c r="C2227" s="16" t="s">
        <v>3406</v>
      </c>
      <c r="D2227" s="16" t="s">
        <v>3422</v>
      </c>
    </row>
    <row r="2228" spans="1:4">
      <c r="A2228" s="16">
        <v>6700700000</v>
      </c>
      <c r="B2228" s="16">
        <v>0</v>
      </c>
      <c r="C2228" s="16" t="s">
        <v>3404</v>
      </c>
      <c r="D2228" s="16" t="s">
        <v>3409</v>
      </c>
    </row>
    <row r="2229" spans="1:4">
      <c r="A2229" s="16">
        <v>6102000000</v>
      </c>
      <c r="B2229" s="16">
        <v>0</v>
      </c>
      <c r="C2229" s="16" t="s">
        <v>3425</v>
      </c>
      <c r="D2229" s="16" t="s">
        <v>3426</v>
      </c>
    </row>
    <row r="2230" spans="1:4">
      <c r="A2230" s="16">
        <v>5010000000</v>
      </c>
      <c r="B2230" s="16">
        <v>-10788</v>
      </c>
      <c r="C2230" s="16" t="s">
        <v>3406</v>
      </c>
      <c r="D2230" s="16" t="s">
        <v>3411</v>
      </c>
    </row>
    <row r="2231" spans="1:4">
      <c r="A2231" s="16">
        <v>6700200000</v>
      </c>
      <c r="B2231" s="16">
        <v>0</v>
      </c>
      <c r="C2231" s="16" t="s">
        <v>3404</v>
      </c>
      <c r="D2231" s="16" t="s">
        <v>3409</v>
      </c>
    </row>
    <row r="2232" spans="1:4">
      <c r="A2232" s="16">
        <v>2750010000</v>
      </c>
      <c r="B2232" s="16">
        <v>0</v>
      </c>
      <c r="C2232" s="16" t="s">
        <v>3419</v>
      </c>
      <c r="D2232" s="16" t="s">
        <v>3403</v>
      </c>
    </row>
    <row r="2233" spans="1:4">
      <c r="A2233" s="16">
        <v>6700600000</v>
      </c>
      <c r="B2233" s="16">
        <v>0</v>
      </c>
      <c r="C2233" s="16" t="s">
        <v>3404</v>
      </c>
      <c r="D2233" s="16" t="s">
        <v>3409</v>
      </c>
    </row>
    <row r="2234" spans="1:4">
      <c r="A2234" s="16">
        <v>2500000000</v>
      </c>
      <c r="B2234" s="16">
        <v>0</v>
      </c>
      <c r="C2234" s="16" t="s">
        <v>3412</v>
      </c>
      <c r="D2234" s="16" t="s">
        <v>3403</v>
      </c>
    </row>
    <row r="2235" spans="1:4">
      <c r="A2235" s="16">
        <v>3102000000</v>
      </c>
      <c r="B2235" s="16">
        <v>0</v>
      </c>
      <c r="C2235" s="16" t="s">
        <v>3424</v>
      </c>
      <c r="D2235" s="16" t="s">
        <v>3403</v>
      </c>
    </row>
    <row r="2236" spans="1:4">
      <c r="A2236" s="16">
        <v>6610000000</v>
      </c>
      <c r="B2236" s="16">
        <v>263</v>
      </c>
      <c r="C2236" s="16" t="s">
        <v>3413</v>
      </c>
      <c r="D2236" s="16" t="s">
        <v>3418</v>
      </c>
    </row>
    <row r="2237" spans="1:4">
      <c r="A2237" s="16">
        <v>5010100010</v>
      </c>
      <c r="B2237" s="16">
        <v>0</v>
      </c>
      <c r="C2237" s="16" t="s">
        <v>3406</v>
      </c>
      <c r="D2237" s="16" t="s">
        <v>3407</v>
      </c>
    </row>
    <row r="2238" spans="1:4">
      <c r="A2238" s="16">
        <v>2500000000</v>
      </c>
      <c r="B2238" s="16">
        <v>0</v>
      </c>
      <c r="C2238" s="16" t="s">
        <v>3412</v>
      </c>
      <c r="D2238" s="16" t="s">
        <v>3403</v>
      </c>
    </row>
    <row r="2239" spans="1:4">
      <c r="A2239" s="16">
        <v>3032000000</v>
      </c>
      <c r="B2239" s="16">
        <v>0</v>
      </c>
      <c r="C2239" s="16" t="s">
        <v>3424</v>
      </c>
      <c r="D2239" s="16" t="s">
        <v>3403</v>
      </c>
    </row>
    <row r="2240" spans="1:4">
      <c r="A2240" s="16">
        <v>6700500000</v>
      </c>
      <c r="B2240" s="16">
        <v>0</v>
      </c>
      <c r="C2240" s="16" t="s">
        <v>3404</v>
      </c>
      <c r="D2240" s="16" t="s">
        <v>3405</v>
      </c>
    </row>
    <row r="2241" spans="1:4">
      <c r="A2241" s="16">
        <v>6060010000</v>
      </c>
      <c r="B2241" s="16">
        <v>0</v>
      </c>
      <c r="C2241" s="16" t="s">
        <v>3420</v>
      </c>
      <c r="D2241" s="16" t="s">
        <v>3421</v>
      </c>
    </row>
    <row r="2242" spans="1:4">
      <c r="A2242" s="16">
        <v>2750010000</v>
      </c>
      <c r="B2242" s="16">
        <v>0</v>
      </c>
      <c r="C2242" s="16" t="s">
        <v>3419</v>
      </c>
      <c r="D2242" s="16" t="s">
        <v>3403</v>
      </c>
    </row>
    <row r="2243" spans="1:4">
      <c r="A2243" s="16">
        <v>6610000100</v>
      </c>
      <c r="B2243" s="16">
        <v>0</v>
      </c>
      <c r="C2243" s="16" t="s">
        <v>3413</v>
      </c>
      <c r="D2243" s="16" t="s">
        <v>3418</v>
      </c>
    </row>
    <row r="2244" spans="1:4">
      <c r="A2244" s="16">
        <v>6700400000</v>
      </c>
      <c r="B2244" s="16">
        <v>0</v>
      </c>
      <c r="C2244" s="16" t="s">
        <v>3404</v>
      </c>
      <c r="D2244" s="16" t="s">
        <v>3405</v>
      </c>
    </row>
    <row r="2245" spans="1:4">
      <c r="A2245" s="16">
        <v>2203000000</v>
      </c>
      <c r="B2245" s="16">
        <v>0</v>
      </c>
      <c r="C2245" s="16" t="s">
        <v>3415</v>
      </c>
      <c r="D2245" s="16" t="s">
        <v>3403</v>
      </c>
    </row>
    <row r="2246" spans="1:4">
      <c r="A2246" s="16">
        <v>6700600000</v>
      </c>
      <c r="B2246" s="16">
        <v>52102</v>
      </c>
      <c r="C2246" s="16" t="s">
        <v>3404</v>
      </c>
      <c r="D2246" s="16" t="s">
        <v>3409</v>
      </c>
    </row>
    <row r="2247" spans="1:4">
      <c r="A2247" s="16">
        <v>6104001000</v>
      </c>
      <c r="B2247" s="16">
        <v>0</v>
      </c>
      <c r="C2247" s="16" t="s">
        <v>3416</v>
      </c>
      <c r="D2247" s="16" t="s">
        <v>3417</v>
      </c>
    </row>
    <row r="2248" spans="1:4">
      <c r="A2248" s="16">
        <v>2750010000</v>
      </c>
      <c r="B2248" s="16">
        <v>0</v>
      </c>
      <c r="C2248" s="16" t="s">
        <v>3419</v>
      </c>
      <c r="D2248" s="16" t="s">
        <v>3403</v>
      </c>
    </row>
    <row r="2249" spans="1:4">
      <c r="A2249" s="16">
        <v>6700700000</v>
      </c>
      <c r="B2249" s="16">
        <v>0</v>
      </c>
      <c r="C2249" s="16" t="s">
        <v>3404</v>
      </c>
      <c r="D2249" s="16" t="s">
        <v>3409</v>
      </c>
    </row>
    <row r="2250" spans="1:4">
      <c r="A2250" s="16">
        <v>6104000000</v>
      </c>
      <c r="B2250" s="16">
        <v>0</v>
      </c>
      <c r="C2250" s="16" t="s">
        <v>3416</v>
      </c>
      <c r="D2250" s="16" t="s">
        <v>3417</v>
      </c>
    </row>
    <row r="2251" spans="1:4">
      <c r="A2251" s="16">
        <v>6700700000</v>
      </c>
      <c r="B2251" s="16">
        <v>0</v>
      </c>
      <c r="C2251" s="16" t="s">
        <v>3404</v>
      </c>
      <c r="D2251" s="16" t="s">
        <v>3409</v>
      </c>
    </row>
    <row r="2252" spans="1:4">
      <c r="A2252" s="16">
        <v>5010000000</v>
      </c>
      <c r="B2252" s="16">
        <v>0</v>
      </c>
      <c r="C2252" s="16" t="s">
        <v>3406</v>
      </c>
      <c r="D2252" s="16" t="s">
        <v>3411</v>
      </c>
    </row>
    <row r="2253" spans="1:4">
      <c r="A2253" s="16">
        <v>6102000000</v>
      </c>
      <c r="B2253" s="16">
        <v>0</v>
      </c>
      <c r="C2253" s="16" t="s">
        <v>3425</v>
      </c>
      <c r="D2253" s="16" t="s">
        <v>3426</v>
      </c>
    </row>
    <row r="2254" spans="1:4">
      <c r="A2254" s="16">
        <v>4203000000</v>
      </c>
      <c r="B2254" s="16">
        <v>-263</v>
      </c>
      <c r="C2254" s="16" t="s">
        <v>3408</v>
      </c>
      <c r="D2254" s="16" t="s">
        <v>3403</v>
      </c>
    </row>
    <row r="2255" spans="1:4">
      <c r="A2255" s="16">
        <v>6030000000</v>
      </c>
      <c r="B2255" s="16">
        <v>0</v>
      </c>
      <c r="C2255" s="16" t="s">
        <v>3420</v>
      </c>
      <c r="D2255" s="16" t="s">
        <v>3423</v>
      </c>
    </row>
    <row r="2256" spans="1:4">
      <c r="A2256" s="16">
        <v>3710000000</v>
      </c>
      <c r="B2256" s="16">
        <v>0</v>
      </c>
      <c r="C2256" s="16" t="s">
        <v>3402</v>
      </c>
      <c r="D2256" s="16" t="s">
        <v>3403</v>
      </c>
    </row>
    <row r="2257" spans="1:4">
      <c r="A2257" s="16">
        <v>6700600000</v>
      </c>
      <c r="B2257" s="16">
        <v>0</v>
      </c>
      <c r="C2257" s="16" t="s">
        <v>3404</v>
      </c>
      <c r="D2257" s="16" t="s">
        <v>3409</v>
      </c>
    </row>
    <row r="2258" spans="1:4">
      <c r="A2258" s="16">
        <v>6104000000</v>
      </c>
      <c r="B2258" s="16">
        <v>0</v>
      </c>
      <c r="C2258" s="16" t="s">
        <v>3427</v>
      </c>
      <c r="D2258" s="16" t="s">
        <v>3417</v>
      </c>
    </row>
    <row r="2259" spans="1:4">
      <c r="A2259" s="16">
        <v>5010000000</v>
      </c>
      <c r="B2259" s="16">
        <v>0</v>
      </c>
      <c r="C2259" s="16" t="s">
        <v>3406</v>
      </c>
      <c r="D2259" s="16" t="s">
        <v>3411</v>
      </c>
    </row>
    <row r="2260" spans="1:4">
      <c r="A2260" s="16">
        <v>6610000000</v>
      </c>
      <c r="B2260" s="16">
        <v>0</v>
      </c>
      <c r="C2260" s="16" t="s">
        <v>3413</v>
      </c>
      <c r="D2260" s="16" t="s">
        <v>3418</v>
      </c>
    </row>
    <row r="2261" spans="1:4">
      <c r="A2261" s="16">
        <v>6032000000</v>
      </c>
      <c r="B2261" s="16">
        <v>0</v>
      </c>
      <c r="C2261" s="16" t="s">
        <v>3429</v>
      </c>
      <c r="D2261" s="16" t="s">
        <v>3430</v>
      </c>
    </row>
    <row r="2262" spans="1:4">
      <c r="A2262" s="16">
        <v>2201000000</v>
      </c>
      <c r="B2262" s="16">
        <v>1155947076</v>
      </c>
      <c r="C2262" s="16" t="s">
        <v>3415</v>
      </c>
      <c r="D2262" s="16" t="s">
        <v>3403</v>
      </c>
    </row>
    <row r="2263" spans="1:4">
      <c r="A2263" s="16">
        <v>2201000000</v>
      </c>
      <c r="B2263" s="16">
        <v>0</v>
      </c>
      <c r="C2263" s="16" t="s">
        <v>3415</v>
      </c>
      <c r="D2263" s="16" t="s">
        <v>3403</v>
      </c>
    </row>
    <row r="2264" spans="1:4">
      <c r="A2264" s="16">
        <v>2750010000</v>
      </c>
      <c r="B2264" s="16">
        <v>0</v>
      </c>
      <c r="C2264" s="16" t="s">
        <v>3419</v>
      </c>
      <c r="D2264" s="16" t="s">
        <v>3403</v>
      </c>
    </row>
    <row r="2265" spans="1:4">
      <c r="A2265" s="16">
        <v>5052010000</v>
      </c>
      <c r="B2265" s="16">
        <v>0</v>
      </c>
      <c r="C2265" s="16" t="s">
        <v>3406</v>
      </c>
      <c r="D2265" s="16" t="s">
        <v>3422</v>
      </c>
    </row>
    <row r="2266" spans="1:4">
      <c r="A2266" s="16">
        <v>5052000000</v>
      </c>
      <c r="B2266" s="16">
        <v>0</v>
      </c>
      <c r="C2266" s="16" t="s">
        <v>3406</v>
      </c>
      <c r="D2266" s="16" t="s">
        <v>3422</v>
      </c>
    </row>
    <row r="2267" spans="1:4">
      <c r="A2267" s="16">
        <v>6610100100</v>
      </c>
      <c r="B2267" s="16">
        <v>0</v>
      </c>
      <c r="C2267" s="16" t="s">
        <v>3413</v>
      </c>
      <c r="D2267" s="16" t="s">
        <v>3414</v>
      </c>
    </row>
    <row r="2268" spans="1:4">
      <c r="A2268" s="16">
        <v>6700600000</v>
      </c>
      <c r="B2268" s="16">
        <v>0</v>
      </c>
      <c r="C2268" s="16" t="s">
        <v>3404</v>
      </c>
      <c r="D2268" s="16" t="s">
        <v>3409</v>
      </c>
    </row>
    <row r="2269" spans="1:4">
      <c r="A2269" s="16">
        <v>6060110000</v>
      </c>
      <c r="B2269" s="16">
        <v>0</v>
      </c>
      <c r="C2269" s="16" t="s">
        <v>3420</v>
      </c>
      <c r="D2269" s="16" t="s">
        <v>3421</v>
      </c>
    </row>
    <row r="2270" spans="1:4">
      <c r="A2270" s="16">
        <v>6700400000</v>
      </c>
      <c r="B2270" s="16">
        <v>-52102</v>
      </c>
      <c r="C2270" s="16" t="s">
        <v>3404</v>
      </c>
      <c r="D2270" s="16" t="s">
        <v>3405</v>
      </c>
    </row>
    <row r="2271" spans="1:4">
      <c r="A2271" s="16">
        <v>3103001000</v>
      </c>
      <c r="B2271" s="16">
        <v>0</v>
      </c>
      <c r="C2271" s="16" t="s">
        <v>3402</v>
      </c>
      <c r="D2271" s="16" t="s">
        <v>3403</v>
      </c>
    </row>
    <row r="2272" spans="1:4">
      <c r="A2272" s="16">
        <v>6610100100</v>
      </c>
      <c r="B2272" s="16">
        <v>0</v>
      </c>
      <c r="C2272" s="16" t="s">
        <v>3413</v>
      </c>
      <c r="D2272" s="16" t="s">
        <v>3414</v>
      </c>
    </row>
    <row r="2273" spans="1:4">
      <c r="A2273" s="16">
        <v>6700500000</v>
      </c>
      <c r="B2273" s="16">
        <v>0</v>
      </c>
      <c r="C2273" s="16" t="s">
        <v>3404</v>
      </c>
      <c r="D2273" s="16" t="s">
        <v>3405</v>
      </c>
    </row>
    <row r="2274" spans="1:4">
      <c r="A2274" s="16">
        <v>3103000000</v>
      </c>
      <c r="B2274" s="16">
        <v>0</v>
      </c>
      <c r="C2274" s="16" t="s">
        <v>3402</v>
      </c>
      <c r="D2274" s="16" t="s">
        <v>3403</v>
      </c>
    </row>
    <row r="2275" spans="1:4">
      <c r="A2275" s="16">
        <v>6700500000</v>
      </c>
      <c r="B2275" s="16">
        <v>0</v>
      </c>
      <c r="C2275" s="16" t="s">
        <v>3404</v>
      </c>
      <c r="D2275" s="16" t="s">
        <v>3405</v>
      </c>
    </row>
    <row r="2276" spans="1:4">
      <c r="A2276" s="16">
        <v>3030000000</v>
      </c>
      <c r="B2276" s="16">
        <v>0</v>
      </c>
      <c r="C2276" s="16" t="s">
        <v>3402</v>
      </c>
      <c r="D2276" s="16" t="s">
        <v>3403</v>
      </c>
    </row>
    <row r="2277" spans="1:4">
      <c r="A2277" s="16">
        <v>6700400000</v>
      </c>
      <c r="B2277" s="16">
        <v>0</v>
      </c>
      <c r="C2277" s="16" t="s">
        <v>3404</v>
      </c>
      <c r="D2277" s="16" t="s">
        <v>3405</v>
      </c>
    </row>
    <row r="2278" spans="1:4">
      <c r="A2278" s="16">
        <v>3103000000</v>
      </c>
      <c r="B2278" s="16">
        <v>0</v>
      </c>
      <c r="C2278" s="16" t="s">
        <v>3402</v>
      </c>
      <c r="D2278" s="16" t="s">
        <v>3403</v>
      </c>
    </row>
    <row r="2279" spans="1:4">
      <c r="A2279" s="16">
        <v>5050000000</v>
      </c>
      <c r="B2279" s="16">
        <v>0</v>
      </c>
      <c r="C2279" s="16" t="s">
        <v>3406</v>
      </c>
      <c r="D2279" s="16" t="s">
        <v>3422</v>
      </c>
    </row>
    <row r="2280" spans="1:4">
      <c r="A2280" s="16">
        <v>4203000000</v>
      </c>
      <c r="B2280" s="16">
        <v>0</v>
      </c>
      <c r="C2280" s="16" t="s">
        <v>3408</v>
      </c>
      <c r="D2280" s="16" t="s">
        <v>3403</v>
      </c>
    </row>
    <row r="2281" spans="1:4">
      <c r="A2281" s="16">
        <v>2750010000</v>
      </c>
      <c r="B2281" s="16">
        <v>0</v>
      </c>
      <c r="C2281" s="16" t="s">
        <v>3419</v>
      </c>
      <c r="D2281" s="16" t="s">
        <v>3403</v>
      </c>
    </row>
    <row r="2282" spans="1:4">
      <c r="A2282" s="16">
        <v>6100000000</v>
      </c>
      <c r="B2282" s="16">
        <v>0</v>
      </c>
      <c r="C2282" s="16" t="s">
        <v>3416</v>
      </c>
      <c r="D2282" s="16" t="s">
        <v>3417</v>
      </c>
    </row>
    <row r="2283" spans="1:4">
      <c r="A2283" s="16">
        <v>6700200000</v>
      </c>
      <c r="B2283" s="16">
        <v>0</v>
      </c>
      <c r="C2283" s="16" t="s">
        <v>3404</v>
      </c>
      <c r="D2283" s="16" t="s">
        <v>3409</v>
      </c>
    </row>
    <row r="2284" spans="1:4">
      <c r="A2284" s="16">
        <v>2201000000</v>
      </c>
      <c r="B2284" s="16">
        <v>4493290</v>
      </c>
      <c r="C2284" s="16" t="s">
        <v>3415</v>
      </c>
      <c r="D2284" s="16" t="s">
        <v>3403</v>
      </c>
    </row>
    <row r="2285" spans="1:4">
      <c r="A2285" s="16">
        <v>6700200000</v>
      </c>
      <c r="B2285" s="16">
        <v>-1155947076</v>
      </c>
      <c r="C2285" s="16" t="s">
        <v>3404</v>
      </c>
      <c r="D2285" s="16" t="s">
        <v>3409</v>
      </c>
    </row>
    <row r="2286" spans="1:4">
      <c r="A2286" s="16">
        <v>6030000000</v>
      </c>
      <c r="B2286" s="16">
        <v>0</v>
      </c>
      <c r="C2286" s="16" t="s">
        <v>3432</v>
      </c>
      <c r="D2286" s="16" t="s">
        <v>3423</v>
      </c>
    </row>
    <row r="2287" spans="1:4">
      <c r="A2287" s="16">
        <v>6700200000</v>
      </c>
      <c r="B2287" s="16">
        <v>0</v>
      </c>
      <c r="C2287" s="16" t="s">
        <v>3404</v>
      </c>
      <c r="D2287" s="16" t="s">
        <v>3409</v>
      </c>
    </row>
    <row r="2288" spans="1:4">
      <c r="A2288" s="16">
        <v>6610100100</v>
      </c>
      <c r="B2288" s="16">
        <v>0</v>
      </c>
      <c r="C2288" s="16" t="s">
        <v>3413</v>
      </c>
      <c r="D2288" s="16" t="s">
        <v>3414</v>
      </c>
    </row>
    <row r="2289" spans="1:4">
      <c r="A2289" s="16">
        <v>5052000000</v>
      </c>
      <c r="B2289" s="16">
        <v>0</v>
      </c>
      <c r="C2289" s="16" t="s">
        <v>3406</v>
      </c>
      <c r="D2289" s="16" t="s">
        <v>3422</v>
      </c>
    </row>
    <row r="2290" spans="1:4">
      <c r="A2290" s="16">
        <v>5010000010</v>
      </c>
      <c r="B2290" s="16">
        <v>0</v>
      </c>
      <c r="C2290" s="16" t="s">
        <v>3406</v>
      </c>
      <c r="D2290" s="16" t="s">
        <v>3411</v>
      </c>
    </row>
    <row r="2291" spans="1:4">
      <c r="A2291" s="16">
        <v>6700400000</v>
      </c>
      <c r="B2291" s="16">
        <v>0</v>
      </c>
      <c r="C2291" s="16" t="s">
        <v>3404</v>
      </c>
      <c r="D2291" s="16" t="s">
        <v>3405</v>
      </c>
    </row>
    <row r="2292" spans="1:4">
      <c r="A2292" s="16">
        <v>6610100000</v>
      </c>
      <c r="B2292" s="16">
        <v>0</v>
      </c>
      <c r="C2292" s="16" t="s">
        <v>3413</v>
      </c>
      <c r="D2292" s="16" t="s">
        <v>3414</v>
      </c>
    </row>
    <row r="2293" spans="1:4">
      <c r="A2293" s="16">
        <v>6700700000</v>
      </c>
      <c r="B2293" s="16">
        <v>2010</v>
      </c>
      <c r="C2293" s="16" t="s">
        <v>3404</v>
      </c>
      <c r="D2293" s="16" t="s">
        <v>3409</v>
      </c>
    </row>
    <row r="2294" spans="1:4">
      <c r="A2294" s="16">
        <v>6700200000</v>
      </c>
      <c r="B2294" s="16">
        <v>0</v>
      </c>
      <c r="C2294" s="16" t="s">
        <v>3404</v>
      </c>
      <c r="D2294" s="16" t="s">
        <v>3409</v>
      </c>
    </row>
    <row r="2295" spans="1:4">
      <c r="A2295" s="16">
        <v>3102000000</v>
      </c>
      <c r="B2295" s="16">
        <v>0</v>
      </c>
      <c r="C2295" s="16" t="s">
        <v>3424</v>
      </c>
      <c r="D2295" s="16" t="s">
        <v>3403</v>
      </c>
    </row>
    <row r="2296" spans="1:4">
      <c r="A2296" s="16">
        <v>6700600000</v>
      </c>
      <c r="B2296" s="16">
        <v>0</v>
      </c>
      <c r="C2296" s="16" t="s">
        <v>3404</v>
      </c>
      <c r="D2296" s="16" t="s">
        <v>3409</v>
      </c>
    </row>
    <row r="2297" spans="1:4">
      <c r="A2297" s="16">
        <v>3800000000</v>
      </c>
      <c r="B2297" s="16">
        <v>0</v>
      </c>
      <c r="C2297" s="16" t="s">
        <v>3402</v>
      </c>
      <c r="D2297" s="16" t="s">
        <v>3403</v>
      </c>
    </row>
    <row r="2298" spans="1:4">
      <c r="A2298" s="16">
        <v>6610100100</v>
      </c>
      <c r="B2298" s="16">
        <v>0</v>
      </c>
      <c r="C2298" s="16" t="s">
        <v>3413</v>
      </c>
      <c r="D2298" s="16" t="s">
        <v>3414</v>
      </c>
    </row>
    <row r="2299" spans="1:4">
      <c r="A2299" s="16">
        <v>2203000000</v>
      </c>
      <c r="B2299" s="16">
        <v>0</v>
      </c>
      <c r="C2299" s="16" t="s">
        <v>3415</v>
      </c>
      <c r="D2299" s="16" t="s">
        <v>3403</v>
      </c>
    </row>
    <row r="2300" spans="1:4">
      <c r="A2300" s="16">
        <v>3100000000</v>
      </c>
      <c r="B2300" s="16">
        <v>0</v>
      </c>
      <c r="C2300" s="16" t="s">
        <v>3402</v>
      </c>
      <c r="D2300" s="16" t="s">
        <v>3403</v>
      </c>
    </row>
    <row r="2301" spans="1:4">
      <c r="A2301" s="16">
        <v>3102000000</v>
      </c>
      <c r="B2301" s="16">
        <v>0</v>
      </c>
      <c r="C2301" s="16" t="s">
        <v>3424</v>
      </c>
      <c r="D2301" s="16" t="s">
        <v>3403</v>
      </c>
    </row>
    <row r="2302" spans="1:4">
      <c r="A2302" s="16">
        <v>6700100000</v>
      </c>
      <c r="B2302" s="16">
        <v>0</v>
      </c>
      <c r="C2302" s="16" t="s">
        <v>3404</v>
      </c>
      <c r="D2302" s="16" t="s">
        <v>3410</v>
      </c>
    </row>
    <row r="2303" spans="1:4">
      <c r="A2303" s="16">
        <v>6700200000</v>
      </c>
      <c r="B2303" s="16">
        <v>-4493290</v>
      </c>
      <c r="C2303" s="16" t="s">
        <v>3404</v>
      </c>
      <c r="D2303" s="16" t="s">
        <v>3409</v>
      </c>
    </row>
    <row r="2304" spans="1:4">
      <c r="A2304" s="16">
        <v>3030000000</v>
      </c>
      <c r="B2304" s="16">
        <v>0</v>
      </c>
      <c r="C2304" s="16" t="s">
        <v>3402</v>
      </c>
      <c r="D2304" s="16" t="s">
        <v>3403</v>
      </c>
    </row>
    <row r="2305" spans="1:4">
      <c r="A2305" s="16">
        <v>2201400000</v>
      </c>
      <c r="B2305" s="16">
        <v>3137555</v>
      </c>
      <c r="C2305" s="16" t="s">
        <v>3415</v>
      </c>
      <c r="D2305" s="16" t="s">
        <v>3403</v>
      </c>
    </row>
    <row r="2306" spans="1:4">
      <c r="A2306" s="16">
        <v>4611000000</v>
      </c>
      <c r="B2306" s="16">
        <v>267237</v>
      </c>
      <c r="C2306" s="16" t="s">
        <v>3428</v>
      </c>
      <c r="D2306" s="16" t="s">
        <v>3403</v>
      </c>
    </row>
    <row r="2307" spans="1:4">
      <c r="A2307" s="16">
        <v>6610000000</v>
      </c>
      <c r="B2307" s="16">
        <v>0</v>
      </c>
      <c r="C2307" s="16" t="s">
        <v>3413</v>
      </c>
      <c r="D2307" s="16" t="s">
        <v>3418</v>
      </c>
    </row>
    <row r="2308" spans="1:4">
      <c r="A2308" s="16">
        <v>3710000000</v>
      </c>
      <c r="B2308" s="16">
        <v>0</v>
      </c>
      <c r="C2308" s="16" t="s">
        <v>3402</v>
      </c>
      <c r="D2308" s="16" t="s">
        <v>3403</v>
      </c>
    </row>
    <row r="2309" spans="1:4">
      <c r="A2309" s="16">
        <v>4203000000</v>
      </c>
      <c r="B2309" s="16">
        <v>0</v>
      </c>
      <c r="C2309" s="16" t="s">
        <v>3408</v>
      </c>
      <c r="D2309" s="16" t="s">
        <v>3403</v>
      </c>
    </row>
    <row r="2310" spans="1:4">
      <c r="A2310" s="16">
        <v>6700500000</v>
      </c>
      <c r="B2310" s="16">
        <v>-2010</v>
      </c>
      <c r="C2310" s="16" t="s">
        <v>3404</v>
      </c>
      <c r="D2310" s="16" t="s">
        <v>3405</v>
      </c>
    </row>
    <row r="2311" spans="1:4">
      <c r="A2311" s="16">
        <v>6700000000</v>
      </c>
      <c r="B2311" s="16">
        <v>0</v>
      </c>
      <c r="C2311" s="16" t="s">
        <v>3404</v>
      </c>
      <c r="D2311" s="16" t="s">
        <v>3405</v>
      </c>
    </row>
    <row r="2312" spans="1:4">
      <c r="A2312" s="16">
        <v>6100000000</v>
      </c>
      <c r="B2312" s="16">
        <v>1240776354</v>
      </c>
      <c r="C2312" s="16" t="s">
        <v>3416</v>
      </c>
      <c r="D2312" s="16" t="s">
        <v>3417</v>
      </c>
    </row>
    <row r="2313" spans="1:4">
      <c r="A2313" s="16">
        <v>5010100010</v>
      </c>
      <c r="B2313" s="16">
        <v>0</v>
      </c>
      <c r="C2313" s="16" t="s">
        <v>3406</v>
      </c>
      <c r="D2313" s="16" t="s">
        <v>3407</v>
      </c>
    </row>
    <row r="2314" spans="1:4">
      <c r="A2314" s="16">
        <v>6102000000</v>
      </c>
      <c r="B2314" s="16">
        <v>0</v>
      </c>
      <c r="C2314" s="16" t="s">
        <v>3425</v>
      </c>
      <c r="D2314" s="16" t="s">
        <v>3426</v>
      </c>
    </row>
    <row r="2315" spans="1:4">
      <c r="A2315" s="16">
        <v>6700400000</v>
      </c>
      <c r="B2315" s="16">
        <v>0</v>
      </c>
      <c r="C2315" s="16" t="s">
        <v>3404</v>
      </c>
      <c r="D2315" s="16" t="s">
        <v>3405</v>
      </c>
    </row>
    <row r="2316" spans="1:4">
      <c r="A2316" s="16">
        <v>6700700000</v>
      </c>
      <c r="B2316" s="16">
        <v>0</v>
      </c>
      <c r="C2316" s="16" t="s">
        <v>3404</v>
      </c>
      <c r="D2316" s="16" t="s">
        <v>3409</v>
      </c>
    </row>
    <row r="2317" spans="1:4">
      <c r="A2317" s="16">
        <v>6100000000</v>
      </c>
      <c r="B2317" s="16">
        <v>0</v>
      </c>
      <c r="C2317" s="16" t="s">
        <v>3416</v>
      </c>
      <c r="D2317" s="16" t="s">
        <v>3417</v>
      </c>
    </row>
    <row r="2318" spans="1:4">
      <c r="A2318" s="16">
        <v>6060110000</v>
      </c>
      <c r="B2318" s="16">
        <v>0</v>
      </c>
      <c r="C2318" s="16" t="s">
        <v>3420</v>
      </c>
      <c r="D2318" s="16" t="s">
        <v>3421</v>
      </c>
    </row>
    <row r="2319" spans="1:4">
      <c r="A2319" s="16">
        <v>6102000000</v>
      </c>
      <c r="B2319" s="16">
        <v>0</v>
      </c>
      <c r="C2319" s="16" t="s">
        <v>3425</v>
      </c>
      <c r="D2319" s="16" t="s">
        <v>3426</v>
      </c>
    </row>
    <row r="2320" spans="1:4">
      <c r="A2320" s="16">
        <v>6700700000</v>
      </c>
      <c r="B2320" s="16">
        <v>-3137555</v>
      </c>
      <c r="C2320" s="16" t="s">
        <v>3404</v>
      </c>
      <c r="D2320" s="16" t="s">
        <v>3409</v>
      </c>
    </row>
    <row r="2321" spans="1:4">
      <c r="A2321" s="16">
        <v>6104000000</v>
      </c>
      <c r="B2321" s="16">
        <v>0</v>
      </c>
      <c r="C2321" s="16" t="s">
        <v>3416</v>
      </c>
      <c r="D2321" s="16" t="s">
        <v>3417</v>
      </c>
    </row>
    <row r="2322" spans="1:4">
      <c r="A2322" s="16">
        <v>2500000000</v>
      </c>
      <c r="B2322" s="16">
        <v>0</v>
      </c>
      <c r="C2322" s="16" t="s">
        <v>3412</v>
      </c>
      <c r="D2322" s="16" t="s">
        <v>3403</v>
      </c>
    </row>
    <row r="2323" spans="1:4">
      <c r="A2323" s="16">
        <v>3800000010</v>
      </c>
      <c r="B2323" s="16">
        <v>-267237</v>
      </c>
      <c r="C2323" s="16" t="s">
        <v>3402</v>
      </c>
      <c r="D2323" s="16" t="s">
        <v>3403</v>
      </c>
    </row>
    <row r="2324" spans="1:4">
      <c r="A2324" s="16">
        <v>4203000000</v>
      </c>
      <c r="B2324" s="16">
        <v>0</v>
      </c>
      <c r="C2324" s="16" t="s">
        <v>3408</v>
      </c>
      <c r="D2324" s="16" t="s">
        <v>3403</v>
      </c>
    </row>
    <row r="2325" spans="1:4">
      <c r="A2325" s="16">
        <v>6100000000</v>
      </c>
      <c r="B2325" s="16">
        <v>0</v>
      </c>
      <c r="C2325" s="16" t="s">
        <v>3416</v>
      </c>
      <c r="D2325" s="16" t="s">
        <v>3417</v>
      </c>
    </row>
    <row r="2326" spans="1:4">
      <c r="A2326" s="16">
        <v>2203000010</v>
      </c>
      <c r="B2326" s="16">
        <v>0</v>
      </c>
      <c r="C2326" s="16" t="s">
        <v>3415</v>
      </c>
      <c r="D2326" s="16" t="s">
        <v>3403</v>
      </c>
    </row>
    <row r="2327" spans="1:4">
      <c r="A2327" s="16">
        <v>3100000000</v>
      </c>
      <c r="B2327" s="16">
        <v>-1240776354</v>
      </c>
      <c r="C2327" s="16" t="s">
        <v>3402</v>
      </c>
      <c r="D2327" s="16" t="s">
        <v>3403</v>
      </c>
    </row>
    <row r="2328" spans="1:4">
      <c r="A2328" s="16">
        <v>3710000000</v>
      </c>
      <c r="B2328" s="16">
        <v>0</v>
      </c>
      <c r="C2328" s="16" t="s">
        <v>3402</v>
      </c>
      <c r="D2328" s="16" t="s">
        <v>3403</v>
      </c>
    </row>
    <row r="2329" spans="1:4">
      <c r="A2329" s="16">
        <v>6610100000</v>
      </c>
      <c r="B2329" s="16">
        <v>2760327</v>
      </c>
      <c r="C2329" s="16" t="s">
        <v>3413</v>
      </c>
      <c r="D2329" s="16" t="s">
        <v>3414</v>
      </c>
    </row>
    <row r="2330" spans="1:4">
      <c r="A2330" s="16">
        <v>5010100010</v>
      </c>
      <c r="B2330" s="16">
        <v>0</v>
      </c>
      <c r="C2330" s="16" t="s">
        <v>3406</v>
      </c>
      <c r="D2330" s="16" t="s">
        <v>3407</v>
      </c>
    </row>
    <row r="2331" spans="1:4">
      <c r="A2331" s="16">
        <v>6700500000</v>
      </c>
      <c r="B2331" s="16">
        <v>0</v>
      </c>
      <c r="C2331" s="16" t="s">
        <v>3404</v>
      </c>
      <c r="D2331" s="16" t="s">
        <v>3405</v>
      </c>
    </row>
    <row r="2332" spans="1:4">
      <c r="A2332" s="16">
        <v>3100000000</v>
      </c>
      <c r="B2332" s="16">
        <v>0</v>
      </c>
      <c r="C2332" s="16" t="s">
        <v>3402</v>
      </c>
      <c r="D2332" s="16" t="s">
        <v>3403</v>
      </c>
    </row>
    <row r="2333" spans="1:4">
      <c r="A2333" s="16">
        <v>3103000000</v>
      </c>
      <c r="B2333" s="16">
        <v>0</v>
      </c>
      <c r="C2333" s="16" t="s">
        <v>3402</v>
      </c>
      <c r="D2333" s="16" t="s">
        <v>3403</v>
      </c>
    </row>
    <row r="2334" spans="1:4">
      <c r="A2334" s="16">
        <v>5010000000</v>
      </c>
      <c r="B2334" s="16">
        <v>0</v>
      </c>
      <c r="C2334" s="16" t="s">
        <v>3406</v>
      </c>
      <c r="D2334" s="16" t="s">
        <v>3411</v>
      </c>
    </row>
    <row r="2335" spans="1:4">
      <c r="A2335" s="16">
        <v>3100000000</v>
      </c>
      <c r="B2335" s="16">
        <v>0</v>
      </c>
      <c r="C2335" s="16" t="s">
        <v>3402</v>
      </c>
      <c r="D2335" s="16" t="s">
        <v>3403</v>
      </c>
    </row>
    <row r="2336" spans="1:4">
      <c r="A2336" s="16">
        <v>6104001000</v>
      </c>
      <c r="B2336" s="16">
        <v>0</v>
      </c>
      <c r="C2336" s="16" t="s">
        <v>3416</v>
      </c>
      <c r="D2336" s="16" t="s">
        <v>3417</v>
      </c>
    </row>
    <row r="2337" spans="1:4">
      <c r="A2337" s="16">
        <v>4612000000</v>
      </c>
      <c r="B2337" s="16">
        <v>0</v>
      </c>
      <c r="C2337" s="16" t="s">
        <v>3428</v>
      </c>
      <c r="D2337" s="16" t="s">
        <v>3403</v>
      </c>
    </row>
    <row r="2338" spans="1:4">
      <c r="A2338" s="16">
        <v>6150000000</v>
      </c>
      <c r="B2338" s="16">
        <v>0</v>
      </c>
      <c r="C2338" s="16" t="s">
        <v>3416</v>
      </c>
      <c r="D2338" s="16" t="s">
        <v>3417</v>
      </c>
    </row>
    <row r="2339" spans="1:4">
      <c r="A2339" s="16">
        <v>2203000000</v>
      </c>
      <c r="B2339" s="16">
        <v>0</v>
      </c>
      <c r="C2339" s="16" t="s">
        <v>3415</v>
      </c>
      <c r="D2339" s="16" t="s">
        <v>3403</v>
      </c>
    </row>
    <row r="2340" spans="1:4">
      <c r="A2340" s="16">
        <v>6700700000</v>
      </c>
      <c r="B2340" s="16">
        <v>0</v>
      </c>
      <c r="C2340" s="16" t="s">
        <v>3404</v>
      </c>
      <c r="D2340" s="16" t="s">
        <v>3409</v>
      </c>
    </row>
    <row r="2341" spans="1:4">
      <c r="A2341" s="16">
        <v>6610100000</v>
      </c>
      <c r="B2341" s="16">
        <v>1425134</v>
      </c>
      <c r="C2341" s="16" t="s">
        <v>3413</v>
      </c>
      <c r="D2341" s="16" t="s">
        <v>3414</v>
      </c>
    </row>
    <row r="2342" spans="1:4">
      <c r="A2342" s="16">
        <v>4203000000</v>
      </c>
      <c r="B2342" s="16">
        <v>-2760327</v>
      </c>
      <c r="C2342" s="16" t="s">
        <v>3408</v>
      </c>
      <c r="D2342" s="16" t="s">
        <v>3403</v>
      </c>
    </row>
    <row r="2343" spans="1:4">
      <c r="A2343" s="16">
        <v>3710000000</v>
      </c>
      <c r="B2343" s="16">
        <v>0</v>
      </c>
      <c r="C2343" s="16" t="s">
        <v>3402</v>
      </c>
      <c r="D2343" s="16" t="s">
        <v>3403</v>
      </c>
    </row>
    <row r="2344" spans="1:4">
      <c r="A2344" s="16">
        <v>6700600000</v>
      </c>
      <c r="B2344" s="16">
        <v>0</v>
      </c>
      <c r="C2344" s="16" t="s">
        <v>3404</v>
      </c>
      <c r="D2344" s="16" t="s">
        <v>3409</v>
      </c>
    </row>
    <row r="2345" spans="1:4">
      <c r="A2345" s="16">
        <v>6104000000</v>
      </c>
      <c r="B2345" s="16">
        <v>0</v>
      </c>
      <c r="C2345" s="16" t="s">
        <v>3427</v>
      </c>
      <c r="D2345" s="16" t="s">
        <v>3417</v>
      </c>
    </row>
    <row r="2346" spans="1:4">
      <c r="A2346" s="16">
        <v>6700200000</v>
      </c>
      <c r="B2346" s="16">
        <v>0</v>
      </c>
      <c r="C2346" s="16" t="s">
        <v>3404</v>
      </c>
      <c r="D2346" s="16" t="s">
        <v>3409</v>
      </c>
    </row>
    <row r="2347" spans="1:4">
      <c r="A2347" s="16">
        <v>3032000000</v>
      </c>
      <c r="B2347" s="16">
        <v>204211</v>
      </c>
      <c r="C2347" s="16" t="s">
        <v>3424</v>
      </c>
      <c r="D2347" s="16" t="s">
        <v>3403</v>
      </c>
    </row>
    <row r="2348" spans="1:4">
      <c r="A2348" s="16">
        <v>2500000000</v>
      </c>
      <c r="B2348" s="16">
        <v>2497</v>
      </c>
      <c r="C2348" s="16" t="s">
        <v>3412</v>
      </c>
      <c r="D2348" s="16" t="s">
        <v>3403</v>
      </c>
    </row>
    <row r="2349" spans="1:4">
      <c r="A2349" s="16">
        <v>2201000000</v>
      </c>
      <c r="B2349" s="16">
        <v>14760395</v>
      </c>
      <c r="C2349" s="16" t="s">
        <v>3415</v>
      </c>
      <c r="D2349" s="16" t="s">
        <v>3403</v>
      </c>
    </row>
    <row r="2350" spans="1:4">
      <c r="A2350" s="16">
        <v>6700200000</v>
      </c>
      <c r="B2350" s="16">
        <v>0</v>
      </c>
      <c r="C2350" s="16" t="s">
        <v>3404</v>
      </c>
      <c r="D2350" s="16" t="s">
        <v>3409</v>
      </c>
    </row>
    <row r="2351" spans="1:4">
      <c r="A2351" s="16">
        <v>6700200000</v>
      </c>
      <c r="B2351" s="16">
        <v>0</v>
      </c>
      <c r="C2351" s="16" t="s">
        <v>3404</v>
      </c>
      <c r="D2351" s="16" t="s">
        <v>3409</v>
      </c>
    </row>
    <row r="2352" spans="1:4">
      <c r="A2352" s="16">
        <v>2201000000</v>
      </c>
      <c r="B2352" s="16">
        <v>340163691</v>
      </c>
      <c r="C2352" s="16" t="s">
        <v>3415</v>
      </c>
      <c r="D2352" s="16" t="s">
        <v>3403</v>
      </c>
    </row>
    <row r="2353" spans="1:4">
      <c r="A2353" s="16">
        <v>6100000020</v>
      </c>
      <c r="B2353" s="16">
        <v>0</v>
      </c>
      <c r="C2353" s="16" t="s">
        <v>3416</v>
      </c>
      <c r="D2353" s="16" t="s">
        <v>3417</v>
      </c>
    </row>
    <row r="2354" spans="1:4">
      <c r="A2354" s="16">
        <v>5052010000</v>
      </c>
      <c r="B2354" s="16">
        <v>0</v>
      </c>
      <c r="C2354" s="16" t="s">
        <v>3406</v>
      </c>
      <c r="D2354" s="16" t="s">
        <v>3422</v>
      </c>
    </row>
    <row r="2355" spans="1:4">
      <c r="A2355" s="16">
        <v>6610100000</v>
      </c>
      <c r="B2355" s="16">
        <v>0</v>
      </c>
      <c r="C2355" s="16" t="s">
        <v>3413</v>
      </c>
      <c r="D2355" s="16" t="s">
        <v>3414</v>
      </c>
    </row>
    <row r="2356" spans="1:4">
      <c r="A2356" s="16">
        <v>3103001000</v>
      </c>
      <c r="B2356" s="16">
        <v>0</v>
      </c>
      <c r="C2356" s="16" t="s">
        <v>3402</v>
      </c>
      <c r="D2356" s="16" t="s">
        <v>3403</v>
      </c>
    </row>
    <row r="2357" spans="1:4">
      <c r="A2357" s="16">
        <v>3510000000</v>
      </c>
      <c r="B2357" s="16">
        <v>0</v>
      </c>
      <c r="C2357" s="16" t="s">
        <v>3402</v>
      </c>
      <c r="D2357" s="16" t="s">
        <v>3403</v>
      </c>
    </row>
    <row r="2358" spans="1:4">
      <c r="A2358" s="16">
        <v>6060110000</v>
      </c>
      <c r="B2358" s="16">
        <v>0</v>
      </c>
      <c r="C2358" s="16" t="s">
        <v>3420</v>
      </c>
      <c r="D2358" s="16" t="s">
        <v>3421</v>
      </c>
    </row>
    <row r="2359" spans="1:4">
      <c r="A2359" s="16">
        <v>6700600000</v>
      </c>
      <c r="B2359" s="16">
        <v>0</v>
      </c>
      <c r="C2359" s="16" t="s">
        <v>3404</v>
      </c>
      <c r="D2359" s="16" t="s">
        <v>3409</v>
      </c>
    </row>
    <row r="2360" spans="1:4">
      <c r="A2360" s="16">
        <v>6700500000</v>
      </c>
      <c r="B2360" s="16">
        <v>0</v>
      </c>
      <c r="C2360" s="16" t="s">
        <v>3404</v>
      </c>
      <c r="D2360" s="16" t="s">
        <v>3405</v>
      </c>
    </row>
    <row r="2361" spans="1:4">
      <c r="A2361" s="16">
        <v>6700200000</v>
      </c>
      <c r="B2361" s="16">
        <v>0</v>
      </c>
      <c r="C2361" s="16" t="s">
        <v>3404</v>
      </c>
      <c r="D2361" s="16" t="s">
        <v>3409</v>
      </c>
    </row>
    <row r="2362" spans="1:4">
      <c r="A2362" s="16">
        <v>4203000000</v>
      </c>
      <c r="B2362" s="16">
        <v>-1425134</v>
      </c>
      <c r="C2362" s="16" t="s">
        <v>3408</v>
      </c>
      <c r="D2362" s="16" t="s">
        <v>3403</v>
      </c>
    </row>
    <row r="2363" spans="1:4">
      <c r="A2363" s="16">
        <v>2500000000</v>
      </c>
      <c r="B2363" s="16">
        <v>0</v>
      </c>
      <c r="C2363" s="16" t="s">
        <v>3412</v>
      </c>
      <c r="D2363" s="16" t="s">
        <v>3403</v>
      </c>
    </row>
    <row r="2364" spans="1:4">
      <c r="A2364" s="16">
        <v>6700400000</v>
      </c>
      <c r="B2364" s="16">
        <v>0</v>
      </c>
      <c r="C2364" s="16" t="s">
        <v>3404</v>
      </c>
      <c r="D2364" s="16" t="s">
        <v>3405</v>
      </c>
    </row>
    <row r="2365" spans="1:4">
      <c r="A2365" s="16">
        <v>3103000000</v>
      </c>
      <c r="B2365" s="16">
        <v>0</v>
      </c>
      <c r="C2365" s="16" t="s">
        <v>3402</v>
      </c>
      <c r="D2365" s="16" t="s">
        <v>3403</v>
      </c>
    </row>
    <row r="2366" spans="1:4">
      <c r="A2366" s="16">
        <v>6700000000</v>
      </c>
      <c r="B2366" s="16">
        <v>0</v>
      </c>
      <c r="C2366" s="16" t="s">
        <v>3404</v>
      </c>
      <c r="D2366" s="16" t="s">
        <v>3405</v>
      </c>
    </row>
    <row r="2367" spans="1:4">
      <c r="A2367" s="16">
        <v>3100000000</v>
      </c>
      <c r="B2367" s="16">
        <v>0</v>
      </c>
      <c r="C2367" s="16" t="s">
        <v>3402</v>
      </c>
      <c r="D2367" s="16" t="s">
        <v>3403</v>
      </c>
    </row>
    <row r="2368" spans="1:4">
      <c r="A2368" s="16">
        <v>2203000000</v>
      </c>
      <c r="B2368" s="16">
        <v>0</v>
      </c>
      <c r="C2368" s="16" t="s">
        <v>3415</v>
      </c>
      <c r="D2368" s="16" t="s">
        <v>3403</v>
      </c>
    </row>
    <row r="2369" spans="1:4">
      <c r="A2369" s="16">
        <v>6060110000</v>
      </c>
      <c r="B2369" s="16">
        <v>0</v>
      </c>
      <c r="C2369" s="16" t="s">
        <v>3420</v>
      </c>
      <c r="D2369" s="16" t="s">
        <v>3421</v>
      </c>
    </row>
    <row r="2370" spans="1:4">
      <c r="A2370" s="16">
        <v>5010100010</v>
      </c>
      <c r="B2370" s="16">
        <v>0</v>
      </c>
      <c r="C2370" s="16" t="s">
        <v>3406</v>
      </c>
      <c r="D2370" s="16" t="s">
        <v>3407</v>
      </c>
    </row>
    <row r="2371" spans="1:4">
      <c r="A2371" s="16">
        <v>3710000000</v>
      </c>
      <c r="B2371" s="16">
        <v>0</v>
      </c>
      <c r="C2371" s="16" t="s">
        <v>3402</v>
      </c>
      <c r="D2371" s="16" t="s">
        <v>3403</v>
      </c>
    </row>
    <row r="2372" spans="1:4">
      <c r="A2372" s="16">
        <v>6700200000</v>
      </c>
      <c r="B2372" s="16">
        <v>0</v>
      </c>
      <c r="C2372" s="16" t="s">
        <v>3404</v>
      </c>
      <c r="D2372" s="16" t="s">
        <v>3409</v>
      </c>
    </row>
    <row r="2373" spans="1:4">
      <c r="A2373" s="16">
        <v>2201200030</v>
      </c>
      <c r="B2373" s="16">
        <v>0</v>
      </c>
      <c r="C2373" s="16" t="s">
        <v>3415</v>
      </c>
      <c r="D2373" s="16" t="s">
        <v>3403</v>
      </c>
    </row>
    <row r="2374" spans="1:4">
      <c r="A2374" s="16">
        <v>2500000000</v>
      </c>
      <c r="B2374" s="16">
        <v>0</v>
      </c>
      <c r="C2374" s="16" t="s">
        <v>3412</v>
      </c>
      <c r="D2374" s="16" t="s">
        <v>3403</v>
      </c>
    </row>
    <row r="2375" spans="1:4">
      <c r="A2375" s="16">
        <v>5010100000</v>
      </c>
      <c r="B2375" s="16">
        <v>0</v>
      </c>
      <c r="C2375" s="16" t="s">
        <v>3406</v>
      </c>
      <c r="D2375" s="16" t="s">
        <v>3407</v>
      </c>
    </row>
    <row r="2376" spans="1:4">
      <c r="A2376" s="16">
        <v>2500000000</v>
      </c>
      <c r="B2376" s="16">
        <v>0</v>
      </c>
      <c r="C2376" s="16" t="s">
        <v>3412</v>
      </c>
      <c r="D2376" s="16" t="s">
        <v>3403</v>
      </c>
    </row>
    <row r="2377" spans="1:4">
      <c r="A2377" s="16">
        <v>5010100000</v>
      </c>
      <c r="B2377" s="16">
        <v>0</v>
      </c>
      <c r="C2377" s="16" t="s">
        <v>3406</v>
      </c>
      <c r="D2377" s="16" t="s">
        <v>3407</v>
      </c>
    </row>
    <row r="2378" spans="1:4">
      <c r="A2378" s="16">
        <v>3102000000</v>
      </c>
      <c r="B2378" s="16">
        <v>2252346</v>
      </c>
      <c r="C2378" s="16" t="s">
        <v>3424</v>
      </c>
      <c r="D2378" s="16" t="s">
        <v>3403</v>
      </c>
    </row>
    <row r="2379" spans="1:4">
      <c r="A2379" s="16">
        <v>6102000000</v>
      </c>
      <c r="B2379" s="16">
        <v>-2252346</v>
      </c>
      <c r="C2379" s="16" t="s">
        <v>3425</v>
      </c>
      <c r="D2379" s="16" t="s">
        <v>3426</v>
      </c>
    </row>
    <row r="2380" spans="1:4">
      <c r="A2380" s="16">
        <v>6030000000</v>
      </c>
      <c r="B2380" s="16">
        <v>0</v>
      </c>
      <c r="C2380" s="16" t="s">
        <v>3420</v>
      </c>
      <c r="D2380" s="16" t="s">
        <v>3423</v>
      </c>
    </row>
    <row r="2381" spans="1:4">
      <c r="A2381" s="16">
        <v>3030000000</v>
      </c>
      <c r="B2381" s="16">
        <v>0</v>
      </c>
      <c r="C2381" s="16" t="s">
        <v>3402</v>
      </c>
      <c r="D2381" s="16" t="s">
        <v>3403</v>
      </c>
    </row>
    <row r="2382" spans="1:4">
      <c r="A2382" s="16">
        <v>6700200000</v>
      </c>
      <c r="B2382" s="16">
        <v>0</v>
      </c>
      <c r="C2382" s="16" t="s">
        <v>3404</v>
      </c>
      <c r="D2382" s="16" t="s">
        <v>3409</v>
      </c>
    </row>
    <row r="2383" spans="1:4">
      <c r="A2383" s="16">
        <v>6700100000</v>
      </c>
      <c r="B2383" s="16">
        <v>0</v>
      </c>
      <c r="C2383" s="16" t="s">
        <v>3404</v>
      </c>
      <c r="D2383" s="16" t="s">
        <v>3410</v>
      </c>
    </row>
    <row r="2384" spans="1:4">
      <c r="A2384" s="16">
        <v>6610100000</v>
      </c>
      <c r="B2384" s="16">
        <v>0</v>
      </c>
      <c r="C2384" s="16" t="s">
        <v>3413</v>
      </c>
      <c r="D2384" s="16" t="s">
        <v>3414</v>
      </c>
    </row>
    <row r="2385" spans="1:4">
      <c r="A2385" s="16">
        <v>4203000000</v>
      </c>
      <c r="B2385" s="16">
        <v>0</v>
      </c>
      <c r="C2385" s="16" t="s">
        <v>3408</v>
      </c>
      <c r="D2385" s="16" t="s">
        <v>3403</v>
      </c>
    </row>
    <row r="2386" spans="1:4">
      <c r="A2386" s="16">
        <v>5010100010</v>
      </c>
      <c r="B2386" s="16">
        <v>0</v>
      </c>
      <c r="C2386" s="16" t="s">
        <v>3406</v>
      </c>
      <c r="D2386" s="16" t="s">
        <v>3407</v>
      </c>
    </row>
    <row r="2387" spans="1:4">
      <c r="A2387" s="16">
        <v>3710000000</v>
      </c>
      <c r="B2387" s="16">
        <v>0</v>
      </c>
      <c r="C2387" s="16" t="s">
        <v>3402</v>
      </c>
      <c r="D2387" s="16" t="s">
        <v>3403</v>
      </c>
    </row>
    <row r="2388" spans="1:4">
      <c r="A2388" s="16">
        <v>6030000000</v>
      </c>
      <c r="B2388" s="16">
        <v>0</v>
      </c>
      <c r="C2388" s="16" t="s">
        <v>3420</v>
      </c>
      <c r="D2388" s="16" t="s">
        <v>3423</v>
      </c>
    </row>
    <row r="2389" spans="1:4">
      <c r="A2389" s="16">
        <v>3030000000</v>
      </c>
      <c r="B2389" s="16">
        <v>0</v>
      </c>
      <c r="C2389" s="16" t="s">
        <v>3402</v>
      </c>
      <c r="D2389" s="16" t="s">
        <v>3403</v>
      </c>
    </row>
    <row r="2390" spans="1:4">
      <c r="A2390" s="16">
        <v>6030000000</v>
      </c>
      <c r="B2390" s="16">
        <v>0</v>
      </c>
      <c r="C2390" s="16" t="s">
        <v>3420</v>
      </c>
      <c r="D2390" s="16" t="s">
        <v>3423</v>
      </c>
    </row>
    <row r="2391" spans="1:4">
      <c r="A2391" s="16">
        <v>3030000000</v>
      </c>
      <c r="B2391" s="16">
        <v>0</v>
      </c>
      <c r="C2391" s="16" t="s">
        <v>3402</v>
      </c>
      <c r="D2391" s="16" t="s">
        <v>3403</v>
      </c>
    </row>
    <row r="2392" spans="1:4">
      <c r="A2392" s="16">
        <v>2500000000</v>
      </c>
      <c r="B2392" s="16">
        <v>0</v>
      </c>
      <c r="C2392" s="16" t="s">
        <v>3412</v>
      </c>
      <c r="D2392" s="16" t="s">
        <v>3403</v>
      </c>
    </row>
    <row r="2393" spans="1:4">
      <c r="A2393" s="16">
        <v>5010100000</v>
      </c>
      <c r="B2393" s="16">
        <v>0</v>
      </c>
      <c r="C2393" s="16" t="s">
        <v>3406</v>
      </c>
      <c r="D2393" s="16" t="s">
        <v>3407</v>
      </c>
    </row>
    <row r="2394" spans="1:4">
      <c r="A2394" s="16">
        <v>6700700000</v>
      </c>
      <c r="B2394" s="16">
        <v>0</v>
      </c>
      <c r="C2394" s="16" t="s">
        <v>3404</v>
      </c>
      <c r="D2394" s="16" t="s">
        <v>3409</v>
      </c>
    </row>
    <row r="2395" spans="1:4">
      <c r="A2395" s="16">
        <v>6700500000</v>
      </c>
      <c r="B2395" s="16">
        <v>0</v>
      </c>
      <c r="C2395" s="16" t="s">
        <v>3404</v>
      </c>
      <c r="D2395" s="16" t="s">
        <v>3405</v>
      </c>
    </row>
    <row r="2396" spans="1:4">
      <c r="A2396" s="16">
        <v>6610000000</v>
      </c>
      <c r="B2396" s="16">
        <v>0</v>
      </c>
      <c r="C2396" s="16" t="s">
        <v>3413</v>
      </c>
      <c r="D2396" s="16" t="s">
        <v>3418</v>
      </c>
    </row>
    <row r="2397" spans="1:4">
      <c r="A2397" s="16">
        <v>4203000000</v>
      </c>
      <c r="B2397" s="16">
        <v>0</v>
      </c>
      <c r="C2397" s="16" t="s">
        <v>3408</v>
      </c>
      <c r="D2397" s="16" t="s">
        <v>3403</v>
      </c>
    </row>
    <row r="2398" spans="1:4">
      <c r="A2398" s="16">
        <v>6104000000</v>
      </c>
      <c r="B2398" s="16">
        <v>0</v>
      </c>
      <c r="C2398" s="16" t="s">
        <v>3427</v>
      </c>
      <c r="D2398" s="16" t="s">
        <v>3417</v>
      </c>
    </row>
    <row r="2399" spans="1:4">
      <c r="A2399" s="16">
        <v>3103000000</v>
      </c>
      <c r="B2399" s="16">
        <v>0</v>
      </c>
      <c r="C2399" s="16" t="s">
        <v>3402</v>
      </c>
      <c r="D2399" s="16" t="s">
        <v>3403</v>
      </c>
    </row>
    <row r="2400" spans="1:4">
      <c r="A2400" s="16">
        <v>2500000000</v>
      </c>
      <c r="B2400" s="16">
        <v>0</v>
      </c>
      <c r="C2400" s="16" t="s">
        <v>3412</v>
      </c>
      <c r="D2400" s="16" t="s">
        <v>3403</v>
      </c>
    </row>
    <row r="2401" spans="1:4">
      <c r="A2401" s="16">
        <v>5010000000</v>
      </c>
      <c r="B2401" s="16">
        <v>0</v>
      </c>
      <c r="C2401" s="16" t="s">
        <v>3406</v>
      </c>
      <c r="D2401" s="16" t="s">
        <v>3411</v>
      </c>
    </row>
    <row r="2402" spans="1:4">
      <c r="A2402" s="16">
        <v>6700200000</v>
      </c>
      <c r="B2402" s="16">
        <v>0</v>
      </c>
      <c r="C2402" s="16" t="s">
        <v>3404</v>
      </c>
      <c r="D2402" s="16" t="s">
        <v>3409</v>
      </c>
    </row>
    <row r="2403" spans="1:4">
      <c r="A2403" s="16">
        <v>6700000000</v>
      </c>
      <c r="B2403" s="16">
        <v>0</v>
      </c>
      <c r="C2403" s="16" t="s">
        <v>3404</v>
      </c>
      <c r="D2403" s="16" t="s">
        <v>3405</v>
      </c>
    </row>
    <row r="2404" spans="1:4">
      <c r="A2404" s="16">
        <v>2750010000</v>
      </c>
      <c r="B2404" s="16">
        <v>0</v>
      </c>
      <c r="C2404" s="16" t="s">
        <v>3419</v>
      </c>
      <c r="D2404" s="16" t="s">
        <v>3403</v>
      </c>
    </row>
    <row r="2405" spans="1:4">
      <c r="A2405" s="16">
        <v>6610000100</v>
      </c>
      <c r="B2405" s="16">
        <v>0</v>
      </c>
      <c r="C2405" s="16" t="s">
        <v>3413</v>
      </c>
      <c r="D2405" s="16" t="s">
        <v>3418</v>
      </c>
    </row>
    <row r="2406" spans="1:4">
      <c r="A2406" s="16">
        <v>6700700000</v>
      </c>
      <c r="B2406" s="16">
        <v>0</v>
      </c>
      <c r="C2406" s="16" t="s">
        <v>3404</v>
      </c>
      <c r="D2406" s="16" t="s">
        <v>3409</v>
      </c>
    </row>
    <row r="2407" spans="1:4">
      <c r="A2407" s="16">
        <v>6700500000</v>
      </c>
      <c r="B2407" s="16">
        <v>0</v>
      </c>
      <c r="C2407" s="16" t="s">
        <v>3404</v>
      </c>
      <c r="D2407" s="16" t="s">
        <v>3405</v>
      </c>
    </row>
    <row r="2408" spans="1:4">
      <c r="A2408" s="16">
        <v>2500000000</v>
      </c>
      <c r="B2408" s="16">
        <v>0</v>
      </c>
      <c r="C2408" s="16" t="s">
        <v>3412</v>
      </c>
      <c r="D2408" s="16" t="s">
        <v>3403</v>
      </c>
    </row>
    <row r="2409" spans="1:4">
      <c r="A2409" s="16">
        <v>5010000000</v>
      </c>
      <c r="B2409" s="16">
        <v>0</v>
      </c>
      <c r="C2409" s="16" t="s">
        <v>3406</v>
      </c>
      <c r="D2409" s="16" t="s">
        <v>3411</v>
      </c>
    </row>
    <row r="2410" spans="1:4">
      <c r="A2410" s="16">
        <v>6104000000</v>
      </c>
      <c r="B2410" s="16">
        <v>0</v>
      </c>
      <c r="C2410" s="16" t="s">
        <v>3416</v>
      </c>
      <c r="D2410" s="16" t="s">
        <v>3417</v>
      </c>
    </row>
    <row r="2411" spans="1:4">
      <c r="A2411" s="16">
        <v>3103000000</v>
      </c>
      <c r="B2411" s="16">
        <v>0</v>
      </c>
      <c r="C2411" s="16" t="s">
        <v>3402</v>
      </c>
      <c r="D2411" s="16" t="s">
        <v>3403</v>
      </c>
    </row>
    <row r="2412" spans="1:4">
      <c r="A2412" s="16">
        <v>6700200000</v>
      </c>
      <c r="B2412" s="16">
        <v>0</v>
      </c>
      <c r="C2412" s="16" t="s">
        <v>3404</v>
      </c>
      <c r="D2412" s="16" t="s">
        <v>3409</v>
      </c>
    </row>
    <row r="2413" spans="1:4">
      <c r="A2413" s="16">
        <v>6700100000</v>
      </c>
      <c r="B2413" s="16">
        <v>0</v>
      </c>
      <c r="C2413" s="16" t="s">
        <v>3404</v>
      </c>
      <c r="D2413" s="16" t="s">
        <v>3410</v>
      </c>
    </row>
    <row r="2414" spans="1:4">
      <c r="A2414" s="16">
        <v>2201000000</v>
      </c>
      <c r="B2414" s="16">
        <v>0</v>
      </c>
      <c r="C2414" s="16" t="s">
        <v>3415</v>
      </c>
      <c r="D2414" s="16" t="s">
        <v>3403</v>
      </c>
    </row>
    <row r="2415" spans="1:4">
      <c r="A2415" s="16">
        <v>6700200000</v>
      </c>
      <c r="B2415" s="16">
        <v>0</v>
      </c>
      <c r="C2415" s="16" t="s">
        <v>3404</v>
      </c>
      <c r="D2415" s="16" t="s">
        <v>3409</v>
      </c>
    </row>
    <row r="2416" spans="1:4">
      <c r="A2416" s="16">
        <v>2201000000</v>
      </c>
      <c r="B2416" s="16">
        <v>338804</v>
      </c>
      <c r="C2416" s="16" t="s">
        <v>3415</v>
      </c>
      <c r="D2416" s="16" t="s">
        <v>3403</v>
      </c>
    </row>
    <row r="2417" spans="1:4">
      <c r="A2417" s="16">
        <v>6700200000</v>
      </c>
      <c r="B2417" s="16">
        <v>-338804</v>
      </c>
      <c r="C2417" s="16" t="s">
        <v>3404</v>
      </c>
      <c r="D2417" s="16" t="s">
        <v>3409</v>
      </c>
    </row>
    <row r="2418" spans="1:4">
      <c r="A2418" s="16">
        <v>6700700000</v>
      </c>
      <c r="B2418" s="16">
        <v>0</v>
      </c>
      <c r="C2418" s="16" t="s">
        <v>3404</v>
      </c>
      <c r="D2418" s="16" t="s">
        <v>3409</v>
      </c>
    </row>
    <row r="2419" spans="1:4">
      <c r="A2419" s="16">
        <v>6700500000</v>
      </c>
      <c r="B2419" s="16">
        <v>0</v>
      </c>
      <c r="C2419" s="16" t="s">
        <v>3404</v>
      </c>
      <c r="D2419" s="16" t="s">
        <v>3405</v>
      </c>
    </row>
    <row r="2420" spans="1:4">
      <c r="A2420" s="16">
        <v>6030000000</v>
      </c>
      <c r="B2420" s="16">
        <v>0</v>
      </c>
      <c r="C2420" s="16" t="s">
        <v>3420</v>
      </c>
      <c r="D2420" s="16" t="s">
        <v>3423</v>
      </c>
    </row>
    <row r="2421" spans="1:4">
      <c r="A2421" s="16">
        <v>3030000000</v>
      </c>
      <c r="B2421" s="16">
        <v>0</v>
      </c>
      <c r="C2421" s="16" t="s">
        <v>3402</v>
      </c>
      <c r="D2421" s="16" t="s">
        <v>3403</v>
      </c>
    </row>
    <row r="2422" spans="1:4">
      <c r="A2422" s="16">
        <v>6700700000</v>
      </c>
      <c r="B2422" s="16">
        <v>0</v>
      </c>
      <c r="C2422" s="16" t="s">
        <v>3404</v>
      </c>
      <c r="D2422" s="16" t="s">
        <v>3409</v>
      </c>
    </row>
    <row r="2423" spans="1:4">
      <c r="A2423" s="16">
        <v>6700500000</v>
      </c>
      <c r="B2423" s="16">
        <v>0</v>
      </c>
      <c r="C2423" s="16" t="s">
        <v>3404</v>
      </c>
      <c r="D2423" s="16" t="s">
        <v>3405</v>
      </c>
    </row>
    <row r="2424" spans="1:4">
      <c r="A2424" s="16">
        <v>6030000000</v>
      </c>
      <c r="B2424" s="16">
        <v>0</v>
      </c>
      <c r="C2424" s="16" t="s">
        <v>3420</v>
      </c>
      <c r="D2424" s="16" t="s">
        <v>3423</v>
      </c>
    </row>
    <row r="2425" spans="1:4">
      <c r="A2425" s="16">
        <v>3030000000</v>
      </c>
      <c r="B2425" s="16">
        <v>0</v>
      </c>
      <c r="C2425" s="16" t="s">
        <v>3402</v>
      </c>
      <c r="D2425" s="16" t="s">
        <v>3403</v>
      </c>
    </row>
    <row r="2426" spans="1:4">
      <c r="A2426" s="16">
        <v>2750010000</v>
      </c>
      <c r="B2426" s="16">
        <v>0</v>
      </c>
      <c r="C2426" s="16" t="s">
        <v>3419</v>
      </c>
      <c r="D2426" s="16" t="s">
        <v>3403</v>
      </c>
    </row>
    <row r="2427" spans="1:4">
      <c r="A2427" s="16">
        <v>6610100100</v>
      </c>
      <c r="B2427" s="16">
        <v>0</v>
      </c>
      <c r="C2427" s="16" t="s">
        <v>3413</v>
      </c>
      <c r="D2427" s="16" t="s">
        <v>3414</v>
      </c>
    </row>
    <row r="2428" spans="1:4">
      <c r="A2428" s="16">
        <v>2750010000</v>
      </c>
      <c r="B2428" s="16">
        <v>0</v>
      </c>
      <c r="C2428" s="16" t="s">
        <v>3419</v>
      </c>
      <c r="D2428" s="16" t="s">
        <v>3403</v>
      </c>
    </row>
    <row r="2429" spans="1:4">
      <c r="A2429" s="16">
        <v>6610100100</v>
      </c>
      <c r="B2429" s="16">
        <v>0</v>
      </c>
      <c r="C2429" s="16" t="s">
        <v>3413</v>
      </c>
      <c r="D2429" s="16" t="s">
        <v>3414</v>
      </c>
    </row>
    <row r="2430" spans="1:4">
      <c r="A2430" s="16">
        <v>6700200000</v>
      </c>
      <c r="B2430" s="16">
        <v>0</v>
      </c>
      <c r="C2430" s="16" t="s">
        <v>3404</v>
      </c>
      <c r="D2430" s="16" t="s">
        <v>3409</v>
      </c>
    </row>
    <row r="2431" spans="1:4">
      <c r="A2431" s="16">
        <v>6700100000</v>
      </c>
      <c r="B2431" s="16">
        <v>0</v>
      </c>
      <c r="C2431" s="16" t="s">
        <v>3404</v>
      </c>
      <c r="D2431" s="16" t="s">
        <v>3410</v>
      </c>
    </row>
    <row r="2432" spans="1:4">
      <c r="A2432" s="16">
        <v>2500000000</v>
      </c>
      <c r="B2432" s="16">
        <v>0</v>
      </c>
      <c r="C2432" s="16" t="s">
        <v>3412</v>
      </c>
      <c r="D2432" s="16" t="s">
        <v>3403</v>
      </c>
    </row>
    <row r="2433" spans="1:4">
      <c r="A2433" s="16">
        <v>5010000000</v>
      </c>
      <c r="B2433" s="16">
        <v>0</v>
      </c>
      <c r="C2433" s="16" t="s">
        <v>3406</v>
      </c>
      <c r="D2433" s="16" t="s">
        <v>3411</v>
      </c>
    </row>
    <row r="2434" spans="1:4">
      <c r="A2434" s="16">
        <v>3102000000</v>
      </c>
      <c r="B2434" s="16">
        <v>0</v>
      </c>
      <c r="C2434" s="16" t="s">
        <v>3424</v>
      </c>
      <c r="D2434" s="16" t="s">
        <v>3403</v>
      </c>
    </row>
    <row r="2435" spans="1:4">
      <c r="A2435" s="16">
        <v>6102000000</v>
      </c>
      <c r="B2435" s="16">
        <v>0</v>
      </c>
      <c r="C2435" s="16" t="s">
        <v>3425</v>
      </c>
      <c r="D2435" s="16" t="s">
        <v>3426</v>
      </c>
    </row>
    <row r="2436" spans="1:4">
      <c r="A2436" s="16">
        <v>6700700000</v>
      </c>
      <c r="B2436" s="16">
        <v>0</v>
      </c>
      <c r="C2436" s="16" t="s">
        <v>3404</v>
      </c>
      <c r="D2436" s="16" t="s">
        <v>3409</v>
      </c>
    </row>
    <row r="2437" spans="1:4">
      <c r="A2437" s="16">
        <v>6700500000</v>
      </c>
      <c r="B2437" s="16">
        <v>0</v>
      </c>
      <c r="C2437" s="16" t="s">
        <v>3404</v>
      </c>
      <c r="D2437" s="16" t="s">
        <v>3405</v>
      </c>
    </row>
    <row r="2438" spans="1:4">
      <c r="A2438" s="16">
        <v>3032000000</v>
      </c>
      <c r="B2438" s="16">
        <v>153490</v>
      </c>
      <c r="C2438" s="16" t="s">
        <v>3424</v>
      </c>
      <c r="D2438" s="16" t="s">
        <v>3403</v>
      </c>
    </row>
    <row r="2439" spans="1:4">
      <c r="A2439" s="16">
        <v>6032000000</v>
      </c>
      <c r="B2439" s="16">
        <v>-153490</v>
      </c>
      <c r="C2439" s="16" t="s">
        <v>3429</v>
      </c>
      <c r="D2439" s="16" t="s">
        <v>3430</v>
      </c>
    </row>
    <row r="2440" spans="1:4">
      <c r="A2440" s="16">
        <v>2500000000</v>
      </c>
      <c r="B2440" s="16">
        <v>18848</v>
      </c>
      <c r="C2440" s="16" t="s">
        <v>3412</v>
      </c>
      <c r="D2440" s="16" t="s">
        <v>3403</v>
      </c>
    </row>
    <row r="2441" spans="1:4">
      <c r="A2441" s="16">
        <v>5010100000</v>
      </c>
      <c r="B2441" s="16">
        <v>-18848</v>
      </c>
      <c r="C2441" s="16" t="s">
        <v>3406</v>
      </c>
      <c r="D2441" s="16" t="s">
        <v>3407</v>
      </c>
    </row>
    <row r="2442" spans="1:4">
      <c r="A2442" s="16">
        <v>5010000010</v>
      </c>
      <c r="B2442" s="16">
        <v>0</v>
      </c>
      <c r="C2442" s="16" t="s">
        <v>3406</v>
      </c>
      <c r="D2442" s="16" t="s">
        <v>3411</v>
      </c>
    </row>
    <row r="2443" spans="1:4">
      <c r="A2443" s="16">
        <v>3710000000</v>
      </c>
      <c r="B2443" s="16">
        <v>0</v>
      </c>
      <c r="C2443" s="16" t="s">
        <v>3402</v>
      </c>
      <c r="D2443" s="16" t="s">
        <v>3403</v>
      </c>
    </row>
    <row r="2444" spans="1:4">
      <c r="A2444" s="16">
        <v>2750010000</v>
      </c>
      <c r="B2444" s="16">
        <v>0</v>
      </c>
      <c r="C2444" s="16" t="s">
        <v>3419</v>
      </c>
      <c r="D2444" s="16" t="s">
        <v>3403</v>
      </c>
    </row>
    <row r="2445" spans="1:4">
      <c r="A2445" s="16">
        <v>6610100100</v>
      </c>
      <c r="B2445" s="16">
        <v>0</v>
      </c>
      <c r="C2445" s="16" t="s">
        <v>3413</v>
      </c>
      <c r="D2445" s="16" t="s">
        <v>3414</v>
      </c>
    </row>
    <row r="2446" spans="1:4">
      <c r="A2446" s="16">
        <v>6104000000</v>
      </c>
      <c r="B2446" s="16">
        <v>0</v>
      </c>
      <c r="C2446" s="16" t="s">
        <v>3416</v>
      </c>
      <c r="D2446" s="16" t="s">
        <v>3417</v>
      </c>
    </row>
    <row r="2447" spans="1:4">
      <c r="A2447" s="16">
        <v>3103000000</v>
      </c>
      <c r="B2447" s="16">
        <v>0</v>
      </c>
      <c r="C2447" s="16" t="s">
        <v>3402</v>
      </c>
      <c r="D2447" s="16" t="s">
        <v>3403</v>
      </c>
    </row>
    <row r="2448" spans="1:4">
      <c r="A2448" s="16">
        <v>6610100000</v>
      </c>
      <c r="B2448" s="16">
        <v>0</v>
      </c>
      <c r="C2448" s="16" t="s">
        <v>3413</v>
      </c>
      <c r="D2448" s="16" t="s">
        <v>3414</v>
      </c>
    </row>
    <row r="2449" spans="1:4">
      <c r="A2449" s="16">
        <v>4203000000</v>
      </c>
      <c r="B2449" s="16">
        <v>0</v>
      </c>
      <c r="C2449" s="16" t="s">
        <v>3408</v>
      </c>
      <c r="D2449" s="16" t="s">
        <v>3403</v>
      </c>
    </row>
    <row r="2450" spans="1:4">
      <c r="A2450" s="16">
        <v>6700200000</v>
      </c>
      <c r="B2450" s="16">
        <v>0</v>
      </c>
      <c r="C2450" s="16" t="s">
        <v>3404</v>
      </c>
      <c r="D2450" s="16" t="s">
        <v>3409</v>
      </c>
    </row>
    <row r="2451" spans="1:4">
      <c r="A2451" s="16">
        <v>6700000000</v>
      </c>
      <c r="B2451" s="16">
        <v>0</v>
      </c>
      <c r="C2451" s="16" t="s">
        <v>3404</v>
      </c>
      <c r="D2451" s="16" t="s">
        <v>3405</v>
      </c>
    </row>
    <row r="2452" spans="1:4">
      <c r="A2452" s="16">
        <v>6104001000</v>
      </c>
      <c r="B2452" s="16">
        <v>0</v>
      </c>
      <c r="C2452" s="16" t="s">
        <v>3416</v>
      </c>
      <c r="D2452" s="16" t="s">
        <v>3417</v>
      </c>
    </row>
    <row r="2453" spans="1:4">
      <c r="A2453" s="16">
        <v>3103001000</v>
      </c>
      <c r="B2453" s="16">
        <v>0</v>
      </c>
      <c r="C2453" s="16" t="s">
        <v>3402</v>
      </c>
      <c r="D2453" s="16" t="s">
        <v>3403</v>
      </c>
    </row>
    <row r="2454" spans="1:4">
      <c r="A2454" s="16">
        <v>6030000000</v>
      </c>
      <c r="B2454" s="16">
        <v>0</v>
      </c>
      <c r="C2454" s="16" t="s">
        <v>3420</v>
      </c>
      <c r="D2454" s="16" t="s">
        <v>3423</v>
      </c>
    </row>
    <row r="2455" spans="1:4">
      <c r="A2455" s="16">
        <v>3030000000</v>
      </c>
      <c r="B2455" s="16">
        <v>0</v>
      </c>
      <c r="C2455" s="16" t="s">
        <v>3402</v>
      </c>
      <c r="D2455" s="16" t="s">
        <v>3403</v>
      </c>
    </row>
    <row r="2456" spans="1:4">
      <c r="A2456" s="16">
        <v>6700200000</v>
      </c>
      <c r="B2456" s="16">
        <v>0</v>
      </c>
      <c r="C2456" s="16" t="s">
        <v>3404</v>
      </c>
      <c r="D2456" s="16" t="s">
        <v>3409</v>
      </c>
    </row>
    <row r="2457" spans="1:4">
      <c r="A2457" s="16">
        <v>6700000000</v>
      </c>
      <c r="B2457" s="16">
        <v>0</v>
      </c>
      <c r="C2457" s="16" t="s">
        <v>3404</v>
      </c>
      <c r="D2457" s="16" t="s">
        <v>3405</v>
      </c>
    </row>
    <row r="2458" spans="1:4">
      <c r="A2458" s="16">
        <v>2500000000</v>
      </c>
      <c r="B2458" s="16">
        <v>0</v>
      </c>
      <c r="C2458" s="16" t="s">
        <v>3412</v>
      </c>
      <c r="D2458" s="16" t="s">
        <v>3403</v>
      </c>
    </row>
    <row r="2459" spans="1:4">
      <c r="A2459" s="16">
        <v>5010100000</v>
      </c>
      <c r="B2459" s="16">
        <v>0</v>
      </c>
      <c r="C2459" s="16" t="s">
        <v>3406</v>
      </c>
      <c r="D2459" s="16" t="s">
        <v>3407</v>
      </c>
    </row>
    <row r="2460" spans="1:4">
      <c r="A2460" s="16">
        <v>6700600000</v>
      </c>
      <c r="B2460" s="16">
        <v>0</v>
      </c>
      <c r="C2460" s="16" t="s">
        <v>3404</v>
      </c>
      <c r="D2460" s="16" t="s">
        <v>3409</v>
      </c>
    </row>
    <row r="2461" spans="1:4">
      <c r="A2461" s="16">
        <v>6700400000</v>
      </c>
      <c r="B2461" s="16">
        <v>0</v>
      </c>
      <c r="C2461" s="16" t="s">
        <v>3404</v>
      </c>
      <c r="D2461" s="16" t="s">
        <v>3405</v>
      </c>
    </row>
    <row r="2462" spans="1:4">
      <c r="A2462" s="16">
        <v>6104000000</v>
      </c>
      <c r="B2462" s="16">
        <v>572999245</v>
      </c>
      <c r="C2462" s="16" t="s">
        <v>3416</v>
      </c>
      <c r="D2462" s="16" t="s">
        <v>3417</v>
      </c>
    </row>
    <row r="2463" spans="1:4">
      <c r="A2463" s="16">
        <v>3103000000</v>
      </c>
      <c r="B2463" s="16">
        <v>-572999245</v>
      </c>
      <c r="C2463" s="16" t="s">
        <v>3402</v>
      </c>
      <c r="D2463" s="16" t="s">
        <v>3403</v>
      </c>
    </row>
    <row r="2464" spans="1:4">
      <c r="A2464" s="16">
        <v>6610100000</v>
      </c>
      <c r="B2464" s="16">
        <v>0</v>
      </c>
      <c r="C2464" s="16" t="s">
        <v>3413</v>
      </c>
      <c r="D2464" s="16" t="s">
        <v>3414</v>
      </c>
    </row>
    <row r="2465" spans="1:4">
      <c r="A2465" s="16">
        <v>4203000000</v>
      </c>
      <c r="B2465" s="16">
        <v>0</v>
      </c>
      <c r="C2465" s="16" t="s">
        <v>3408</v>
      </c>
      <c r="D2465" s="16" t="s">
        <v>3403</v>
      </c>
    </row>
    <row r="2466" spans="1:4">
      <c r="A2466" s="16">
        <v>6610000000</v>
      </c>
      <c r="B2466" s="16">
        <v>0</v>
      </c>
      <c r="C2466" s="16" t="s">
        <v>3413</v>
      </c>
      <c r="D2466" s="16" t="s">
        <v>3418</v>
      </c>
    </row>
    <row r="2467" spans="1:4">
      <c r="A2467" s="16">
        <v>4203000000</v>
      </c>
      <c r="B2467" s="16">
        <v>0</v>
      </c>
      <c r="C2467" s="16" t="s">
        <v>3408</v>
      </c>
      <c r="D2467" s="16" t="s">
        <v>3403</v>
      </c>
    </row>
    <row r="2468" spans="1:4">
      <c r="A2468" s="16">
        <v>6700200000</v>
      </c>
      <c r="B2468" s="16">
        <v>0</v>
      </c>
      <c r="C2468" s="16" t="s">
        <v>3404</v>
      </c>
      <c r="D2468" s="16" t="s">
        <v>3409</v>
      </c>
    </row>
    <row r="2469" spans="1:4">
      <c r="A2469" s="16">
        <v>6700000000</v>
      </c>
      <c r="B2469" s="16">
        <v>0</v>
      </c>
      <c r="C2469" s="16" t="s">
        <v>3404</v>
      </c>
      <c r="D2469" s="16" t="s">
        <v>3405</v>
      </c>
    </row>
    <row r="2470" spans="1:4">
      <c r="A2470" s="16">
        <v>2500000000</v>
      </c>
      <c r="B2470" s="16">
        <v>0</v>
      </c>
      <c r="C2470" s="16" t="s">
        <v>3412</v>
      </c>
      <c r="D2470" s="16" t="s">
        <v>3403</v>
      </c>
    </row>
    <row r="2471" spans="1:4">
      <c r="A2471" s="16">
        <v>5010000000</v>
      </c>
      <c r="B2471" s="16">
        <v>0</v>
      </c>
      <c r="C2471" s="16" t="s">
        <v>3406</v>
      </c>
      <c r="D2471" s="16" t="s">
        <v>3411</v>
      </c>
    </row>
    <row r="2472" spans="1:4">
      <c r="A2472" s="16">
        <v>6700700000</v>
      </c>
      <c r="B2472" s="16">
        <v>0</v>
      </c>
      <c r="C2472" s="16" t="s">
        <v>3404</v>
      </c>
      <c r="D2472" s="16" t="s">
        <v>3409</v>
      </c>
    </row>
    <row r="2473" spans="1:4">
      <c r="A2473" s="16">
        <v>6700500000</v>
      </c>
      <c r="B2473" s="16">
        <v>0</v>
      </c>
      <c r="C2473" s="16" t="s">
        <v>3404</v>
      </c>
      <c r="D2473" s="16" t="s">
        <v>3405</v>
      </c>
    </row>
    <row r="2474" spans="1:4">
      <c r="A2474" s="16">
        <v>6100000000</v>
      </c>
      <c r="B2474" s="16">
        <v>52525083919</v>
      </c>
      <c r="C2474" s="16" t="s">
        <v>3416</v>
      </c>
      <c r="D2474" s="16" t="s">
        <v>3417</v>
      </c>
    </row>
    <row r="2475" spans="1:4">
      <c r="A2475" s="16">
        <v>3100000000</v>
      </c>
      <c r="B2475" s="16">
        <v>-52525083919</v>
      </c>
      <c r="C2475" s="16" t="s">
        <v>3402</v>
      </c>
      <c r="D2475" s="16" t="s">
        <v>3403</v>
      </c>
    </row>
    <row r="2476" spans="1:4">
      <c r="A2476" s="16">
        <v>2500000000</v>
      </c>
      <c r="B2476" s="16">
        <v>0</v>
      </c>
      <c r="C2476" s="16" t="s">
        <v>3412</v>
      </c>
      <c r="D2476" s="16" t="s">
        <v>3403</v>
      </c>
    </row>
    <row r="2477" spans="1:4">
      <c r="A2477" s="16">
        <v>5010000000</v>
      </c>
      <c r="B2477" s="16">
        <v>0</v>
      </c>
      <c r="C2477" s="16" t="s">
        <v>3406</v>
      </c>
      <c r="D2477" s="16" t="s">
        <v>3411</v>
      </c>
    </row>
    <row r="2478" spans="1:4">
      <c r="A2478" s="16">
        <v>6030000000</v>
      </c>
      <c r="B2478" s="16">
        <v>0</v>
      </c>
      <c r="C2478" s="16" t="s">
        <v>3420</v>
      </c>
      <c r="D2478" s="16" t="s">
        <v>3423</v>
      </c>
    </row>
    <row r="2479" spans="1:4">
      <c r="A2479" s="16">
        <v>3030000000</v>
      </c>
      <c r="B2479" s="16">
        <v>0</v>
      </c>
      <c r="C2479" s="16" t="s">
        <v>3402</v>
      </c>
      <c r="D2479" s="16" t="s">
        <v>3403</v>
      </c>
    </row>
    <row r="2480" spans="1:4">
      <c r="A2480" s="16">
        <v>6030000000</v>
      </c>
      <c r="B2480" s="16">
        <v>0</v>
      </c>
      <c r="C2480" s="16" t="s">
        <v>3432</v>
      </c>
      <c r="D2480" s="16" t="s">
        <v>3423</v>
      </c>
    </row>
    <row r="2481" spans="1:4">
      <c r="A2481" s="16">
        <v>3030000000</v>
      </c>
      <c r="B2481" s="16">
        <v>0</v>
      </c>
      <c r="C2481" s="16" t="s">
        <v>3402</v>
      </c>
      <c r="D2481" s="16" t="s">
        <v>3403</v>
      </c>
    </row>
    <row r="2482" spans="1:4">
      <c r="A2482" s="16">
        <v>2750010000</v>
      </c>
      <c r="B2482" s="16">
        <v>0</v>
      </c>
      <c r="C2482" s="16" t="s">
        <v>3419</v>
      </c>
      <c r="D2482" s="16" t="s">
        <v>3403</v>
      </c>
    </row>
    <row r="2483" spans="1:4">
      <c r="A2483" s="16">
        <v>6610000100</v>
      </c>
      <c r="B2483" s="16">
        <v>0</v>
      </c>
      <c r="C2483" s="16" t="s">
        <v>3413</v>
      </c>
      <c r="D2483" s="16" t="s">
        <v>3418</v>
      </c>
    </row>
    <row r="2484" spans="1:4">
      <c r="A2484" s="16">
        <v>6700700000</v>
      </c>
      <c r="B2484" s="16">
        <v>0</v>
      </c>
      <c r="C2484" s="16" t="s">
        <v>3404</v>
      </c>
      <c r="D2484" s="16" t="s">
        <v>3409</v>
      </c>
    </row>
    <row r="2485" spans="1:4">
      <c r="A2485" s="16">
        <v>6700500000</v>
      </c>
      <c r="B2485" s="16">
        <v>0</v>
      </c>
      <c r="C2485" s="16" t="s">
        <v>3404</v>
      </c>
      <c r="D2485" s="16" t="s">
        <v>3405</v>
      </c>
    </row>
    <row r="2486" spans="1:4">
      <c r="A2486" s="16">
        <v>2201000000</v>
      </c>
      <c r="B2486" s="16">
        <v>0</v>
      </c>
      <c r="C2486" s="16" t="s">
        <v>3415</v>
      </c>
      <c r="D2486" s="16" t="s">
        <v>3403</v>
      </c>
    </row>
    <row r="2487" spans="1:4">
      <c r="A2487" s="16">
        <v>6700200000</v>
      </c>
      <c r="B2487" s="16">
        <v>0</v>
      </c>
      <c r="C2487" s="16" t="s">
        <v>3404</v>
      </c>
      <c r="D2487" s="16" t="s">
        <v>3409</v>
      </c>
    </row>
    <row r="2488" spans="1:4">
      <c r="A2488" s="16">
        <v>6030000000</v>
      </c>
      <c r="B2488" s="16">
        <v>0</v>
      </c>
      <c r="C2488" s="16" t="s">
        <v>3420</v>
      </c>
      <c r="D2488" s="16" t="s">
        <v>3423</v>
      </c>
    </row>
    <row r="2489" spans="1:4">
      <c r="A2489" s="16">
        <v>3030000000</v>
      </c>
      <c r="B2489" s="16">
        <v>0</v>
      </c>
      <c r="C2489" s="16" t="s">
        <v>3402</v>
      </c>
      <c r="D2489" s="16" t="s">
        <v>3403</v>
      </c>
    </row>
    <row r="2490" spans="1:4">
      <c r="A2490" s="16">
        <v>2500000000</v>
      </c>
      <c r="B2490" s="16">
        <v>0</v>
      </c>
      <c r="C2490" s="16" t="s">
        <v>3412</v>
      </c>
      <c r="D2490" s="16" t="s">
        <v>3403</v>
      </c>
    </row>
    <row r="2491" spans="1:4">
      <c r="A2491" s="16">
        <v>5010000000</v>
      </c>
      <c r="B2491" s="16">
        <v>0</v>
      </c>
      <c r="C2491" s="16" t="s">
        <v>3406</v>
      </c>
      <c r="D2491" s="16" t="s">
        <v>3411</v>
      </c>
    </row>
    <row r="2492" spans="1:4">
      <c r="A2492" s="16">
        <v>6700200000</v>
      </c>
      <c r="B2492" s="16">
        <v>0</v>
      </c>
      <c r="C2492" s="16" t="s">
        <v>3404</v>
      </c>
      <c r="D2492" s="16" t="s">
        <v>3409</v>
      </c>
    </row>
    <row r="2493" spans="1:4">
      <c r="A2493" s="16">
        <v>6700000000</v>
      </c>
      <c r="B2493" s="16">
        <v>0</v>
      </c>
      <c r="C2493" s="16" t="s">
        <v>3404</v>
      </c>
      <c r="D2493" s="16" t="s">
        <v>3405</v>
      </c>
    </row>
    <row r="2494" spans="1:4">
      <c r="A2494" s="16">
        <v>6610000000</v>
      </c>
      <c r="B2494" s="16">
        <v>0</v>
      </c>
      <c r="C2494" s="16" t="s">
        <v>3413</v>
      </c>
      <c r="D2494" s="16" t="s">
        <v>3418</v>
      </c>
    </row>
    <row r="2495" spans="1:4">
      <c r="A2495" s="16">
        <v>4203000000</v>
      </c>
      <c r="B2495" s="16">
        <v>0</v>
      </c>
      <c r="C2495" s="16" t="s">
        <v>3408</v>
      </c>
      <c r="D2495" s="16" t="s">
        <v>3403</v>
      </c>
    </row>
    <row r="2496" spans="1:4">
      <c r="A2496" s="16">
        <v>5010100010</v>
      </c>
      <c r="B2496" s="16">
        <v>0</v>
      </c>
      <c r="C2496" s="16" t="s">
        <v>3406</v>
      </c>
      <c r="D2496" s="16" t="s">
        <v>3407</v>
      </c>
    </row>
    <row r="2497" spans="1:4">
      <c r="A2497" s="16">
        <v>3710000000</v>
      </c>
      <c r="B2497" s="16">
        <v>0</v>
      </c>
      <c r="C2497" s="16" t="s">
        <v>3402</v>
      </c>
      <c r="D2497" s="16" t="s">
        <v>3403</v>
      </c>
    </row>
    <row r="2498" spans="1:4">
      <c r="A2498" s="16">
        <v>2201000000</v>
      </c>
      <c r="B2498" s="16">
        <v>0</v>
      </c>
      <c r="C2498" s="16" t="s">
        <v>3415</v>
      </c>
      <c r="D2498" s="16" t="s">
        <v>3403</v>
      </c>
    </row>
    <row r="2499" spans="1:4">
      <c r="A2499" s="16">
        <v>6700200000</v>
      </c>
      <c r="B2499" s="16">
        <v>0</v>
      </c>
      <c r="C2499" s="16" t="s">
        <v>3404</v>
      </c>
      <c r="D2499" s="16" t="s">
        <v>3409</v>
      </c>
    </row>
    <row r="2500" spans="1:4">
      <c r="A2500" s="16">
        <v>6100000000</v>
      </c>
      <c r="B2500" s="16">
        <v>216855135</v>
      </c>
      <c r="C2500" s="16" t="s">
        <v>3416</v>
      </c>
      <c r="D2500" s="16" t="s">
        <v>3417</v>
      </c>
    </row>
    <row r="2501" spans="1:4">
      <c r="A2501" s="16">
        <v>3100000000</v>
      </c>
      <c r="B2501" s="16">
        <v>-216855135</v>
      </c>
      <c r="C2501" s="16" t="s">
        <v>3402</v>
      </c>
      <c r="D2501" s="16" t="s">
        <v>3403</v>
      </c>
    </row>
    <row r="2502" spans="1:4">
      <c r="A2502" s="16">
        <v>6700200000</v>
      </c>
      <c r="B2502" s="16">
        <v>0</v>
      </c>
      <c r="C2502" s="16" t="s">
        <v>3404</v>
      </c>
      <c r="D2502" s="16" t="s">
        <v>3409</v>
      </c>
    </row>
    <row r="2503" spans="1:4">
      <c r="A2503" s="16">
        <v>6700100000</v>
      </c>
      <c r="B2503" s="16">
        <v>0</v>
      </c>
      <c r="C2503" s="16" t="s">
        <v>3404</v>
      </c>
      <c r="D2503" s="16" t="s">
        <v>3410</v>
      </c>
    </row>
    <row r="2504" spans="1:4">
      <c r="A2504" s="16">
        <v>6150000000</v>
      </c>
      <c r="B2504" s="16">
        <v>0</v>
      </c>
      <c r="C2504" s="16" t="s">
        <v>3416</v>
      </c>
      <c r="D2504" s="16" t="s">
        <v>3417</v>
      </c>
    </row>
    <row r="2505" spans="1:4">
      <c r="A2505" s="16">
        <v>3510000000</v>
      </c>
      <c r="B2505" s="16">
        <v>0</v>
      </c>
      <c r="C2505" s="16" t="s">
        <v>3402</v>
      </c>
      <c r="D2505" s="16" t="s">
        <v>3403</v>
      </c>
    </row>
    <row r="2506" spans="1:4">
      <c r="A2506" s="16">
        <v>6104000000</v>
      </c>
      <c r="B2506" s="16">
        <v>0</v>
      </c>
      <c r="C2506" s="16" t="s">
        <v>3427</v>
      </c>
      <c r="D2506" s="16" t="s">
        <v>3417</v>
      </c>
    </row>
    <row r="2507" spans="1:4">
      <c r="A2507" s="16">
        <v>3103000000</v>
      </c>
      <c r="B2507" s="16">
        <v>0</v>
      </c>
      <c r="C2507" s="16" t="s">
        <v>3402</v>
      </c>
      <c r="D2507" s="16" t="s">
        <v>3403</v>
      </c>
    </row>
    <row r="2508" spans="1:4">
      <c r="A2508" s="16">
        <v>2500000000</v>
      </c>
      <c r="B2508" s="16">
        <v>0</v>
      </c>
      <c r="C2508" s="16" t="s">
        <v>3412</v>
      </c>
      <c r="D2508" s="16" t="s">
        <v>3403</v>
      </c>
    </row>
    <row r="2509" spans="1:4">
      <c r="A2509" s="16">
        <v>5010000000</v>
      </c>
      <c r="B2509" s="16">
        <v>0</v>
      </c>
      <c r="C2509" s="16" t="s">
        <v>3406</v>
      </c>
      <c r="D2509" s="16" t="s">
        <v>3411</v>
      </c>
    </row>
    <row r="2510" spans="1:4">
      <c r="A2510" s="16">
        <v>6700700000</v>
      </c>
      <c r="B2510" s="16">
        <v>0</v>
      </c>
      <c r="C2510" s="16" t="s">
        <v>3404</v>
      </c>
      <c r="D2510" s="16" t="s">
        <v>3409</v>
      </c>
    </row>
    <row r="2511" spans="1:4">
      <c r="A2511" s="16">
        <v>6700500000</v>
      </c>
      <c r="B2511" s="16">
        <v>0</v>
      </c>
      <c r="C2511" s="16" t="s">
        <v>3404</v>
      </c>
      <c r="D2511" s="16" t="s">
        <v>3405</v>
      </c>
    </row>
    <row r="2512" spans="1:4">
      <c r="A2512" s="16">
        <v>5050000000</v>
      </c>
      <c r="B2512" s="16">
        <v>0</v>
      </c>
      <c r="C2512" s="16" t="s">
        <v>3406</v>
      </c>
      <c r="D2512" s="16" t="s">
        <v>3422</v>
      </c>
    </row>
    <row r="2513" spans="1:4">
      <c r="A2513" s="16">
        <v>3800000000</v>
      </c>
      <c r="B2513" s="16">
        <v>0</v>
      </c>
      <c r="C2513" s="16" t="s">
        <v>3402</v>
      </c>
      <c r="D2513" s="16" t="s">
        <v>3403</v>
      </c>
    </row>
    <row r="2514" spans="1:4">
      <c r="A2514" s="16">
        <v>6700600000</v>
      </c>
      <c r="B2514" s="16">
        <v>0</v>
      </c>
      <c r="C2514" s="16" t="s">
        <v>3404</v>
      </c>
      <c r="D2514" s="16" t="s">
        <v>3409</v>
      </c>
    </row>
    <row r="2515" spans="1:4">
      <c r="A2515" s="16">
        <v>6700400000</v>
      </c>
      <c r="B2515" s="16">
        <v>0</v>
      </c>
      <c r="C2515" s="16" t="s">
        <v>3404</v>
      </c>
      <c r="D2515" s="16" t="s">
        <v>3405</v>
      </c>
    </row>
    <row r="2516" spans="1:4">
      <c r="A2516" s="16">
        <v>3102000000</v>
      </c>
      <c r="B2516" s="16">
        <v>515939206</v>
      </c>
      <c r="C2516" s="16" t="s">
        <v>3424</v>
      </c>
      <c r="D2516" s="16" t="s">
        <v>3403</v>
      </c>
    </row>
    <row r="2517" spans="1:4">
      <c r="A2517" s="16">
        <v>6102000000</v>
      </c>
      <c r="B2517" s="16">
        <v>-515939206</v>
      </c>
      <c r="C2517" s="16" t="s">
        <v>3425</v>
      </c>
      <c r="D2517" s="16" t="s">
        <v>3426</v>
      </c>
    </row>
    <row r="2518" spans="1:4">
      <c r="A2518" s="16">
        <v>6610000000</v>
      </c>
      <c r="B2518" s="16">
        <v>528784</v>
      </c>
      <c r="C2518" s="16" t="s">
        <v>3413</v>
      </c>
      <c r="D2518" s="16" t="s">
        <v>3418</v>
      </c>
    </row>
    <row r="2519" spans="1:4">
      <c r="A2519" s="16">
        <v>4203000000</v>
      </c>
      <c r="B2519" s="16">
        <v>-528784</v>
      </c>
      <c r="C2519" s="16" t="s">
        <v>3408</v>
      </c>
      <c r="D2519" s="16" t="s">
        <v>3403</v>
      </c>
    </row>
    <row r="2520" spans="1:4">
      <c r="A2520" s="16">
        <v>6100000000</v>
      </c>
      <c r="B2520" s="16">
        <v>600</v>
      </c>
      <c r="C2520" s="16" t="s">
        <v>3427</v>
      </c>
      <c r="D2520" s="16" t="s">
        <v>3417</v>
      </c>
    </row>
    <row r="2521" spans="1:4">
      <c r="A2521" s="16">
        <v>3100000000</v>
      </c>
      <c r="B2521" s="16">
        <v>-600</v>
      </c>
      <c r="C2521" s="16" t="s">
        <v>3402</v>
      </c>
      <c r="D2521" s="16" t="s">
        <v>3403</v>
      </c>
    </row>
    <row r="2522" spans="1:4">
      <c r="A2522" s="16">
        <v>2750010000</v>
      </c>
      <c r="B2522" s="16">
        <v>0</v>
      </c>
      <c r="C2522" s="16" t="s">
        <v>3419</v>
      </c>
      <c r="D2522" s="16" t="s">
        <v>3403</v>
      </c>
    </row>
    <row r="2523" spans="1:4">
      <c r="A2523" s="16">
        <v>6610100100</v>
      </c>
      <c r="B2523" s="16">
        <v>0</v>
      </c>
      <c r="C2523" s="16" t="s">
        <v>3413</v>
      </c>
      <c r="D2523" s="16" t="s">
        <v>3414</v>
      </c>
    </row>
    <row r="2524" spans="1:4">
      <c r="A2524" s="16">
        <v>6700700000</v>
      </c>
      <c r="B2524" s="16">
        <v>0</v>
      </c>
      <c r="C2524" s="16" t="s">
        <v>3404</v>
      </c>
      <c r="D2524" s="16" t="s">
        <v>3409</v>
      </c>
    </row>
    <row r="2525" spans="1:4">
      <c r="A2525" s="16">
        <v>6700500000</v>
      </c>
      <c r="B2525" s="16">
        <v>0</v>
      </c>
      <c r="C2525" s="16" t="s">
        <v>3404</v>
      </c>
      <c r="D2525" s="16" t="s">
        <v>3405</v>
      </c>
    </row>
    <row r="2526" spans="1:4">
      <c r="A2526" s="16">
        <v>3032000000</v>
      </c>
      <c r="B2526" s="16">
        <v>86</v>
      </c>
      <c r="C2526" s="16" t="s">
        <v>3424</v>
      </c>
      <c r="D2526" s="16" t="s">
        <v>3403</v>
      </c>
    </row>
    <row r="2527" spans="1:4">
      <c r="A2527" s="16">
        <v>6032000000</v>
      </c>
      <c r="B2527" s="16">
        <v>-86</v>
      </c>
      <c r="C2527" s="16" t="s">
        <v>3429</v>
      </c>
      <c r="D2527" s="16" t="s">
        <v>3430</v>
      </c>
    </row>
    <row r="2528" spans="1:4">
      <c r="A2528" s="16">
        <v>2201000010</v>
      </c>
      <c r="B2528" s="16">
        <v>0</v>
      </c>
      <c r="C2528" s="16" t="s">
        <v>3415</v>
      </c>
      <c r="D2528" s="16" t="s">
        <v>3403</v>
      </c>
    </row>
    <row r="2529" spans="1:4">
      <c r="A2529" s="16">
        <v>4610000000</v>
      </c>
      <c r="B2529" s="16">
        <v>0</v>
      </c>
      <c r="C2529" s="16" t="s">
        <v>3428</v>
      </c>
      <c r="D2529" s="16" t="s">
        <v>3403</v>
      </c>
    </row>
    <row r="2530" spans="1:4">
      <c r="A2530" s="16">
        <v>2750010000</v>
      </c>
      <c r="B2530" s="16">
        <v>0</v>
      </c>
      <c r="C2530" s="16" t="s">
        <v>3419</v>
      </c>
      <c r="D2530" s="16" t="s">
        <v>3403</v>
      </c>
    </row>
    <row r="2531" spans="1:4">
      <c r="A2531" s="16">
        <v>6610000100</v>
      </c>
      <c r="B2531" s="16">
        <v>0</v>
      </c>
      <c r="C2531" s="16" t="s">
        <v>3413</v>
      </c>
      <c r="D2531" s="16" t="s">
        <v>3418</v>
      </c>
    </row>
    <row r="2532" spans="1:4">
      <c r="A2532" s="16">
        <v>2201000000</v>
      </c>
      <c r="B2532" s="16">
        <v>0</v>
      </c>
      <c r="C2532" s="16" t="s">
        <v>3415</v>
      </c>
      <c r="D2532" s="16" t="s">
        <v>3403</v>
      </c>
    </row>
    <row r="2533" spans="1:4">
      <c r="A2533" s="16">
        <v>6700200000</v>
      </c>
      <c r="B2533" s="16">
        <v>0</v>
      </c>
      <c r="C2533" s="16" t="s">
        <v>3404</v>
      </c>
      <c r="D2533" s="16" t="s">
        <v>3409</v>
      </c>
    </row>
    <row r="2534" spans="1:4">
      <c r="A2534" s="16">
        <v>6150000000</v>
      </c>
      <c r="B2534" s="16">
        <v>0</v>
      </c>
      <c r="C2534" s="16" t="s">
        <v>3416</v>
      </c>
      <c r="D2534" s="16" t="s">
        <v>3417</v>
      </c>
    </row>
    <row r="2535" spans="1:4">
      <c r="A2535" s="16">
        <v>3510000000</v>
      </c>
      <c r="B2535" s="16">
        <v>0</v>
      </c>
      <c r="C2535" s="16" t="s">
        <v>3402</v>
      </c>
      <c r="D2535" s="16" t="s">
        <v>3403</v>
      </c>
    </row>
    <row r="2536" spans="1:4">
      <c r="A2536" s="16">
        <v>6700200000</v>
      </c>
      <c r="B2536" s="16">
        <v>0</v>
      </c>
      <c r="C2536" s="16" t="s">
        <v>3404</v>
      </c>
      <c r="D2536" s="16" t="s">
        <v>3409</v>
      </c>
    </row>
    <row r="2537" spans="1:4">
      <c r="A2537" s="16">
        <v>6700000000</v>
      </c>
      <c r="B2537" s="16">
        <v>0</v>
      </c>
      <c r="C2537" s="16" t="s">
        <v>3404</v>
      </c>
      <c r="D2537" s="16" t="s">
        <v>3405</v>
      </c>
    </row>
    <row r="2538" spans="1:4">
      <c r="A2538" s="16">
        <v>3102000000</v>
      </c>
      <c r="B2538" s="16">
        <v>994160</v>
      </c>
      <c r="C2538" s="16" t="s">
        <v>3424</v>
      </c>
      <c r="D2538" s="16" t="s">
        <v>3403</v>
      </c>
    </row>
    <row r="2539" spans="1:4">
      <c r="A2539" s="16">
        <v>6102000000</v>
      </c>
      <c r="B2539" s="16">
        <v>-994160</v>
      </c>
      <c r="C2539" s="16" t="s">
        <v>3425</v>
      </c>
      <c r="D2539" s="16" t="s">
        <v>3426</v>
      </c>
    </row>
    <row r="2540" spans="1:4">
      <c r="A2540" s="16">
        <v>5052010000</v>
      </c>
      <c r="B2540" s="16">
        <v>0</v>
      </c>
      <c r="C2540" s="16" t="s">
        <v>3406</v>
      </c>
      <c r="D2540" s="16" t="s">
        <v>3422</v>
      </c>
    </row>
    <row r="2541" spans="1:4">
      <c r="A2541" s="16">
        <v>5052000000</v>
      </c>
      <c r="B2541" s="16">
        <v>0</v>
      </c>
      <c r="C2541" s="16" t="s">
        <v>3406</v>
      </c>
      <c r="D2541" s="16" t="s">
        <v>3422</v>
      </c>
    </row>
    <row r="2542" spans="1:4">
      <c r="A2542" s="16">
        <v>5050000000</v>
      </c>
      <c r="B2542" s="16">
        <v>0</v>
      </c>
      <c r="C2542" s="16" t="s">
        <v>3406</v>
      </c>
      <c r="D2542" s="16" t="s">
        <v>3422</v>
      </c>
    </row>
    <row r="2543" spans="1:4">
      <c r="A2543" s="16">
        <v>3800000000</v>
      </c>
      <c r="B2543" s="16">
        <v>0</v>
      </c>
      <c r="C2543" s="16" t="s">
        <v>3402</v>
      </c>
      <c r="D2543" s="16" t="s">
        <v>3403</v>
      </c>
    </row>
    <row r="2544" spans="1:4">
      <c r="A2544" s="16">
        <v>6700200000</v>
      </c>
      <c r="B2544" s="16">
        <v>0</v>
      </c>
      <c r="C2544" s="16" t="s">
        <v>3404</v>
      </c>
      <c r="D2544" s="16" t="s">
        <v>3409</v>
      </c>
    </row>
    <row r="2545" spans="1:4">
      <c r="A2545" s="16">
        <v>6700000000</v>
      </c>
      <c r="B2545" s="16">
        <v>0</v>
      </c>
      <c r="C2545" s="16" t="s">
        <v>3404</v>
      </c>
      <c r="D2545" s="16" t="s">
        <v>3405</v>
      </c>
    </row>
    <row r="2546" spans="1:4">
      <c r="A2546" s="16">
        <v>2500000000</v>
      </c>
      <c r="B2546" s="16">
        <v>0</v>
      </c>
      <c r="C2546" s="16" t="s">
        <v>3412</v>
      </c>
      <c r="D2546" s="16" t="s">
        <v>3403</v>
      </c>
    </row>
    <row r="2547" spans="1:4">
      <c r="A2547" s="16">
        <v>5010100000</v>
      </c>
      <c r="B2547" s="16">
        <v>0</v>
      </c>
      <c r="C2547" s="16" t="s">
        <v>3406</v>
      </c>
      <c r="D2547" s="16" t="s">
        <v>3407</v>
      </c>
    </row>
    <row r="2548" spans="1:4">
      <c r="A2548" s="16">
        <v>5010000010</v>
      </c>
      <c r="B2548" s="16">
        <v>0</v>
      </c>
      <c r="C2548" s="16" t="s">
        <v>3406</v>
      </c>
      <c r="D2548" s="16" t="s">
        <v>3411</v>
      </c>
    </row>
    <row r="2549" spans="1:4">
      <c r="A2549" s="16">
        <v>3710000000</v>
      </c>
      <c r="B2549" s="16">
        <v>0</v>
      </c>
      <c r="C2549" s="16" t="s">
        <v>3402</v>
      </c>
      <c r="D2549" s="16" t="s">
        <v>3403</v>
      </c>
    </row>
    <row r="2550" spans="1:4">
      <c r="A2550" s="16">
        <v>6610000000</v>
      </c>
      <c r="B2550" s="16">
        <v>0</v>
      </c>
      <c r="C2550" s="16" t="s">
        <v>3413</v>
      </c>
      <c r="D2550" s="16" t="s">
        <v>3418</v>
      </c>
    </row>
    <row r="2551" spans="1:4">
      <c r="A2551" s="16">
        <v>4203000000</v>
      </c>
      <c r="B2551" s="16">
        <v>0</v>
      </c>
      <c r="C2551" s="16" t="s">
        <v>3408</v>
      </c>
      <c r="D2551" s="16" t="s">
        <v>3403</v>
      </c>
    </row>
    <row r="2552" spans="1:4">
      <c r="A2552" s="16">
        <v>2201000000</v>
      </c>
      <c r="B2552" s="16">
        <v>0</v>
      </c>
      <c r="C2552" s="16" t="s">
        <v>3415</v>
      </c>
      <c r="D2552" s="16" t="s">
        <v>3403</v>
      </c>
    </row>
    <row r="2553" spans="1:4">
      <c r="A2553" s="16">
        <v>6700200000</v>
      </c>
      <c r="B2553" s="16">
        <v>0</v>
      </c>
      <c r="C2553" s="16" t="s">
        <v>3404</v>
      </c>
      <c r="D2553" s="16" t="s">
        <v>3409</v>
      </c>
    </row>
    <row r="2554" spans="1:4">
      <c r="A2554" s="16">
        <v>6700200000</v>
      </c>
      <c r="B2554" s="16">
        <v>0</v>
      </c>
      <c r="C2554" s="16" t="s">
        <v>3404</v>
      </c>
      <c r="D2554" s="16" t="s">
        <v>3409</v>
      </c>
    </row>
    <row r="2555" spans="1:4">
      <c r="A2555" s="16">
        <v>6700100000</v>
      </c>
      <c r="B2555" s="16">
        <v>0</v>
      </c>
      <c r="C2555" s="16" t="s">
        <v>3404</v>
      </c>
      <c r="D2555" s="16" t="s">
        <v>3410</v>
      </c>
    </row>
    <row r="2556" spans="1:4">
      <c r="A2556" s="16">
        <v>6700700000</v>
      </c>
      <c r="B2556" s="16">
        <v>0</v>
      </c>
      <c r="C2556" s="16" t="s">
        <v>3404</v>
      </c>
      <c r="D2556" s="16" t="s">
        <v>3409</v>
      </c>
    </row>
    <row r="2557" spans="1:4">
      <c r="A2557" s="16">
        <v>6700500000</v>
      </c>
      <c r="B2557" s="16">
        <v>0</v>
      </c>
      <c r="C2557" s="16" t="s">
        <v>3404</v>
      </c>
      <c r="D2557" s="16" t="s">
        <v>3405</v>
      </c>
    </row>
    <row r="2558" spans="1:4">
      <c r="A2558" s="16">
        <v>2500000000</v>
      </c>
      <c r="B2558" s="16">
        <v>0</v>
      </c>
      <c r="C2558" s="16" t="s">
        <v>3412</v>
      </c>
      <c r="D2558" s="16" t="s">
        <v>3403</v>
      </c>
    </row>
    <row r="2559" spans="1:4">
      <c r="A2559" s="16">
        <v>5010000000</v>
      </c>
      <c r="B2559" s="16">
        <v>0</v>
      </c>
      <c r="C2559" s="16" t="s">
        <v>3406</v>
      </c>
      <c r="D2559" s="16" t="s">
        <v>3411</v>
      </c>
    </row>
    <row r="2560" spans="1:4">
      <c r="A2560" s="16">
        <v>6700200000</v>
      </c>
      <c r="B2560" s="16">
        <v>0</v>
      </c>
      <c r="C2560" s="16" t="s">
        <v>3404</v>
      </c>
      <c r="D2560" s="16" t="s">
        <v>3409</v>
      </c>
    </row>
    <row r="2561" spans="1:4">
      <c r="A2561" s="16">
        <v>6700000000</v>
      </c>
      <c r="B2561" s="16">
        <v>0</v>
      </c>
      <c r="C2561" s="16" t="s">
        <v>3404</v>
      </c>
      <c r="D2561" s="16" t="s">
        <v>3405</v>
      </c>
    </row>
    <row r="2562" spans="1:4">
      <c r="A2562" s="16">
        <v>6700700000</v>
      </c>
      <c r="B2562" s="16">
        <v>0</v>
      </c>
      <c r="C2562" s="16" t="s">
        <v>3404</v>
      </c>
      <c r="D2562" s="16" t="s">
        <v>3409</v>
      </c>
    </row>
    <row r="2563" spans="1:4">
      <c r="A2563" s="16">
        <v>6700500000</v>
      </c>
      <c r="B2563" s="16">
        <v>0</v>
      </c>
      <c r="C2563" s="16" t="s">
        <v>3404</v>
      </c>
      <c r="D2563" s="16" t="s">
        <v>3405</v>
      </c>
    </row>
    <row r="2564" spans="1:4">
      <c r="A2564" s="16">
        <v>6104000000</v>
      </c>
      <c r="B2564" s="16">
        <v>0</v>
      </c>
      <c r="C2564" s="16" t="s">
        <v>3416</v>
      </c>
      <c r="D2564" s="16" t="s">
        <v>3417</v>
      </c>
    </row>
    <row r="2565" spans="1:4">
      <c r="A2565" s="16">
        <v>3103000000</v>
      </c>
      <c r="B2565" s="16">
        <v>0</v>
      </c>
      <c r="C2565" s="16" t="s">
        <v>3402</v>
      </c>
      <c r="D2565" s="16" t="s">
        <v>3403</v>
      </c>
    </row>
    <row r="2566" spans="1:4">
      <c r="A2566" s="16">
        <v>5052000000</v>
      </c>
      <c r="B2566" s="16">
        <v>592735</v>
      </c>
      <c r="C2566" s="16" t="s">
        <v>3406</v>
      </c>
      <c r="D2566" s="16" t="s">
        <v>3422</v>
      </c>
    </row>
    <row r="2567" spans="1:4">
      <c r="A2567" s="16">
        <v>4011000000</v>
      </c>
      <c r="B2567" s="16">
        <v>-592735</v>
      </c>
      <c r="C2567" s="16" t="s">
        <v>3431</v>
      </c>
      <c r="D2567" s="16" t="s">
        <v>3403</v>
      </c>
    </row>
    <row r="2568" spans="1:4">
      <c r="A2568" s="16">
        <v>6700200000</v>
      </c>
      <c r="B2568" s="16">
        <v>0</v>
      </c>
      <c r="C2568" s="16" t="s">
        <v>3404</v>
      </c>
      <c r="D2568" s="16" t="s">
        <v>3409</v>
      </c>
    </row>
    <row r="2569" spans="1:4">
      <c r="A2569" s="16">
        <v>6700100000</v>
      </c>
      <c r="B2569" s="16">
        <v>0</v>
      </c>
      <c r="C2569" s="16" t="s">
        <v>3404</v>
      </c>
      <c r="D2569" s="16" t="s">
        <v>3410</v>
      </c>
    </row>
    <row r="2570" spans="1:4">
      <c r="A2570" s="16">
        <v>6610100000</v>
      </c>
      <c r="B2570" s="16">
        <v>182976</v>
      </c>
      <c r="C2570" s="16" t="s">
        <v>3413</v>
      </c>
      <c r="D2570" s="16" t="s">
        <v>3414</v>
      </c>
    </row>
    <row r="2571" spans="1:4">
      <c r="A2571" s="16">
        <v>4203000000</v>
      </c>
      <c r="B2571" s="16">
        <v>-182976</v>
      </c>
      <c r="C2571" s="16" t="s">
        <v>3408</v>
      </c>
      <c r="D2571" s="16" t="s">
        <v>3403</v>
      </c>
    </row>
    <row r="2572" spans="1:4">
      <c r="A2572" s="16">
        <v>2500000000</v>
      </c>
      <c r="B2572" s="16">
        <v>0</v>
      </c>
      <c r="C2572" s="16" t="s">
        <v>3412</v>
      </c>
      <c r="D2572" s="16" t="s">
        <v>3403</v>
      </c>
    </row>
    <row r="2573" spans="1:4">
      <c r="A2573" s="16">
        <v>5010000000</v>
      </c>
      <c r="B2573" s="16">
        <v>0</v>
      </c>
      <c r="C2573" s="16" t="s">
        <v>3406</v>
      </c>
      <c r="D2573" s="16" t="s">
        <v>3411</v>
      </c>
    </row>
    <row r="2574" spans="1:4">
      <c r="A2574" s="16">
        <v>3032000000</v>
      </c>
      <c r="B2574" s="16">
        <v>0</v>
      </c>
      <c r="C2574" s="16" t="s">
        <v>3424</v>
      </c>
      <c r="D2574" s="16" t="s">
        <v>3403</v>
      </c>
    </row>
    <row r="2575" spans="1:4">
      <c r="A2575" s="16">
        <v>6032000000</v>
      </c>
      <c r="B2575" s="16">
        <v>0</v>
      </c>
      <c r="C2575" s="16" t="s">
        <v>3429</v>
      </c>
      <c r="D2575" s="16" t="s">
        <v>3430</v>
      </c>
    </row>
    <row r="2576" spans="1:4">
      <c r="A2576" s="16">
        <v>5010000010</v>
      </c>
      <c r="B2576" s="16">
        <v>0</v>
      </c>
      <c r="C2576" s="16" t="s">
        <v>3406</v>
      </c>
      <c r="D2576" s="16" t="s">
        <v>3411</v>
      </c>
    </row>
    <row r="2577" spans="1:4">
      <c r="A2577" s="16">
        <v>3710000000</v>
      </c>
      <c r="B2577" s="16">
        <v>0</v>
      </c>
      <c r="C2577" s="16" t="s">
        <v>3402</v>
      </c>
      <c r="D2577" s="16" t="s">
        <v>3403</v>
      </c>
    </row>
    <row r="2578" spans="1:4">
      <c r="A2578" s="16">
        <v>3102000000</v>
      </c>
      <c r="B2578" s="16">
        <v>0</v>
      </c>
      <c r="C2578" s="16" t="s">
        <v>3424</v>
      </c>
      <c r="D2578" s="16" t="s">
        <v>3403</v>
      </c>
    </row>
    <row r="2579" spans="1:4">
      <c r="A2579" s="16">
        <v>6102000000</v>
      </c>
      <c r="B2579" s="16">
        <v>0</v>
      </c>
      <c r="C2579" s="16" t="s">
        <v>3425</v>
      </c>
      <c r="D2579" s="16" t="s">
        <v>3426</v>
      </c>
    </row>
    <row r="2580" spans="1:4">
      <c r="A2580" s="16">
        <v>6100000000</v>
      </c>
      <c r="B2580" s="16">
        <v>8698441</v>
      </c>
      <c r="C2580" s="16" t="s">
        <v>3416</v>
      </c>
      <c r="D2580" s="16" t="s">
        <v>3417</v>
      </c>
    </row>
    <row r="2581" spans="1:4">
      <c r="A2581" s="16">
        <v>3100000000</v>
      </c>
      <c r="B2581" s="16">
        <v>-8698441</v>
      </c>
      <c r="C2581" s="16" t="s">
        <v>3402</v>
      </c>
      <c r="D2581" s="16" t="s">
        <v>3403</v>
      </c>
    </row>
    <row r="2582" spans="1:4">
      <c r="A2582" s="16">
        <v>6032000000</v>
      </c>
      <c r="B2582" s="16">
        <v>-204211</v>
      </c>
      <c r="C2582" s="16" t="s">
        <v>3429</v>
      </c>
      <c r="D2582" s="16" t="s">
        <v>3430</v>
      </c>
    </row>
    <row r="2583" spans="1:4">
      <c r="A2583" s="16">
        <v>6100000000</v>
      </c>
      <c r="B2583" s="16">
        <v>0</v>
      </c>
      <c r="C2583" s="16" t="s">
        <v>3416</v>
      </c>
      <c r="D2583" s="16" t="s">
        <v>3417</v>
      </c>
    </row>
    <row r="2584" spans="1:4">
      <c r="A2584" s="16">
        <v>5010100000</v>
      </c>
      <c r="B2584" s="16">
        <v>-2497</v>
      </c>
      <c r="C2584" s="16" t="s">
        <v>3406</v>
      </c>
      <c r="D2584" s="16" t="s">
        <v>3407</v>
      </c>
    </row>
    <row r="2585" spans="1:4">
      <c r="A2585" s="16">
        <v>6700200000</v>
      </c>
      <c r="B2585" s="16">
        <v>-14760395</v>
      </c>
      <c r="C2585" s="16" t="s">
        <v>3404</v>
      </c>
      <c r="D2585" s="16" t="s">
        <v>3409</v>
      </c>
    </row>
    <row r="2586" spans="1:4">
      <c r="A2586" s="16">
        <v>6610000000</v>
      </c>
      <c r="B2586" s="16">
        <v>0</v>
      </c>
      <c r="C2586" s="16" t="s">
        <v>3413</v>
      </c>
      <c r="D2586" s="16" t="s">
        <v>3418</v>
      </c>
    </row>
    <row r="2587" spans="1:4">
      <c r="A2587" s="16">
        <v>6700100000</v>
      </c>
      <c r="B2587" s="16">
        <v>0</v>
      </c>
      <c r="C2587" s="16" t="s">
        <v>3404</v>
      </c>
      <c r="D2587" s="16" t="s">
        <v>3410</v>
      </c>
    </row>
    <row r="2588" spans="1:4">
      <c r="A2588" s="16">
        <v>6700100000</v>
      </c>
      <c r="B2588" s="16">
        <v>0</v>
      </c>
      <c r="C2588" s="16" t="s">
        <v>3404</v>
      </c>
      <c r="D2588" s="16" t="s">
        <v>3410</v>
      </c>
    </row>
    <row r="2589" spans="1:4">
      <c r="A2589" s="16">
        <v>6700200000</v>
      </c>
      <c r="B2589" s="16">
        <v>-340163691</v>
      </c>
      <c r="C2589" s="16" t="s">
        <v>3404</v>
      </c>
      <c r="D2589" s="16" t="s">
        <v>3409</v>
      </c>
    </row>
    <row r="2590" spans="1:4">
      <c r="A2590" s="16">
        <v>3810000000</v>
      </c>
      <c r="B2590" s="16">
        <v>0</v>
      </c>
      <c r="C2590" s="16" t="s">
        <v>3402</v>
      </c>
      <c r="D2590" s="16" t="s">
        <v>3403</v>
      </c>
    </row>
    <row r="2591" spans="1:4">
      <c r="A2591" s="16">
        <v>5052000000</v>
      </c>
      <c r="B2591" s="16">
        <v>0</v>
      </c>
      <c r="C2591" s="16" t="s">
        <v>3406</v>
      </c>
      <c r="D2591" s="16" t="s">
        <v>3422</v>
      </c>
    </row>
    <row r="2592" spans="1:4">
      <c r="A2592" s="16">
        <v>4203000000</v>
      </c>
      <c r="B2592" s="16">
        <v>0</v>
      </c>
      <c r="C2592" s="16" t="s">
        <v>3408</v>
      </c>
      <c r="D2592" s="16" t="s">
        <v>3403</v>
      </c>
    </row>
    <row r="2593" spans="1:4">
      <c r="A2593" s="16">
        <v>6610000000</v>
      </c>
      <c r="B2593" s="16">
        <v>0</v>
      </c>
      <c r="C2593" s="16" t="s">
        <v>3413</v>
      </c>
      <c r="D2593" s="16" t="s">
        <v>3418</v>
      </c>
    </row>
    <row r="2594" spans="1:4">
      <c r="A2594" s="16">
        <v>6700400000</v>
      </c>
      <c r="B2594" s="16">
        <v>0</v>
      </c>
      <c r="C2594" s="16" t="s">
        <v>3404</v>
      </c>
      <c r="D2594" s="16" t="s">
        <v>3405</v>
      </c>
    </row>
    <row r="2595" spans="1:4">
      <c r="A2595" s="16">
        <v>6700000000</v>
      </c>
      <c r="B2595" s="16">
        <v>0</v>
      </c>
      <c r="C2595" s="16" t="s">
        <v>3404</v>
      </c>
      <c r="D2595" s="16" t="s">
        <v>3405</v>
      </c>
    </row>
    <row r="2596" spans="1:4">
      <c r="A2596" s="16">
        <v>5010000000</v>
      </c>
      <c r="B2596" s="16">
        <v>0</v>
      </c>
      <c r="C2596" s="16" t="s">
        <v>3406</v>
      </c>
      <c r="D2596" s="16" t="s">
        <v>3411</v>
      </c>
    </row>
    <row r="2597" spans="1:4">
      <c r="A2597" s="16">
        <v>3100000000</v>
      </c>
      <c r="B2597" s="16">
        <v>0</v>
      </c>
      <c r="C2597" s="16" t="s">
        <v>3402</v>
      </c>
      <c r="D2597" s="16" t="s">
        <v>3403</v>
      </c>
    </row>
    <row r="2598" spans="1:4">
      <c r="A2598" s="16">
        <v>6700200000</v>
      </c>
      <c r="B2598" s="16">
        <v>0</v>
      </c>
      <c r="C2598" s="16" t="s">
        <v>3404</v>
      </c>
      <c r="D2598" s="16" t="s">
        <v>3409</v>
      </c>
    </row>
    <row r="2599" spans="1:4">
      <c r="A2599" s="16">
        <v>2750010000</v>
      </c>
      <c r="B2599" s="16">
        <v>0</v>
      </c>
      <c r="C2599" s="16" t="s">
        <v>3419</v>
      </c>
      <c r="D2599" s="16" t="s">
        <v>3403</v>
      </c>
    </row>
    <row r="2600" spans="1:4">
      <c r="A2600" s="16">
        <v>6700200000</v>
      </c>
      <c r="B2600" s="16">
        <v>0</v>
      </c>
      <c r="C2600" s="16" t="s">
        <v>3404</v>
      </c>
      <c r="D2600" s="16" t="s">
        <v>3409</v>
      </c>
    </row>
    <row r="2601" spans="1:4">
      <c r="A2601" s="16">
        <v>4203000000</v>
      </c>
      <c r="B2601" s="16">
        <v>0</v>
      </c>
      <c r="C2601" s="16" t="s">
        <v>3408</v>
      </c>
      <c r="D2601" s="16" t="s">
        <v>3403</v>
      </c>
    </row>
    <row r="2602" spans="1:4">
      <c r="A2602" s="16">
        <v>3102000000</v>
      </c>
      <c r="B2602" s="16">
        <v>0</v>
      </c>
      <c r="C2602" s="16" t="s">
        <v>3424</v>
      </c>
      <c r="D2602" s="16" t="s">
        <v>3403</v>
      </c>
    </row>
    <row r="2603" spans="1:4">
      <c r="A2603" s="16">
        <v>6100000020</v>
      </c>
      <c r="B2603" s="16">
        <v>1981</v>
      </c>
      <c r="C2603" s="16" t="s">
        <v>3416</v>
      </c>
      <c r="D2603" s="16" t="s">
        <v>3417</v>
      </c>
    </row>
    <row r="2604" spans="1:4">
      <c r="A2604" s="16">
        <v>2750010000</v>
      </c>
      <c r="B2604" s="16">
        <v>0</v>
      </c>
      <c r="C2604" s="16" t="s">
        <v>3419</v>
      </c>
      <c r="D2604" s="16" t="s">
        <v>3403</v>
      </c>
    </row>
    <row r="2605" spans="1:4">
      <c r="A2605" s="16">
        <v>6700200000</v>
      </c>
      <c r="B2605" s="16">
        <v>0</v>
      </c>
      <c r="C2605" s="16" t="s">
        <v>3404</v>
      </c>
      <c r="D2605" s="16" t="s">
        <v>3409</v>
      </c>
    </row>
    <row r="2606" spans="1:4">
      <c r="A2606" s="16">
        <v>4203000000</v>
      </c>
      <c r="B2606" s="16">
        <v>0</v>
      </c>
      <c r="C2606" s="16" t="s">
        <v>3408</v>
      </c>
      <c r="D2606" s="16" t="s">
        <v>3403</v>
      </c>
    </row>
    <row r="2607" spans="1:4">
      <c r="A2607" s="16">
        <v>2500000000</v>
      </c>
      <c r="B2607" s="16">
        <v>0</v>
      </c>
      <c r="C2607" s="16" t="s">
        <v>3412</v>
      </c>
      <c r="D2607" s="16" t="s">
        <v>3403</v>
      </c>
    </row>
    <row r="2608" spans="1:4">
      <c r="A2608" s="16">
        <v>6100000000</v>
      </c>
      <c r="B2608" s="16">
        <v>0</v>
      </c>
      <c r="C2608" s="16" t="s">
        <v>3416</v>
      </c>
      <c r="D2608" s="16" t="s">
        <v>3417</v>
      </c>
    </row>
    <row r="2609" spans="1:4">
      <c r="A2609" s="16">
        <v>6700700000</v>
      </c>
      <c r="B2609" s="16">
        <v>0</v>
      </c>
      <c r="C2609" s="16" t="s">
        <v>3404</v>
      </c>
      <c r="D2609" s="16" t="s">
        <v>3409</v>
      </c>
    </row>
    <row r="2610" spans="1:4">
      <c r="A2610" s="16">
        <v>6700000000</v>
      </c>
      <c r="B2610" s="16">
        <v>0</v>
      </c>
      <c r="C2610" s="16" t="s">
        <v>3404</v>
      </c>
      <c r="D2610" s="16" t="s">
        <v>3405</v>
      </c>
    </row>
    <row r="2611" spans="1:4">
      <c r="A2611" s="16">
        <v>6610100100</v>
      </c>
      <c r="B2611" s="16">
        <v>0</v>
      </c>
      <c r="C2611" s="16" t="s">
        <v>3413</v>
      </c>
      <c r="D2611" s="16" t="s">
        <v>3414</v>
      </c>
    </row>
    <row r="2612" spans="1:4">
      <c r="A2612" s="16">
        <v>2500000000</v>
      </c>
      <c r="B2612" s="16">
        <v>0</v>
      </c>
      <c r="C2612" s="16" t="s">
        <v>3412</v>
      </c>
      <c r="D2612" s="16" t="s">
        <v>3403</v>
      </c>
    </row>
    <row r="2613" spans="1:4">
      <c r="A2613" s="16">
        <v>6700000000</v>
      </c>
      <c r="B2613" s="16">
        <v>0</v>
      </c>
      <c r="C2613" s="16" t="s">
        <v>3404</v>
      </c>
      <c r="D2613" s="16" t="s">
        <v>3405</v>
      </c>
    </row>
    <row r="2614" spans="1:4">
      <c r="A2614" s="16">
        <v>6102000000</v>
      </c>
      <c r="B2614" s="16">
        <v>0</v>
      </c>
      <c r="C2614" s="16" t="s">
        <v>3425</v>
      </c>
      <c r="D2614" s="16" t="s">
        <v>3426</v>
      </c>
    </row>
    <row r="2615" spans="1:4">
      <c r="A2615" s="16">
        <v>3810000000</v>
      </c>
      <c r="B2615" s="16">
        <v>-1981</v>
      </c>
      <c r="C2615" s="16" t="s">
        <v>3402</v>
      </c>
      <c r="D2615" s="16" t="s">
        <v>3403</v>
      </c>
    </row>
    <row r="2616" spans="1:4">
      <c r="A2616" s="16">
        <v>6610000100</v>
      </c>
      <c r="B2616" s="16">
        <v>0</v>
      </c>
      <c r="C2616" s="16" t="s">
        <v>3413</v>
      </c>
      <c r="D2616" s="16" t="s">
        <v>3418</v>
      </c>
    </row>
    <row r="2617" spans="1:4">
      <c r="A2617" s="16">
        <v>6700100000</v>
      </c>
      <c r="B2617" s="16">
        <v>0</v>
      </c>
      <c r="C2617" s="16" t="s">
        <v>3404</v>
      </c>
      <c r="D2617" s="16" t="s">
        <v>3410</v>
      </c>
    </row>
    <row r="2618" spans="1:4">
      <c r="A2618" s="16">
        <v>3032000000</v>
      </c>
      <c r="B2618" s="16">
        <v>441061</v>
      </c>
      <c r="C2618" s="16" t="s">
        <v>3424</v>
      </c>
      <c r="D2618" s="16" t="s">
        <v>3403</v>
      </c>
    </row>
    <row r="2619" spans="1:4">
      <c r="A2619" s="16">
        <v>5010000000</v>
      </c>
      <c r="B2619" s="16">
        <v>0</v>
      </c>
      <c r="C2619" s="16" t="s">
        <v>3406</v>
      </c>
      <c r="D2619" s="16" t="s">
        <v>3411</v>
      </c>
    </row>
    <row r="2620" spans="1:4">
      <c r="A2620" s="16">
        <v>3100000000</v>
      </c>
      <c r="B2620" s="16">
        <v>0</v>
      </c>
      <c r="C2620" s="16" t="s">
        <v>3402</v>
      </c>
      <c r="D2620" s="16" t="s">
        <v>3403</v>
      </c>
    </row>
    <row r="2621" spans="1:4">
      <c r="A2621" s="16">
        <v>6700500000</v>
      </c>
      <c r="B2621" s="16">
        <v>0</v>
      </c>
      <c r="C2621" s="16" t="s">
        <v>3404</v>
      </c>
      <c r="D2621" s="16" t="s">
        <v>3405</v>
      </c>
    </row>
    <row r="2622" spans="1:4">
      <c r="A2622" s="16">
        <v>3102000000</v>
      </c>
      <c r="B2622" s="16">
        <v>0</v>
      </c>
      <c r="C2622" s="16" t="s">
        <v>3424</v>
      </c>
      <c r="D2622" s="16" t="s">
        <v>3403</v>
      </c>
    </row>
    <row r="2623" spans="1:4">
      <c r="A2623" s="16">
        <v>6700200000</v>
      </c>
      <c r="B2623" s="16">
        <v>0</v>
      </c>
      <c r="C2623" s="16" t="s">
        <v>3404</v>
      </c>
      <c r="D2623" s="16" t="s">
        <v>3409</v>
      </c>
    </row>
    <row r="2624" spans="1:4">
      <c r="A2624" s="16">
        <v>5010100000</v>
      </c>
      <c r="B2624" s="16">
        <v>0</v>
      </c>
      <c r="C2624" s="16" t="s">
        <v>3406</v>
      </c>
      <c r="D2624" s="16" t="s">
        <v>3407</v>
      </c>
    </row>
    <row r="2625" spans="1:4">
      <c r="A2625" s="16">
        <v>5050000000</v>
      </c>
      <c r="B2625" s="16">
        <v>0</v>
      </c>
      <c r="C2625" s="16" t="s">
        <v>3406</v>
      </c>
      <c r="D2625" s="16" t="s">
        <v>3422</v>
      </c>
    </row>
    <row r="2626" spans="1:4">
      <c r="A2626" s="16">
        <v>6104000000</v>
      </c>
      <c r="B2626" s="16">
        <v>0</v>
      </c>
      <c r="C2626" s="16" t="s">
        <v>3416</v>
      </c>
      <c r="D2626" s="16" t="s">
        <v>3417</v>
      </c>
    </row>
    <row r="2627" spans="1:4">
      <c r="A2627" s="16">
        <v>6032000000</v>
      </c>
      <c r="B2627" s="16">
        <v>-441061</v>
      </c>
      <c r="C2627" s="16" t="s">
        <v>3429</v>
      </c>
      <c r="D2627" s="16" t="s">
        <v>3430</v>
      </c>
    </row>
    <row r="2628" spans="1:4">
      <c r="A2628" s="16">
        <v>6700600000</v>
      </c>
      <c r="B2628" s="16">
        <v>0</v>
      </c>
      <c r="C2628" s="16" t="s">
        <v>3404</v>
      </c>
      <c r="D2628" s="16" t="s">
        <v>3409</v>
      </c>
    </row>
    <row r="2629" spans="1:4">
      <c r="A2629" s="16">
        <v>2500000000</v>
      </c>
      <c r="B2629" s="16">
        <v>0</v>
      </c>
      <c r="C2629" s="16" t="s">
        <v>3412</v>
      </c>
      <c r="D2629" s="16" t="s">
        <v>3403</v>
      </c>
    </row>
    <row r="2630" spans="1:4">
      <c r="A2630" s="16">
        <v>6102000000</v>
      </c>
      <c r="B2630" s="16">
        <v>0</v>
      </c>
      <c r="C2630" s="16" t="s">
        <v>3425</v>
      </c>
      <c r="D2630" s="16" t="s">
        <v>3426</v>
      </c>
    </row>
    <row r="2631" spans="1:4">
      <c r="A2631" s="16">
        <v>6610100000</v>
      </c>
      <c r="B2631" s="16">
        <v>0</v>
      </c>
      <c r="C2631" s="16" t="s">
        <v>3413</v>
      </c>
      <c r="D2631" s="16" t="s">
        <v>3414</v>
      </c>
    </row>
    <row r="2632" spans="1:4">
      <c r="A2632" s="16">
        <v>2203000010</v>
      </c>
      <c r="B2632" s="16">
        <v>0</v>
      </c>
      <c r="C2632" s="16" t="s">
        <v>3415</v>
      </c>
      <c r="D2632" s="16" t="s">
        <v>3403</v>
      </c>
    </row>
    <row r="2633" spans="1:4">
      <c r="A2633" s="16">
        <v>6030000000</v>
      </c>
      <c r="B2633" s="16">
        <v>0</v>
      </c>
      <c r="C2633" s="16" t="s">
        <v>3420</v>
      </c>
      <c r="D2633" s="16" t="s">
        <v>3423</v>
      </c>
    </row>
    <row r="2634" spans="1:4">
      <c r="A2634" s="16">
        <v>6700100000</v>
      </c>
      <c r="B2634" s="16">
        <v>0</v>
      </c>
      <c r="C2634" s="16" t="s">
        <v>3404</v>
      </c>
      <c r="D2634" s="16" t="s">
        <v>3410</v>
      </c>
    </row>
    <row r="2635" spans="1:4">
      <c r="A2635" s="16">
        <v>3032000000</v>
      </c>
      <c r="B2635" s="16">
        <v>0</v>
      </c>
      <c r="C2635" s="16" t="s">
        <v>3424</v>
      </c>
      <c r="D2635" s="16" t="s">
        <v>3403</v>
      </c>
    </row>
    <row r="2636" spans="1:4">
      <c r="A2636" s="16">
        <v>6104001000</v>
      </c>
      <c r="B2636" s="16">
        <v>0</v>
      </c>
      <c r="C2636" s="16" t="s">
        <v>3416</v>
      </c>
      <c r="D2636" s="16" t="s">
        <v>3417</v>
      </c>
    </row>
    <row r="2637" spans="1:4">
      <c r="A2637" s="16">
        <v>6610000000</v>
      </c>
      <c r="B2637" s="16">
        <v>15372</v>
      </c>
      <c r="C2637" s="16" t="s">
        <v>3413</v>
      </c>
      <c r="D2637" s="16" t="s">
        <v>3418</v>
      </c>
    </row>
    <row r="2638" spans="1:4">
      <c r="A2638" s="16">
        <v>6610100000</v>
      </c>
      <c r="B2638" s="16">
        <v>0</v>
      </c>
      <c r="C2638" s="16" t="s">
        <v>3413</v>
      </c>
      <c r="D2638" s="16" t="s">
        <v>3414</v>
      </c>
    </row>
    <row r="2639" spans="1:4">
      <c r="A2639" s="16">
        <v>2500000000</v>
      </c>
      <c r="B2639" s="16">
        <v>0</v>
      </c>
      <c r="C2639" s="16" t="s">
        <v>3412</v>
      </c>
      <c r="D2639" s="16" t="s">
        <v>3403</v>
      </c>
    </row>
    <row r="2640" spans="1:4">
      <c r="A2640" s="16">
        <v>3800000000</v>
      </c>
      <c r="B2640" s="16">
        <v>0</v>
      </c>
      <c r="C2640" s="16" t="s">
        <v>3402</v>
      </c>
      <c r="D2640" s="16" t="s">
        <v>3403</v>
      </c>
    </row>
    <row r="2641" spans="1:4">
      <c r="A2641" s="16">
        <v>3103000000</v>
      </c>
      <c r="B2641" s="16">
        <v>0</v>
      </c>
      <c r="C2641" s="16" t="s">
        <v>3402</v>
      </c>
      <c r="D2641" s="16" t="s">
        <v>3403</v>
      </c>
    </row>
    <row r="2642" spans="1:4">
      <c r="A2642" s="16">
        <v>2500000000</v>
      </c>
      <c r="B2642" s="16">
        <v>83</v>
      </c>
      <c r="C2642" s="16" t="s">
        <v>3412</v>
      </c>
      <c r="D2642" s="16" t="s">
        <v>3403</v>
      </c>
    </row>
    <row r="2643" spans="1:4">
      <c r="A2643" s="16">
        <v>6700400000</v>
      </c>
      <c r="B2643" s="16">
        <v>0</v>
      </c>
      <c r="C2643" s="16" t="s">
        <v>3404</v>
      </c>
      <c r="D2643" s="16" t="s">
        <v>3405</v>
      </c>
    </row>
    <row r="2644" spans="1:4">
      <c r="A2644" s="16">
        <v>6104000000</v>
      </c>
      <c r="B2644" s="16">
        <v>0</v>
      </c>
      <c r="C2644" s="16" t="s">
        <v>3416</v>
      </c>
      <c r="D2644" s="16" t="s">
        <v>3417</v>
      </c>
    </row>
    <row r="2645" spans="1:4">
      <c r="A2645" s="16">
        <v>5010100000</v>
      </c>
      <c r="B2645" s="16">
        <v>0</v>
      </c>
      <c r="C2645" s="16" t="s">
        <v>3406</v>
      </c>
      <c r="D2645" s="16" t="s">
        <v>3407</v>
      </c>
    </row>
    <row r="2646" spans="1:4">
      <c r="A2646" s="16">
        <v>6610100000</v>
      </c>
      <c r="B2646" s="16">
        <v>3286</v>
      </c>
      <c r="C2646" s="16" t="s">
        <v>3413</v>
      </c>
      <c r="D2646" s="16" t="s">
        <v>3414</v>
      </c>
    </row>
    <row r="2647" spans="1:4">
      <c r="A2647" s="16">
        <v>5010000010</v>
      </c>
      <c r="B2647" s="16">
        <v>0</v>
      </c>
      <c r="C2647" s="16" t="s">
        <v>3406</v>
      </c>
      <c r="D2647" s="16" t="s">
        <v>3411</v>
      </c>
    </row>
    <row r="2648" spans="1:4">
      <c r="A2648" s="16">
        <v>4203000000</v>
      </c>
      <c r="B2648" s="16">
        <v>0</v>
      </c>
      <c r="C2648" s="16" t="s">
        <v>3408</v>
      </c>
      <c r="D2648" s="16" t="s">
        <v>3403</v>
      </c>
    </row>
    <row r="2649" spans="1:4">
      <c r="A2649" s="16">
        <v>4612000000</v>
      </c>
      <c r="B2649" s="16">
        <v>0</v>
      </c>
      <c r="C2649" s="16" t="s">
        <v>3428</v>
      </c>
      <c r="D2649" s="16" t="s">
        <v>3403</v>
      </c>
    </row>
    <row r="2650" spans="1:4">
      <c r="A2650" s="16">
        <v>3030000000</v>
      </c>
      <c r="B2650" s="16">
        <v>0</v>
      </c>
      <c r="C2650" s="16" t="s">
        <v>3402</v>
      </c>
      <c r="D2650" s="16" t="s">
        <v>3403</v>
      </c>
    </row>
    <row r="2651" spans="1:4">
      <c r="A2651" s="16">
        <v>6032000000</v>
      </c>
      <c r="B2651" s="16">
        <v>0</v>
      </c>
      <c r="C2651" s="16" t="s">
        <v>3429</v>
      </c>
      <c r="D2651" s="16" t="s">
        <v>3430</v>
      </c>
    </row>
    <row r="2652" spans="1:4">
      <c r="A2652" s="16">
        <v>3103001000</v>
      </c>
      <c r="B2652" s="16">
        <v>0</v>
      </c>
      <c r="C2652" s="16" t="s">
        <v>3402</v>
      </c>
      <c r="D2652" s="16" t="s">
        <v>3403</v>
      </c>
    </row>
    <row r="2653" spans="1:4">
      <c r="A2653" s="16">
        <v>4203000000</v>
      </c>
      <c r="B2653" s="16">
        <v>-15372</v>
      </c>
      <c r="C2653" s="16" t="s">
        <v>3408</v>
      </c>
      <c r="D2653" s="16" t="s">
        <v>3403</v>
      </c>
    </row>
    <row r="2654" spans="1:4">
      <c r="A2654" s="16">
        <v>6160000000</v>
      </c>
      <c r="B2654" s="16">
        <v>0</v>
      </c>
      <c r="C2654" s="16" t="s">
        <v>3416</v>
      </c>
      <c r="D2654" s="16" t="s">
        <v>3417</v>
      </c>
    </row>
    <row r="2655" spans="1:4">
      <c r="A2655" s="16">
        <v>6100000000</v>
      </c>
      <c r="B2655" s="16">
        <v>0</v>
      </c>
      <c r="C2655" s="16" t="s">
        <v>3416</v>
      </c>
      <c r="D2655" s="16" t="s">
        <v>3417</v>
      </c>
    </row>
    <row r="2656" spans="1:4">
      <c r="A2656" s="16">
        <v>4203000000</v>
      </c>
      <c r="B2656" s="16">
        <v>0</v>
      </c>
      <c r="C2656" s="16" t="s">
        <v>3408</v>
      </c>
      <c r="D2656" s="16" t="s">
        <v>3403</v>
      </c>
    </row>
    <row r="2657" spans="1:4">
      <c r="A2657" s="16">
        <v>6100000020</v>
      </c>
      <c r="B2657" s="16">
        <v>28</v>
      </c>
      <c r="C2657" s="16" t="s">
        <v>3416</v>
      </c>
      <c r="D2657" s="16" t="s">
        <v>3417</v>
      </c>
    </row>
    <row r="2658" spans="1:4">
      <c r="A2658" s="16">
        <v>5010000000</v>
      </c>
      <c r="B2658" s="16">
        <v>0</v>
      </c>
      <c r="C2658" s="16" t="s">
        <v>3406</v>
      </c>
      <c r="D2658" s="16" t="s">
        <v>3411</v>
      </c>
    </row>
    <row r="2659" spans="1:4">
      <c r="A2659" s="16">
        <v>6030000000</v>
      </c>
      <c r="B2659" s="16">
        <v>2382159</v>
      </c>
      <c r="C2659" s="16" t="s">
        <v>3420</v>
      </c>
      <c r="D2659" s="16" t="s">
        <v>3423</v>
      </c>
    </row>
    <row r="2660" spans="1:4">
      <c r="A2660" s="16">
        <v>5010000000</v>
      </c>
      <c r="B2660" s="16">
        <v>-83</v>
      </c>
      <c r="C2660" s="16" t="s">
        <v>3406</v>
      </c>
      <c r="D2660" s="16" t="s">
        <v>3411</v>
      </c>
    </row>
    <row r="2661" spans="1:4">
      <c r="A2661" s="16">
        <v>3103000000</v>
      </c>
      <c r="B2661" s="16">
        <v>0</v>
      </c>
      <c r="C2661" s="16" t="s">
        <v>3402</v>
      </c>
      <c r="D2661" s="16" t="s">
        <v>3403</v>
      </c>
    </row>
    <row r="2662" spans="1:4">
      <c r="A2662" s="16">
        <v>2500000000</v>
      </c>
      <c r="B2662" s="16">
        <v>0</v>
      </c>
      <c r="C2662" s="16" t="s">
        <v>3412</v>
      </c>
      <c r="D2662" s="16" t="s">
        <v>3403</v>
      </c>
    </row>
    <row r="2663" spans="1:4">
      <c r="A2663" s="16">
        <v>6700700000</v>
      </c>
      <c r="B2663" s="16">
        <v>0</v>
      </c>
      <c r="C2663" s="16" t="s">
        <v>3404</v>
      </c>
      <c r="D2663" s="16" t="s">
        <v>3409</v>
      </c>
    </row>
    <row r="2664" spans="1:4">
      <c r="A2664" s="16">
        <v>4203000000</v>
      </c>
      <c r="B2664" s="16">
        <v>-3286</v>
      </c>
      <c r="C2664" s="16" t="s">
        <v>3408</v>
      </c>
      <c r="D2664" s="16" t="s">
        <v>3403</v>
      </c>
    </row>
    <row r="2665" spans="1:4">
      <c r="A2665" s="16">
        <v>6610000000</v>
      </c>
      <c r="B2665" s="16">
        <v>0</v>
      </c>
      <c r="C2665" s="16" t="s">
        <v>3413</v>
      </c>
      <c r="D2665" s="16" t="s">
        <v>3418</v>
      </c>
    </row>
    <row r="2666" spans="1:4">
      <c r="A2666" s="16">
        <v>3710000000</v>
      </c>
      <c r="B2666" s="16">
        <v>0</v>
      </c>
      <c r="C2666" s="16" t="s">
        <v>3402</v>
      </c>
      <c r="D2666" s="16" t="s">
        <v>3403</v>
      </c>
    </row>
    <row r="2667" spans="1:4">
      <c r="A2667" s="16">
        <v>2203000010</v>
      </c>
      <c r="B2667" s="16">
        <v>0</v>
      </c>
      <c r="C2667" s="16" t="s">
        <v>3415</v>
      </c>
      <c r="D2667" s="16" t="s">
        <v>3403</v>
      </c>
    </row>
    <row r="2668" spans="1:4">
      <c r="A2668" s="16">
        <v>3102000000</v>
      </c>
      <c r="B2668" s="16">
        <v>0</v>
      </c>
      <c r="C2668" s="16" t="s">
        <v>3424</v>
      </c>
      <c r="D2668" s="16" t="s">
        <v>3403</v>
      </c>
    </row>
    <row r="2669" spans="1:4">
      <c r="A2669" s="16">
        <v>4010000000</v>
      </c>
      <c r="B2669" s="16">
        <v>0</v>
      </c>
      <c r="C2669" s="16" t="s">
        <v>3431</v>
      </c>
      <c r="D2669" s="16" t="s">
        <v>3403</v>
      </c>
    </row>
    <row r="2670" spans="1:4">
      <c r="A2670" s="16">
        <v>5010100010</v>
      </c>
      <c r="B2670" s="16">
        <v>0</v>
      </c>
      <c r="C2670" s="16" t="s">
        <v>3406</v>
      </c>
      <c r="D2670" s="16" t="s">
        <v>3407</v>
      </c>
    </row>
    <row r="2671" spans="1:4">
      <c r="A2671" s="16">
        <v>6700600000</v>
      </c>
      <c r="B2671" s="16">
        <v>0</v>
      </c>
      <c r="C2671" s="16" t="s">
        <v>3404</v>
      </c>
      <c r="D2671" s="16" t="s">
        <v>3409</v>
      </c>
    </row>
    <row r="2672" spans="1:4">
      <c r="A2672" s="16">
        <v>3100000000</v>
      </c>
      <c r="B2672" s="16">
        <v>0</v>
      </c>
      <c r="C2672" s="16" t="s">
        <v>3402</v>
      </c>
      <c r="D2672" s="16" t="s">
        <v>3403</v>
      </c>
    </row>
    <row r="2673" spans="1:4">
      <c r="A2673" s="16">
        <v>6030000000</v>
      </c>
      <c r="B2673" s="16">
        <v>0</v>
      </c>
      <c r="C2673" s="16" t="s">
        <v>3420</v>
      </c>
      <c r="D2673" s="16" t="s">
        <v>3423</v>
      </c>
    </row>
    <row r="2674" spans="1:4">
      <c r="A2674" s="16">
        <v>3810000000</v>
      </c>
      <c r="B2674" s="16">
        <v>-28</v>
      </c>
      <c r="C2674" s="16" t="s">
        <v>3402</v>
      </c>
      <c r="D2674" s="16" t="s">
        <v>3403</v>
      </c>
    </row>
    <row r="2675" spans="1:4">
      <c r="A2675" s="16">
        <v>3030000000</v>
      </c>
      <c r="B2675" s="16">
        <v>-2382159</v>
      </c>
      <c r="C2675" s="16" t="s">
        <v>3402</v>
      </c>
      <c r="D2675" s="16" t="s">
        <v>3403</v>
      </c>
    </row>
    <row r="2676" spans="1:4">
      <c r="A2676" s="16">
        <v>3032000000</v>
      </c>
      <c r="B2676" s="16">
        <v>0</v>
      </c>
      <c r="C2676" s="16" t="s">
        <v>3424</v>
      </c>
      <c r="D2676" s="16" t="s">
        <v>3403</v>
      </c>
    </row>
    <row r="2677" spans="1:4">
      <c r="A2677" s="16">
        <v>6700200000</v>
      </c>
      <c r="B2677" s="16">
        <v>0</v>
      </c>
      <c r="C2677" s="16" t="s">
        <v>3404</v>
      </c>
      <c r="D2677" s="16" t="s">
        <v>3409</v>
      </c>
    </row>
    <row r="2678" spans="1:4">
      <c r="A2678" s="16">
        <v>2750010000</v>
      </c>
      <c r="B2678" s="16">
        <v>0</v>
      </c>
      <c r="C2678" s="16" t="s">
        <v>3419</v>
      </c>
      <c r="D2678" s="16" t="s">
        <v>3403</v>
      </c>
    </row>
    <row r="2679" spans="1:4">
      <c r="A2679" s="16">
        <v>6700600000</v>
      </c>
      <c r="B2679" s="16">
        <v>0</v>
      </c>
      <c r="C2679" s="16" t="s">
        <v>3404</v>
      </c>
      <c r="D2679" s="16" t="s">
        <v>3409</v>
      </c>
    </row>
    <row r="2680" spans="1:4">
      <c r="A2680" s="16">
        <v>3102000000</v>
      </c>
      <c r="B2680" s="16">
        <v>0</v>
      </c>
      <c r="C2680" s="16" t="s">
        <v>3424</v>
      </c>
      <c r="D2680" s="16" t="s">
        <v>3403</v>
      </c>
    </row>
    <row r="2681" spans="1:4">
      <c r="A2681" s="16">
        <v>6060010000</v>
      </c>
      <c r="B2681" s="16">
        <v>0</v>
      </c>
      <c r="C2681" s="16" t="s">
        <v>3420</v>
      </c>
      <c r="D2681" s="16" t="s">
        <v>3421</v>
      </c>
    </row>
    <row r="2682" spans="1:4">
      <c r="A2682" s="16">
        <v>6700200000</v>
      </c>
      <c r="B2682" s="16">
        <v>0</v>
      </c>
      <c r="C2682" s="16" t="s">
        <v>3404</v>
      </c>
      <c r="D2682" s="16" t="s">
        <v>3409</v>
      </c>
    </row>
    <row r="2683" spans="1:4">
      <c r="A2683" s="16">
        <v>5010100000</v>
      </c>
      <c r="B2683" s="16">
        <v>0</v>
      </c>
      <c r="C2683" s="16" t="s">
        <v>3406</v>
      </c>
      <c r="D2683" s="16" t="s">
        <v>3407</v>
      </c>
    </row>
    <row r="2684" spans="1:4">
      <c r="A2684" s="16">
        <v>6700500000</v>
      </c>
      <c r="B2684" s="16">
        <v>0</v>
      </c>
      <c r="C2684" s="16" t="s">
        <v>3404</v>
      </c>
      <c r="D2684" s="16" t="s">
        <v>3405</v>
      </c>
    </row>
    <row r="2685" spans="1:4">
      <c r="A2685" s="16">
        <v>6104001000</v>
      </c>
      <c r="B2685" s="16">
        <v>0</v>
      </c>
      <c r="C2685" s="16" t="s">
        <v>3427</v>
      </c>
      <c r="D2685" s="16" t="s">
        <v>3417</v>
      </c>
    </row>
    <row r="2686" spans="1:4">
      <c r="A2686" s="16">
        <v>4203000000</v>
      </c>
      <c r="B2686" s="16">
        <v>0</v>
      </c>
      <c r="C2686" s="16" t="s">
        <v>3408</v>
      </c>
      <c r="D2686" s="16" t="s">
        <v>3403</v>
      </c>
    </row>
    <row r="2687" spans="1:4">
      <c r="A2687" s="16">
        <v>2750010000</v>
      </c>
      <c r="B2687" s="16">
        <v>0</v>
      </c>
      <c r="C2687" s="16" t="s">
        <v>3419</v>
      </c>
      <c r="D2687" s="16" t="s">
        <v>3403</v>
      </c>
    </row>
    <row r="2688" spans="1:4">
      <c r="A2688" s="16">
        <v>6104000000</v>
      </c>
      <c r="B2688" s="16">
        <v>0</v>
      </c>
      <c r="C2688" s="16" t="s">
        <v>3416</v>
      </c>
      <c r="D2688" s="16" t="s">
        <v>3417</v>
      </c>
    </row>
    <row r="2689" spans="1:4">
      <c r="A2689" s="16">
        <v>6700700000</v>
      </c>
      <c r="B2689" s="16">
        <v>0</v>
      </c>
      <c r="C2689" s="16" t="s">
        <v>3404</v>
      </c>
      <c r="D2689" s="16" t="s">
        <v>3409</v>
      </c>
    </row>
    <row r="2690" spans="1:4">
      <c r="A2690" s="16">
        <v>6030000000</v>
      </c>
      <c r="B2690" s="16">
        <v>15827694</v>
      </c>
      <c r="C2690" s="16" t="s">
        <v>3420</v>
      </c>
      <c r="D2690" s="16" t="s">
        <v>3423</v>
      </c>
    </row>
    <row r="2691" spans="1:4">
      <c r="A2691" s="16">
        <v>4612000000</v>
      </c>
      <c r="B2691" s="16">
        <v>0</v>
      </c>
      <c r="C2691" s="16" t="s">
        <v>3428</v>
      </c>
      <c r="D2691" s="16" t="s">
        <v>3403</v>
      </c>
    </row>
    <row r="2692" spans="1:4">
      <c r="A2692" s="16">
        <v>2500000000</v>
      </c>
      <c r="B2692" s="16">
        <v>0</v>
      </c>
      <c r="C2692" s="16" t="s">
        <v>3412</v>
      </c>
      <c r="D2692" s="16" t="s">
        <v>3403</v>
      </c>
    </row>
    <row r="2693" spans="1:4">
      <c r="A2693" s="16">
        <v>6700200000</v>
      </c>
      <c r="B2693" s="16">
        <v>0</v>
      </c>
      <c r="C2693" s="16" t="s">
        <v>3404</v>
      </c>
      <c r="D2693" s="16" t="s">
        <v>3409</v>
      </c>
    </row>
    <row r="2694" spans="1:4">
      <c r="A2694" s="16">
        <v>6102000000</v>
      </c>
      <c r="B2694" s="16">
        <v>0</v>
      </c>
      <c r="C2694" s="16" t="s">
        <v>3425</v>
      </c>
      <c r="D2694" s="16" t="s">
        <v>3426</v>
      </c>
    </row>
    <row r="2695" spans="1:4">
      <c r="A2695" s="16">
        <v>6100000020</v>
      </c>
      <c r="B2695" s="16">
        <v>0</v>
      </c>
      <c r="C2695" s="16" t="s">
        <v>3416</v>
      </c>
      <c r="D2695" s="16" t="s">
        <v>3417</v>
      </c>
    </row>
    <row r="2696" spans="1:4">
      <c r="A2696" s="16">
        <v>3710000000</v>
      </c>
      <c r="B2696" s="16">
        <v>0</v>
      </c>
      <c r="C2696" s="16" t="s">
        <v>3402</v>
      </c>
      <c r="D2696" s="16" t="s">
        <v>3403</v>
      </c>
    </row>
    <row r="2697" spans="1:4">
      <c r="A2697" s="16">
        <v>6700400000</v>
      </c>
      <c r="B2697" s="16">
        <v>0</v>
      </c>
      <c r="C2697" s="16" t="s">
        <v>3404</v>
      </c>
      <c r="D2697" s="16" t="s">
        <v>3405</v>
      </c>
    </row>
    <row r="2698" spans="1:4">
      <c r="A2698" s="16">
        <v>3030000000</v>
      </c>
      <c r="B2698" s="16">
        <v>0</v>
      </c>
      <c r="C2698" s="16" t="s">
        <v>3402</v>
      </c>
      <c r="D2698" s="16" t="s">
        <v>3403</v>
      </c>
    </row>
    <row r="2699" spans="1:4">
      <c r="A2699" s="16">
        <v>6104000000</v>
      </c>
      <c r="B2699" s="16">
        <v>0</v>
      </c>
      <c r="C2699" s="16" t="s">
        <v>3427</v>
      </c>
      <c r="D2699" s="16" t="s">
        <v>3417</v>
      </c>
    </row>
    <row r="2700" spans="1:4">
      <c r="A2700" s="16">
        <v>2500000000</v>
      </c>
      <c r="B2700" s="16">
        <v>0</v>
      </c>
      <c r="C2700" s="16" t="s">
        <v>3412</v>
      </c>
      <c r="D2700" s="16" t="s">
        <v>3403</v>
      </c>
    </row>
    <row r="2701" spans="1:4">
      <c r="A2701" s="16">
        <v>6032000000</v>
      </c>
      <c r="B2701" s="16">
        <v>0</v>
      </c>
      <c r="C2701" s="16" t="s">
        <v>3429</v>
      </c>
      <c r="D2701" s="16" t="s">
        <v>3430</v>
      </c>
    </row>
    <row r="2702" spans="1:4">
      <c r="A2702" s="16">
        <v>6700000000</v>
      </c>
      <c r="B2702" s="16">
        <v>0</v>
      </c>
      <c r="C2702" s="16" t="s">
        <v>3404</v>
      </c>
      <c r="D2702" s="16" t="s">
        <v>3405</v>
      </c>
    </row>
    <row r="2703" spans="1:4">
      <c r="A2703" s="16">
        <v>6610000100</v>
      </c>
      <c r="B2703" s="16">
        <v>0</v>
      </c>
      <c r="C2703" s="16" t="s">
        <v>3413</v>
      </c>
      <c r="D2703" s="16" t="s">
        <v>3418</v>
      </c>
    </row>
    <row r="2704" spans="1:4">
      <c r="A2704" s="16">
        <v>6700400000</v>
      </c>
      <c r="B2704" s="16">
        <v>0</v>
      </c>
      <c r="C2704" s="16" t="s">
        <v>3404</v>
      </c>
      <c r="D2704" s="16" t="s">
        <v>3405</v>
      </c>
    </row>
    <row r="2705" spans="1:4">
      <c r="A2705" s="16">
        <v>6102000000</v>
      </c>
      <c r="B2705" s="16">
        <v>0</v>
      </c>
      <c r="C2705" s="16" t="s">
        <v>3425</v>
      </c>
      <c r="D2705" s="16" t="s">
        <v>3426</v>
      </c>
    </row>
    <row r="2706" spans="1:4">
      <c r="A2706" s="16">
        <v>6700700000</v>
      </c>
      <c r="B2706" s="16">
        <v>0</v>
      </c>
      <c r="C2706" s="16" t="s">
        <v>3404</v>
      </c>
      <c r="D2706" s="16" t="s">
        <v>3409</v>
      </c>
    </row>
    <row r="2707" spans="1:4">
      <c r="A2707" s="16">
        <v>5052000000</v>
      </c>
      <c r="B2707" s="16">
        <v>0</v>
      </c>
      <c r="C2707" s="16" t="s">
        <v>3406</v>
      </c>
      <c r="D2707" s="16" t="s">
        <v>3422</v>
      </c>
    </row>
    <row r="2708" spans="1:4">
      <c r="A2708" s="16">
        <v>6700100000</v>
      </c>
      <c r="B2708" s="16">
        <v>0</v>
      </c>
      <c r="C2708" s="16" t="s">
        <v>3404</v>
      </c>
      <c r="D2708" s="16" t="s">
        <v>3410</v>
      </c>
    </row>
    <row r="2709" spans="1:4">
      <c r="A2709" s="16">
        <v>3103001000</v>
      </c>
      <c r="B2709" s="16">
        <v>0</v>
      </c>
      <c r="C2709" s="16" t="s">
        <v>3402</v>
      </c>
      <c r="D2709" s="16" t="s">
        <v>3403</v>
      </c>
    </row>
    <row r="2710" spans="1:4">
      <c r="A2710" s="16">
        <v>6610100100</v>
      </c>
      <c r="B2710" s="16">
        <v>0</v>
      </c>
      <c r="C2710" s="16" t="s">
        <v>3413</v>
      </c>
      <c r="D2710" s="16" t="s">
        <v>3414</v>
      </c>
    </row>
    <row r="2711" spans="1:4">
      <c r="A2711" s="16">
        <v>3103000000</v>
      </c>
      <c r="B2711" s="16">
        <v>0</v>
      </c>
      <c r="C2711" s="16" t="s">
        <v>3402</v>
      </c>
      <c r="D2711" s="16" t="s">
        <v>3403</v>
      </c>
    </row>
    <row r="2712" spans="1:4">
      <c r="A2712" s="16">
        <v>6700500000</v>
      </c>
      <c r="B2712" s="16">
        <v>0</v>
      </c>
      <c r="C2712" s="16" t="s">
        <v>3404</v>
      </c>
      <c r="D2712" s="16" t="s">
        <v>3405</v>
      </c>
    </row>
    <row r="2713" spans="1:4">
      <c r="A2713" s="16">
        <v>3030000000</v>
      </c>
      <c r="B2713" s="16">
        <v>-15827694</v>
      </c>
      <c r="C2713" s="16" t="s">
        <v>3402</v>
      </c>
      <c r="D2713" s="16" t="s">
        <v>3403</v>
      </c>
    </row>
    <row r="2714" spans="1:4">
      <c r="A2714" s="16">
        <v>5010000000</v>
      </c>
      <c r="B2714" s="16">
        <v>0</v>
      </c>
      <c r="C2714" s="16" t="s">
        <v>3406</v>
      </c>
      <c r="D2714" s="16" t="s">
        <v>3411</v>
      </c>
    </row>
    <row r="2715" spans="1:4">
      <c r="A2715" s="16">
        <v>6700100000</v>
      </c>
      <c r="B2715" s="16">
        <v>0</v>
      </c>
      <c r="C2715" s="16" t="s">
        <v>3404</v>
      </c>
      <c r="D2715" s="16" t="s">
        <v>3410</v>
      </c>
    </row>
    <row r="2716" spans="1:4">
      <c r="A2716" s="16">
        <v>2500000000</v>
      </c>
      <c r="B2716" s="16">
        <v>0</v>
      </c>
      <c r="C2716" s="16" t="s">
        <v>3412</v>
      </c>
      <c r="D2716" s="16" t="s">
        <v>3403</v>
      </c>
    </row>
    <row r="2717" spans="1:4">
      <c r="A2717" s="16">
        <v>3810000000</v>
      </c>
      <c r="B2717" s="16">
        <v>0</v>
      </c>
      <c r="C2717" s="16" t="s">
        <v>3402</v>
      </c>
      <c r="D2717" s="16" t="s">
        <v>3403</v>
      </c>
    </row>
    <row r="2718" spans="1:4">
      <c r="A2718" s="16">
        <v>3102000000</v>
      </c>
      <c r="B2718" s="16">
        <v>0</v>
      </c>
      <c r="C2718" s="16" t="s">
        <v>3424</v>
      </c>
      <c r="D2718" s="16" t="s">
        <v>3403</v>
      </c>
    </row>
    <row r="2719" spans="1:4">
      <c r="A2719" s="16">
        <v>3103000000</v>
      </c>
      <c r="B2719" s="16">
        <v>0</v>
      </c>
      <c r="C2719" s="16" t="s">
        <v>3402</v>
      </c>
      <c r="D2719" s="16" t="s">
        <v>3403</v>
      </c>
    </row>
    <row r="2720" spans="1:4">
      <c r="A2720" s="16">
        <v>5010000000</v>
      </c>
      <c r="B2720" s="16">
        <v>0</v>
      </c>
      <c r="C2720" s="16" t="s">
        <v>3406</v>
      </c>
      <c r="D2720" s="16" t="s">
        <v>3411</v>
      </c>
    </row>
    <row r="2721" spans="1:4">
      <c r="A2721" s="16">
        <v>3102000000</v>
      </c>
      <c r="B2721" s="16">
        <v>0</v>
      </c>
      <c r="C2721" s="16" t="s">
        <v>3424</v>
      </c>
      <c r="D2721" s="16" t="s">
        <v>3403</v>
      </c>
    </row>
    <row r="2722" spans="1:4">
      <c r="A2722" s="16">
        <v>2203000010</v>
      </c>
      <c r="B2722" s="16">
        <v>0</v>
      </c>
      <c r="C2722" s="16" t="s">
        <v>3415</v>
      </c>
      <c r="D2722" s="16" t="s">
        <v>3403</v>
      </c>
    </row>
    <row r="2723" spans="1:4">
      <c r="A2723" s="16">
        <v>6700500000</v>
      </c>
      <c r="B2723" s="16">
        <v>0</v>
      </c>
      <c r="C2723" s="16" t="s">
        <v>3404</v>
      </c>
      <c r="D2723" s="16" t="s">
        <v>3405</v>
      </c>
    </row>
    <row r="2724" spans="1:4">
      <c r="A2724" s="16">
        <v>2750010000</v>
      </c>
      <c r="B2724" s="16">
        <v>0</v>
      </c>
      <c r="C2724" s="16" t="s">
        <v>3419</v>
      </c>
      <c r="D2724" s="16" t="s">
        <v>3403</v>
      </c>
    </row>
    <row r="2725" spans="1:4">
      <c r="A2725" s="16">
        <v>2500000000</v>
      </c>
      <c r="B2725" s="16">
        <v>0</v>
      </c>
      <c r="C2725" s="16" t="s">
        <v>3412</v>
      </c>
      <c r="D2725" s="16" t="s">
        <v>3403</v>
      </c>
    </row>
    <row r="2726" spans="1:4">
      <c r="A2726" s="16">
        <v>2500000000</v>
      </c>
      <c r="B2726" s="16">
        <v>0</v>
      </c>
      <c r="C2726" s="16" t="s">
        <v>3412</v>
      </c>
      <c r="D2726" s="16" t="s">
        <v>3403</v>
      </c>
    </row>
    <row r="2727" spans="1:4">
      <c r="A2727" s="16">
        <v>6610100000</v>
      </c>
      <c r="B2727" s="16">
        <v>591792</v>
      </c>
      <c r="C2727" s="16" t="s">
        <v>3413</v>
      </c>
      <c r="D2727" s="16" t="s">
        <v>3414</v>
      </c>
    </row>
    <row r="2728" spans="1:4">
      <c r="A2728" s="16">
        <v>5050000000</v>
      </c>
      <c r="B2728" s="16">
        <v>0</v>
      </c>
      <c r="C2728" s="16" t="s">
        <v>3406</v>
      </c>
      <c r="D2728" s="16" t="s">
        <v>3422</v>
      </c>
    </row>
    <row r="2729" spans="1:4">
      <c r="A2729" s="16">
        <v>5010000000</v>
      </c>
      <c r="B2729" s="16">
        <v>0</v>
      </c>
      <c r="C2729" s="16" t="s">
        <v>3406</v>
      </c>
      <c r="D2729" s="16" t="s">
        <v>3411</v>
      </c>
    </row>
    <row r="2730" spans="1:4">
      <c r="A2730" s="16">
        <v>3102000000</v>
      </c>
      <c r="B2730" s="16">
        <v>0</v>
      </c>
      <c r="C2730" s="16" t="s">
        <v>3424</v>
      </c>
      <c r="D2730" s="16" t="s">
        <v>3403</v>
      </c>
    </row>
    <row r="2731" spans="1:4">
      <c r="A2731" s="16">
        <v>2203000000</v>
      </c>
      <c r="B2731" s="16">
        <v>0</v>
      </c>
      <c r="C2731" s="16" t="s">
        <v>3415</v>
      </c>
      <c r="D2731" s="16" t="s">
        <v>3403</v>
      </c>
    </row>
    <row r="2732" spans="1:4">
      <c r="A2732" s="16">
        <v>6102000000</v>
      </c>
      <c r="B2732" s="16">
        <v>0</v>
      </c>
      <c r="C2732" s="16" t="s">
        <v>3425</v>
      </c>
      <c r="D2732" s="16" t="s">
        <v>3426</v>
      </c>
    </row>
    <row r="2733" spans="1:4">
      <c r="A2733" s="16">
        <v>5010000010</v>
      </c>
      <c r="B2733" s="16">
        <v>0</v>
      </c>
      <c r="C2733" s="16" t="s">
        <v>3406</v>
      </c>
      <c r="D2733" s="16" t="s">
        <v>3411</v>
      </c>
    </row>
    <row r="2734" spans="1:4">
      <c r="A2734" s="16">
        <v>6610000000</v>
      </c>
      <c r="B2734" s="16">
        <v>0</v>
      </c>
      <c r="C2734" s="16" t="s">
        <v>3413</v>
      </c>
      <c r="D2734" s="16" t="s">
        <v>3418</v>
      </c>
    </row>
    <row r="2735" spans="1:4">
      <c r="A2735" s="16">
        <v>6102000000</v>
      </c>
      <c r="B2735" s="16">
        <v>0</v>
      </c>
      <c r="C2735" s="16" t="s">
        <v>3425</v>
      </c>
      <c r="D2735" s="16" t="s">
        <v>3426</v>
      </c>
    </row>
    <row r="2736" spans="1:4">
      <c r="A2736" s="16">
        <v>4612000000</v>
      </c>
      <c r="B2736" s="16">
        <v>0</v>
      </c>
      <c r="C2736" s="16" t="s">
        <v>3428</v>
      </c>
      <c r="D2736" s="16" t="s">
        <v>3403</v>
      </c>
    </row>
    <row r="2737" spans="1:4">
      <c r="A2737" s="16">
        <v>6700200000</v>
      </c>
      <c r="B2737" s="16">
        <v>0</v>
      </c>
      <c r="C2737" s="16" t="s">
        <v>3404</v>
      </c>
      <c r="D2737" s="16" t="s">
        <v>3409</v>
      </c>
    </row>
    <row r="2738" spans="1:4">
      <c r="A2738" s="16">
        <v>6610000100</v>
      </c>
      <c r="B2738" s="16">
        <v>0</v>
      </c>
      <c r="C2738" s="16" t="s">
        <v>3413</v>
      </c>
      <c r="D2738" s="16" t="s">
        <v>3418</v>
      </c>
    </row>
    <row r="2739" spans="1:4">
      <c r="A2739" s="16">
        <v>2750010000</v>
      </c>
      <c r="B2739" s="16">
        <v>1219</v>
      </c>
      <c r="C2739" s="16" t="s">
        <v>3419</v>
      </c>
      <c r="D2739" s="16" t="s">
        <v>3403</v>
      </c>
    </row>
    <row r="2740" spans="1:4">
      <c r="A2740" s="16">
        <v>5010000000</v>
      </c>
      <c r="B2740" s="16">
        <v>0</v>
      </c>
      <c r="C2740" s="16" t="s">
        <v>3406</v>
      </c>
      <c r="D2740" s="16" t="s">
        <v>3411</v>
      </c>
    </row>
    <row r="2741" spans="1:4">
      <c r="A2741" s="16">
        <v>5010000000</v>
      </c>
      <c r="B2741" s="16">
        <v>0</v>
      </c>
      <c r="C2741" s="16" t="s">
        <v>3406</v>
      </c>
      <c r="D2741" s="16" t="s">
        <v>3411</v>
      </c>
    </row>
    <row r="2742" spans="1:4">
      <c r="A2742" s="16">
        <v>6700200000</v>
      </c>
      <c r="B2742" s="16">
        <v>0</v>
      </c>
      <c r="C2742" s="16" t="s">
        <v>3404</v>
      </c>
      <c r="D2742" s="16" t="s">
        <v>3409</v>
      </c>
    </row>
    <row r="2743" spans="1:4">
      <c r="A2743" s="16">
        <v>5010100010</v>
      </c>
      <c r="B2743" s="16">
        <v>0</v>
      </c>
      <c r="C2743" s="16" t="s">
        <v>3406</v>
      </c>
      <c r="D2743" s="16" t="s">
        <v>3407</v>
      </c>
    </row>
    <row r="2744" spans="1:4">
      <c r="A2744" s="16">
        <v>4203000000</v>
      </c>
      <c r="B2744" s="16">
        <v>-591792</v>
      </c>
      <c r="C2744" s="16" t="s">
        <v>3408</v>
      </c>
      <c r="D2744" s="16" t="s">
        <v>3403</v>
      </c>
    </row>
    <row r="2745" spans="1:4">
      <c r="A2745" s="16">
        <v>3800000000</v>
      </c>
      <c r="B2745" s="16">
        <v>0</v>
      </c>
      <c r="C2745" s="16" t="s">
        <v>3402</v>
      </c>
      <c r="D2745" s="16" t="s">
        <v>3403</v>
      </c>
    </row>
    <row r="2746" spans="1:4">
      <c r="A2746" s="16">
        <v>6102000000</v>
      </c>
      <c r="B2746" s="16">
        <v>0</v>
      </c>
      <c r="C2746" s="16" t="s">
        <v>3425</v>
      </c>
      <c r="D2746" s="16" t="s">
        <v>3426</v>
      </c>
    </row>
    <row r="2747" spans="1:4">
      <c r="A2747" s="16">
        <v>6060110000</v>
      </c>
      <c r="B2747" s="16">
        <v>0</v>
      </c>
      <c r="C2747" s="16" t="s">
        <v>3420</v>
      </c>
      <c r="D2747" s="16" t="s">
        <v>3421</v>
      </c>
    </row>
    <row r="2748" spans="1:4">
      <c r="A2748" s="16">
        <v>6610000000</v>
      </c>
      <c r="B2748" s="16">
        <v>0</v>
      </c>
      <c r="C2748" s="16" t="s">
        <v>3413</v>
      </c>
      <c r="D2748" s="16" t="s">
        <v>3418</v>
      </c>
    </row>
    <row r="2749" spans="1:4">
      <c r="A2749" s="16">
        <v>3710000000</v>
      </c>
      <c r="B2749" s="16">
        <v>0</v>
      </c>
      <c r="C2749" s="16" t="s">
        <v>3402</v>
      </c>
      <c r="D2749" s="16" t="s">
        <v>3403</v>
      </c>
    </row>
    <row r="2750" spans="1:4">
      <c r="A2750" s="16">
        <v>6700600000</v>
      </c>
      <c r="B2750" s="16">
        <v>0</v>
      </c>
      <c r="C2750" s="16" t="s">
        <v>3404</v>
      </c>
      <c r="D2750" s="16" t="s">
        <v>3409</v>
      </c>
    </row>
    <row r="2751" spans="1:4">
      <c r="A2751" s="16">
        <v>6610100000</v>
      </c>
      <c r="B2751" s="16">
        <v>0</v>
      </c>
      <c r="C2751" s="16" t="s">
        <v>3413</v>
      </c>
      <c r="D2751" s="16" t="s">
        <v>3414</v>
      </c>
    </row>
    <row r="2752" spans="1:4">
      <c r="A2752" s="16">
        <v>4203000000</v>
      </c>
      <c r="B2752" s="16">
        <v>0</v>
      </c>
      <c r="C2752" s="16" t="s">
        <v>3408</v>
      </c>
      <c r="D2752" s="16" t="s">
        <v>3403</v>
      </c>
    </row>
    <row r="2753" spans="1:4">
      <c r="A2753" s="16">
        <v>2500000000</v>
      </c>
      <c r="B2753" s="16">
        <v>0</v>
      </c>
      <c r="C2753" s="16" t="s">
        <v>3412</v>
      </c>
      <c r="D2753" s="16" t="s">
        <v>3403</v>
      </c>
    </row>
    <row r="2754" spans="1:4">
      <c r="A2754" s="16">
        <v>6700200000</v>
      </c>
      <c r="B2754" s="16">
        <v>0</v>
      </c>
      <c r="C2754" s="16" t="s">
        <v>3404</v>
      </c>
      <c r="D2754" s="16" t="s">
        <v>3409</v>
      </c>
    </row>
    <row r="2755" spans="1:4">
      <c r="A2755" s="16">
        <v>6700000000</v>
      </c>
      <c r="B2755" s="16">
        <v>0</v>
      </c>
      <c r="C2755" s="16" t="s">
        <v>3404</v>
      </c>
      <c r="D2755" s="16" t="s">
        <v>3405</v>
      </c>
    </row>
    <row r="2756" spans="1:4">
      <c r="A2756" s="16">
        <v>3032000000</v>
      </c>
      <c r="B2756" s="16">
        <v>0</v>
      </c>
      <c r="C2756" s="16" t="s">
        <v>3424</v>
      </c>
      <c r="D2756" s="16" t="s">
        <v>3403</v>
      </c>
    </row>
    <row r="2757" spans="1:4">
      <c r="A2757" s="16">
        <v>6610100100</v>
      </c>
      <c r="B2757" s="16">
        <v>-1219</v>
      </c>
      <c r="C2757" s="16" t="s">
        <v>3413</v>
      </c>
      <c r="D2757" s="16" t="s">
        <v>3414</v>
      </c>
    </row>
    <row r="2758" spans="1:4">
      <c r="A2758" s="16">
        <v>6610000000</v>
      </c>
      <c r="B2758" s="16">
        <v>0</v>
      </c>
      <c r="C2758" s="16" t="s">
        <v>3413</v>
      </c>
      <c r="D2758" s="16" t="s">
        <v>3418</v>
      </c>
    </row>
    <row r="2759" spans="1:4">
      <c r="A2759" s="16">
        <v>6610100000</v>
      </c>
      <c r="B2759" s="16">
        <v>0</v>
      </c>
      <c r="C2759" s="16" t="s">
        <v>3413</v>
      </c>
      <c r="D2759" s="16" t="s">
        <v>3414</v>
      </c>
    </row>
    <row r="2760" spans="1:4">
      <c r="A2760" s="16">
        <v>6700100000</v>
      </c>
      <c r="B2760" s="16">
        <v>0</v>
      </c>
      <c r="C2760" s="16" t="s">
        <v>3404</v>
      </c>
      <c r="D2760" s="16" t="s">
        <v>3410</v>
      </c>
    </row>
    <row r="2761" spans="1:4">
      <c r="A2761" s="16">
        <v>3710000000</v>
      </c>
      <c r="B2761" s="16">
        <v>0</v>
      </c>
      <c r="C2761" s="16" t="s">
        <v>3402</v>
      </c>
      <c r="D2761" s="16" t="s">
        <v>3403</v>
      </c>
    </row>
    <row r="2762" spans="1:4">
      <c r="A2762" s="16">
        <v>6104001000</v>
      </c>
      <c r="B2762" s="16">
        <v>0</v>
      </c>
      <c r="C2762" s="16" t="s">
        <v>3427</v>
      </c>
      <c r="D2762" s="16" t="s">
        <v>3417</v>
      </c>
    </row>
    <row r="2763" spans="1:4">
      <c r="A2763" s="16">
        <v>4203000000</v>
      </c>
      <c r="B2763" s="16">
        <v>0</v>
      </c>
      <c r="C2763" s="16" t="s">
        <v>3408</v>
      </c>
      <c r="D2763" s="16" t="s">
        <v>3403</v>
      </c>
    </row>
    <row r="2764" spans="1:4">
      <c r="A2764" s="16">
        <v>6700400000</v>
      </c>
      <c r="B2764" s="16">
        <v>0</v>
      </c>
      <c r="C2764" s="16" t="s">
        <v>3404</v>
      </c>
      <c r="D2764" s="16" t="s">
        <v>3405</v>
      </c>
    </row>
    <row r="2765" spans="1:4">
      <c r="A2765" s="16">
        <v>4203000000</v>
      </c>
      <c r="B2765" s="16">
        <v>0</v>
      </c>
      <c r="C2765" s="16" t="s">
        <v>3408</v>
      </c>
      <c r="D2765" s="16" t="s">
        <v>3403</v>
      </c>
    </row>
    <row r="2766" spans="1:4">
      <c r="A2766" s="16">
        <v>2750010000</v>
      </c>
      <c r="B2766" s="16">
        <v>0</v>
      </c>
      <c r="C2766" s="16" t="s">
        <v>3419</v>
      </c>
      <c r="D2766" s="16" t="s">
        <v>3403</v>
      </c>
    </row>
    <row r="2767" spans="1:4">
      <c r="A2767" s="16">
        <v>5010000000</v>
      </c>
      <c r="B2767" s="16">
        <v>0</v>
      </c>
      <c r="C2767" s="16" t="s">
        <v>3406</v>
      </c>
      <c r="D2767" s="16" t="s">
        <v>3411</v>
      </c>
    </row>
    <row r="2768" spans="1:4">
      <c r="A2768" s="16">
        <v>6104000000</v>
      </c>
      <c r="B2768" s="16">
        <v>0</v>
      </c>
      <c r="C2768" s="16" t="s">
        <v>3416</v>
      </c>
      <c r="D2768" s="16" t="s">
        <v>3417</v>
      </c>
    </row>
    <row r="2769" spans="1:4">
      <c r="A2769" s="16">
        <v>6700100000</v>
      </c>
      <c r="B2769" s="16">
        <v>0</v>
      </c>
      <c r="C2769" s="16" t="s">
        <v>3404</v>
      </c>
      <c r="D2769" s="16" t="s">
        <v>3410</v>
      </c>
    </row>
    <row r="2770" spans="1:4">
      <c r="A2770" s="16">
        <v>6610100000</v>
      </c>
      <c r="B2770" s="16">
        <v>0</v>
      </c>
      <c r="C2770" s="16" t="s">
        <v>3413</v>
      </c>
      <c r="D2770" s="16" t="s">
        <v>3414</v>
      </c>
    </row>
    <row r="2771" spans="1:4">
      <c r="A2771" s="16">
        <v>6032000000</v>
      </c>
      <c r="B2771" s="16">
        <v>0</v>
      </c>
      <c r="C2771" s="16" t="s">
        <v>3429</v>
      </c>
      <c r="D2771" s="16" t="s">
        <v>3430</v>
      </c>
    </row>
    <row r="2772" spans="1:4">
      <c r="A2772" s="16">
        <v>4203000000</v>
      </c>
      <c r="B2772" s="16">
        <v>0</v>
      </c>
      <c r="C2772" s="16" t="s">
        <v>3408</v>
      </c>
      <c r="D2772" s="16" t="s">
        <v>3403</v>
      </c>
    </row>
    <row r="2773" spans="1:4">
      <c r="A2773" s="16">
        <v>5050010000</v>
      </c>
      <c r="B2773" s="16">
        <v>373</v>
      </c>
      <c r="C2773" s="16" t="s">
        <v>3406</v>
      </c>
      <c r="D2773" s="16" t="s">
        <v>3422</v>
      </c>
    </row>
    <row r="2774" spans="1:4">
      <c r="A2774" s="16">
        <v>4203000000</v>
      </c>
      <c r="B2774" s="16">
        <v>0</v>
      </c>
      <c r="C2774" s="16" t="s">
        <v>3408</v>
      </c>
      <c r="D2774" s="16" t="s">
        <v>3403</v>
      </c>
    </row>
    <row r="2775" spans="1:4">
      <c r="A2775" s="16">
        <v>5010000010</v>
      </c>
      <c r="B2775" s="16">
        <v>0</v>
      </c>
      <c r="C2775" s="16" t="s">
        <v>3406</v>
      </c>
      <c r="D2775" s="16" t="s">
        <v>3411</v>
      </c>
    </row>
    <row r="2776" spans="1:4">
      <c r="A2776" s="16">
        <v>6100000000</v>
      </c>
      <c r="B2776" s="16">
        <v>0</v>
      </c>
      <c r="C2776" s="16" t="s">
        <v>3416</v>
      </c>
      <c r="D2776" s="16" t="s">
        <v>3417</v>
      </c>
    </row>
    <row r="2777" spans="1:4">
      <c r="A2777" s="16">
        <v>6030000000</v>
      </c>
      <c r="B2777" s="16">
        <v>1850849</v>
      </c>
      <c r="C2777" s="16" t="s">
        <v>3432</v>
      </c>
      <c r="D2777" s="16" t="s">
        <v>3423</v>
      </c>
    </row>
    <row r="2778" spans="1:4">
      <c r="A2778" s="16">
        <v>3103001000</v>
      </c>
      <c r="B2778" s="16">
        <v>0</v>
      </c>
      <c r="C2778" s="16" t="s">
        <v>3402</v>
      </c>
      <c r="D2778" s="16" t="s">
        <v>3403</v>
      </c>
    </row>
    <row r="2779" spans="1:4">
      <c r="A2779" s="16">
        <v>6700600000</v>
      </c>
      <c r="B2779" s="16">
        <v>0</v>
      </c>
      <c r="C2779" s="16" t="s">
        <v>3404</v>
      </c>
      <c r="D2779" s="16" t="s">
        <v>3409</v>
      </c>
    </row>
    <row r="2780" spans="1:4">
      <c r="A2780" s="16">
        <v>6610100100</v>
      </c>
      <c r="B2780" s="16">
        <v>0</v>
      </c>
      <c r="C2780" s="16" t="s">
        <v>3413</v>
      </c>
      <c r="D2780" s="16" t="s">
        <v>3414</v>
      </c>
    </row>
    <row r="2781" spans="1:4">
      <c r="A2781" s="16">
        <v>3103000000</v>
      </c>
      <c r="B2781" s="16">
        <v>0</v>
      </c>
      <c r="C2781" s="16" t="s">
        <v>3402</v>
      </c>
      <c r="D2781" s="16" t="s">
        <v>3403</v>
      </c>
    </row>
    <row r="2782" spans="1:4">
      <c r="A2782" s="16">
        <v>4203000000</v>
      </c>
      <c r="B2782" s="16">
        <v>0</v>
      </c>
      <c r="C2782" s="16" t="s">
        <v>3408</v>
      </c>
      <c r="D2782" s="16" t="s">
        <v>3403</v>
      </c>
    </row>
    <row r="2783" spans="1:4">
      <c r="A2783" s="16">
        <v>6700200000</v>
      </c>
      <c r="B2783" s="16">
        <v>0</v>
      </c>
      <c r="C2783" s="16" t="s">
        <v>3404</v>
      </c>
      <c r="D2783" s="16" t="s">
        <v>3409</v>
      </c>
    </row>
    <row r="2784" spans="1:4">
      <c r="A2784" s="16">
        <v>5050000000</v>
      </c>
      <c r="B2784" s="16">
        <v>-373</v>
      </c>
      <c r="C2784" s="16" t="s">
        <v>3406</v>
      </c>
      <c r="D2784" s="16" t="s">
        <v>3422</v>
      </c>
    </row>
    <row r="2785" spans="1:4">
      <c r="A2785" s="16">
        <v>3710000000</v>
      </c>
      <c r="B2785" s="16">
        <v>0</v>
      </c>
      <c r="C2785" s="16" t="s">
        <v>3402</v>
      </c>
      <c r="D2785" s="16" t="s">
        <v>3403</v>
      </c>
    </row>
    <row r="2786" spans="1:4">
      <c r="A2786" s="16">
        <v>3102000000</v>
      </c>
      <c r="B2786" s="16">
        <v>0</v>
      </c>
      <c r="C2786" s="16" t="s">
        <v>3424</v>
      </c>
      <c r="D2786" s="16" t="s">
        <v>3403</v>
      </c>
    </row>
    <row r="2787" spans="1:4">
      <c r="A2787" s="16">
        <v>6700200000</v>
      </c>
      <c r="B2787" s="16">
        <v>173568773</v>
      </c>
      <c r="C2787" s="16" t="s">
        <v>3404</v>
      </c>
      <c r="D2787" s="16" t="s">
        <v>3409</v>
      </c>
    </row>
    <row r="2788" spans="1:4">
      <c r="A2788" s="16">
        <v>3100000000</v>
      </c>
      <c r="B2788" s="16">
        <v>0</v>
      </c>
      <c r="C2788" s="16" t="s">
        <v>3402</v>
      </c>
      <c r="D2788" s="16" t="s">
        <v>3403</v>
      </c>
    </row>
    <row r="2789" spans="1:4">
      <c r="A2789" s="16">
        <v>3030000000</v>
      </c>
      <c r="B2789" s="16">
        <v>-1850849</v>
      </c>
      <c r="C2789" s="16" t="s">
        <v>3402</v>
      </c>
      <c r="D2789" s="16" t="s">
        <v>3403</v>
      </c>
    </row>
    <row r="2790" spans="1:4">
      <c r="A2790" s="16">
        <v>6700400000</v>
      </c>
      <c r="B2790" s="16">
        <v>0</v>
      </c>
      <c r="C2790" s="16" t="s">
        <v>3404</v>
      </c>
      <c r="D2790" s="16" t="s">
        <v>3405</v>
      </c>
    </row>
    <row r="2791" spans="1:4">
      <c r="A2791" s="16">
        <v>6700000000</v>
      </c>
      <c r="B2791" s="16">
        <v>0</v>
      </c>
      <c r="C2791" s="16" t="s">
        <v>3404</v>
      </c>
      <c r="D2791" s="16" t="s">
        <v>3405</v>
      </c>
    </row>
    <row r="2792" spans="1:4">
      <c r="A2792" s="16">
        <v>2750010000</v>
      </c>
      <c r="B2792" s="16">
        <v>0</v>
      </c>
      <c r="C2792" s="16" t="s">
        <v>3419</v>
      </c>
      <c r="D2792" s="16" t="s">
        <v>3403</v>
      </c>
    </row>
    <row r="2793" spans="1:4">
      <c r="A2793" s="16">
        <v>6700600000</v>
      </c>
      <c r="B2793" s="16">
        <v>0</v>
      </c>
      <c r="C2793" s="16" t="s">
        <v>3404</v>
      </c>
      <c r="D2793" s="16" t="s">
        <v>3409</v>
      </c>
    </row>
    <row r="2794" spans="1:4">
      <c r="A2794" s="16">
        <v>6700200000</v>
      </c>
      <c r="B2794" s="16">
        <v>0</v>
      </c>
      <c r="C2794" s="16" t="s">
        <v>3404</v>
      </c>
      <c r="D2794" s="16" t="s">
        <v>3409</v>
      </c>
    </row>
    <row r="2795" spans="1:4">
      <c r="A2795" s="16">
        <v>6102000000</v>
      </c>
      <c r="B2795" s="16">
        <v>0</v>
      </c>
      <c r="C2795" s="16" t="s">
        <v>3425</v>
      </c>
      <c r="D2795" s="16" t="s">
        <v>3426</v>
      </c>
    </row>
    <row r="2796" spans="1:4">
      <c r="A2796" s="16">
        <v>6700100000</v>
      </c>
      <c r="B2796" s="16">
        <v>-173568773</v>
      </c>
      <c r="C2796" s="16" t="s">
        <v>3404</v>
      </c>
      <c r="D2796" s="16" t="s">
        <v>3410</v>
      </c>
    </row>
    <row r="2797" spans="1:4">
      <c r="A2797" s="16">
        <v>6700700000</v>
      </c>
      <c r="B2797" s="16">
        <v>0</v>
      </c>
      <c r="C2797" s="16" t="s">
        <v>3404</v>
      </c>
      <c r="D2797" s="16" t="s">
        <v>3409</v>
      </c>
    </row>
    <row r="2798" spans="1:4">
      <c r="A2798" s="16">
        <v>6700500000</v>
      </c>
      <c r="B2798" s="16">
        <v>0</v>
      </c>
      <c r="C2798" s="16" t="s">
        <v>3404</v>
      </c>
      <c r="D2798" s="16" t="s">
        <v>3405</v>
      </c>
    </row>
    <row r="2799" spans="1:4">
      <c r="A2799" s="16">
        <v>6610100000</v>
      </c>
      <c r="B2799" s="16">
        <v>0</v>
      </c>
      <c r="C2799" s="16" t="s">
        <v>3413</v>
      </c>
      <c r="D2799" s="16" t="s">
        <v>3414</v>
      </c>
    </row>
    <row r="2800" spans="1:4">
      <c r="A2800" s="16">
        <v>4203000000</v>
      </c>
      <c r="B2800" s="16">
        <v>0</v>
      </c>
      <c r="C2800" s="16" t="s">
        <v>3408</v>
      </c>
      <c r="D2800" s="16" t="s">
        <v>3403</v>
      </c>
    </row>
    <row r="2801" spans="1:4">
      <c r="A2801" s="16">
        <v>2500000000</v>
      </c>
      <c r="B2801" s="16">
        <v>252208476</v>
      </c>
      <c r="C2801" s="16" t="s">
        <v>3412</v>
      </c>
      <c r="D2801" s="16" t="s">
        <v>3403</v>
      </c>
    </row>
    <row r="2802" spans="1:4">
      <c r="A2802" s="16">
        <v>5010100000</v>
      </c>
      <c r="B2802" s="16">
        <v>-252208476</v>
      </c>
      <c r="C2802" s="16" t="s">
        <v>3406</v>
      </c>
      <c r="D2802" s="16" t="s">
        <v>3407</v>
      </c>
    </row>
    <row r="2803" spans="1:4">
      <c r="A2803" s="16">
        <v>6610000000</v>
      </c>
      <c r="B2803" s="16">
        <v>0</v>
      </c>
      <c r="C2803" s="16" t="s">
        <v>3413</v>
      </c>
      <c r="D2803" s="16" t="s">
        <v>3418</v>
      </c>
    </row>
    <row r="2804" spans="1:4">
      <c r="A2804" s="16">
        <v>4203000000</v>
      </c>
      <c r="B2804" s="16">
        <v>0</v>
      </c>
      <c r="C2804" s="16" t="s">
        <v>3408</v>
      </c>
      <c r="D2804" s="16" t="s">
        <v>3403</v>
      </c>
    </row>
    <row r="2805" spans="1:4">
      <c r="A2805" s="16">
        <v>3032000000</v>
      </c>
      <c r="B2805" s="16">
        <v>0</v>
      </c>
      <c r="C2805" s="16" t="s">
        <v>3424</v>
      </c>
      <c r="D2805" s="16" t="s">
        <v>3403</v>
      </c>
    </row>
    <row r="2806" spans="1:4">
      <c r="A2806" s="16">
        <v>6032000000</v>
      </c>
      <c r="B2806" s="16">
        <v>0</v>
      </c>
      <c r="C2806" s="16" t="s">
        <v>3429</v>
      </c>
      <c r="D2806" s="16" t="s">
        <v>3430</v>
      </c>
    </row>
    <row r="2807" spans="1:4">
      <c r="A2807" s="16">
        <v>6610100000</v>
      </c>
      <c r="B2807" s="16">
        <v>0</v>
      </c>
      <c r="C2807" s="16" t="s">
        <v>3413</v>
      </c>
      <c r="D2807" s="16" t="s">
        <v>3414</v>
      </c>
    </row>
    <row r="2808" spans="1:4">
      <c r="A2808" s="16">
        <v>4203000000</v>
      </c>
      <c r="B2808" s="16">
        <v>0</v>
      </c>
      <c r="C2808" s="16" t="s">
        <v>3408</v>
      </c>
      <c r="D2808" s="16" t="s">
        <v>3403</v>
      </c>
    </row>
    <row r="2809" spans="1:4">
      <c r="A2809" s="16">
        <v>3102000000</v>
      </c>
      <c r="B2809" s="16">
        <v>0</v>
      </c>
      <c r="C2809" s="16" t="s">
        <v>3424</v>
      </c>
      <c r="D2809" s="16" t="s">
        <v>3403</v>
      </c>
    </row>
    <row r="2810" spans="1:4">
      <c r="A2810" s="16">
        <v>6102000000</v>
      </c>
      <c r="B2810" s="16">
        <v>0</v>
      </c>
      <c r="C2810" s="16" t="s">
        <v>3425</v>
      </c>
      <c r="D2810" s="16" t="s">
        <v>3426</v>
      </c>
    </row>
    <row r="2811" spans="1:4">
      <c r="A2811" s="16">
        <v>6100000000</v>
      </c>
      <c r="B2811" s="16">
        <v>0</v>
      </c>
      <c r="C2811" s="16" t="s">
        <v>3416</v>
      </c>
      <c r="D2811" s="16" t="s">
        <v>3417</v>
      </c>
    </row>
    <row r="2812" spans="1:4">
      <c r="A2812" s="16">
        <v>3100000000</v>
      </c>
      <c r="B2812" s="16">
        <v>0</v>
      </c>
      <c r="C2812" s="16" t="s">
        <v>3402</v>
      </c>
      <c r="D2812" s="16" t="s">
        <v>3403</v>
      </c>
    </row>
    <row r="2813" spans="1:4">
      <c r="A2813" s="16">
        <v>6060010000</v>
      </c>
      <c r="B2813" s="16">
        <v>0</v>
      </c>
      <c r="C2813" s="16" t="s">
        <v>3420</v>
      </c>
      <c r="D2813" s="16" t="s">
        <v>3421</v>
      </c>
    </row>
    <row r="2814" spans="1:4">
      <c r="A2814" s="16">
        <v>5052000000</v>
      </c>
      <c r="B2814" s="16">
        <v>0</v>
      </c>
      <c r="C2814" s="16" t="s">
        <v>3406</v>
      </c>
      <c r="D2814" s="16" t="s">
        <v>3422</v>
      </c>
    </row>
    <row r="2815" spans="1:4">
      <c r="A2815" s="16">
        <v>2750010000</v>
      </c>
      <c r="B2815" s="16">
        <v>0</v>
      </c>
      <c r="C2815" s="16" t="s">
        <v>3419</v>
      </c>
      <c r="D2815" s="16" t="s">
        <v>3403</v>
      </c>
    </row>
    <row r="2816" spans="1:4">
      <c r="A2816" s="16">
        <v>6610000100</v>
      </c>
      <c r="B2816" s="16">
        <v>0</v>
      </c>
      <c r="C2816" s="16" t="s">
        <v>3413</v>
      </c>
      <c r="D2816" s="16" t="s">
        <v>3418</v>
      </c>
    </row>
    <row r="2817" spans="1:4">
      <c r="A2817" s="16">
        <v>2500000000</v>
      </c>
      <c r="B2817" s="16">
        <v>0</v>
      </c>
      <c r="C2817" s="16" t="s">
        <v>3412</v>
      </c>
      <c r="D2817" s="16" t="s">
        <v>3403</v>
      </c>
    </row>
    <row r="2818" spans="1:4">
      <c r="A2818" s="16">
        <v>5010100000</v>
      </c>
      <c r="B2818" s="16">
        <v>0</v>
      </c>
      <c r="C2818" s="16" t="s">
        <v>3406</v>
      </c>
      <c r="D2818" s="16" t="s">
        <v>3407</v>
      </c>
    </row>
    <row r="2819" spans="1:4">
      <c r="A2819" s="16">
        <v>2201300000</v>
      </c>
      <c r="B2819" s="16">
        <v>1141012</v>
      </c>
      <c r="C2819" s="16" t="s">
        <v>3415</v>
      </c>
      <c r="D2819" s="16" t="s">
        <v>3403</v>
      </c>
    </row>
    <row r="2820" spans="1:4">
      <c r="A2820" s="16">
        <v>6700600000</v>
      </c>
      <c r="B2820" s="16">
        <v>-1141012</v>
      </c>
      <c r="C2820" s="16" t="s">
        <v>3404</v>
      </c>
      <c r="D2820" s="16" t="s">
        <v>3409</v>
      </c>
    </row>
    <row r="2821" spans="1:4">
      <c r="A2821" s="16">
        <v>6700200000</v>
      </c>
      <c r="B2821" s="16">
        <v>0</v>
      </c>
      <c r="C2821" s="16" t="s">
        <v>3404</v>
      </c>
      <c r="D2821" s="16" t="s">
        <v>3409</v>
      </c>
    </row>
    <row r="2822" spans="1:4">
      <c r="A2822" s="16">
        <v>6700100000</v>
      </c>
      <c r="B2822" s="16">
        <v>0</v>
      </c>
      <c r="C2822" s="16" t="s">
        <v>3404</v>
      </c>
      <c r="D2822" s="16" t="s">
        <v>3410</v>
      </c>
    </row>
    <row r="2823" spans="1:4">
      <c r="A2823" s="16">
        <v>2500000000</v>
      </c>
      <c r="B2823" s="16">
        <v>18175821</v>
      </c>
      <c r="C2823" s="16" t="s">
        <v>3412</v>
      </c>
      <c r="D2823" s="16" t="s">
        <v>3403</v>
      </c>
    </row>
    <row r="2824" spans="1:4">
      <c r="A2824" s="16">
        <v>5010100000</v>
      </c>
      <c r="B2824" s="16">
        <v>-18175821</v>
      </c>
      <c r="C2824" s="16" t="s">
        <v>3406</v>
      </c>
      <c r="D2824" s="16" t="s">
        <v>3407</v>
      </c>
    </row>
    <row r="2825" spans="1:4">
      <c r="A2825" s="16">
        <v>6700200000</v>
      </c>
      <c r="B2825" s="16">
        <v>0</v>
      </c>
      <c r="C2825" s="16" t="s">
        <v>3404</v>
      </c>
      <c r="D2825" s="16" t="s">
        <v>3409</v>
      </c>
    </row>
    <row r="2826" spans="1:4">
      <c r="A2826" s="16">
        <v>6700000000</v>
      </c>
      <c r="B2826" s="16">
        <v>0</v>
      </c>
      <c r="C2826" s="16" t="s">
        <v>3404</v>
      </c>
      <c r="D2826" s="16" t="s">
        <v>3405</v>
      </c>
    </row>
    <row r="2827" spans="1:4">
      <c r="A2827" s="16">
        <v>3032000000</v>
      </c>
      <c r="B2827" s="16">
        <v>0</v>
      </c>
      <c r="C2827" s="16" t="s">
        <v>3424</v>
      </c>
      <c r="D2827" s="16" t="s">
        <v>3403</v>
      </c>
    </row>
    <row r="2828" spans="1:4">
      <c r="A2828" s="16">
        <v>6032000000</v>
      </c>
      <c r="B2828" s="16">
        <v>0</v>
      </c>
      <c r="C2828" s="16" t="s">
        <v>3429</v>
      </c>
      <c r="D2828" s="16" t="s">
        <v>3430</v>
      </c>
    </row>
    <row r="2829" spans="1:4">
      <c r="A2829" s="16">
        <v>6700700000</v>
      </c>
      <c r="B2829" s="16">
        <v>0</v>
      </c>
      <c r="C2829" s="16" t="s">
        <v>3404</v>
      </c>
      <c r="D2829" s="16" t="s">
        <v>3409</v>
      </c>
    </row>
    <row r="2830" spans="1:4">
      <c r="A2830" s="16">
        <v>6700500000</v>
      </c>
      <c r="B2830" s="16">
        <v>0</v>
      </c>
      <c r="C2830" s="16" t="s">
        <v>3404</v>
      </c>
      <c r="D2830" s="16" t="s">
        <v>3405</v>
      </c>
    </row>
    <row r="2831" spans="1:4">
      <c r="A2831" s="16">
        <v>6610000000</v>
      </c>
      <c r="B2831" s="16">
        <v>0</v>
      </c>
      <c r="C2831" s="16" t="s">
        <v>3413</v>
      </c>
      <c r="D2831" s="16" t="s">
        <v>3418</v>
      </c>
    </row>
    <row r="2832" spans="1:4">
      <c r="A2832" s="16">
        <v>4203000000</v>
      </c>
      <c r="B2832" s="16">
        <v>0</v>
      </c>
      <c r="C2832" s="16" t="s">
        <v>3408</v>
      </c>
      <c r="D2832" s="16" t="s">
        <v>3403</v>
      </c>
    </row>
    <row r="2833" spans="1:4">
      <c r="A2833" s="16">
        <v>6100000000</v>
      </c>
      <c r="B2833" s="16">
        <v>0</v>
      </c>
      <c r="C2833" s="16" t="s">
        <v>3416</v>
      </c>
      <c r="D2833" s="16" t="s">
        <v>3417</v>
      </c>
    </row>
    <row r="2834" spans="1:4">
      <c r="A2834" s="16">
        <v>3100000000</v>
      </c>
      <c r="B2834" s="16">
        <v>0</v>
      </c>
      <c r="C2834" s="16" t="s">
        <v>3402</v>
      </c>
      <c r="D2834" s="16" t="s">
        <v>3403</v>
      </c>
    </row>
    <row r="2835" spans="1:4">
      <c r="A2835" s="16">
        <v>6700600000</v>
      </c>
      <c r="B2835" s="16">
        <v>0</v>
      </c>
      <c r="C2835" s="16" t="s">
        <v>3404</v>
      </c>
      <c r="D2835" s="16" t="s">
        <v>3409</v>
      </c>
    </row>
    <row r="2836" spans="1:4">
      <c r="A2836" s="16">
        <v>6700400000</v>
      </c>
      <c r="B2836" s="16">
        <v>0</v>
      </c>
      <c r="C2836" s="16" t="s">
        <v>3404</v>
      </c>
      <c r="D2836" s="16" t="s">
        <v>3405</v>
      </c>
    </row>
    <row r="2837" spans="1:4">
      <c r="A2837" s="16">
        <v>6030000000</v>
      </c>
      <c r="B2837" s="16">
        <v>189</v>
      </c>
      <c r="C2837" s="16" t="s">
        <v>3420</v>
      </c>
      <c r="D2837" s="16" t="s">
        <v>3423</v>
      </c>
    </row>
    <row r="2838" spans="1:4">
      <c r="A2838" s="16">
        <v>3030000000</v>
      </c>
      <c r="B2838" s="16">
        <v>-189</v>
      </c>
      <c r="C2838" s="16" t="s">
        <v>3402</v>
      </c>
      <c r="D2838" s="16" t="s">
        <v>3403</v>
      </c>
    </row>
    <row r="2839" spans="1:4">
      <c r="A2839" s="16">
        <v>6700700000</v>
      </c>
      <c r="B2839" s="16">
        <v>0</v>
      </c>
      <c r="C2839" s="16" t="s">
        <v>3404</v>
      </c>
      <c r="D2839" s="16" t="s">
        <v>3409</v>
      </c>
    </row>
    <row r="2840" spans="1:4">
      <c r="A2840" s="16">
        <v>6700500000</v>
      </c>
      <c r="B2840" s="16">
        <v>0</v>
      </c>
      <c r="C2840" s="16" t="s">
        <v>3404</v>
      </c>
      <c r="D2840" s="16" t="s">
        <v>3405</v>
      </c>
    </row>
    <row r="2841" spans="1:4">
      <c r="A2841" s="16">
        <v>2500000000</v>
      </c>
      <c r="B2841" s="16">
        <v>0</v>
      </c>
      <c r="C2841" s="16" t="s">
        <v>3412</v>
      </c>
      <c r="D2841" s="16" t="s">
        <v>3403</v>
      </c>
    </row>
    <row r="2842" spans="1:4">
      <c r="A2842" s="16">
        <v>5010000000</v>
      </c>
      <c r="B2842" s="16">
        <v>0</v>
      </c>
      <c r="C2842" s="16" t="s">
        <v>3406</v>
      </c>
      <c r="D2842" s="16" t="s">
        <v>3411</v>
      </c>
    </row>
    <row r="2843" spans="1:4">
      <c r="A2843" s="16">
        <v>6100000020</v>
      </c>
      <c r="B2843" s="16">
        <v>0</v>
      </c>
      <c r="C2843" s="16" t="s">
        <v>3416</v>
      </c>
      <c r="D2843" s="16" t="s">
        <v>3417</v>
      </c>
    </row>
    <row r="2844" spans="1:4">
      <c r="A2844" s="16">
        <v>3810000000</v>
      </c>
      <c r="B2844" s="16">
        <v>0</v>
      </c>
      <c r="C2844" s="16" t="s">
        <v>3402</v>
      </c>
      <c r="D2844" s="16" t="s">
        <v>3403</v>
      </c>
    </row>
    <row r="2845" spans="1:4">
      <c r="A2845" s="16">
        <v>6700600000</v>
      </c>
      <c r="B2845" s="16">
        <v>0</v>
      </c>
      <c r="C2845" s="16" t="s">
        <v>3404</v>
      </c>
      <c r="D2845" s="16" t="s">
        <v>3409</v>
      </c>
    </row>
    <row r="2846" spans="1:4">
      <c r="A2846" s="16">
        <v>6700400000</v>
      </c>
      <c r="B2846" s="16">
        <v>0</v>
      </c>
      <c r="C2846" s="16" t="s">
        <v>3404</v>
      </c>
      <c r="D2846" s="16" t="s">
        <v>3405</v>
      </c>
    </row>
    <row r="2847" spans="1:4">
      <c r="A2847" s="16">
        <v>3102000000</v>
      </c>
      <c r="B2847" s="16">
        <v>0</v>
      </c>
      <c r="C2847" s="16" t="s">
        <v>3424</v>
      </c>
      <c r="D2847" s="16" t="s">
        <v>3403</v>
      </c>
    </row>
    <row r="2848" spans="1:4">
      <c r="A2848" s="16">
        <v>6102000000</v>
      </c>
      <c r="B2848" s="16">
        <v>0</v>
      </c>
      <c r="C2848" s="16" t="s">
        <v>3425</v>
      </c>
      <c r="D2848" s="16" t="s">
        <v>3426</v>
      </c>
    </row>
    <row r="2849" spans="1:4">
      <c r="A2849" s="16">
        <v>2500000000</v>
      </c>
      <c r="B2849" s="16">
        <v>0</v>
      </c>
      <c r="C2849" s="16" t="s">
        <v>3412</v>
      </c>
      <c r="D2849" s="16" t="s">
        <v>3403</v>
      </c>
    </row>
    <row r="2850" spans="1:4">
      <c r="A2850" s="16">
        <v>5010000000</v>
      </c>
      <c r="B2850" s="16">
        <v>0</v>
      </c>
      <c r="C2850" s="16" t="s">
        <v>3406</v>
      </c>
      <c r="D2850" s="16" t="s">
        <v>3411</v>
      </c>
    </row>
    <row r="2851" spans="1:4">
      <c r="A2851" s="16">
        <v>2500000000</v>
      </c>
      <c r="B2851" s="16">
        <v>0</v>
      </c>
      <c r="C2851" s="16" t="s">
        <v>3412</v>
      </c>
      <c r="D2851" s="16" t="s">
        <v>3403</v>
      </c>
    </row>
    <row r="2852" spans="1:4">
      <c r="A2852" s="16">
        <v>5010000000</v>
      </c>
      <c r="B2852" s="16">
        <v>0</v>
      </c>
      <c r="C2852" s="16" t="s">
        <v>3406</v>
      </c>
      <c r="D2852" s="16" t="s">
        <v>3411</v>
      </c>
    </row>
    <row r="2853" spans="1:4">
      <c r="A2853" s="16">
        <v>2201000000</v>
      </c>
      <c r="B2853" s="16">
        <v>0</v>
      </c>
      <c r="C2853" s="16" t="s">
        <v>3415</v>
      </c>
      <c r="D2853" s="16" t="s">
        <v>3403</v>
      </c>
    </row>
    <row r="2854" spans="1:4">
      <c r="A2854" s="16">
        <v>6700200000</v>
      </c>
      <c r="B2854" s="16">
        <v>0</v>
      </c>
      <c r="C2854" s="16" t="s">
        <v>3404</v>
      </c>
      <c r="D2854" s="16" t="s">
        <v>3409</v>
      </c>
    </row>
    <row r="2855" spans="1:4">
      <c r="A2855" s="16">
        <v>2500000000</v>
      </c>
      <c r="B2855" s="16">
        <v>0</v>
      </c>
      <c r="C2855" s="16" t="s">
        <v>3412</v>
      </c>
      <c r="D2855" s="16" t="s">
        <v>3403</v>
      </c>
    </row>
    <row r="2856" spans="1:4">
      <c r="A2856" s="16">
        <v>5010100000</v>
      </c>
      <c r="B2856" s="16">
        <v>0</v>
      </c>
      <c r="C2856" s="16" t="s">
        <v>3406</v>
      </c>
      <c r="D2856" s="16" t="s">
        <v>3407</v>
      </c>
    </row>
    <row r="2857" spans="1:4">
      <c r="A2857" s="16">
        <v>3102000000</v>
      </c>
      <c r="B2857" s="16">
        <v>0</v>
      </c>
      <c r="C2857" s="16" t="s">
        <v>3424</v>
      </c>
      <c r="D2857" s="16" t="s">
        <v>3403</v>
      </c>
    </row>
    <row r="2858" spans="1:4">
      <c r="A2858" s="16">
        <v>6102000000</v>
      </c>
      <c r="B2858" s="16">
        <v>0</v>
      </c>
      <c r="C2858" s="16" t="s">
        <v>3425</v>
      </c>
      <c r="D2858" s="16" t="s">
        <v>3426</v>
      </c>
    </row>
    <row r="2859" spans="1:4">
      <c r="A2859" s="16">
        <v>5010000010</v>
      </c>
      <c r="B2859" s="16">
        <v>0</v>
      </c>
      <c r="C2859" s="16" t="s">
        <v>3406</v>
      </c>
      <c r="D2859" s="16" t="s">
        <v>3411</v>
      </c>
    </row>
    <row r="2860" spans="1:4">
      <c r="A2860" s="16">
        <v>3710000000</v>
      </c>
      <c r="B2860" s="16">
        <v>0</v>
      </c>
      <c r="C2860" s="16" t="s">
        <v>3402</v>
      </c>
      <c r="D2860" s="16" t="s">
        <v>3403</v>
      </c>
    </row>
    <row r="2861" spans="1:4">
      <c r="A2861" s="16">
        <v>6104001000</v>
      </c>
      <c r="B2861" s="16">
        <v>0</v>
      </c>
      <c r="C2861" s="16" t="s">
        <v>3416</v>
      </c>
      <c r="D2861" s="16" t="s">
        <v>3417</v>
      </c>
    </row>
    <row r="2862" spans="1:4">
      <c r="A2862" s="16">
        <v>3103001000</v>
      </c>
      <c r="B2862" s="16">
        <v>0</v>
      </c>
      <c r="C2862" s="16" t="s">
        <v>3402</v>
      </c>
      <c r="D2862" s="16" t="s">
        <v>3403</v>
      </c>
    </row>
    <row r="2863" spans="1:4">
      <c r="A2863" s="16">
        <v>6700700000</v>
      </c>
      <c r="B2863" s="16">
        <v>0</v>
      </c>
      <c r="C2863" s="16" t="s">
        <v>3404</v>
      </c>
      <c r="D2863" s="16" t="s">
        <v>3409</v>
      </c>
    </row>
    <row r="2864" spans="1:4">
      <c r="A2864" s="16">
        <v>6700500000</v>
      </c>
      <c r="B2864" s="16">
        <v>0</v>
      </c>
      <c r="C2864" s="16" t="s">
        <v>3404</v>
      </c>
      <c r="D2864" s="16" t="s">
        <v>3405</v>
      </c>
    </row>
    <row r="2865" spans="1:4">
      <c r="A2865" s="16">
        <v>6700700000</v>
      </c>
      <c r="B2865" s="16">
        <v>0</v>
      </c>
      <c r="C2865" s="16" t="s">
        <v>3404</v>
      </c>
      <c r="D2865" s="16" t="s">
        <v>3409</v>
      </c>
    </row>
    <row r="2866" spans="1:4">
      <c r="A2866" s="16">
        <v>6700500000</v>
      </c>
      <c r="B2866" s="16">
        <v>0</v>
      </c>
      <c r="C2866" s="16" t="s">
        <v>3404</v>
      </c>
      <c r="D2866" s="16" t="s">
        <v>3405</v>
      </c>
    </row>
    <row r="2867" spans="1:4">
      <c r="A2867" s="16">
        <v>6104000000</v>
      </c>
      <c r="B2867" s="16">
        <v>0</v>
      </c>
      <c r="C2867" s="16" t="s">
        <v>3427</v>
      </c>
      <c r="D2867" s="16" t="s">
        <v>3417</v>
      </c>
    </row>
    <row r="2868" spans="1:4">
      <c r="A2868" s="16">
        <v>3103000000</v>
      </c>
      <c r="B2868" s="16">
        <v>0</v>
      </c>
      <c r="C2868" s="16" t="s">
        <v>3402</v>
      </c>
      <c r="D2868" s="16" t="s">
        <v>3403</v>
      </c>
    </row>
    <row r="2869" spans="1:4">
      <c r="A2869" s="16">
        <v>2500000000</v>
      </c>
      <c r="B2869" s="16">
        <v>0</v>
      </c>
      <c r="C2869" s="16" t="s">
        <v>3412</v>
      </c>
      <c r="D2869" s="16" t="s">
        <v>3403</v>
      </c>
    </row>
    <row r="2870" spans="1:4">
      <c r="A2870" s="16">
        <v>5010000000</v>
      </c>
      <c r="B2870" s="16">
        <v>0</v>
      </c>
      <c r="C2870" s="16" t="s">
        <v>3406</v>
      </c>
      <c r="D2870" s="16" t="s">
        <v>3411</v>
      </c>
    </row>
    <row r="2871" spans="1:4">
      <c r="A2871" s="16">
        <v>6100000000</v>
      </c>
      <c r="B2871" s="16">
        <v>0</v>
      </c>
      <c r="C2871" s="16" t="s">
        <v>3427</v>
      </c>
      <c r="D2871" s="16" t="s">
        <v>3417</v>
      </c>
    </row>
    <row r="2872" spans="1:4">
      <c r="A2872" s="16">
        <v>3100000000</v>
      </c>
      <c r="B2872" s="16">
        <v>0</v>
      </c>
      <c r="C2872" s="16" t="s">
        <v>3402</v>
      </c>
      <c r="D2872" s="16" t="s">
        <v>3403</v>
      </c>
    </row>
    <row r="2873" spans="1:4">
      <c r="A2873" s="16">
        <v>6030000000</v>
      </c>
      <c r="B2873" s="16">
        <v>0</v>
      </c>
      <c r="C2873" s="16" t="s">
        <v>3420</v>
      </c>
      <c r="D2873" s="16" t="s">
        <v>3423</v>
      </c>
    </row>
    <row r="2874" spans="1:4">
      <c r="A2874" s="16">
        <v>3030000000</v>
      </c>
      <c r="B2874" s="16">
        <v>0</v>
      </c>
      <c r="C2874" s="16" t="s">
        <v>3402</v>
      </c>
      <c r="D2874" s="16" t="s">
        <v>3403</v>
      </c>
    </row>
    <row r="2875" spans="1:4">
      <c r="A2875" s="16">
        <v>6030000000</v>
      </c>
      <c r="B2875" s="16">
        <v>0</v>
      </c>
      <c r="C2875" s="16" t="s">
        <v>3420</v>
      </c>
      <c r="D2875" s="16" t="s">
        <v>3423</v>
      </c>
    </row>
    <row r="2876" spans="1:4">
      <c r="A2876" s="16">
        <v>3030000000</v>
      </c>
      <c r="B2876" s="16">
        <v>0</v>
      </c>
      <c r="C2876" s="16" t="s">
        <v>3402</v>
      </c>
      <c r="D2876" s="16" t="s">
        <v>3403</v>
      </c>
    </row>
    <row r="2877" spans="1:4">
      <c r="A2877" s="16">
        <v>6700700000</v>
      </c>
      <c r="B2877" s="16">
        <v>0</v>
      </c>
      <c r="C2877" s="16" t="s">
        <v>3404</v>
      </c>
      <c r="D2877" s="16" t="s">
        <v>3409</v>
      </c>
    </row>
    <row r="2878" spans="1:4">
      <c r="A2878" s="16">
        <v>6700500000</v>
      </c>
      <c r="B2878" s="16">
        <v>0</v>
      </c>
      <c r="C2878" s="16" t="s">
        <v>3404</v>
      </c>
      <c r="D2878" s="16" t="s">
        <v>3405</v>
      </c>
    </row>
    <row r="2879" spans="1:4">
      <c r="A2879" s="16">
        <v>5010100010</v>
      </c>
      <c r="B2879" s="16">
        <v>185807</v>
      </c>
      <c r="C2879" s="16" t="s">
        <v>3406</v>
      </c>
      <c r="D2879" s="16" t="s">
        <v>3407</v>
      </c>
    </row>
    <row r="2880" spans="1:4">
      <c r="A2880" s="16">
        <v>3710000000</v>
      </c>
      <c r="B2880" s="16">
        <v>-185807</v>
      </c>
      <c r="C2880" s="16" t="s">
        <v>3402</v>
      </c>
      <c r="D2880" s="16" t="s">
        <v>3403</v>
      </c>
    </row>
    <row r="2881" spans="1:4">
      <c r="A2881" s="16">
        <v>6700600000</v>
      </c>
      <c r="B2881" s="16">
        <v>0</v>
      </c>
      <c r="C2881" s="16" t="s">
        <v>3404</v>
      </c>
      <c r="D2881" s="16" t="s">
        <v>3409</v>
      </c>
    </row>
    <row r="2882" spans="1:4">
      <c r="A2882" s="16">
        <v>6700400000</v>
      </c>
      <c r="B2882" s="16">
        <v>0</v>
      </c>
      <c r="C2882" s="16" t="s">
        <v>3404</v>
      </c>
      <c r="D2882" s="16" t="s">
        <v>3405</v>
      </c>
    </row>
    <row r="2883" spans="1:4">
      <c r="A2883" s="16">
        <v>6610000000</v>
      </c>
      <c r="B2883" s="16">
        <v>0</v>
      </c>
      <c r="C2883" s="16" t="s">
        <v>3413</v>
      </c>
      <c r="D2883" s="16" t="s">
        <v>3418</v>
      </c>
    </row>
    <row r="2884" spans="1:4">
      <c r="A2884" s="16">
        <v>4203000000</v>
      </c>
      <c r="B2884" s="16">
        <v>0</v>
      </c>
      <c r="C2884" s="16" t="s">
        <v>3408</v>
      </c>
      <c r="D2884" s="16" t="s">
        <v>3403</v>
      </c>
    </row>
    <row r="2885" spans="1:4">
      <c r="A2885" s="16">
        <v>2500000000</v>
      </c>
      <c r="B2885" s="16">
        <v>0</v>
      </c>
      <c r="C2885" s="16" t="s">
        <v>3412</v>
      </c>
      <c r="D2885" s="16" t="s">
        <v>3403</v>
      </c>
    </row>
    <row r="2886" spans="1:4">
      <c r="A2886" s="16">
        <v>5010000000</v>
      </c>
      <c r="B2886" s="16">
        <v>0</v>
      </c>
      <c r="C2886" s="16" t="s">
        <v>3406</v>
      </c>
      <c r="D2886" s="16" t="s">
        <v>3411</v>
      </c>
    </row>
    <row r="2887" spans="1:4">
      <c r="A2887" s="16">
        <v>6700600000</v>
      </c>
      <c r="B2887" s="16">
        <v>0</v>
      </c>
      <c r="C2887" s="16" t="s">
        <v>3404</v>
      </c>
      <c r="D2887" s="16" t="s">
        <v>3409</v>
      </c>
    </row>
    <row r="2888" spans="1:4">
      <c r="A2888" s="16">
        <v>6700400000</v>
      </c>
      <c r="B2888" s="16">
        <v>0</v>
      </c>
      <c r="C2888" s="16" t="s">
        <v>3404</v>
      </c>
      <c r="D2888" s="16" t="s">
        <v>3405</v>
      </c>
    </row>
    <row r="2889" spans="1:4">
      <c r="A2889" s="16">
        <v>3032000000</v>
      </c>
      <c r="B2889" s="16">
        <v>0</v>
      </c>
      <c r="C2889" s="16" t="s">
        <v>3424</v>
      </c>
      <c r="D2889" s="16" t="s">
        <v>3403</v>
      </c>
    </row>
    <row r="2890" spans="1:4">
      <c r="A2890" s="16">
        <v>6032000000</v>
      </c>
      <c r="B2890" s="16">
        <v>0</v>
      </c>
      <c r="C2890" s="16" t="s">
        <v>3429</v>
      </c>
      <c r="D2890" s="16" t="s">
        <v>3430</v>
      </c>
    </row>
    <row r="2891" spans="1:4">
      <c r="A2891" s="16">
        <v>6610000000</v>
      </c>
      <c r="B2891" s="16">
        <v>0</v>
      </c>
      <c r="C2891" s="16" t="s">
        <v>3413</v>
      </c>
      <c r="D2891" s="16" t="s">
        <v>3418</v>
      </c>
    </row>
    <row r="2892" spans="1:4">
      <c r="A2892" s="16">
        <v>4203000000</v>
      </c>
      <c r="B2892" s="16">
        <v>0</v>
      </c>
      <c r="C2892" s="16" t="s">
        <v>3408</v>
      </c>
      <c r="D2892" s="16" t="s">
        <v>3403</v>
      </c>
    </row>
    <row r="2893" spans="1:4">
      <c r="A2893" s="16">
        <v>6610000000</v>
      </c>
      <c r="B2893" s="16">
        <v>0</v>
      </c>
      <c r="C2893" s="16" t="s">
        <v>3413</v>
      </c>
      <c r="D2893" s="16" t="s">
        <v>3418</v>
      </c>
    </row>
    <row r="2894" spans="1:4">
      <c r="A2894" s="16">
        <v>4203000000</v>
      </c>
      <c r="B2894" s="16">
        <v>0</v>
      </c>
      <c r="C2894" s="16" t="s">
        <v>3408</v>
      </c>
      <c r="D2894" s="16" t="s">
        <v>3403</v>
      </c>
    </row>
    <row r="2895" spans="1:4">
      <c r="A2895" s="16">
        <v>6610100000</v>
      </c>
      <c r="B2895" s="16">
        <v>0</v>
      </c>
      <c r="C2895" s="16" t="s">
        <v>3413</v>
      </c>
      <c r="D2895" s="16" t="s">
        <v>3414</v>
      </c>
    </row>
    <row r="2896" spans="1:4">
      <c r="A2896" s="16">
        <v>4203000000</v>
      </c>
      <c r="B2896" s="16">
        <v>0</v>
      </c>
      <c r="C2896" s="16" t="s">
        <v>3408</v>
      </c>
      <c r="D2896" s="16" t="s">
        <v>3403</v>
      </c>
    </row>
    <row r="2897" spans="1:4">
      <c r="A2897" s="16">
        <v>6030000000</v>
      </c>
      <c r="B2897" s="16">
        <v>11188752</v>
      </c>
      <c r="C2897" s="16" t="s">
        <v>3432</v>
      </c>
      <c r="D2897" s="16" t="s">
        <v>3423</v>
      </c>
    </row>
    <row r="2898" spans="1:4">
      <c r="A2898" s="16">
        <v>3030000000</v>
      </c>
      <c r="B2898" s="16">
        <v>-11188752</v>
      </c>
      <c r="C2898" s="16" t="s">
        <v>3402</v>
      </c>
      <c r="D2898" s="16" t="s">
        <v>3403</v>
      </c>
    </row>
    <row r="2899" spans="1:4">
      <c r="A2899" s="16">
        <v>2750010000</v>
      </c>
      <c r="B2899" s="16">
        <v>0</v>
      </c>
      <c r="C2899" s="16" t="s">
        <v>3419</v>
      </c>
      <c r="D2899" s="16" t="s">
        <v>3403</v>
      </c>
    </row>
    <row r="2900" spans="1:4">
      <c r="A2900" s="16">
        <v>6610000100</v>
      </c>
      <c r="B2900" s="16">
        <v>0</v>
      </c>
      <c r="C2900" s="16" t="s">
        <v>3413</v>
      </c>
      <c r="D2900" s="16" t="s">
        <v>3418</v>
      </c>
    </row>
    <row r="2901" spans="1:4">
      <c r="A2901" s="16">
        <v>6700700000</v>
      </c>
      <c r="B2901" s="16">
        <v>0</v>
      </c>
      <c r="C2901" s="16" t="s">
        <v>3404</v>
      </c>
      <c r="D2901" s="16" t="s">
        <v>3409</v>
      </c>
    </row>
    <row r="2902" spans="1:4">
      <c r="A2902" s="16">
        <v>6700500000</v>
      </c>
      <c r="B2902" s="16">
        <v>0</v>
      </c>
      <c r="C2902" s="16" t="s">
        <v>3404</v>
      </c>
      <c r="D2902" s="16" t="s">
        <v>3405</v>
      </c>
    </row>
    <row r="2903" spans="1:4">
      <c r="A2903" s="16">
        <v>6700200000</v>
      </c>
      <c r="B2903" s="16">
        <v>0</v>
      </c>
      <c r="C2903" s="16" t="s">
        <v>3404</v>
      </c>
      <c r="D2903" s="16" t="s">
        <v>3409</v>
      </c>
    </row>
    <row r="2904" spans="1:4">
      <c r="A2904" s="16">
        <v>6700000000</v>
      </c>
      <c r="B2904" s="16">
        <v>0</v>
      </c>
      <c r="C2904" s="16" t="s">
        <v>3404</v>
      </c>
      <c r="D2904" s="16" t="s">
        <v>3405</v>
      </c>
    </row>
    <row r="2905" spans="1:4">
      <c r="A2905" s="16">
        <v>2201000000</v>
      </c>
      <c r="B2905" s="16">
        <v>0</v>
      </c>
      <c r="C2905" s="16" t="s">
        <v>3415</v>
      </c>
      <c r="D2905" s="16" t="s">
        <v>3403</v>
      </c>
    </row>
    <row r="2906" spans="1:4">
      <c r="A2906" s="16">
        <v>6700200000</v>
      </c>
      <c r="B2906" s="16">
        <v>0</v>
      </c>
      <c r="C2906" s="16" t="s">
        <v>3404</v>
      </c>
      <c r="D2906" s="16" t="s">
        <v>3409</v>
      </c>
    </row>
    <row r="2907" spans="1:4">
      <c r="A2907" s="16">
        <v>2201000000</v>
      </c>
      <c r="B2907" s="16">
        <v>-32458467</v>
      </c>
      <c r="C2907" s="16" t="s">
        <v>3415</v>
      </c>
      <c r="D2907" s="16" t="s">
        <v>3403</v>
      </c>
    </row>
    <row r="2908" spans="1:4">
      <c r="A2908" s="16">
        <v>6700200000</v>
      </c>
      <c r="B2908" s="16">
        <v>32458467</v>
      </c>
      <c r="C2908" s="16" t="s">
        <v>3404</v>
      </c>
      <c r="D2908" s="16" t="s">
        <v>3409</v>
      </c>
    </row>
    <row r="2909" spans="1:4">
      <c r="A2909" s="16">
        <v>6700700000</v>
      </c>
      <c r="B2909" s="16">
        <v>0</v>
      </c>
      <c r="C2909" s="16" t="s">
        <v>3404</v>
      </c>
      <c r="D2909" s="16" t="s">
        <v>3409</v>
      </c>
    </row>
    <row r="2910" spans="1:4">
      <c r="A2910" s="16">
        <v>6700500000</v>
      </c>
      <c r="B2910" s="16">
        <v>0</v>
      </c>
      <c r="C2910" s="16" t="s">
        <v>3404</v>
      </c>
      <c r="D2910" s="16" t="s">
        <v>3405</v>
      </c>
    </row>
    <row r="2911" spans="1:4">
      <c r="A2911" s="16">
        <v>6150000000</v>
      </c>
      <c r="B2911" s="16">
        <v>0</v>
      </c>
      <c r="C2911" s="16" t="s">
        <v>3416</v>
      </c>
      <c r="D2911" s="16" t="s">
        <v>3417</v>
      </c>
    </row>
    <row r="2912" spans="1:4">
      <c r="A2912" s="16">
        <v>3510000000</v>
      </c>
      <c r="B2912" s="16">
        <v>0</v>
      </c>
      <c r="C2912" s="16" t="s">
        <v>3402</v>
      </c>
      <c r="D2912" s="16" t="s">
        <v>3403</v>
      </c>
    </row>
    <row r="2913" spans="1:4">
      <c r="A2913" s="16">
        <v>2203000000</v>
      </c>
      <c r="B2913" s="16">
        <v>0</v>
      </c>
      <c r="C2913" s="16" t="s">
        <v>3415</v>
      </c>
      <c r="D2913" s="16" t="s">
        <v>3403</v>
      </c>
    </row>
    <row r="2914" spans="1:4">
      <c r="A2914" s="16">
        <v>6060110000</v>
      </c>
      <c r="B2914" s="16">
        <v>0</v>
      </c>
      <c r="C2914" s="16" t="s">
        <v>3420</v>
      </c>
      <c r="D2914" s="16" t="s">
        <v>3421</v>
      </c>
    </row>
    <row r="2915" spans="1:4">
      <c r="A2915" s="16">
        <v>3032000000</v>
      </c>
      <c r="B2915" s="16">
        <v>0</v>
      </c>
      <c r="C2915" s="16" t="s">
        <v>3424</v>
      </c>
      <c r="D2915" s="16" t="s">
        <v>3403</v>
      </c>
    </row>
    <row r="2916" spans="1:4">
      <c r="A2916" s="16">
        <v>6032000000</v>
      </c>
      <c r="B2916" s="16">
        <v>0</v>
      </c>
      <c r="C2916" s="16" t="s">
        <v>3429</v>
      </c>
      <c r="D2916" s="16" t="s">
        <v>3430</v>
      </c>
    </row>
    <row r="2917" spans="1:4">
      <c r="A2917" s="16">
        <v>6104001000</v>
      </c>
      <c r="B2917" s="16">
        <v>-301746502</v>
      </c>
      <c r="C2917" s="16" t="s">
        <v>3416</v>
      </c>
      <c r="D2917" s="16" t="s">
        <v>3417</v>
      </c>
    </row>
    <row r="2918" spans="1:4">
      <c r="A2918" s="16">
        <v>3103001000</v>
      </c>
      <c r="B2918" s="16">
        <v>301746502</v>
      </c>
      <c r="C2918" s="16" t="s">
        <v>3402</v>
      </c>
      <c r="D2918" s="16" t="s">
        <v>3403</v>
      </c>
    </row>
    <row r="2919" spans="1:4">
      <c r="A2919" s="16">
        <v>3102000000</v>
      </c>
      <c r="B2919" s="16">
        <v>0</v>
      </c>
      <c r="C2919" s="16" t="s">
        <v>3424</v>
      </c>
      <c r="D2919" s="16" t="s">
        <v>3403</v>
      </c>
    </row>
    <row r="2920" spans="1:4">
      <c r="A2920" s="16">
        <v>6102000000</v>
      </c>
      <c r="B2920" s="16">
        <v>0</v>
      </c>
      <c r="C2920" s="16" t="s">
        <v>3425</v>
      </c>
      <c r="D2920" s="16" t="s">
        <v>3426</v>
      </c>
    </row>
    <row r="2921" spans="1:4">
      <c r="A2921" s="16">
        <v>6100000000</v>
      </c>
      <c r="B2921" s="16">
        <v>4356736</v>
      </c>
      <c r="C2921" s="16" t="s">
        <v>3416</v>
      </c>
      <c r="D2921" s="16" t="s">
        <v>3417</v>
      </c>
    </row>
    <row r="2922" spans="1:4">
      <c r="A2922" s="16">
        <v>3100000000</v>
      </c>
      <c r="B2922" s="16">
        <v>-4356736</v>
      </c>
      <c r="C2922" s="16" t="s">
        <v>3402</v>
      </c>
      <c r="D2922" s="16" t="s">
        <v>3403</v>
      </c>
    </row>
    <row r="2923" spans="1:4">
      <c r="A2923" s="16">
        <v>2750010000</v>
      </c>
      <c r="B2923" s="16">
        <v>0</v>
      </c>
      <c r="C2923" s="16" t="s">
        <v>3419</v>
      </c>
      <c r="D2923" s="16" t="s">
        <v>3403</v>
      </c>
    </row>
    <row r="2924" spans="1:4">
      <c r="A2924" s="16">
        <v>6610100100</v>
      </c>
      <c r="B2924" s="16">
        <v>0</v>
      </c>
      <c r="C2924" s="16" t="s">
        <v>3413</v>
      </c>
      <c r="D2924" s="16" t="s">
        <v>3414</v>
      </c>
    </row>
    <row r="2925" spans="1:4">
      <c r="A2925" s="16">
        <v>6700200000</v>
      </c>
      <c r="B2925" s="16">
        <v>0</v>
      </c>
      <c r="C2925" s="16" t="s">
        <v>3404</v>
      </c>
      <c r="D2925" s="16" t="s">
        <v>3409</v>
      </c>
    </row>
    <row r="2926" spans="1:4">
      <c r="A2926" s="16">
        <v>6700100000</v>
      </c>
      <c r="B2926" s="16">
        <v>0</v>
      </c>
      <c r="C2926" s="16" t="s">
        <v>3404</v>
      </c>
      <c r="D2926" s="16" t="s">
        <v>3410</v>
      </c>
    </row>
    <row r="2927" spans="1:4">
      <c r="A2927" s="16">
        <v>6700600000</v>
      </c>
      <c r="B2927" s="16">
        <v>0</v>
      </c>
      <c r="C2927" s="16" t="s">
        <v>3404</v>
      </c>
      <c r="D2927" s="16" t="s">
        <v>3409</v>
      </c>
    </row>
    <row r="2928" spans="1:4">
      <c r="A2928" s="16">
        <v>6700400000</v>
      </c>
      <c r="B2928" s="16">
        <v>0</v>
      </c>
      <c r="C2928" s="16" t="s">
        <v>3404</v>
      </c>
      <c r="D2928" s="16" t="s">
        <v>3405</v>
      </c>
    </row>
    <row r="2929" spans="1:4">
      <c r="A2929" s="16">
        <v>2500000000</v>
      </c>
      <c r="B2929" s="16">
        <v>0</v>
      </c>
      <c r="C2929" s="16" t="s">
        <v>3412</v>
      </c>
      <c r="D2929" s="16" t="s">
        <v>3403</v>
      </c>
    </row>
    <row r="2930" spans="1:4">
      <c r="A2930" s="16">
        <v>5010000000</v>
      </c>
      <c r="B2930" s="16">
        <v>0</v>
      </c>
      <c r="C2930" s="16" t="s">
        <v>3406</v>
      </c>
      <c r="D2930" s="16" t="s">
        <v>3411</v>
      </c>
    </row>
    <row r="2931" spans="1:4">
      <c r="A2931" s="16">
        <v>6150000000</v>
      </c>
      <c r="B2931" s="16">
        <v>0</v>
      </c>
      <c r="C2931" s="16" t="s">
        <v>3416</v>
      </c>
      <c r="D2931" s="16" t="s">
        <v>3417</v>
      </c>
    </row>
    <row r="2932" spans="1:4">
      <c r="A2932" s="16">
        <v>3510000000</v>
      </c>
      <c r="B2932" s="16">
        <v>0</v>
      </c>
      <c r="C2932" s="16" t="s">
        <v>3402</v>
      </c>
      <c r="D2932" s="16" t="s">
        <v>3403</v>
      </c>
    </row>
    <row r="2933" spans="1:4">
      <c r="A2933" s="16">
        <v>6610000000</v>
      </c>
      <c r="B2933" s="16">
        <v>0</v>
      </c>
      <c r="C2933" s="16" t="s">
        <v>3413</v>
      </c>
      <c r="D2933" s="16" t="s">
        <v>3418</v>
      </c>
    </row>
    <row r="2934" spans="1:4">
      <c r="A2934" s="16">
        <v>4203000000</v>
      </c>
      <c r="B2934" s="16">
        <v>0</v>
      </c>
      <c r="C2934" s="16" t="s">
        <v>3408</v>
      </c>
      <c r="D2934" s="16" t="s">
        <v>3403</v>
      </c>
    </row>
    <row r="2935" spans="1:4">
      <c r="A2935" s="16">
        <v>2201000010</v>
      </c>
      <c r="B2935" s="16">
        <v>198323</v>
      </c>
      <c r="C2935" s="16" t="s">
        <v>3415</v>
      </c>
      <c r="D2935" s="16" t="s">
        <v>3403</v>
      </c>
    </row>
    <row r="2936" spans="1:4">
      <c r="A2936" s="16">
        <v>4610000000</v>
      </c>
      <c r="B2936" s="16">
        <v>-198323</v>
      </c>
      <c r="C2936" s="16" t="s">
        <v>3428</v>
      </c>
      <c r="D2936" s="16" t="s">
        <v>3403</v>
      </c>
    </row>
    <row r="2937" spans="1:4">
      <c r="A2937" s="16">
        <v>6700200000</v>
      </c>
      <c r="B2937" s="16">
        <v>0</v>
      </c>
      <c r="C2937" s="16" t="s">
        <v>3404</v>
      </c>
      <c r="D2937" s="16" t="s">
        <v>3409</v>
      </c>
    </row>
    <row r="2938" spans="1:4">
      <c r="A2938" s="16">
        <v>6700100000</v>
      </c>
      <c r="B2938" s="16">
        <v>0</v>
      </c>
      <c r="C2938" s="16" t="s">
        <v>3404</v>
      </c>
      <c r="D2938" s="16" t="s">
        <v>3410</v>
      </c>
    </row>
    <row r="2939" spans="1:4">
      <c r="A2939" s="16">
        <v>2201000030</v>
      </c>
      <c r="B2939" s="16">
        <v>2728096</v>
      </c>
      <c r="C2939" s="16" t="s">
        <v>3415</v>
      </c>
      <c r="D2939" s="16" t="s">
        <v>3403</v>
      </c>
    </row>
    <row r="2940" spans="1:4">
      <c r="A2940" s="16">
        <v>6700200000</v>
      </c>
      <c r="B2940" s="16">
        <v>-2728096</v>
      </c>
      <c r="C2940" s="16" t="s">
        <v>3404</v>
      </c>
      <c r="D2940" s="16" t="s">
        <v>3409</v>
      </c>
    </row>
    <row r="2941" spans="1:4">
      <c r="A2941" s="16">
        <v>6100000000</v>
      </c>
      <c r="B2941" s="16">
        <v>0</v>
      </c>
      <c r="C2941" s="16" t="s">
        <v>3427</v>
      </c>
      <c r="D2941" s="16" t="s">
        <v>3417</v>
      </c>
    </row>
    <row r="2942" spans="1:4">
      <c r="A2942" s="16">
        <v>3100000000</v>
      </c>
      <c r="B2942" s="16">
        <v>0</v>
      </c>
      <c r="C2942" s="16" t="s">
        <v>3402</v>
      </c>
      <c r="D2942" s="16" t="s">
        <v>3403</v>
      </c>
    </row>
    <row r="2943" spans="1:4">
      <c r="A2943" s="16">
        <v>5010000010</v>
      </c>
      <c r="B2943" s="16">
        <v>0</v>
      </c>
      <c r="C2943" s="16" t="s">
        <v>3406</v>
      </c>
      <c r="D2943" s="16" t="s">
        <v>3411</v>
      </c>
    </row>
    <row r="2944" spans="1:4">
      <c r="A2944" s="16">
        <v>3710000000</v>
      </c>
      <c r="B2944" s="16">
        <v>0</v>
      </c>
      <c r="C2944" s="16" t="s">
        <v>3402</v>
      </c>
      <c r="D2944" s="16" t="s">
        <v>3403</v>
      </c>
    </row>
    <row r="2945" spans="1:4">
      <c r="A2945" s="16">
        <v>6700600000</v>
      </c>
      <c r="B2945" s="16">
        <v>0</v>
      </c>
      <c r="C2945" s="16" t="s">
        <v>3404</v>
      </c>
      <c r="D2945" s="16" t="s">
        <v>3409</v>
      </c>
    </row>
    <row r="2946" spans="1:4">
      <c r="A2946" s="16">
        <v>6700400000</v>
      </c>
      <c r="B2946" s="16">
        <v>0</v>
      </c>
      <c r="C2946" s="16" t="s">
        <v>3404</v>
      </c>
      <c r="D2946" s="16" t="s">
        <v>3405</v>
      </c>
    </row>
    <row r="2947" spans="1:4">
      <c r="A2947" s="16">
        <v>2750010000</v>
      </c>
      <c r="B2947" s="16">
        <v>160074</v>
      </c>
      <c r="C2947" s="16" t="s">
        <v>3419</v>
      </c>
      <c r="D2947" s="16" t="s">
        <v>3403</v>
      </c>
    </row>
    <row r="2948" spans="1:4">
      <c r="A2948" s="16">
        <v>6610000100</v>
      </c>
      <c r="B2948" s="16">
        <v>-160074</v>
      </c>
      <c r="C2948" s="16" t="s">
        <v>3413</v>
      </c>
      <c r="D2948" s="16" t="s">
        <v>3418</v>
      </c>
    </row>
    <row r="2949" spans="1:4">
      <c r="A2949" s="16">
        <v>6700200000</v>
      </c>
      <c r="B2949" s="16">
        <v>0</v>
      </c>
      <c r="C2949" s="16" t="s">
        <v>3404</v>
      </c>
      <c r="D2949" s="16" t="s">
        <v>3409</v>
      </c>
    </row>
    <row r="2950" spans="1:4">
      <c r="A2950" s="16">
        <v>6700100000</v>
      </c>
      <c r="B2950" s="16">
        <v>0</v>
      </c>
      <c r="C2950" s="16" t="s">
        <v>3404</v>
      </c>
      <c r="D2950" s="16" t="s">
        <v>3410</v>
      </c>
    </row>
    <row r="2951" spans="1:4">
      <c r="A2951" s="16">
        <v>2750010000</v>
      </c>
      <c r="B2951" s="16">
        <v>0</v>
      </c>
      <c r="C2951" s="16" t="s">
        <v>3419</v>
      </c>
      <c r="D2951" s="16" t="s">
        <v>3403</v>
      </c>
    </row>
    <row r="2952" spans="1:4">
      <c r="A2952" s="16">
        <v>6610100100</v>
      </c>
      <c r="B2952" s="16">
        <v>0</v>
      </c>
      <c r="C2952" s="16" t="s">
        <v>3413</v>
      </c>
      <c r="D2952" s="16" t="s">
        <v>3414</v>
      </c>
    </row>
    <row r="2953" spans="1:4">
      <c r="A2953" s="16">
        <v>2750010000</v>
      </c>
      <c r="B2953" s="16">
        <v>0</v>
      </c>
      <c r="C2953" s="16" t="s">
        <v>3419</v>
      </c>
      <c r="D2953" s="16" t="s">
        <v>3403</v>
      </c>
    </row>
    <row r="2954" spans="1:4">
      <c r="A2954" s="16">
        <v>6610000100</v>
      </c>
      <c r="B2954" s="16">
        <v>0</v>
      </c>
      <c r="C2954" s="16" t="s">
        <v>3413</v>
      </c>
      <c r="D2954" s="16" t="s">
        <v>3418</v>
      </c>
    </row>
    <row r="2955" spans="1:4">
      <c r="A2955" s="16">
        <v>2500000000</v>
      </c>
      <c r="B2955" s="16">
        <v>0</v>
      </c>
      <c r="C2955" s="16" t="s">
        <v>3412</v>
      </c>
      <c r="D2955" s="16" t="s">
        <v>3403</v>
      </c>
    </row>
    <row r="2956" spans="1:4">
      <c r="A2956" s="16">
        <v>5010000000</v>
      </c>
      <c r="B2956" s="16">
        <v>0</v>
      </c>
      <c r="C2956" s="16" t="s">
        <v>3406</v>
      </c>
      <c r="D2956" s="16" t="s">
        <v>3411</v>
      </c>
    </row>
    <row r="2957" spans="1:4">
      <c r="A2957" s="16">
        <v>6700200000</v>
      </c>
      <c r="B2957" s="16">
        <v>0</v>
      </c>
      <c r="C2957" s="16" t="s">
        <v>3404</v>
      </c>
      <c r="D2957" s="16" t="s">
        <v>3409</v>
      </c>
    </row>
    <row r="2958" spans="1:4">
      <c r="A2958" s="16">
        <v>6700100000</v>
      </c>
      <c r="B2958" s="16">
        <v>0</v>
      </c>
      <c r="C2958" s="16" t="s">
        <v>3404</v>
      </c>
      <c r="D2958" s="16" t="s">
        <v>3410</v>
      </c>
    </row>
    <row r="2959" spans="1:4">
      <c r="A2959" s="16">
        <v>6700600000</v>
      </c>
      <c r="B2959" s="16">
        <v>1705146</v>
      </c>
      <c r="C2959" s="16" t="s">
        <v>3404</v>
      </c>
      <c r="D2959" s="16" t="s">
        <v>3409</v>
      </c>
    </row>
    <row r="2960" spans="1:4">
      <c r="A2960" s="16">
        <v>6700400000</v>
      </c>
      <c r="B2960" s="16">
        <v>-1705146</v>
      </c>
      <c r="C2960" s="16" t="s">
        <v>3404</v>
      </c>
      <c r="D2960" s="16" t="s">
        <v>3405</v>
      </c>
    </row>
    <row r="2961" spans="1:4">
      <c r="A2961" s="16">
        <v>6700200000</v>
      </c>
      <c r="B2961" s="16">
        <v>0</v>
      </c>
      <c r="C2961" s="16" t="s">
        <v>3404</v>
      </c>
      <c r="D2961" s="16" t="s">
        <v>3409</v>
      </c>
    </row>
    <row r="2962" spans="1:4">
      <c r="A2962" s="16">
        <v>6700000000</v>
      </c>
      <c r="B2962" s="16">
        <v>0</v>
      </c>
      <c r="C2962" s="16" t="s">
        <v>3404</v>
      </c>
      <c r="D2962" s="16" t="s">
        <v>3405</v>
      </c>
    </row>
    <row r="2963" spans="1:4">
      <c r="A2963" s="16">
        <v>6610100000</v>
      </c>
      <c r="B2963" s="16">
        <v>0</v>
      </c>
      <c r="C2963" s="16" t="s">
        <v>3413</v>
      </c>
      <c r="D2963" s="16" t="s">
        <v>3414</v>
      </c>
    </row>
    <row r="2964" spans="1:4">
      <c r="A2964" s="16">
        <v>4203000000</v>
      </c>
      <c r="B2964" s="16">
        <v>0</v>
      </c>
      <c r="C2964" s="16" t="s">
        <v>3408</v>
      </c>
      <c r="D2964" s="16" t="s">
        <v>3403</v>
      </c>
    </row>
    <row r="2965" spans="1:4">
      <c r="A2965" s="16">
        <v>2201000000</v>
      </c>
      <c r="B2965" s="16">
        <v>0</v>
      </c>
      <c r="C2965" s="16" t="s">
        <v>3415</v>
      </c>
      <c r="D2965" s="16" t="s">
        <v>3403</v>
      </c>
    </row>
    <row r="2966" spans="1:4">
      <c r="A2966" s="16">
        <v>6700200000</v>
      </c>
      <c r="B2966" s="16">
        <v>0</v>
      </c>
      <c r="C2966" s="16" t="s">
        <v>3404</v>
      </c>
      <c r="D2966" s="16" t="s">
        <v>3409</v>
      </c>
    </row>
    <row r="2967" spans="1:4">
      <c r="A2967" s="16">
        <v>6610000000</v>
      </c>
      <c r="B2967" s="16">
        <v>0</v>
      </c>
      <c r="C2967" s="16" t="s">
        <v>3413</v>
      </c>
      <c r="D2967" s="16" t="s">
        <v>3418</v>
      </c>
    </row>
    <row r="2968" spans="1:4">
      <c r="A2968" s="16">
        <v>4203000000</v>
      </c>
      <c r="B2968" s="16">
        <v>0</v>
      </c>
      <c r="C2968" s="16" t="s">
        <v>3408</v>
      </c>
      <c r="D2968" s="16" t="s">
        <v>3403</v>
      </c>
    </row>
    <row r="2969" spans="1:4">
      <c r="A2969" s="16">
        <v>6610100000</v>
      </c>
      <c r="B2969" s="16">
        <v>30799920</v>
      </c>
      <c r="C2969" s="16" t="s">
        <v>3413</v>
      </c>
      <c r="D2969" s="16" t="s">
        <v>3414</v>
      </c>
    </row>
    <row r="2970" spans="1:4">
      <c r="A2970" s="16">
        <v>4203000000</v>
      </c>
      <c r="B2970" s="16">
        <v>-30799920</v>
      </c>
      <c r="C2970" s="16" t="s">
        <v>3408</v>
      </c>
      <c r="D2970" s="16" t="s">
        <v>3403</v>
      </c>
    </row>
    <row r="2971" spans="1:4">
      <c r="A2971" s="16">
        <v>6700700000</v>
      </c>
      <c r="B2971" s="16">
        <v>0</v>
      </c>
      <c r="C2971" s="16" t="s">
        <v>3404</v>
      </c>
      <c r="D2971" s="16" t="s">
        <v>3409</v>
      </c>
    </row>
    <row r="2972" spans="1:4">
      <c r="A2972" s="16">
        <v>6700500000</v>
      </c>
      <c r="B2972" s="16">
        <v>0</v>
      </c>
      <c r="C2972" s="16" t="s">
        <v>3404</v>
      </c>
      <c r="D2972" s="16" t="s">
        <v>3405</v>
      </c>
    </row>
    <row r="2973" spans="1:4">
      <c r="A2973" s="16">
        <v>6700600000</v>
      </c>
      <c r="B2973" s="16">
        <v>0</v>
      </c>
      <c r="C2973" s="16" t="s">
        <v>3404</v>
      </c>
      <c r="D2973" s="16" t="s">
        <v>3409</v>
      </c>
    </row>
    <row r="2974" spans="1:4">
      <c r="A2974" s="16">
        <v>6700400000</v>
      </c>
      <c r="B2974" s="16">
        <v>0</v>
      </c>
      <c r="C2974" s="16" t="s">
        <v>3404</v>
      </c>
      <c r="D2974" s="16" t="s">
        <v>3405</v>
      </c>
    </row>
    <row r="2975" spans="1:4">
      <c r="A2975" s="16">
        <v>6700200000</v>
      </c>
      <c r="B2975" s="16">
        <v>0</v>
      </c>
      <c r="C2975" s="16" t="s">
        <v>3404</v>
      </c>
      <c r="D2975" s="16" t="s">
        <v>3409</v>
      </c>
    </row>
    <row r="2976" spans="1:4">
      <c r="A2976" s="16">
        <v>6700000000</v>
      </c>
      <c r="B2976" s="16">
        <v>0</v>
      </c>
      <c r="C2976" s="16" t="s">
        <v>3404</v>
      </c>
      <c r="D2976" s="16" t="s">
        <v>3405</v>
      </c>
    </row>
    <row r="2977" spans="1:4">
      <c r="A2977" s="16">
        <v>5050000000</v>
      </c>
      <c r="B2977" s="16">
        <v>0</v>
      </c>
      <c r="C2977" s="16" t="s">
        <v>3406</v>
      </c>
      <c r="D2977" s="16" t="s">
        <v>3422</v>
      </c>
    </row>
    <row r="2978" spans="1:4">
      <c r="A2978" s="16">
        <v>3800000000</v>
      </c>
      <c r="B2978" s="16">
        <v>0</v>
      </c>
      <c r="C2978" s="16" t="s">
        <v>3402</v>
      </c>
      <c r="D2978" s="16" t="s">
        <v>3403</v>
      </c>
    </row>
    <row r="2979" spans="1:4">
      <c r="A2979" s="16">
        <v>2750010000</v>
      </c>
      <c r="B2979" s="16">
        <v>0</v>
      </c>
      <c r="C2979" s="16" t="s">
        <v>3419</v>
      </c>
      <c r="D2979" s="16" t="s">
        <v>3403</v>
      </c>
    </row>
    <row r="2980" spans="1:4">
      <c r="A2980" s="16">
        <v>6610100100</v>
      </c>
      <c r="B2980" s="16">
        <v>0</v>
      </c>
      <c r="C2980" s="16" t="s">
        <v>3413</v>
      </c>
      <c r="D2980" s="16" t="s">
        <v>3414</v>
      </c>
    </row>
    <row r="2981" spans="1:4">
      <c r="A2981" s="16">
        <v>3102000000</v>
      </c>
      <c r="B2981" s="16">
        <v>32925237</v>
      </c>
      <c r="C2981" s="16" t="s">
        <v>3424</v>
      </c>
      <c r="D2981" s="16" t="s">
        <v>3403</v>
      </c>
    </row>
    <row r="2982" spans="1:4">
      <c r="A2982" s="16">
        <v>6102000000</v>
      </c>
      <c r="B2982" s="16">
        <v>-32925237</v>
      </c>
      <c r="C2982" s="16" t="s">
        <v>3425</v>
      </c>
      <c r="D2982" s="16" t="s">
        <v>3426</v>
      </c>
    </row>
    <row r="2983" spans="1:4">
      <c r="A2983" s="16">
        <v>2500000000</v>
      </c>
      <c r="B2983" s="16">
        <v>0</v>
      </c>
      <c r="C2983" s="16" t="s">
        <v>3412</v>
      </c>
      <c r="D2983" s="16" t="s">
        <v>3403</v>
      </c>
    </row>
    <row r="2984" spans="1:4">
      <c r="A2984" s="16">
        <v>5010100000</v>
      </c>
      <c r="B2984" s="16">
        <v>0</v>
      </c>
      <c r="C2984" s="16" t="s">
        <v>3406</v>
      </c>
      <c r="D2984" s="16" t="s">
        <v>3407</v>
      </c>
    </row>
    <row r="2985" spans="1:4">
      <c r="A2985" s="16">
        <v>6610000000</v>
      </c>
      <c r="B2985" s="16">
        <v>0</v>
      </c>
      <c r="C2985" s="16" t="s">
        <v>3413</v>
      </c>
      <c r="D2985" s="16" t="s">
        <v>3418</v>
      </c>
    </row>
    <row r="2986" spans="1:4">
      <c r="A2986" s="16">
        <v>4203000000</v>
      </c>
      <c r="B2986" s="16">
        <v>0</v>
      </c>
      <c r="C2986" s="16" t="s">
        <v>3408</v>
      </c>
      <c r="D2986" s="16" t="s">
        <v>3403</v>
      </c>
    </row>
    <row r="2987" spans="1:4">
      <c r="A2987" s="16">
        <v>5010100010</v>
      </c>
      <c r="B2987" s="16">
        <v>0</v>
      </c>
      <c r="C2987" s="16" t="s">
        <v>3406</v>
      </c>
      <c r="D2987" s="16" t="s">
        <v>3407</v>
      </c>
    </row>
    <row r="2988" spans="1:4">
      <c r="A2988" s="16">
        <v>3710000000</v>
      </c>
      <c r="B2988" s="16">
        <v>0</v>
      </c>
      <c r="C2988" s="16" t="s">
        <v>3402</v>
      </c>
      <c r="D2988" s="16" t="s">
        <v>3403</v>
      </c>
    </row>
    <row r="2989" spans="1:4">
      <c r="A2989" s="16">
        <v>4611000000</v>
      </c>
      <c r="B2989" s="16">
        <v>0</v>
      </c>
      <c r="C2989" s="16" t="s">
        <v>3428</v>
      </c>
      <c r="D2989" s="16" t="s">
        <v>3403</v>
      </c>
    </row>
    <row r="2990" spans="1:4">
      <c r="A2990" s="16">
        <v>3800000010</v>
      </c>
      <c r="B2990" s="16">
        <v>0</v>
      </c>
      <c r="C2990" s="16" t="s">
        <v>3402</v>
      </c>
      <c r="D2990" s="16" t="s">
        <v>3403</v>
      </c>
    </row>
    <row r="2991" spans="1:4">
      <c r="A2991" s="16">
        <v>6700200000</v>
      </c>
      <c r="B2991" s="16">
        <v>0</v>
      </c>
      <c r="C2991" s="16" t="s">
        <v>3404</v>
      </c>
      <c r="D2991" s="16" t="s">
        <v>3409</v>
      </c>
    </row>
    <row r="2992" spans="1:4">
      <c r="A2992" s="16">
        <v>6700100000</v>
      </c>
      <c r="B2992" s="16">
        <v>0</v>
      </c>
      <c r="C2992" s="16" t="s">
        <v>3404</v>
      </c>
      <c r="D2992" s="16" t="s">
        <v>3410</v>
      </c>
    </row>
    <row r="2993" spans="1:4">
      <c r="A2993" s="16">
        <v>6610000000</v>
      </c>
      <c r="B2993" s="16">
        <v>0</v>
      </c>
      <c r="C2993" s="16" t="s">
        <v>3413</v>
      </c>
      <c r="D2993" s="16" t="s">
        <v>3418</v>
      </c>
    </row>
    <row r="2994" spans="1:4">
      <c r="A2994" s="16">
        <v>4203000000</v>
      </c>
      <c r="B2994" s="16">
        <v>0</v>
      </c>
      <c r="C2994" s="16" t="s">
        <v>3408</v>
      </c>
      <c r="D2994" s="16" t="s">
        <v>3403</v>
      </c>
    </row>
    <row r="2995" spans="1:4">
      <c r="A2995" s="16">
        <v>6610000000</v>
      </c>
      <c r="B2995" s="16">
        <v>0</v>
      </c>
      <c r="C2995" s="16" t="s">
        <v>3413</v>
      </c>
      <c r="D2995" s="16" t="s">
        <v>3418</v>
      </c>
    </row>
    <row r="2996" spans="1:4">
      <c r="A2996" s="16">
        <v>4203000000</v>
      </c>
      <c r="B2996" s="16">
        <v>0</v>
      </c>
      <c r="C2996" s="16" t="s">
        <v>3408</v>
      </c>
      <c r="D2996" s="16" t="s">
        <v>3403</v>
      </c>
    </row>
    <row r="2997" spans="1:4">
      <c r="A2997" s="16">
        <v>6060010000</v>
      </c>
      <c r="B2997" s="16">
        <v>0</v>
      </c>
      <c r="C2997" s="16" t="s">
        <v>3420</v>
      </c>
      <c r="D2997" s="16" t="s">
        <v>3421</v>
      </c>
    </row>
    <row r="2998" spans="1:4">
      <c r="A2998" s="16">
        <v>5052000000</v>
      </c>
      <c r="B2998" s="16">
        <v>0</v>
      </c>
      <c r="C2998" s="16" t="s">
        <v>3406</v>
      </c>
      <c r="D2998" s="16" t="s">
        <v>3422</v>
      </c>
    </row>
    <row r="2999" spans="1:4">
      <c r="A2999" s="16">
        <v>5010000010</v>
      </c>
      <c r="B2999" s="16">
        <v>221706</v>
      </c>
      <c r="C2999" s="16" t="s">
        <v>3406</v>
      </c>
      <c r="D2999" s="16" t="s">
        <v>3411</v>
      </c>
    </row>
    <row r="3000" spans="1:4">
      <c r="A3000" s="16">
        <v>3710000000</v>
      </c>
      <c r="B3000" s="16">
        <v>-221706</v>
      </c>
      <c r="C3000" s="16" t="s">
        <v>3402</v>
      </c>
      <c r="D3000" s="16" t="s">
        <v>3403</v>
      </c>
    </row>
    <row r="3001" spans="1:4">
      <c r="A3001" s="16">
        <v>6104001000</v>
      </c>
      <c r="B3001" s="16">
        <v>0</v>
      </c>
      <c r="C3001" s="16" t="s">
        <v>3416</v>
      </c>
      <c r="D3001" s="16" t="s">
        <v>3417</v>
      </c>
    </row>
    <row r="3002" spans="1:4">
      <c r="A3002" s="16">
        <v>3103001000</v>
      </c>
      <c r="B3002" s="16">
        <v>0</v>
      </c>
      <c r="C3002" s="16" t="s">
        <v>3402</v>
      </c>
      <c r="D3002" s="16" t="s">
        <v>3403</v>
      </c>
    </row>
    <row r="3003" spans="1:4">
      <c r="A3003" s="16">
        <v>6100000000</v>
      </c>
      <c r="B3003" s="16">
        <v>2610</v>
      </c>
      <c r="C3003" s="16" t="s">
        <v>3416</v>
      </c>
      <c r="D3003" s="16" t="s">
        <v>3417</v>
      </c>
    </row>
    <row r="3004" spans="1:4">
      <c r="A3004" s="16">
        <v>3100000000</v>
      </c>
      <c r="B3004" s="16">
        <v>-2610</v>
      </c>
      <c r="C3004" s="16" t="s">
        <v>3402</v>
      </c>
      <c r="D3004" s="16" t="s">
        <v>3403</v>
      </c>
    </row>
    <row r="3005" spans="1:4">
      <c r="A3005" s="16">
        <v>6700600000</v>
      </c>
      <c r="B3005" s="16">
        <v>0</v>
      </c>
      <c r="C3005" s="16" t="s">
        <v>3404</v>
      </c>
      <c r="D3005" s="16" t="s">
        <v>3409</v>
      </c>
    </row>
    <row r="3006" spans="1:4">
      <c r="A3006" s="16">
        <v>6700400000</v>
      </c>
      <c r="B3006" s="16">
        <v>0</v>
      </c>
      <c r="C3006" s="16" t="s">
        <v>3404</v>
      </c>
      <c r="D3006" s="16" t="s">
        <v>3405</v>
      </c>
    </row>
    <row r="3007" spans="1:4">
      <c r="A3007" s="16">
        <v>5050000000</v>
      </c>
      <c r="B3007" s="16">
        <v>0</v>
      </c>
      <c r="C3007" s="16" t="s">
        <v>3406</v>
      </c>
      <c r="D3007" s="16" t="s">
        <v>3422</v>
      </c>
    </row>
    <row r="3008" spans="1:4">
      <c r="A3008" s="16">
        <v>3800000000</v>
      </c>
      <c r="B3008" s="16">
        <v>0</v>
      </c>
      <c r="C3008" s="16" t="s">
        <v>3402</v>
      </c>
      <c r="D3008" s="16" t="s">
        <v>3403</v>
      </c>
    </row>
    <row r="3009" spans="1:4">
      <c r="A3009" s="16">
        <v>5010000010</v>
      </c>
      <c r="B3009" s="16">
        <v>0</v>
      </c>
      <c r="C3009" s="16" t="s">
        <v>3406</v>
      </c>
      <c r="D3009" s="16" t="s">
        <v>3411</v>
      </c>
    </row>
    <row r="3010" spans="1:4">
      <c r="A3010" s="16">
        <v>3710000000</v>
      </c>
      <c r="B3010" s="16">
        <v>0</v>
      </c>
      <c r="C3010" s="16" t="s">
        <v>3402</v>
      </c>
      <c r="D3010" s="16" t="s">
        <v>3403</v>
      </c>
    </row>
    <row r="3011" spans="1:4">
      <c r="A3011" s="16">
        <v>6700700000</v>
      </c>
      <c r="B3011" s="16">
        <v>0</v>
      </c>
      <c r="C3011" s="16" t="s">
        <v>3404</v>
      </c>
      <c r="D3011" s="16" t="s">
        <v>3409</v>
      </c>
    </row>
    <row r="3012" spans="1:4">
      <c r="A3012" s="16">
        <v>6610000000</v>
      </c>
      <c r="B3012" s="16">
        <v>0</v>
      </c>
      <c r="C3012" s="16" t="s">
        <v>3413</v>
      </c>
      <c r="D3012" s="16" t="s">
        <v>3418</v>
      </c>
    </row>
    <row r="3013" spans="1:4">
      <c r="A3013" s="16">
        <v>6700200000</v>
      </c>
      <c r="B3013" s="16">
        <v>0</v>
      </c>
      <c r="C3013" s="16" t="s">
        <v>3404</v>
      </c>
      <c r="D3013" s="16" t="s">
        <v>3409</v>
      </c>
    </row>
    <row r="3014" spans="1:4">
      <c r="A3014" s="16">
        <v>2500000000</v>
      </c>
      <c r="B3014" s="16">
        <v>0</v>
      </c>
      <c r="C3014" s="16" t="s">
        <v>3412</v>
      </c>
      <c r="D3014" s="16" t="s">
        <v>3403</v>
      </c>
    </row>
    <row r="3015" spans="1:4">
      <c r="A3015" s="16">
        <v>2203000000</v>
      </c>
      <c r="B3015" s="16">
        <v>0</v>
      </c>
      <c r="C3015" s="16" t="s">
        <v>3415</v>
      </c>
      <c r="D3015" s="16" t="s">
        <v>3403</v>
      </c>
    </row>
    <row r="3016" spans="1:4">
      <c r="A3016" s="16">
        <v>6700700000</v>
      </c>
      <c r="B3016" s="16">
        <v>0</v>
      </c>
      <c r="C3016" s="16" t="s">
        <v>3404</v>
      </c>
      <c r="D3016" s="16" t="s">
        <v>3409</v>
      </c>
    </row>
    <row r="3017" spans="1:4">
      <c r="A3017" s="16">
        <v>6700200000</v>
      </c>
      <c r="B3017" s="16">
        <v>0</v>
      </c>
      <c r="C3017" s="16" t="s">
        <v>3404</v>
      </c>
      <c r="D3017" s="16" t="s">
        <v>3409</v>
      </c>
    </row>
    <row r="3018" spans="1:4">
      <c r="A3018" s="16">
        <v>6700600000</v>
      </c>
      <c r="B3018" s="16">
        <v>0</v>
      </c>
      <c r="C3018" s="16" t="s">
        <v>3404</v>
      </c>
      <c r="D3018" s="16" t="s">
        <v>3409</v>
      </c>
    </row>
    <row r="3019" spans="1:4">
      <c r="A3019" s="16">
        <v>6610100100</v>
      </c>
      <c r="B3019" s="16">
        <v>0</v>
      </c>
      <c r="C3019" s="16" t="s">
        <v>3413</v>
      </c>
      <c r="D3019" s="16" t="s">
        <v>3414</v>
      </c>
    </row>
    <row r="3020" spans="1:4">
      <c r="A3020" s="16">
        <v>6610100000</v>
      </c>
      <c r="B3020" s="16">
        <v>0</v>
      </c>
      <c r="C3020" s="16" t="s">
        <v>3413</v>
      </c>
      <c r="D3020" s="16" t="s">
        <v>3414</v>
      </c>
    </row>
    <row r="3021" spans="1:4">
      <c r="A3021" s="16">
        <v>6700600000</v>
      </c>
      <c r="B3021" s="16">
        <v>0</v>
      </c>
      <c r="C3021" s="16" t="s">
        <v>3404</v>
      </c>
      <c r="D3021" s="16" t="s">
        <v>3409</v>
      </c>
    </row>
    <row r="3022" spans="1:4">
      <c r="A3022" s="16">
        <v>6700400000</v>
      </c>
      <c r="B3022" s="16">
        <v>0</v>
      </c>
      <c r="C3022" s="16" t="s">
        <v>3404</v>
      </c>
      <c r="D3022" s="16" t="s">
        <v>3405</v>
      </c>
    </row>
    <row r="3023" spans="1:4">
      <c r="A3023" s="16">
        <v>6700000000</v>
      </c>
      <c r="B3023" s="16">
        <v>0</v>
      </c>
      <c r="C3023" s="16" t="s">
        <v>3404</v>
      </c>
      <c r="D3023" s="16" t="s">
        <v>3405</v>
      </c>
    </row>
    <row r="3024" spans="1:4">
      <c r="A3024" s="16">
        <v>4203000000</v>
      </c>
      <c r="B3024" s="16">
        <v>0</v>
      </c>
      <c r="C3024" s="16" t="s">
        <v>3408</v>
      </c>
      <c r="D3024" s="16" t="s">
        <v>3403</v>
      </c>
    </row>
    <row r="3025" spans="1:4">
      <c r="A3025" s="16">
        <v>6700100000</v>
      </c>
      <c r="B3025" s="16">
        <v>0</v>
      </c>
      <c r="C3025" s="16" t="s">
        <v>3404</v>
      </c>
      <c r="D3025" s="16" t="s">
        <v>3410</v>
      </c>
    </row>
    <row r="3026" spans="1:4">
      <c r="A3026" s="16">
        <v>5010000000</v>
      </c>
      <c r="B3026" s="16">
        <v>0</v>
      </c>
      <c r="C3026" s="16" t="s">
        <v>3406</v>
      </c>
      <c r="D3026" s="16" t="s">
        <v>3411</v>
      </c>
    </row>
    <row r="3027" spans="1:4">
      <c r="A3027" s="16">
        <v>6060110000</v>
      </c>
      <c r="B3027" s="16">
        <v>0</v>
      </c>
      <c r="C3027" s="16" t="s">
        <v>3420</v>
      </c>
      <c r="D3027" s="16" t="s">
        <v>3421</v>
      </c>
    </row>
    <row r="3028" spans="1:4">
      <c r="A3028" s="16">
        <v>6700200000</v>
      </c>
      <c r="B3028" s="16">
        <v>0</v>
      </c>
      <c r="C3028" s="16" t="s">
        <v>3404</v>
      </c>
      <c r="D3028" s="16" t="s">
        <v>3409</v>
      </c>
    </row>
    <row r="3029" spans="1:4">
      <c r="A3029" s="16">
        <v>6700500000</v>
      </c>
      <c r="B3029" s="16">
        <v>0</v>
      </c>
      <c r="C3029" s="16" t="s">
        <v>3404</v>
      </c>
      <c r="D3029" s="16" t="s">
        <v>3405</v>
      </c>
    </row>
    <row r="3030" spans="1:4">
      <c r="A3030" s="16">
        <v>6100000000</v>
      </c>
      <c r="B3030" s="16">
        <v>0</v>
      </c>
      <c r="C3030" s="16" t="s">
        <v>3416</v>
      </c>
      <c r="D3030" s="16" t="s">
        <v>3417</v>
      </c>
    </row>
    <row r="3031" spans="1:4">
      <c r="A3031" s="16">
        <v>2500000000</v>
      </c>
      <c r="B3031" s="16">
        <v>0</v>
      </c>
      <c r="C3031" s="16" t="s">
        <v>3412</v>
      </c>
      <c r="D3031" s="16" t="s">
        <v>3403</v>
      </c>
    </row>
    <row r="3032" spans="1:4">
      <c r="A3032" s="16">
        <v>6700000000</v>
      </c>
      <c r="B3032" s="16">
        <v>0</v>
      </c>
      <c r="C3032" s="16" t="s">
        <v>3404</v>
      </c>
      <c r="D3032" s="16" t="s">
        <v>3405</v>
      </c>
    </row>
    <row r="3033" spans="1:4">
      <c r="A3033" s="16">
        <v>6700400000</v>
      </c>
      <c r="B3033" s="16">
        <v>0</v>
      </c>
      <c r="C3033" s="16" t="s">
        <v>3404</v>
      </c>
      <c r="D3033" s="16" t="s">
        <v>3405</v>
      </c>
    </row>
    <row r="3034" spans="1:4">
      <c r="A3034" s="16">
        <v>6610100000</v>
      </c>
      <c r="B3034" s="16">
        <v>2775</v>
      </c>
      <c r="C3034" s="16" t="s">
        <v>3413</v>
      </c>
      <c r="D3034" s="16" t="s">
        <v>3414</v>
      </c>
    </row>
    <row r="3035" spans="1:4">
      <c r="A3035" s="16">
        <v>4203000000</v>
      </c>
      <c r="B3035" s="16">
        <v>0</v>
      </c>
      <c r="C3035" s="16" t="s">
        <v>3408</v>
      </c>
      <c r="D3035" s="16" t="s">
        <v>3403</v>
      </c>
    </row>
    <row r="3036" spans="1:4">
      <c r="A3036" s="16">
        <v>2500000000</v>
      </c>
      <c r="B3036" s="16">
        <v>0</v>
      </c>
      <c r="C3036" s="16" t="s">
        <v>3412</v>
      </c>
      <c r="D3036" s="16" t="s">
        <v>3403</v>
      </c>
    </row>
    <row r="3037" spans="1:4">
      <c r="A3037" s="16">
        <v>6700700000</v>
      </c>
      <c r="B3037" s="16">
        <v>0</v>
      </c>
      <c r="C3037" s="16" t="s">
        <v>3404</v>
      </c>
      <c r="D3037" s="16" t="s">
        <v>3409</v>
      </c>
    </row>
    <row r="3038" spans="1:4">
      <c r="A3038" s="16">
        <v>2750010000</v>
      </c>
      <c r="B3038" s="16">
        <v>0</v>
      </c>
      <c r="C3038" s="16" t="s">
        <v>3419</v>
      </c>
      <c r="D3038" s="16" t="s">
        <v>3403</v>
      </c>
    </row>
    <row r="3039" spans="1:4">
      <c r="A3039" s="16">
        <v>6700400000</v>
      </c>
      <c r="B3039" s="16">
        <v>0</v>
      </c>
      <c r="C3039" s="16" t="s">
        <v>3404</v>
      </c>
      <c r="D3039" s="16" t="s">
        <v>3405</v>
      </c>
    </row>
    <row r="3040" spans="1:4">
      <c r="A3040" s="16">
        <v>6610100000</v>
      </c>
      <c r="B3040" s="16">
        <v>0</v>
      </c>
      <c r="C3040" s="16" t="s">
        <v>3413</v>
      </c>
      <c r="D3040" s="16" t="s">
        <v>3414</v>
      </c>
    </row>
    <row r="3041" spans="1:4">
      <c r="A3041" s="16">
        <v>6700700000</v>
      </c>
      <c r="B3041" s="16">
        <v>0</v>
      </c>
      <c r="C3041" s="16" t="s">
        <v>3404</v>
      </c>
      <c r="D3041" s="16" t="s">
        <v>3409</v>
      </c>
    </row>
    <row r="3042" spans="1:4">
      <c r="A3042" s="16">
        <v>3102000000</v>
      </c>
      <c r="B3042" s="16">
        <v>248790</v>
      </c>
      <c r="C3042" s="16" t="s">
        <v>3424</v>
      </c>
      <c r="D3042" s="16" t="s">
        <v>3403</v>
      </c>
    </row>
    <row r="3043" spans="1:4">
      <c r="A3043" s="16">
        <v>6700100000</v>
      </c>
      <c r="B3043" s="16">
        <v>0</v>
      </c>
      <c r="C3043" s="16" t="s">
        <v>3404</v>
      </c>
      <c r="D3043" s="16" t="s">
        <v>3410</v>
      </c>
    </row>
    <row r="3044" spans="1:4">
      <c r="A3044" s="16">
        <v>3100000000</v>
      </c>
      <c r="B3044" s="16">
        <v>0</v>
      </c>
      <c r="C3044" s="16" t="s">
        <v>3402</v>
      </c>
      <c r="D3044" s="16" t="s">
        <v>3403</v>
      </c>
    </row>
    <row r="3045" spans="1:4">
      <c r="A3045" s="16">
        <v>5010000000</v>
      </c>
      <c r="B3045" s="16">
        <v>0</v>
      </c>
      <c r="C3045" s="16" t="s">
        <v>3406</v>
      </c>
      <c r="D3045" s="16" t="s">
        <v>3411</v>
      </c>
    </row>
    <row r="3046" spans="1:4">
      <c r="A3046" s="16">
        <v>4203000000</v>
      </c>
      <c r="B3046" s="16">
        <v>-2775</v>
      </c>
      <c r="C3046" s="16" t="s">
        <v>3408</v>
      </c>
      <c r="D3046" s="16" t="s">
        <v>3403</v>
      </c>
    </row>
    <row r="3047" spans="1:4">
      <c r="A3047" s="16">
        <v>6030000000</v>
      </c>
      <c r="B3047" s="16">
        <v>1034</v>
      </c>
      <c r="C3047" s="16" t="s">
        <v>3432</v>
      </c>
      <c r="D3047" s="16" t="s">
        <v>3423</v>
      </c>
    </row>
    <row r="3048" spans="1:4">
      <c r="A3048" s="16">
        <v>5010100000</v>
      </c>
      <c r="B3048" s="16">
        <v>0</v>
      </c>
      <c r="C3048" s="16" t="s">
        <v>3406</v>
      </c>
      <c r="D3048" s="16" t="s">
        <v>3407</v>
      </c>
    </row>
    <row r="3049" spans="1:4">
      <c r="A3049" s="16">
        <v>6700500000</v>
      </c>
      <c r="B3049" s="16">
        <v>0</v>
      </c>
      <c r="C3049" s="16" t="s">
        <v>3404</v>
      </c>
      <c r="D3049" s="16" t="s">
        <v>3405</v>
      </c>
    </row>
    <row r="3050" spans="1:4">
      <c r="A3050" s="16">
        <v>6610000100</v>
      </c>
      <c r="B3050" s="16">
        <v>0</v>
      </c>
      <c r="C3050" s="16" t="s">
        <v>3413</v>
      </c>
      <c r="D3050" s="16" t="s">
        <v>3418</v>
      </c>
    </row>
    <row r="3051" spans="1:4">
      <c r="A3051" s="16">
        <v>2500000000</v>
      </c>
      <c r="B3051" s="16">
        <v>0</v>
      </c>
      <c r="C3051" s="16" t="s">
        <v>3412</v>
      </c>
      <c r="D3051" s="16" t="s">
        <v>3403</v>
      </c>
    </row>
    <row r="3052" spans="1:4">
      <c r="A3052" s="16">
        <v>4203000000</v>
      </c>
      <c r="B3052" s="16">
        <v>0</v>
      </c>
      <c r="C3052" s="16" t="s">
        <v>3408</v>
      </c>
      <c r="D3052" s="16" t="s">
        <v>3403</v>
      </c>
    </row>
    <row r="3053" spans="1:4">
      <c r="A3053" s="16">
        <v>6610100000</v>
      </c>
      <c r="B3053" s="16">
        <v>0</v>
      </c>
      <c r="C3053" s="16" t="s">
        <v>3413</v>
      </c>
      <c r="D3053" s="16" t="s">
        <v>3414</v>
      </c>
    </row>
    <row r="3054" spans="1:4">
      <c r="A3054" s="16">
        <v>5010100010</v>
      </c>
      <c r="B3054" s="16">
        <v>0</v>
      </c>
      <c r="C3054" s="16" t="s">
        <v>3406</v>
      </c>
      <c r="D3054" s="16" t="s">
        <v>3407</v>
      </c>
    </row>
    <row r="3055" spans="1:4">
      <c r="A3055" s="16">
        <v>6100000000</v>
      </c>
      <c r="B3055" s="16">
        <v>24307578</v>
      </c>
      <c r="C3055" s="16" t="s">
        <v>3416</v>
      </c>
      <c r="D3055" s="16" t="s">
        <v>3417</v>
      </c>
    </row>
    <row r="3056" spans="1:4">
      <c r="A3056" s="16">
        <v>6700200000</v>
      </c>
      <c r="B3056" s="16">
        <v>0</v>
      </c>
      <c r="C3056" s="16" t="s">
        <v>3404</v>
      </c>
      <c r="D3056" s="16" t="s">
        <v>3409</v>
      </c>
    </row>
    <row r="3057" spans="1:4">
      <c r="A3057" s="16">
        <v>6700500000</v>
      </c>
      <c r="B3057" s="16">
        <v>0</v>
      </c>
      <c r="C3057" s="16" t="s">
        <v>3404</v>
      </c>
      <c r="D3057" s="16" t="s">
        <v>3405</v>
      </c>
    </row>
    <row r="3058" spans="1:4">
      <c r="A3058" s="16">
        <v>6102000000</v>
      </c>
      <c r="B3058" s="16">
        <v>-248790</v>
      </c>
      <c r="C3058" s="16" t="s">
        <v>3425</v>
      </c>
      <c r="D3058" s="16" t="s">
        <v>3426</v>
      </c>
    </row>
    <row r="3059" spans="1:4">
      <c r="A3059" s="16">
        <v>6610000000</v>
      </c>
      <c r="B3059" s="16">
        <v>0</v>
      </c>
      <c r="C3059" s="16" t="s">
        <v>3413</v>
      </c>
      <c r="D3059" s="16" t="s">
        <v>3418</v>
      </c>
    </row>
    <row r="3060" spans="1:4">
      <c r="A3060" s="16">
        <v>5050000000</v>
      </c>
      <c r="B3060" s="16">
        <v>0</v>
      </c>
      <c r="C3060" s="16" t="s">
        <v>3406</v>
      </c>
      <c r="D3060" s="16" t="s">
        <v>3422</v>
      </c>
    </row>
    <row r="3061" spans="1:4">
      <c r="A3061" s="16">
        <v>6100000020</v>
      </c>
      <c r="B3061" s="16">
        <v>0</v>
      </c>
      <c r="C3061" s="16" t="s">
        <v>3416</v>
      </c>
      <c r="D3061" s="16" t="s">
        <v>3417</v>
      </c>
    </row>
    <row r="3062" spans="1:4">
      <c r="A3062" s="16">
        <v>6100000000</v>
      </c>
      <c r="B3062" s="16">
        <v>400</v>
      </c>
      <c r="C3062" s="16" t="s">
        <v>3427</v>
      </c>
      <c r="D3062" s="16" t="s">
        <v>3417</v>
      </c>
    </row>
    <row r="3063" spans="1:4">
      <c r="A3063" s="16">
        <v>6610100000</v>
      </c>
      <c r="B3063" s="16">
        <v>0</v>
      </c>
      <c r="C3063" s="16" t="s">
        <v>3413</v>
      </c>
      <c r="D3063" s="16" t="s">
        <v>3414</v>
      </c>
    </row>
    <row r="3064" spans="1:4">
      <c r="A3064" s="16">
        <v>3030000000</v>
      </c>
      <c r="B3064" s="16">
        <v>-1034</v>
      </c>
      <c r="C3064" s="16" t="s">
        <v>3402</v>
      </c>
      <c r="D3064" s="16" t="s">
        <v>3403</v>
      </c>
    </row>
    <row r="3065" spans="1:4">
      <c r="A3065" s="16">
        <v>5010100000</v>
      </c>
      <c r="B3065" s="16">
        <v>0</v>
      </c>
      <c r="C3065" s="16" t="s">
        <v>3406</v>
      </c>
      <c r="D3065" s="16" t="s">
        <v>3407</v>
      </c>
    </row>
    <row r="3066" spans="1:4">
      <c r="A3066" s="16">
        <v>6030000000</v>
      </c>
      <c r="B3066" s="16">
        <v>0</v>
      </c>
      <c r="C3066" s="16" t="s">
        <v>3420</v>
      </c>
      <c r="D3066" s="16" t="s">
        <v>3423</v>
      </c>
    </row>
    <row r="3067" spans="1:4">
      <c r="A3067" s="16">
        <v>4203000000</v>
      </c>
      <c r="B3067" s="16">
        <v>0</v>
      </c>
      <c r="C3067" s="16" t="s">
        <v>3408</v>
      </c>
      <c r="D3067" s="16" t="s">
        <v>3403</v>
      </c>
    </row>
    <row r="3068" spans="1:4">
      <c r="A3068" s="16">
        <v>3710000000</v>
      </c>
      <c r="B3068" s="16">
        <v>0</v>
      </c>
      <c r="C3068" s="16" t="s">
        <v>3402</v>
      </c>
      <c r="D3068" s="16" t="s">
        <v>3403</v>
      </c>
    </row>
    <row r="3069" spans="1:4">
      <c r="A3069" s="16">
        <v>3100000000</v>
      </c>
      <c r="B3069" s="16">
        <v>-24307578</v>
      </c>
      <c r="C3069" s="16" t="s">
        <v>3402</v>
      </c>
      <c r="D3069" s="16" t="s">
        <v>3403</v>
      </c>
    </row>
    <row r="3070" spans="1:4">
      <c r="A3070" s="16">
        <v>6700100000</v>
      </c>
      <c r="B3070" s="16">
        <v>0</v>
      </c>
      <c r="C3070" s="16" t="s">
        <v>3404</v>
      </c>
      <c r="D3070" s="16" t="s">
        <v>3410</v>
      </c>
    </row>
    <row r="3071" spans="1:4">
      <c r="A3071" s="16">
        <v>6030000000</v>
      </c>
      <c r="B3071" s="16">
        <v>0</v>
      </c>
      <c r="C3071" s="16" t="s">
        <v>3420</v>
      </c>
      <c r="D3071" s="16" t="s">
        <v>3423</v>
      </c>
    </row>
    <row r="3072" spans="1:4">
      <c r="A3072" s="16">
        <v>6104000000</v>
      </c>
      <c r="B3072" s="16">
        <v>0</v>
      </c>
      <c r="C3072" s="16" t="s">
        <v>3416</v>
      </c>
      <c r="D3072" s="16" t="s">
        <v>3417</v>
      </c>
    </row>
    <row r="3073" spans="1:4">
      <c r="A3073" s="16">
        <v>3102000000</v>
      </c>
      <c r="B3073" s="16">
        <v>0</v>
      </c>
      <c r="C3073" s="16" t="s">
        <v>3424</v>
      </c>
      <c r="D3073" s="16" t="s">
        <v>3403</v>
      </c>
    </row>
    <row r="3074" spans="1:4">
      <c r="A3074" s="16">
        <v>5050000000</v>
      </c>
      <c r="B3074" s="16">
        <v>0</v>
      </c>
      <c r="C3074" s="16" t="s">
        <v>3406</v>
      </c>
      <c r="D3074" s="16" t="s">
        <v>3422</v>
      </c>
    </row>
    <row r="3075" spans="1:4">
      <c r="A3075" s="16">
        <v>6700200000</v>
      </c>
      <c r="B3075" s="16">
        <v>0</v>
      </c>
      <c r="C3075" s="16" t="s">
        <v>3404</v>
      </c>
      <c r="D3075" s="16" t="s">
        <v>3409</v>
      </c>
    </row>
    <row r="3076" spans="1:4">
      <c r="A3076" s="16">
        <v>5050010000</v>
      </c>
      <c r="B3076" s="16">
        <v>0</v>
      </c>
      <c r="C3076" s="16" t="s">
        <v>3406</v>
      </c>
      <c r="D3076" s="16" t="s">
        <v>3422</v>
      </c>
    </row>
    <row r="3077" spans="1:4">
      <c r="A3077" s="16">
        <v>5010000010</v>
      </c>
      <c r="B3077" s="16">
        <v>0</v>
      </c>
      <c r="C3077" s="16" t="s">
        <v>3406</v>
      </c>
      <c r="D3077" s="16" t="s">
        <v>3411</v>
      </c>
    </row>
    <row r="3078" spans="1:4">
      <c r="A3078" s="16">
        <v>6700200000</v>
      </c>
      <c r="B3078" s="16">
        <v>0</v>
      </c>
      <c r="C3078" s="16" t="s">
        <v>3404</v>
      </c>
      <c r="D3078" s="16" t="s">
        <v>3409</v>
      </c>
    </row>
    <row r="3079" spans="1:4">
      <c r="A3079" s="16">
        <v>4203000000</v>
      </c>
      <c r="B3079" s="16">
        <v>0</v>
      </c>
      <c r="C3079" s="16" t="s">
        <v>3408</v>
      </c>
      <c r="D3079" s="16" t="s">
        <v>3403</v>
      </c>
    </row>
    <row r="3080" spans="1:4">
      <c r="A3080" s="16">
        <v>3102000000</v>
      </c>
      <c r="B3080" s="16">
        <v>0</v>
      </c>
      <c r="C3080" s="16" t="s">
        <v>3424</v>
      </c>
      <c r="D3080" s="16" t="s">
        <v>3403</v>
      </c>
    </row>
    <row r="3081" spans="1:4">
      <c r="A3081" s="16">
        <v>3800000000</v>
      </c>
      <c r="B3081" s="16">
        <v>0</v>
      </c>
      <c r="C3081" s="16" t="s">
        <v>3402</v>
      </c>
      <c r="D3081" s="16" t="s">
        <v>3403</v>
      </c>
    </row>
    <row r="3082" spans="1:4">
      <c r="A3082" s="16">
        <v>6610000000</v>
      </c>
      <c r="B3082" s="16">
        <v>0</v>
      </c>
      <c r="C3082" s="16" t="s">
        <v>3413</v>
      </c>
      <c r="D3082" s="16" t="s">
        <v>3418</v>
      </c>
    </row>
    <row r="3083" spans="1:4">
      <c r="A3083" s="16">
        <v>2201000000</v>
      </c>
      <c r="B3083" s="16">
        <v>0</v>
      </c>
      <c r="C3083" s="16" t="s">
        <v>3415</v>
      </c>
      <c r="D3083" s="16" t="s">
        <v>3403</v>
      </c>
    </row>
    <row r="3084" spans="1:4">
      <c r="A3084" s="16">
        <v>3810000000</v>
      </c>
      <c r="B3084" s="16">
        <v>0</v>
      </c>
      <c r="C3084" s="16" t="s">
        <v>3402</v>
      </c>
      <c r="D3084" s="16" t="s">
        <v>3403</v>
      </c>
    </row>
    <row r="3085" spans="1:4">
      <c r="A3085" s="16">
        <v>3100000000</v>
      </c>
      <c r="B3085" s="16">
        <v>-400</v>
      </c>
      <c r="C3085" s="16" t="s">
        <v>3402</v>
      </c>
      <c r="D3085" s="16" t="s">
        <v>3403</v>
      </c>
    </row>
    <row r="3086" spans="1:4">
      <c r="A3086" s="16">
        <v>3102000000</v>
      </c>
      <c r="B3086" s="16">
        <v>0</v>
      </c>
      <c r="C3086" s="16" t="s">
        <v>3424</v>
      </c>
      <c r="D3086" s="16" t="s">
        <v>3403</v>
      </c>
    </row>
    <row r="3087" spans="1:4">
      <c r="A3087" s="16">
        <v>4203000000</v>
      </c>
      <c r="B3087" s="16">
        <v>0</v>
      </c>
      <c r="C3087" s="16" t="s">
        <v>3408</v>
      </c>
      <c r="D3087" s="16" t="s">
        <v>3403</v>
      </c>
    </row>
    <row r="3088" spans="1:4">
      <c r="A3088" s="16">
        <v>6610100000</v>
      </c>
      <c r="B3088" s="16">
        <v>0</v>
      </c>
      <c r="C3088" s="16" t="s">
        <v>3413</v>
      </c>
      <c r="D3088" s="16" t="s">
        <v>3414</v>
      </c>
    </row>
    <row r="3089" spans="1:4">
      <c r="A3089" s="16">
        <v>3030000000</v>
      </c>
      <c r="B3089" s="16">
        <v>0</v>
      </c>
      <c r="C3089" s="16" t="s">
        <v>3402</v>
      </c>
      <c r="D3089" s="16" t="s">
        <v>3403</v>
      </c>
    </row>
    <row r="3090" spans="1:4">
      <c r="A3090" s="16">
        <v>3032000000</v>
      </c>
      <c r="B3090" s="16">
        <v>0</v>
      </c>
      <c r="C3090" s="16" t="s">
        <v>3424</v>
      </c>
      <c r="D3090" s="16" t="s">
        <v>3403</v>
      </c>
    </row>
    <row r="3091" spans="1:4">
      <c r="A3091" s="16">
        <v>6104000000</v>
      </c>
      <c r="B3091" s="16">
        <v>0</v>
      </c>
      <c r="C3091" s="16" t="s">
        <v>3427</v>
      </c>
      <c r="D3091" s="16" t="s">
        <v>3417</v>
      </c>
    </row>
    <row r="3092" spans="1:4">
      <c r="A3092" s="16">
        <v>2500000000</v>
      </c>
      <c r="B3092" s="16">
        <v>0</v>
      </c>
      <c r="C3092" s="16" t="s">
        <v>3412</v>
      </c>
      <c r="D3092" s="16" t="s">
        <v>3403</v>
      </c>
    </row>
    <row r="3093" spans="1:4">
      <c r="A3093" s="16">
        <v>6104000000</v>
      </c>
      <c r="B3093" s="16">
        <v>3424</v>
      </c>
      <c r="C3093" s="16" t="s">
        <v>3427</v>
      </c>
      <c r="D3093" s="16" t="s">
        <v>3417</v>
      </c>
    </row>
    <row r="3094" spans="1:4">
      <c r="A3094" s="16">
        <v>6700200000</v>
      </c>
      <c r="B3094" s="16">
        <v>0</v>
      </c>
      <c r="C3094" s="16" t="s">
        <v>3404</v>
      </c>
      <c r="D3094" s="16" t="s">
        <v>3409</v>
      </c>
    </row>
    <row r="3095" spans="1:4">
      <c r="A3095" s="16">
        <v>3030000000</v>
      </c>
      <c r="B3095" s="16">
        <v>0</v>
      </c>
      <c r="C3095" s="16" t="s">
        <v>3402</v>
      </c>
      <c r="D3095" s="16" t="s">
        <v>3403</v>
      </c>
    </row>
    <row r="3096" spans="1:4">
      <c r="A3096" s="16">
        <v>6700700000</v>
      </c>
      <c r="B3096" s="16">
        <v>0</v>
      </c>
      <c r="C3096" s="16" t="s">
        <v>3404</v>
      </c>
      <c r="D3096" s="16" t="s">
        <v>3409</v>
      </c>
    </row>
    <row r="3097" spans="1:4">
      <c r="A3097" s="16">
        <v>3103000000</v>
      </c>
      <c r="B3097" s="16">
        <v>0</v>
      </c>
      <c r="C3097" s="16" t="s">
        <v>3402</v>
      </c>
      <c r="D3097" s="16" t="s">
        <v>3403</v>
      </c>
    </row>
    <row r="3098" spans="1:4">
      <c r="A3098" s="16">
        <v>6700200000</v>
      </c>
      <c r="B3098" s="16">
        <v>8653245</v>
      </c>
      <c r="C3098" s="16" t="s">
        <v>3404</v>
      </c>
      <c r="D3098" s="16" t="s">
        <v>3409</v>
      </c>
    </row>
    <row r="3099" spans="1:4">
      <c r="A3099" s="16">
        <v>3102000000</v>
      </c>
      <c r="B3099" s="16">
        <v>0</v>
      </c>
      <c r="C3099" s="16" t="s">
        <v>3424</v>
      </c>
      <c r="D3099" s="16" t="s">
        <v>3403</v>
      </c>
    </row>
    <row r="3100" spans="1:4">
      <c r="A3100" s="16">
        <v>6102000000</v>
      </c>
      <c r="B3100" s="16">
        <v>0</v>
      </c>
      <c r="C3100" s="16" t="s">
        <v>3425</v>
      </c>
      <c r="D3100" s="16" t="s">
        <v>3426</v>
      </c>
    </row>
    <row r="3101" spans="1:4">
      <c r="A3101" s="16">
        <v>3800000000</v>
      </c>
      <c r="B3101" s="16">
        <v>0</v>
      </c>
      <c r="C3101" s="16" t="s">
        <v>3402</v>
      </c>
      <c r="D3101" s="16" t="s">
        <v>3403</v>
      </c>
    </row>
    <row r="3102" spans="1:4">
      <c r="A3102" s="16">
        <v>6700100000</v>
      </c>
      <c r="B3102" s="16">
        <v>0</v>
      </c>
      <c r="C3102" s="16" t="s">
        <v>3404</v>
      </c>
      <c r="D3102" s="16" t="s">
        <v>3410</v>
      </c>
    </row>
    <row r="3103" spans="1:4">
      <c r="A3103" s="16">
        <v>5050000000</v>
      </c>
      <c r="B3103" s="16">
        <v>0</v>
      </c>
      <c r="C3103" s="16" t="s">
        <v>3406</v>
      </c>
      <c r="D3103" s="16" t="s">
        <v>3422</v>
      </c>
    </row>
    <row r="3104" spans="1:4">
      <c r="A3104" s="16">
        <v>3710000000</v>
      </c>
      <c r="B3104" s="16">
        <v>0</v>
      </c>
      <c r="C3104" s="16" t="s">
        <v>3402</v>
      </c>
      <c r="D3104" s="16" t="s">
        <v>3403</v>
      </c>
    </row>
    <row r="3105" spans="1:4">
      <c r="A3105" s="16">
        <v>6700000000</v>
      </c>
      <c r="B3105" s="16">
        <v>0</v>
      </c>
      <c r="C3105" s="16" t="s">
        <v>3404</v>
      </c>
      <c r="D3105" s="16" t="s">
        <v>3405</v>
      </c>
    </row>
    <row r="3106" spans="1:4">
      <c r="A3106" s="16">
        <v>6700600000</v>
      </c>
      <c r="B3106" s="16">
        <v>0</v>
      </c>
      <c r="C3106" s="16" t="s">
        <v>3404</v>
      </c>
      <c r="D3106" s="16" t="s">
        <v>3409</v>
      </c>
    </row>
    <row r="3107" spans="1:4">
      <c r="A3107" s="16">
        <v>6102000000</v>
      </c>
      <c r="B3107" s="16">
        <v>0</v>
      </c>
      <c r="C3107" s="16" t="s">
        <v>3425</v>
      </c>
      <c r="D3107" s="16" t="s">
        <v>3426</v>
      </c>
    </row>
    <row r="3108" spans="1:4">
      <c r="A3108" s="16">
        <v>4203000000</v>
      </c>
      <c r="B3108" s="16">
        <v>0</v>
      </c>
      <c r="C3108" s="16" t="s">
        <v>3408</v>
      </c>
      <c r="D3108" s="16" t="s">
        <v>3403</v>
      </c>
    </row>
    <row r="3109" spans="1:4">
      <c r="A3109" s="16">
        <v>6700200000</v>
      </c>
      <c r="B3109" s="16">
        <v>0</v>
      </c>
      <c r="C3109" s="16" t="s">
        <v>3404</v>
      </c>
      <c r="D3109" s="16" t="s">
        <v>3409</v>
      </c>
    </row>
    <row r="3110" spans="1:4">
      <c r="A3110" s="16">
        <v>6700200000</v>
      </c>
      <c r="B3110" s="16">
        <v>0</v>
      </c>
      <c r="C3110" s="16" t="s">
        <v>3404</v>
      </c>
      <c r="D3110" s="16" t="s">
        <v>3409</v>
      </c>
    </row>
    <row r="3111" spans="1:4">
      <c r="A3111" s="16">
        <v>2201000000</v>
      </c>
      <c r="B3111" s="16">
        <v>15492340</v>
      </c>
      <c r="C3111" s="16" t="s">
        <v>3415</v>
      </c>
      <c r="D3111" s="16" t="s">
        <v>3403</v>
      </c>
    </row>
    <row r="3112" spans="1:4">
      <c r="A3112" s="16">
        <v>6104000000</v>
      </c>
      <c r="B3112" s="16">
        <v>0</v>
      </c>
      <c r="C3112" s="16" t="s">
        <v>3416</v>
      </c>
      <c r="D3112" s="16" t="s">
        <v>3417</v>
      </c>
    </row>
    <row r="3113" spans="1:4">
      <c r="A3113" s="16">
        <v>6102000000</v>
      </c>
      <c r="B3113" s="16">
        <v>0</v>
      </c>
      <c r="C3113" s="16" t="s">
        <v>3425</v>
      </c>
      <c r="D3113" s="16" t="s">
        <v>3426</v>
      </c>
    </row>
    <row r="3114" spans="1:4">
      <c r="A3114" s="16">
        <v>6700200000</v>
      </c>
      <c r="B3114" s="16">
        <v>0</v>
      </c>
      <c r="C3114" s="16" t="s">
        <v>3404</v>
      </c>
      <c r="D3114" s="16" t="s">
        <v>3409</v>
      </c>
    </row>
    <row r="3115" spans="1:4">
      <c r="A3115" s="16">
        <v>6700600000</v>
      </c>
      <c r="B3115" s="16">
        <v>0</v>
      </c>
      <c r="C3115" s="16" t="s">
        <v>3404</v>
      </c>
      <c r="D3115" s="16" t="s">
        <v>3409</v>
      </c>
    </row>
    <row r="3116" spans="1:4">
      <c r="A3116" s="16">
        <v>4203000000</v>
      </c>
      <c r="B3116" s="16">
        <v>0</v>
      </c>
      <c r="C3116" s="16" t="s">
        <v>3408</v>
      </c>
      <c r="D3116" s="16" t="s">
        <v>3403</v>
      </c>
    </row>
    <row r="3117" spans="1:4">
      <c r="A3117" s="16">
        <v>3102000000</v>
      </c>
      <c r="B3117" s="16">
        <v>0</v>
      </c>
      <c r="C3117" s="16" t="s">
        <v>3424</v>
      </c>
      <c r="D3117" s="16" t="s">
        <v>3403</v>
      </c>
    </row>
    <row r="3118" spans="1:4">
      <c r="A3118" s="16">
        <v>6032000000</v>
      </c>
      <c r="B3118" s="16">
        <v>0</v>
      </c>
      <c r="C3118" s="16" t="s">
        <v>3429</v>
      </c>
      <c r="D3118" s="16" t="s">
        <v>3430</v>
      </c>
    </row>
    <row r="3119" spans="1:4">
      <c r="A3119" s="16">
        <v>3103000000</v>
      </c>
      <c r="B3119" s="16">
        <v>0</v>
      </c>
      <c r="C3119" s="16" t="s">
        <v>3402</v>
      </c>
      <c r="D3119" s="16" t="s">
        <v>3403</v>
      </c>
    </row>
    <row r="3120" spans="1:4">
      <c r="A3120" s="16">
        <v>5010000000</v>
      </c>
      <c r="B3120" s="16">
        <v>0</v>
      </c>
      <c r="C3120" s="16" t="s">
        <v>3406</v>
      </c>
      <c r="D3120" s="16" t="s">
        <v>3411</v>
      </c>
    </row>
    <row r="3121" spans="1:4">
      <c r="A3121" s="16">
        <v>3103000000</v>
      </c>
      <c r="B3121" s="16">
        <v>-3424</v>
      </c>
      <c r="C3121" s="16" t="s">
        <v>3402</v>
      </c>
      <c r="D3121" s="16" t="s">
        <v>3403</v>
      </c>
    </row>
    <row r="3122" spans="1:4">
      <c r="A3122" s="16">
        <v>6700000000</v>
      </c>
      <c r="B3122" s="16">
        <v>0</v>
      </c>
      <c r="C3122" s="16" t="s">
        <v>3404</v>
      </c>
      <c r="D3122" s="16" t="s">
        <v>3405</v>
      </c>
    </row>
    <row r="3123" spans="1:4">
      <c r="A3123" s="16">
        <v>6700500000</v>
      </c>
      <c r="B3123" s="16">
        <v>0</v>
      </c>
      <c r="C3123" s="16" t="s">
        <v>3404</v>
      </c>
      <c r="D3123" s="16" t="s">
        <v>3405</v>
      </c>
    </row>
    <row r="3124" spans="1:4">
      <c r="A3124" s="16">
        <v>6700000000</v>
      </c>
      <c r="B3124" s="16">
        <v>-8653245</v>
      </c>
      <c r="C3124" s="16" t="s">
        <v>3404</v>
      </c>
      <c r="D3124" s="16" t="s">
        <v>3405</v>
      </c>
    </row>
    <row r="3125" spans="1:4">
      <c r="A3125" s="16">
        <v>6102000000</v>
      </c>
      <c r="B3125" s="16">
        <v>0</v>
      </c>
      <c r="C3125" s="16" t="s">
        <v>3425</v>
      </c>
      <c r="D3125" s="16" t="s">
        <v>3426</v>
      </c>
    </row>
    <row r="3126" spans="1:4">
      <c r="A3126" s="16">
        <v>2750010000</v>
      </c>
      <c r="B3126" s="16">
        <v>0</v>
      </c>
      <c r="C3126" s="16" t="s">
        <v>3419</v>
      </c>
      <c r="D3126" s="16" t="s">
        <v>3403</v>
      </c>
    </row>
    <row r="3127" spans="1:4">
      <c r="A3127" s="16">
        <v>2500000000</v>
      </c>
      <c r="B3127" s="16">
        <v>0</v>
      </c>
      <c r="C3127" s="16" t="s">
        <v>3412</v>
      </c>
      <c r="D3127" s="16" t="s">
        <v>3403</v>
      </c>
    </row>
    <row r="3128" spans="1:4">
      <c r="A3128" s="16">
        <v>6700400000</v>
      </c>
      <c r="B3128" s="16">
        <v>0</v>
      </c>
      <c r="C3128" s="16" t="s">
        <v>3404</v>
      </c>
      <c r="D3128" s="16" t="s">
        <v>3405</v>
      </c>
    </row>
    <row r="3129" spans="1:4">
      <c r="A3129" s="16">
        <v>6700200000</v>
      </c>
      <c r="B3129" s="16">
        <v>0</v>
      </c>
      <c r="C3129" s="16" t="s">
        <v>3404</v>
      </c>
      <c r="D3129" s="16" t="s">
        <v>3409</v>
      </c>
    </row>
    <row r="3130" spans="1:4">
      <c r="A3130" s="16">
        <v>6700100000</v>
      </c>
      <c r="B3130" s="16">
        <v>0</v>
      </c>
      <c r="C3130" s="16" t="s">
        <v>3404</v>
      </c>
      <c r="D3130" s="16" t="s">
        <v>3410</v>
      </c>
    </row>
    <row r="3131" spans="1:4">
      <c r="A3131" s="16">
        <v>6700200000</v>
      </c>
      <c r="B3131" s="16">
        <v>-15492340</v>
      </c>
      <c r="C3131" s="16" t="s">
        <v>3404</v>
      </c>
      <c r="D3131" s="16" t="s">
        <v>3409</v>
      </c>
    </row>
    <row r="3132" spans="1:4">
      <c r="A3132" s="16">
        <v>3103000000</v>
      </c>
      <c r="B3132" s="16">
        <v>0</v>
      </c>
      <c r="C3132" s="16" t="s">
        <v>3402</v>
      </c>
      <c r="D3132" s="16" t="s">
        <v>3403</v>
      </c>
    </row>
    <row r="3133" spans="1:4">
      <c r="A3133" s="16">
        <v>6700100000</v>
      </c>
      <c r="B3133" s="16">
        <v>0</v>
      </c>
      <c r="C3133" s="16" t="s">
        <v>3404</v>
      </c>
      <c r="D3133" s="16" t="s">
        <v>3410</v>
      </c>
    </row>
    <row r="3134" spans="1:4">
      <c r="A3134" s="16">
        <v>6700400000</v>
      </c>
      <c r="B3134" s="16">
        <v>0</v>
      </c>
      <c r="C3134" s="16" t="s">
        <v>3404</v>
      </c>
      <c r="D3134" s="16" t="s">
        <v>3405</v>
      </c>
    </row>
    <row r="3135" spans="1:4">
      <c r="A3135" s="16">
        <v>6102000000</v>
      </c>
      <c r="B3135" s="16">
        <v>0</v>
      </c>
      <c r="C3135" s="16" t="s">
        <v>3425</v>
      </c>
      <c r="D3135" s="16" t="s">
        <v>3426</v>
      </c>
    </row>
    <row r="3136" spans="1:4">
      <c r="A3136" s="16">
        <v>6610100100</v>
      </c>
      <c r="B3136" s="16">
        <v>0</v>
      </c>
      <c r="C3136" s="16" t="s">
        <v>3413</v>
      </c>
      <c r="D3136" s="16" t="s">
        <v>3414</v>
      </c>
    </row>
    <row r="3137" spans="1:4">
      <c r="A3137" s="16">
        <v>5010100000</v>
      </c>
      <c r="B3137" s="16">
        <v>0</v>
      </c>
      <c r="C3137" s="16" t="s">
        <v>3406</v>
      </c>
      <c r="D3137" s="16" t="s">
        <v>3407</v>
      </c>
    </row>
    <row r="3138" spans="1:4">
      <c r="A3138" s="16">
        <v>6610100000</v>
      </c>
      <c r="B3138" s="16">
        <v>0</v>
      </c>
      <c r="C3138" s="16" t="s">
        <v>3413</v>
      </c>
      <c r="D3138" s="16" t="s">
        <v>3414</v>
      </c>
    </row>
    <row r="3139" spans="1:4">
      <c r="A3139" s="16">
        <v>2201200030</v>
      </c>
      <c r="B3139" s="16">
        <v>0</v>
      </c>
      <c r="C3139" s="16" t="s">
        <v>3415</v>
      </c>
      <c r="D3139" s="16" t="s">
        <v>3403</v>
      </c>
    </row>
    <row r="3140" spans="1:4">
      <c r="A3140" s="16">
        <v>2500000000</v>
      </c>
      <c r="B3140" s="16">
        <v>7188733</v>
      </c>
      <c r="C3140" s="16" t="s">
        <v>3412</v>
      </c>
      <c r="D3140" s="16" t="s">
        <v>3403</v>
      </c>
    </row>
    <row r="3141" spans="1:4">
      <c r="A3141" s="16">
        <v>6700600000</v>
      </c>
      <c r="B3141" s="16">
        <v>0</v>
      </c>
      <c r="C3141" s="16" t="s">
        <v>3404</v>
      </c>
      <c r="D3141" s="16" t="s">
        <v>3409</v>
      </c>
    </row>
    <row r="3142" spans="1:4">
      <c r="A3142" s="16">
        <v>2500000000</v>
      </c>
      <c r="B3142" s="16">
        <v>18265026</v>
      </c>
      <c r="C3142" s="16" t="s">
        <v>3412</v>
      </c>
      <c r="D3142" s="16" t="s">
        <v>3403</v>
      </c>
    </row>
    <row r="3143" spans="1:4">
      <c r="A3143" s="16">
        <v>2500000000</v>
      </c>
      <c r="B3143" s="16">
        <v>0</v>
      </c>
      <c r="C3143" s="16" t="s">
        <v>3412</v>
      </c>
      <c r="D3143" s="16" t="s">
        <v>3403</v>
      </c>
    </row>
    <row r="3144" spans="1:4">
      <c r="A3144" s="16">
        <v>6030000000</v>
      </c>
      <c r="B3144" s="16">
        <v>0</v>
      </c>
      <c r="C3144" s="16" t="s">
        <v>3420</v>
      </c>
      <c r="D3144" s="16" t="s">
        <v>3423</v>
      </c>
    </row>
    <row r="3145" spans="1:4">
      <c r="A3145" s="16">
        <v>6104000000</v>
      </c>
      <c r="B3145" s="16">
        <v>3320336</v>
      </c>
      <c r="C3145" s="16" t="s">
        <v>3416</v>
      </c>
      <c r="D3145" s="16" t="s">
        <v>3417</v>
      </c>
    </row>
    <row r="3146" spans="1:4">
      <c r="A3146" s="16">
        <v>6700200000</v>
      </c>
      <c r="B3146" s="16">
        <v>0</v>
      </c>
      <c r="C3146" s="16" t="s">
        <v>3404</v>
      </c>
      <c r="D3146" s="16" t="s">
        <v>3409</v>
      </c>
    </row>
    <row r="3147" spans="1:4">
      <c r="A3147" s="16">
        <v>6030000000</v>
      </c>
      <c r="B3147" s="16">
        <v>0</v>
      </c>
      <c r="C3147" s="16" t="s">
        <v>3420</v>
      </c>
      <c r="D3147" s="16" t="s">
        <v>3423</v>
      </c>
    </row>
    <row r="3148" spans="1:4">
      <c r="A3148" s="16">
        <v>2500000000</v>
      </c>
      <c r="B3148" s="16">
        <v>46989161</v>
      </c>
      <c r="C3148" s="16" t="s">
        <v>3412</v>
      </c>
      <c r="D3148" s="16" t="s">
        <v>3403</v>
      </c>
    </row>
    <row r="3149" spans="1:4">
      <c r="A3149" s="16">
        <v>2500000000</v>
      </c>
      <c r="B3149" s="16">
        <v>0</v>
      </c>
      <c r="C3149" s="16" t="s">
        <v>3412</v>
      </c>
      <c r="D3149" s="16" t="s">
        <v>3403</v>
      </c>
    </row>
    <row r="3150" spans="1:4">
      <c r="A3150" s="16">
        <v>3032000000</v>
      </c>
      <c r="B3150" s="16">
        <v>0</v>
      </c>
      <c r="C3150" s="16" t="s">
        <v>3424</v>
      </c>
      <c r="D3150" s="16" t="s">
        <v>3403</v>
      </c>
    </row>
    <row r="3151" spans="1:4">
      <c r="A3151" s="16">
        <v>2201300000</v>
      </c>
      <c r="B3151" s="16">
        <v>47399690</v>
      </c>
      <c r="C3151" s="16" t="s">
        <v>3415</v>
      </c>
      <c r="D3151" s="16" t="s">
        <v>3403</v>
      </c>
    </row>
    <row r="3152" spans="1:4">
      <c r="A3152" s="16">
        <v>4203000000</v>
      </c>
      <c r="B3152" s="16">
        <v>0</v>
      </c>
      <c r="C3152" s="16" t="s">
        <v>3408</v>
      </c>
      <c r="D3152" s="16" t="s">
        <v>3403</v>
      </c>
    </row>
    <row r="3153" spans="1:4">
      <c r="A3153" s="16">
        <v>5010000000</v>
      </c>
      <c r="B3153" s="16">
        <v>-7188733</v>
      </c>
      <c r="C3153" s="16" t="s">
        <v>3406</v>
      </c>
      <c r="D3153" s="16" t="s">
        <v>3411</v>
      </c>
    </row>
    <row r="3154" spans="1:4">
      <c r="A3154" s="16">
        <v>6700400000</v>
      </c>
      <c r="B3154" s="16">
        <v>0</v>
      </c>
      <c r="C3154" s="16" t="s">
        <v>3404</v>
      </c>
      <c r="D3154" s="16" t="s">
        <v>3405</v>
      </c>
    </row>
    <row r="3155" spans="1:4">
      <c r="A3155" s="16">
        <v>5010100000</v>
      </c>
      <c r="B3155" s="16">
        <v>-18265026</v>
      </c>
      <c r="C3155" s="16" t="s">
        <v>3406</v>
      </c>
      <c r="D3155" s="16" t="s">
        <v>3407</v>
      </c>
    </row>
    <row r="3156" spans="1:4">
      <c r="A3156" s="16">
        <v>5010100000</v>
      </c>
      <c r="B3156" s="16">
        <v>0</v>
      </c>
      <c r="C3156" s="16" t="s">
        <v>3406</v>
      </c>
      <c r="D3156" s="16" t="s">
        <v>3407</v>
      </c>
    </row>
    <row r="3157" spans="1:4">
      <c r="A3157" s="16">
        <v>6610000000</v>
      </c>
      <c r="B3157" s="16">
        <v>0</v>
      </c>
      <c r="C3157" s="16" t="s">
        <v>3413</v>
      </c>
      <c r="D3157" s="16" t="s">
        <v>3418</v>
      </c>
    </row>
    <row r="3158" spans="1:4">
      <c r="A3158" s="16">
        <v>2500000000</v>
      </c>
      <c r="B3158" s="16">
        <v>0</v>
      </c>
      <c r="C3158" s="16" t="s">
        <v>3412</v>
      </c>
      <c r="D3158" s="16" t="s">
        <v>3403</v>
      </c>
    </row>
    <row r="3159" spans="1:4">
      <c r="A3159" s="16">
        <v>3030000000</v>
      </c>
      <c r="B3159" s="16">
        <v>0</v>
      </c>
      <c r="C3159" s="16" t="s">
        <v>3402</v>
      </c>
      <c r="D3159" s="16" t="s">
        <v>3403</v>
      </c>
    </row>
    <row r="3160" spans="1:4">
      <c r="A3160" s="16">
        <v>3103000000</v>
      </c>
      <c r="B3160" s="16">
        <v>-3320336</v>
      </c>
      <c r="C3160" s="16" t="s">
        <v>3402</v>
      </c>
      <c r="D3160" s="16" t="s">
        <v>3403</v>
      </c>
    </row>
    <row r="3161" spans="1:4">
      <c r="A3161" s="16">
        <v>6700000000</v>
      </c>
      <c r="B3161" s="16">
        <v>0</v>
      </c>
      <c r="C3161" s="16" t="s">
        <v>3404</v>
      </c>
      <c r="D3161" s="16" t="s">
        <v>3405</v>
      </c>
    </row>
    <row r="3162" spans="1:4">
      <c r="A3162" s="16">
        <v>3030000000</v>
      </c>
      <c r="B3162" s="16">
        <v>0</v>
      </c>
      <c r="C3162" s="16" t="s">
        <v>3402</v>
      </c>
      <c r="D3162" s="16" t="s">
        <v>3403</v>
      </c>
    </row>
    <row r="3163" spans="1:4">
      <c r="A3163" s="16">
        <v>6610000000</v>
      </c>
      <c r="B3163" s="16">
        <v>0</v>
      </c>
      <c r="C3163" s="16" t="s">
        <v>3413</v>
      </c>
      <c r="D3163" s="16" t="s">
        <v>3418</v>
      </c>
    </row>
    <row r="3164" spans="1:4">
      <c r="A3164" s="16">
        <v>5010100000</v>
      </c>
      <c r="B3164" s="16">
        <v>-46989161</v>
      </c>
      <c r="C3164" s="16" t="s">
        <v>3406</v>
      </c>
      <c r="D3164" s="16" t="s">
        <v>3407</v>
      </c>
    </row>
    <row r="3165" spans="1:4">
      <c r="A3165" s="16">
        <v>5010000000</v>
      </c>
      <c r="B3165" s="16">
        <v>0</v>
      </c>
      <c r="C3165" s="16" t="s">
        <v>3406</v>
      </c>
      <c r="D3165" s="16" t="s">
        <v>3411</v>
      </c>
    </row>
    <row r="3166" spans="1:4">
      <c r="A3166" s="16">
        <v>6032000000</v>
      </c>
      <c r="B3166" s="16">
        <v>0</v>
      </c>
      <c r="C3166" s="16" t="s">
        <v>3429</v>
      </c>
      <c r="D3166" s="16" t="s">
        <v>3430</v>
      </c>
    </row>
    <row r="3167" spans="1:4">
      <c r="A3167" s="16">
        <v>6700600000</v>
      </c>
      <c r="B3167" s="16">
        <v>-47399690</v>
      </c>
      <c r="C3167" s="16" t="s">
        <v>3404</v>
      </c>
      <c r="D3167" s="16" t="s">
        <v>3409</v>
      </c>
    </row>
    <row r="3168" spans="1:4">
      <c r="A3168" s="16">
        <v>6030000000</v>
      </c>
      <c r="B3168" s="16">
        <v>0</v>
      </c>
      <c r="C3168" s="16" t="s">
        <v>3420</v>
      </c>
      <c r="D3168" s="16" t="s">
        <v>3423</v>
      </c>
    </row>
    <row r="3169" spans="1:4">
      <c r="A3169" s="16">
        <v>6100000020</v>
      </c>
      <c r="B3169" s="16">
        <v>0</v>
      </c>
      <c r="C3169" s="16" t="s">
        <v>3416</v>
      </c>
      <c r="D3169" s="16" t="s">
        <v>3417</v>
      </c>
    </row>
    <row r="3170" spans="1:4">
      <c r="A3170" s="16">
        <v>4203000000</v>
      </c>
      <c r="B3170" s="16">
        <v>0</v>
      </c>
      <c r="C3170" s="16" t="s">
        <v>3408</v>
      </c>
      <c r="D3170" s="16" t="s">
        <v>3403</v>
      </c>
    </row>
    <row r="3171" spans="1:4">
      <c r="A3171" s="16">
        <v>5010000000</v>
      </c>
      <c r="B3171" s="16">
        <v>0</v>
      </c>
      <c r="C3171" s="16" t="s">
        <v>3406</v>
      </c>
      <c r="D3171" s="16" t="s">
        <v>3411</v>
      </c>
    </row>
    <row r="3172" spans="1:4">
      <c r="A3172" s="16">
        <v>5010100010</v>
      </c>
      <c r="B3172" s="16">
        <v>0</v>
      </c>
      <c r="C3172" s="16" t="s">
        <v>3406</v>
      </c>
      <c r="D3172" s="16" t="s">
        <v>3407</v>
      </c>
    </row>
    <row r="3173" spans="1:4">
      <c r="A3173" s="16">
        <v>4203000000</v>
      </c>
      <c r="B3173" s="16">
        <v>0</v>
      </c>
      <c r="C3173" s="16" t="s">
        <v>3408</v>
      </c>
      <c r="D3173" s="16" t="s">
        <v>3403</v>
      </c>
    </row>
    <row r="3174" spans="1:4">
      <c r="A3174" s="16">
        <v>6150000000</v>
      </c>
      <c r="B3174" s="16">
        <v>0</v>
      </c>
      <c r="C3174" s="16" t="s">
        <v>3416</v>
      </c>
      <c r="D3174" s="16" t="s">
        <v>3417</v>
      </c>
    </row>
    <row r="3175" spans="1:4">
      <c r="A3175" s="16">
        <v>3030000000</v>
      </c>
      <c r="B3175" s="16">
        <v>0</v>
      </c>
      <c r="C3175" s="16" t="s">
        <v>3402</v>
      </c>
      <c r="D3175" s="16" t="s">
        <v>3403</v>
      </c>
    </row>
    <row r="3176" spans="1:4">
      <c r="A3176" s="16">
        <v>3810000000</v>
      </c>
      <c r="B3176" s="16">
        <v>0</v>
      </c>
      <c r="C3176" s="16" t="s">
        <v>3402</v>
      </c>
      <c r="D3176" s="16" t="s">
        <v>3403</v>
      </c>
    </row>
    <row r="3177" spans="1:4">
      <c r="A3177" s="16">
        <v>6700200000</v>
      </c>
      <c r="B3177" s="16">
        <v>0</v>
      </c>
      <c r="C3177" s="16" t="s">
        <v>3404</v>
      </c>
      <c r="D3177" s="16" t="s">
        <v>3409</v>
      </c>
    </row>
    <row r="3178" spans="1:4">
      <c r="A3178" s="16">
        <v>3102000000</v>
      </c>
      <c r="B3178" s="16">
        <v>0</v>
      </c>
      <c r="C3178" s="16" t="s">
        <v>3424</v>
      </c>
      <c r="D3178" s="16" t="s">
        <v>3403</v>
      </c>
    </row>
    <row r="3179" spans="1:4">
      <c r="A3179" s="16">
        <v>3102000000</v>
      </c>
      <c r="B3179" s="16">
        <v>0</v>
      </c>
      <c r="C3179" s="16" t="s">
        <v>3424</v>
      </c>
      <c r="D3179" s="16" t="s">
        <v>3403</v>
      </c>
    </row>
    <row r="3180" spans="1:4">
      <c r="A3180" s="16">
        <v>2750010000</v>
      </c>
      <c r="B3180" s="16">
        <v>0</v>
      </c>
      <c r="C3180" s="16" t="s">
        <v>3419</v>
      </c>
      <c r="D3180" s="16" t="s">
        <v>3403</v>
      </c>
    </row>
    <row r="3181" spans="1:4">
      <c r="A3181" s="16">
        <v>6610000000</v>
      </c>
      <c r="B3181" s="16">
        <v>0</v>
      </c>
      <c r="C3181" s="16" t="s">
        <v>3413</v>
      </c>
      <c r="D3181" s="16" t="s">
        <v>3418</v>
      </c>
    </row>
    <row r="3182" spans="1:4">
      <c r="A3182" s="16">
        <v>3710000000</v>
      </c>
      <c r="B3182" s="16">
        <v>0</v>
      </c>
      <c r="C3182" s="16" t="s">
        <v>3402</v>
      </c>
      <c r="D3182" s="16" t="s">
        <v>3403</v>
      </c>
    </row>
    <row r="3183" spans="1:4">
      <c r="A3183" s="16">
        <v>6700700000</v>
      </c>
      <c r="B3183" s="16">
        <v>0</v>
      </c>
      <c r="C3183" s="16" t="s">
        <v>3404</v>
      </c>
      <c r="D3183" s="16" t="s">
        <v>3409</v>
      </c>
    </row>
    <row r="3184" spans="1:4">
      <c r="A3184" s="16">
        <v>2500000000</v>
      </c>
      <c r="B3184" s="16">
        <v>0</v>
      </c>
      <c r="C3184" s="16" t="s">
        <v>3412</v>
      </c>
      <c r="D3184" s="16" t="s">
        <v>3403</v>
      </c>
    </row>
    <row r="3185" spans="1:4">
      <c r="A3185" s="16">
        <v>3510000000</v>
      </c>
      <c r="B3185" s="16">
        <v>0</v>
      </c>
      <c r="C3185" s="16" t="s">
        <v>3402</v>
      </c>
      <c r="D3185" s="16" t="s">
        <v>3403</v>
      </c>
    </row>
    <row r="3186" spans="1:4">
      <c r="A3186" s="16">
        <v>3102000000</v>
      </c>
      <c r="B3186" s="16">
        <v>0</v>
      </c>
      <c r="C3186" s="16" t="s">
        <v>3424</v>
      </c>
      <c r="D3186" s="16" t="s">
        <v>3403</v>
      </c>
    </row>
    <row r="3187" spans="1:4">
      <c r="A3187" s="16">
        <v>6700000000</v>
      </c>
      <c r="B3187" s="16">
        <v>0</v>
      </c>
      <c r="C3187" s="16" t="s">
        <v>3404</v>
      </c>
      <c r="D3187" s="16" t="s">
        <v>3405</v>
      </c>
    </row>
    <row r="3188" spans="1:4">
      <c r="A3188" s="16">
        <v>6104000000</v>
      </c>
      <c r="B3188" s="16">
        <v>0</v>
      </c>
      <c r="C3188" s="16" t="s">
        <v>3427</v>
      </c>
      <c r="D3188" s="16" t="s">
        <v>3417</v>
      </c>
    </row>
    <row r="3189" spans="1:4">
      <c r="A3189" s="16">
        <v>6102000000</v>
      </c>
      <c r="B3189" s="16">
        <v>0</v>
      </c>
      <c r="C3189" s="16" t="s">
        <v>3425</v>
      </c>
      <c r="D3189" s="16" t="s">
        <v>3426</v>
      </c>
    </row>
    <row r="3190" spans="1:4">
      <c r="A3190" s="16">
        <v>6700600000</v>
      </c>
      <c r="B3190" s="16">
        <v>0</v>
      </c>
      <c r="C3190" s="16" t="s">
        <v>3404</v>
      </c>
      <c r="D3190" s="16" t="s">
        <v>3409</v>
      </c>
    </row>
    <row r="3191" spans="1:4">
      <c r="A3191" s="16">
        <v>6102000000</v>
      </c>
      <c r="B3191" s="16">
        <v>0</v>
      </c>
      <c r="C3191" s="16" t="s">
        <v>3425</v>
      </c>
      <c r="D3191" s="16" t="s">
        <v>3426</v>
      </c>
    </row>
    <row r="3192" spans="1:4">
      <c r="A3192" s="16">
        <v>3102000000</v>
      </c>
      <c r="B3192" s="16">
        <v>614816</v>
      </c>
      <c r="C3192" s="16" t="s">
        <v>3424</v>
      </c>
      <c r="D3192" s="16" t="s">
        <v>3403</v>
      </c>
    </row>
    <row r="3193" spans="1:4">
      <c r="A3193" s="16">
        <v>2500000000</v>
      </c>
      <c r="B3193" s="16">
        <v>3380061</v>
      </c>
      <c r="C3193" s="16" t="s">
        <v>3412</v>
      </c>
      <c r="D3193" s="16" t="s">
        <v>3403</v>
      </c>
    </row>
    <row r="3194" spans="1:4">
      <c r="A3194" s="16">
        <v>6610000000</v>
      </c>
      <c r="B3194" s="16">
        <v>935</v>
      </c>
      <c r="C3194" s="16" t="s">
        <v>3413</v>
      </c>
      <c r="D3194" s="16" t="s">
        <v>3418</v>
      </c>
    </row>
    <row r="3195" spans="1:4">
      <c r="A3195" s="16">
        <v>6610100100</v>
      </c>
      <c r="B3195" s="16">
        <v>0</v>
      </c>
      <c r="C3195" s="16" t="s">
        <v>3413</v>
      </c>
      <c r="D3195" s="16" t="s">
        <v>3414</v>
      </c>
    </row>
    <row r="3196" spans="1:4">
      <c r="A3196" s="16">
        <v>4203000000</v>
      </c>
      <c r="B3196" s="16">
        <v>0</v>
      </c>
      <c r="C3196" s="16" t="s">
        <v>3408</v>
      </c>
      <c r="D3196" s="16" t="s">
        <v>3403</v>
      </c>
    </row>
    <row r="3197" spans="1:4">
      <c r="A3197" s="16">
        <v>6700600000</v>
      </c>
      <c r="B3197" s="16">
        <v>0</v>
      </c>
      <c r="C3197" s="16" t="s">
        <v>3404</v>
      </c>
      <c r="D3197" s="16" t="s">
        <v>3409</v>
      </c>
    </row>
    <row r="3198" spans="1:4">
      <c r="A3198" s="16">
        <v>6700500000</v>
      </c>
      <c r="B3198" s="16">
        <v>0</v>
      </c>
      <c r="C3198" s="16" t="s">
        <v>3404</v>
      </c>
      <c r="D3198" s="16" t="s">
        <v>3405</v>
      </c>
    </row>
    <row r="3199" spans="1:4">
      <c r="A3199" s="16">
        <v>5010000000</v>
      </c>
      <c r="B3199" s="16">
        <v>0</v>
      </c>
      <c r="C3199" s="16" t="s">
        <v>3406</v>
      </c>
      <c r="D3199" s="16" t="s">
        <v>3411</v>
      </c>
    </row>
    <row r="3200" spans="1:4">
      <c r="A3200" s="16">
        <v>6700200000</v>
      </c>
      <c r="B3200" s="16">
        <v>0</v>
      </c>
      <c r="C3200" s="16" t="s">
        <v>3404</v>
      </c>
      <c r="D3200" s="16" t="s">
        <v>3409</v>
      </c>
    </row>
    <row r="3201" spans="1:4">
      <c r="A3201" s="16">
        <v>6700600000</v>
      </c>
      <c r="B3201" s="16">
        <v>0</v>
      </c>
      <c r="C3201" s="16" t="s">
        <v>3404</v>
      </c>
      <c r="D3201" s="16" t="s">
        <v>3409</v>
      </c>
    </row>
    <row r="3202" spans="1:4">
      <c r="A3202" s="16">
        <v>3032000000</v>
      </c>
      <c r="B3202" s="16">
        <v>0</v>
      </c>
      <c r="C3202" s="16" t="s">
        <v>3424</v>
      </c>
      <c r="D3202" s="16" t="s">
        <v>3403</v>
      </c>
    </row>
    <row r="3203" spans="1:4">
      <c r="A3203" s="16">
        <v>6102000000</v>
      </c>
      <c r="B3203" s="16">
        <v>0</v>
      </c>
      <c r="C3203" s="16" t="s">
        <v>3425</v>
      </c>
      <c r="D3203" s="16" t="s">
        <v>3426</v>
      </c>
    </row>
    <row r="3204" spans="1:4">
      <c r="A3204" s="16">
        <v>3103000000</v>
      </c>
      <c r="B3204" s="16">
        <v>0</v>
      </c>
      <c r="C3204" s="16" t="s">
        <v>3402</v>
      </c>
      <c r="D3204" s="16" t="s">
        <v>3403</v>
      </c>
    </row>
    <row r="3205" spans="1:4">
      <c r="A3205" s="16">
        <v>6700400000</v>
      </c>
      <c r="B3205" s="16">
        <v>0</v>
      </c>
      <c r="C3205" s="16" t="s">
        <v>3404</v>
      </c>
      <c r="D3205" s="16" t="s">
        <v>3405</v>
      </c>
    </row>
    <row r="3206" spans="1:4">
      <c r="A3206" s="16">
        <v>2201000000</v>
      </c>
      <c r="B3206" s="16">
        <v>0</v>
      </c>
      <c r="C3206" s="16" t="s">
        <v>3415</v>
      </c>
      <c r="D3206" s="16" t="s">
        <v>3403</v>
      </c>
    </row>
    <row r="3207" spans="1:4">
      <c r="A3207" s="16">
        <v>6102000000</v>
      </c>
      <c r="B3207" s="16">
        <v>-614816</v>
      </c>
      <c r="C3207" s="16" t="s">
        <v>3425</v>
      </c>
      <c r="D3207" s="16" t="s">
        <v>3426</v>
      </c>
    </row>
    <row r="3208" spans="1:4">
      <c r="A3208" s="16">
        <v>2201000010</v>
      </c>
      <c r="B3208" s="16">
        <v>0</v>
      </c>
      <c r="C3208" s="16" t="s">
        <v>3415</v>
      </c>
      <c r="D3208" s="16" t="s">
        <v>3403</v>
      </c>
    </row>
    <row r="3209" spans="1:4">
      <c r="A3209" s="16">
        <v>5010100000</v>
      </c>
      <c r="B3209" s="16">
        <v>-3380061</v>
      </c>
      <c r="C3209" s="16" t="s">
        <v>3406</v>
      </c>
      <c r="D3209" s="16" t="s">
        <v>3407</v>
      </c>
    </row>
    <row r="3210" spans="1:4">
      <c r="A3210" s="16">
        <v>4203000000</v>
      </c>
      <c r="B3210" s="16">
        <v>-935</v>
      </c>
      <c r="C3210" s="16" t="s">
        <v>3408</v>
      </c>
      <c r="D3210" s="16" t="s">
        <v>3403</v>
      </c>
    </row>
    <row r="3211" spans="1:4">
      <c r="A3211" s="16">
        <v>3102000000</v>
      </c>
      <c r="B3211" s="16">
        <v>0</v>
      </c>
      <c r="C3211" s="16" t="s">
        <v>3424</v>
      </c>
      <c r="D3211" s="16" t="s">
        <v>3403</v>
      </c>
    </row>
    <row r="3212" spans="1:4">
      <c r="A3212" s="16">
        <v>2201000000</v>
      </c>
      <c r="B3212" s="16">
        <v>0</v>
      </c>
      <c r="C3212" s="16" t="s">
        <v>3415</v>
      </c>
      <c r="D3212" s="16" t="s">
        <v>3403</v>
      </c>
    </row>
    <row r="3213" spans="1:4">
      <c r="A3213" s="16">
        <v>6700400000</v>
      </c>
      <c r="B3213" s="16">
        <v>0</v>
      </c>
      <c r="C3213" s="16" t="s">
        <v>3404</v>
      </c>
      <c r="D3213" s="16" t="s">
        <v>3405</v>
      </c>
    </row>
    <row r="3214" spans="1:4">
      <c r="A3214" s="16">
        <v>6700100000</v>
      </c>
      <c r="B3214" s="16">
        <v>0</v>
      </c>
      <c r="C3214" s="16" t="s">
        <v>3404</v>
      </c>
      <c r="D3214" s="16" t="s">
        <v>3410</v>
      </c>
    </row>
    <row r="3215" spans="1:4">
      <c r="A3215" s="16">
        <v>2201000030</v>
      </c>
      <c r="B3215" s="16">
        <v>0</v>
      </c>
      <c r="C3215" s="16" t="s">
        <v>3415</v>
      </c>
      <c r="D3215" s="16" t="s">
        <v>3403</v>
      </c>
    </row>
    <row r="3216" spans="1:4">
      <c r="A3216" s="16">
        <v>6700400000</v>
      </c>
      <c r="B3216" s="16">
        <v>0</v>
      </c>
      <c r="C3216" s="16" t="s">
        <v>3404</v>
      </c>
      <c r="D3216" s="16" t="s">
        <v>3405</v>
      </c>
    </row>
    <row r="3217" spans="1:4">
      <c r="A3217" s="16">
        <v>6032000000</v>
      </c>
      <c r="B3217" s="16">
        <v>0</v>
      </c>
      <c r="C3217" s="16" t="s">
        <v>3429</v>
      </c>
      <c r="D3217" s="16" t="s">
        <v>3430</v>
      </c>
    </row>
    <row r="3218" spans="1:4">
      <c r="A3218" s="16">
        <v>6700700000</v>
      </c>
      <c r="B3218" s="16">
        <v>0</v>
      </c>
      <c r="C3218" s="16" t="s">
        <v>3404</v>
      </c>
      <c r="D3218" s="16" t="s">
        <v>3409</v>
      </c>
    </row>
    <row r="3219" spans="1:4">
      <c r="A3219" s="16">
        <v>6700200000</v>
      </c>
      <c r="B3219" s="16">
        <v>0</v>
      </c>
      <c r="C3219" s="16" t="s">
        <v>3404</v>
      </c>
      <c r="D3219" s="16" t="s">
        <v>3409</v>
      </c>
    </row>
    <row r="3220" spans="1:4">
      <c r="A3220" s="16">
        <v>4610000000</v>
      </c>
      <c r="B3220" s="16">
        <v>0</v>
      </c>
      <c r="C3220" s="16" t="s">
        <v>3428</v>
      </c>
      <c r="D3220" s="16" t="s">
        <v>3403</v>
      </c>
    </row>
    <row r="3221" spans="1:4">
      <c r="A3221" s="16">
        <v>6102000000</v>
      </c>
      <c r="B3221" s="16">
        <v>0</v>
      </c>
      <c r="C3221" s="16" t="s">
        <v>3425</v>
      </c>
      <c r="D3221" s="16" t="s">
        <v>3426</v>
      </c>
    </row>
    <row r="3222" spans="1:4">
      <c r="A3222" s="16">
        <v>6700200000</v>
      </c>
      <c r="B3222" s="16">
        <v>0</v>
      </c>
      <c r="C3222" s="16" t="s">
        <v>3404</v>
      </c>
      <c r="D3222" s="16" t="s">
        <v>3409</v>
      </c>
    </row>
    <row r="3223" spans="1:4">
      <c r="A3223" s="16">
        <v>2750010000</v>
      </c>
      <c r="B3223" s="16">
        <v>0</v>
      </c>
      <c r="C3223" s="16" t="s">
        <v>3419</v>
      </c>
      <c r="D3223" s="16" t="s">
        <v>3403</v>
      </c>
    </row>
    <row r="3224" spans="1:4">
      <c r="A3224" s="16">
        <v>6700200000</v>
      </c>
      <c r="B3224" s="16">
        <v>0</v>
      </c>
      <c r="C3224" s="16" t="s">
        <v>3404</v>
      </c>
      <c r="D3224" s="16" t="s">
        <v>3409</v>
      </c>
    </row>
    <row r="3225" spans="1:4">
      <c r="A3225" s="16">
        <v>6700500000</v>
      </c>
      <c r="B3225" s="16">
        <v>0</v>
      </c>
      <c r="C3225" s="16" t="s">
        <v>3404</v>
      </c>
      <c r="D3225" s="16" t="s">
        <v>3405</v>
      </c>
    </row>
    <row r="3226" spans="1:4">
      <c r="A3226" s="16">
        <v>3102000000</v>
      </c>
      <c r="B3226" s="16">
        <v>0</v>
      </c>
      <c r="C3226" s="16" t="s">
        <v>3424</v>
      </c>
      <c r="D3226" s="16" t="s">
        <v>3403</v>
      </c>
    </row>
    <row r="3227" spans="1:4">
      <c r="A3227" s="16">
        <v>6700500000</v>
      </c>
      <c r="B3227" s="16">
        <v>0</v>
      </c>
      <c r="C3227" s="16" t="s">
        <v>3404</v>
      </c>
      <c r="D3227" s="16" t="s">
        <v>3405</v>
      </c>
    </row>
    <row r="3228" spans="1:4">
      <c r="A3228" s="16">
        <v>6700200000</v>
      </c>
      <c r="B3228" s="16">
        <v>0</v>
      </c>
      <c r="C3228" s="16" t="s">
        <v>3404</v>
      </c>
      <c r="D3228" s="16" t="s">
        <v>3409</v>
      </c>
    </row>
    <row r="3229" spans="1:4">
      <c r="A3229" s="16">
        <v>6700100000</v>
      </c>
      <c r="B3229" s="16">
        <v>0</v>
      </c>
      <c r="C3229" s="16" t="s">
        <v>3404</v>
      </c>
      <c r="D3229" s="16" t="s">
        <v>3410</v>
      </c>
    </row>
    <row r="3230" spans="1:4">
      <c r="A3230" s="16">
        <v>2201000000</v>
      </c>
      <c r="B3230" s="16">
        <v>-3079109</v>
      </c>
      <c r="C3230" s="16" t="s">
        <v>3415</v>
      </c>
      <c r="D3230" s="16" t="s">
        <v>3403</v>
      </c>
    </row>
    <row r="3231" spans="1:4">
      <c r="A3231" s="16">
        <v>6700200000</v>
      </c>
      <c r="B3231" s="16">
        <v>3079109</v>
      </c>
      <c r="C3231" s="16" t="s">
        <v>3404</v>
      </c>
      <c r="D3231" s="16" t="s">
        <v>3409</v>
      </c>
    </row>
    <row r="3232" spans="1:4">
      <c r="A3232" s="16">
        <v>6700200000</v>
      </c>
      <c r="B3232" s="16">
        <v>0</v>
      </c>
      <c r="C3232" s="16" t="s">
        <v>3404</v>
      </c>
      <c r="D3232" s="16" t="s">
        <v>3409</v>
      </c>
    </row>
    <row r="3233" spans="1:4">
      <c r="A3233" s="16">
        <v>6700100000</v>
      </c>
      <c r="B3233" s="16">
        <v>0</v>
      </c>
      <c r="C3233" s="16" t="s">
        <v>3404</v>
      </c>
      <c r="D3233" s="16" t="s">
        <v>3410</v>
      </c>
    </row>
    <row r="3234" spans="1:4">
      <c r="A3234" s="16">
        <v>2203000010</v>
      </c>
      <c r="B3234" s="16">
        <v>0</v>
      </c>
      <c r="C3234" s="16" t="s">
        <v>3415</v>
      </c>
      <c r="D3234" s="16" t="s">
        <v>3403</v>
      </c>
    </row>
    <row r="3235" spans="1:4">
      <c r="A3235" s="16">
        <v>4612000000</v>
      </c>
      <c r="B3235" s="16">
        <v>0</v>
      </c>
      <c r="C3235" s="16" t="s">
        <v>3428</v>
      </c>
      <c r="D3235" s="16" t="s">
        <v>3403</v>
      </c>
    </row>
    <row r="3236" spans="1:4">
      <c r="A3236" s="16">
        <v>5010100010</v>
      </c>
      <c r="B3236" s="16">
        <v>0</v>
      </c>
      <c r="C3236" s="16" t="s">
        <v>3406</v>
      </c>
      <c r="D3236" s="16" t="s">
        <v>3407</v>
      </c>
    </row>
    <row r="3237" spans="1:4">
      <c r="A3237" s="16">
        <v>3710000000</v>
      </c>
      <c r="B3237" s="16">
        <v>0</v>
      </c>
      <c r="C3237" s="16" t="s">
        <v>3402</v>
      </c>
      <c r="D3237" s="16" t="s">
        <v>3403</v>
      </c>
    </row>
    <row r="3238" spans="1:4">
      <c r="A3238" s="16">
        <v>6700600000</v>
      </c>
      <c r="B3238" s="16">
        <v>0</v>
      </c>
      <c r="C3238" s="16" t="s">
        <v>3404</v>
      </c>
      <c r="D3238" s="16" t="s">
        <v>3409</v>
      </c>
    </row>
    <row r="3239" spans="1:4">
      <c r="A3239" s="16">
        <v>6700400000</v>
      </c>
      <c r="B3239" s="16">
        <v>0</v>
      </c>
      <c r="C3239" s="16" t="s">
        <v>3404</v>
      </c>
      <c r="D3239" s="16" t="s">
        <v>3405</v>
      </c>
    </row>
    <row r="3240" spans="1:4">
      <c r="A3240" s="16">
        <v>6700200000</v>
      </c>
      <c r="B3240" s="16">
        <v>0</v>
      </c>
      <c r="C3240" s="16" t="s">
        <v>3404</v>
      </c>
      <c r="D3240" s="16" t="s">
        <v>3409</v>
      </c>
    </row>
    <row r="3241" spans="1:4">
      <c r="A3241" s="16">
        <v>6700100000</v>
      </c>
      <c r="B3241" s="16">
        <v>0</v>
      </c>
      <c r="C3241" s="16" t="s">
        <v>3404</v>
      </c>
      <c r="D3241" s="16" t="s">
        <v>3410</v>
      </c>
    </row>
    <row r="3242" spans="1:4">
      <c r="A3242" s="16">
        <v>6700600000</v>
      </c>
      <c r="B3242" s="16">
        <v>0</v>
      </c>
      <c r="C3242" s="16" t="s">
        <v>3404</v>
      </c>
      <c r="D3242" s="16" t="s">
        <v>3409</v>
      </c>
    </row>
    <row r="3243" spans="1:4">
      <c r="A3243" s="16">
        <v>6700400000</v>
      </c>
      <c r="B3243" s="16">
        <v>0</v>
      </c>
      <c r="C3243" s="16" t="s">
        <v>3404</v>
      </c>
      <c r="D3243" s="16" t="s">
        <v>3405</v>
      </c>
    </row>
    <row r="3244" spans="1:4">
      <c r="A3244" s="16">
        <v>6100000000</v>
      </c>
      <c r="B3244" s="16">
        <v>0</v>
      </c>
      <c r="C3244" s="16" t="s">
        <v>3416</v>
      </c>
      <c r="D3244" s="16" t="s">
        <v>3417</v>
      </c>
    </row>
    <row r="3245" spans="1:4">
      <c r="A3245" s="16">
        <v>3100000000</v>
      </c>
      <c r="B3245" s="16">
        <v>0</v>
      </c>
      <c r="C3245" s="16" t="s">
        <v>3402</v>
      </c>
      <c r="D3245" s="16" t="s">
        <v>3403</v>
      </c>
    </row>
    <row r="3246" spans="1:4">
      <c r="A3246" s="16">
        <v>3102000000</v>
      </c>
      <c r="B3246" s="16">
        <v>0</v>
      </c>
      <c r="C3246" s="16" t="s">
        <v>3424</v>
      </c>
      <c r="D3246" s="16" t="s">
        <v>3403</v>
      </c>
    </row>
    <row r="3247" spans="1:4">
      <c r="A3247" s="16">
        <v>6102000000</v>
      </c>
      <c r="B3247" s="16">
        <v>0</v>
      </c>
      <c r="C3247" s="16" t="s">
        <v>3425</v>
      </c>
      <c r="D3247" s="16" t="s">
        <v>3426</v>
      </c>
    </row>
    <row r="3248" spans="1:4">
      <c r="A3248" s="16">
        <v>2201000000</v>
      </c>
      <c r="B3248" s="16">
        <v>-437187</v>
      </c>
      <c r="C3248" s="16" t="s">
        <v>3415</v>
      </c>
      <c r="D3248" s="16" t="s">
        <v>3403</v>
      </c>
    </row>
    <row r="3249" spans="1:4">
      <c r="A3249" s="16">
        <v>6700200000</v>
      </c>
      <c r="B3249" s="16">
        <v>437187</v>
      </c>
      <c r="C3249" s="16" t="s">
        <v>3404</v>
      </c>
      <c r="D3249" s="16" t="s">
        <v>3409</v>
      </c>
    </row>
    <row r="3250" spans="1:4">
      <c r="A3250" s="16">
        <v>6700700000</v>
      </c>
      <c r="B3250" s="16">
        <v>0</v>
      </c>
      <c r="C3250" s="16" t="s">
        <v>3404</v>
      </c>
      <c r="D3250" s="16" t="s">
        <v>3409</v>
      </c>
    </row>
    <row r="3251" spans="1:4">
      <c r="A3251" s="16">
        <v>6700500000</v>
      </c>
      <c r="B3251" s="16">
        <v>0</v>
      </c>
      <c r="C3251" s="16" t="s">
        <v>3404</v>
      </c>
      <c r="D3251" s="16" t="s">
        <v>3405</v>
      </c>
    </row>
    <row r="3252" spans="1:4">
      <c r="A3252" s="16">
        <v>6030000000</v>
      </c>
      <c r="B3252" s="16">
        <v>0</v>
      </c>
      <c r="C3252" s="16" t="s">
        <v>3420</v>
      </c>
      <c r="D3252" s="16" t="s">
        <v>3423</v>
      </c>
    </row>
    <row r="3253" spans="1:4">
      <c r="A3253" s="16">
        <v>3030000000</v>
      </c>
      <c r="B3253" s="16">
        <v>0</v>
      </c>
      <c r="C3253" s="16" t="s">
        <v>3402</v>
      </c>
      <c r="D3253" s="16" t="s">
        <v>3403</v>
      </c>
    </row>
    <row r="3254" spans="1:4">
      <c r="A3254" s="16">
        <v>6100000020</v>
      </c>
      <c r="B3254" s="16">
        <v>0</v>
      </c>
      <c r="C3254" s="16" t="s">
        <v>3416</v>
      </c>
      <c r="D3254" s="16" t="s">
        <v>3417</v>
      </c>
    </row>
    <row r="3255" spans="1:4">
      <c r="A3255" s="16">
        <v>3810000000</v>
      </c>
      <c r="B3255" s="16">
        <v>0</v>
      </c>
      <c r="C3255" s="16" t="s">
        <v>3402</v>
      </c>
      <c r="D3255" s="16" t="s">
        <v>3403</v>
      </c>
    </row>
    <row r="3256" spans="1:4">
      <c r="A3256" s="16">
        <v>6700700000</v>
      </c>
      <c r="B3256" s="16">
        <v>0</v>
      </c>
      <c r="C3256" s="16" t="s">
        <v>3404</v>
      </c>
      <c r="D3256" s="16" t="s">
        <v>3409</v>
      </c>
    </row>
    <row r="3257" spans="1:4">
      <c r="A3257" s="16">
        <v>6700500000</v>
      </c>
      <c r="B3257" s="16">
        <v>0</v>
      </c>
      <c r="C3257" s="16" t="s">
        <v>3404</v>
      </c>
      <c r="D3257" s="16" t="s">
        <v>3405</v>
      </c>
    </row>
    <row r="3258" spans="1:4">
      <c r="A3258" s="16">
        <v>3032000000</v>
      </c>
      <c r="B3258" s="16">
        <v>1018</v>
      </c>
      <c r="C3258" s="16" t="s">
        <v>3424</v>
      </c>
      <c r="D3258" s="16" t="s">
        <v>3403</v>
      </c>
    </row>
    <row r="3259" spans="1:4">
      <c r="A3259" s="16">
        <v>6032000000</v>
      </c>
      <c r="B3259" s="16">
        <v>-1018</v>
      </c>
      <c r="C3259" s="16" t="s">
        <v>3429</v>
      </c>
      <c r="D3259" s="16" t="s">
        <v>3430</v>
      </c>
    </row>
    <row r="3260" spans="1:4">
      <c r="A3260" s="16">
        <v>6700200000</v>
      </c>
      <c r="B3260" s="16">
        <v>0</v>
      </c>
      <c r="C3260" s="16" t="s">
        <v>3404</v>
      </c>
      <c r="D3260" s="16" t="s">
        <v>3409</v>
      </c>
    </row>
    <row r="3261" spans="1:4">
      <c r="A3261" s="16">
        <v>6700100000</v>
      </c>
      <c r="B3261" s="16">
        <v>0</v>
      </c>
      <c r="C3261" s="16" t="s">
        <v>3404</v>
      </c>
      <c r="D3261" s="16" t="s">
        <v>3410</v>
      </c>
    </row>
    <row r="3262" spans="1:4">
      <c r="A3262" s="16">
        <v>2201400000</v>
      </c>
      <c r="B3262" s="16">
        <v>130324069</v>
      </c>
      <c r="C3262" s="16" t="s">
        <v>3415</v>
      </c>
      <c r="D3262" s="16" t="s">
        <v>3403</v>
      </c>
    </row>
    <row r="3263" spans="1:4">
      <c r="A3263" s="16">
        <v>6700700000</v>
      </c>
      <c r="B3263" s="16">
        <v>-130324069</v>
      </c>
      <c r="C3263" s="16" t="s">
        <v>3404</v>
      </c>
      <c r="D3263" s="16" t="s">
        <v>3409</v>
      </c>
    </row>
    <row r="3264" spans="1:4">
      <c r="A3264" s="16">
        <v>6610000000</v>
      </c>
      <c r="B3264" s="16">
        <v>0</v>
      </c>
      <c r="C3264" s="16" t="s">
        <v>3413</v>
      </c>
      <c r="D3264" s="16" t="s">
        <v>3418</v>
      </c>
    </row>
    <row r="3265" spans="1:4">
      <c r="A3265" s="16">
        <v>4203000000</v>
      </c>
      <c r="B3265" s="16">
        <v>0</v>
      </c>
      <c r="C3265" s="16" t="s">
        <v>3408</v>
      </c>
      <c r="D3265" s="16" t="s">
        <v>3403</v>
      </c>
    </row>
    <row r="3266" spans="1:4">
      <c r="A3266" s="16">
        <v>2201000000</v>
      </c>
      <c r="B3266" s="16">
        <v>0</v>
      </c>
      <c r="C3266" s="16" t="s">
        <v>3415</v>
      </c>
      <c r="D3266" s="16" t="s">
        <v>3403</v>
      </c>
    </row>
    <row r="3267" spans="1:4">
      <c r="A3267" s="16">
        <v>6700200000</v>
      </c>
      <c r="B3267" s="16">
        <v>0</v>
      </c>
      <c r="C3267" s="16" t="s">
        <v>3404</v>
      </c>
      <c r="D3267" s="16" t="s">
        <v>3409</v>
      </c>
    </row>
    <row r="3268" spans="1:4">
      <c r="A3268" s="16">
        <v>2201000030</v>
      </c>
      <c r="B3268" s="16">
        <v>0</v>
      </c>
      <c r="C3268" s="16" t="s">
        <v>3415</v>
      </c>
      <c r="D3268" s="16" t="s">
        <v>3403</v>
      </c>
    </row>
    <row r="3269" spans="1:4">
      <c r="A3269" s="16">
        <v>6700200000</v>
      </c>
      <c r="B3269" s="16">
        <v>0</v>
      </c>
      <c r="C3269" s="16" t="s">
        <v>3404</v>
      </c>
      <c r="D3269" s="16" t="s">
        <v>3409</v>
      </c>
    </row>
    <row r="3270" spans="1:4">
      <c r="A3270" s="16">
        <v>2500000000</v>
      </c>
      <c r="B3270" s="16">
        <v>0</v>
      </c>
      <c r="C3270" s="16" t="s">
        <v>3412</v>
      </c>
      <c r="D3270" s="16" t="s">
        <v>3403</v>
      </c>
    </row>
    <row r="3271" spans="1:4">
      <c r="A3271" s="16">
        <v>5010100000</v>
      </c>
      <c r="B3271" s="16">
        <v>0</v>
      </c>
      <c r="C3271" s="16" t="s">
        <v>3406</v>
      </c>
      <c r="D3271" s="16" t="s">
        <v>3407</v>
      </c>
    </row>
    <row r="3272" spans="1:4">
      <c r="A3272" s="16">
        <v>3102000000</v>
      </c>
      <c r="B3272" s="16">
        <v>0</v>
      </c>
      <c r="C3272" s="16" t="s">
        <v>3424</v>
      </c>
      <c r="D3272" s="16" t="s">
        <v>3403</v>
      </c>
    </row>
    <row r="3273" spans="1:4">
      <c r="A3273" s="16">
        <v>6102000000</v>
      </c>
      <c r="B3273" s="16">
        <v>0</v>
      </c>
      <c r="C3273" s="16" t="s">
        <v>3425</v>
      </c>
      <c r="D3273" s="16" t="s">
        <v>3426</v>
      </c>
    </row>
    <row r="3274" spans="1:4">
      <c r="A3274" s="16">
        <v>3032000000</v>
      </c>
      <c r="B3274" s="16">
        <v>0</v>
      </c>
      <c r="C3274" s="16" t="s">
        <v>3424</v>
      </c>
      <c r="D3274" s="16" t="s">
        <v>3403</v>
      </c>
    </row>
    <row r="3275" spans="1:4">
      <c r="A3275" s="16">
        <v>6032000000</v>
      </c>
      <c r="B3275" s="16">
        <v>0</v>
      </c>
      <c r="C3275" s="16" t="s">
        <v>3429</v>
      </c>
      <c r="D3275" s="16" t="s">
        <v>3430</v>
      </c>
    </row>
    <row r="3276" spans="1:4">
      <c r="A3276" s="16">
        <v>6700700000</v>
      </c>
      <c r="B3276" s="16">
        <v>0</v>
      </c>
      <c r="C3276" s="16" t="s">
        <v>3404</v>
      </c>
      <c r="D3276" s="16" t="s">
        <v>3409</v>
      </c>
    </row>
    <row r="3277" spans="1:4">
      <c r="A3277" s="16">
        <v>6700500000</v>
      </c>
      <c r="B3277" s="16">
        <v>0</v>
      </c>
      <c r="C3277" s="16" t="s">
        <v>3404</v>
      </c>
      <c r="D3277" s="16" t="s">
        <v>3405</v>
      </c>
    </row>
    <row r="3278" spans="1:4">
      <c r="A3278" s="16">
        <v>6610100000</v>
      </c>
      <c r="B3278" s="16">
        <v>0</v>
      </c>
      <c r="C3278" s="16" t="s">
        <v>3413</v>
      </c>
      <c r="D3278" s="16" t="s">
        <v>3414</v>
      </c>
    </row>
    <row r="3279" spans="1:4">
      <c r="A3279" s="16">
        <v>4203000000</v>
      </c>
      <c r="B3279" s="16">
        <v>0</v>
      </c>
      <c r="C3279" s="16" t="s">
        <v>3408</v>
      </c>
      <c r="D3279" s="16" t="s">
        <v>3403</v>
      </c>
    </row>
    <row r="3280" spans="1:4">
      <c r="A3280" s="16">
        <v>4611000000</v>
      </c>
      <c r="B3280" s="16">
        <v>0</v>
      </c>
      <c r="C3280" s="16" t="s">
        <v>3428</v>
      </c>
      <c r="D3280" s="16" t="s">
        <v>3403</v>
      </c>
    </row>
    <row r="3281" spans="1:4">
      <c r="A3281" s="16">
        <v>3800000010</v>
      </c>
      <c r="B3281" s="16">
        <v>0</v>
      </c>
      <c r="C3281" s="16" t="s">
        <v>3402</v>
      </c>
      <c r="D3281" s="16" t="s">
        <v>3403</v>
      </c>
    </row>
    <row r="3282" spans="1:4">
      <c r="A3282" s="16">
        <v>2750010000</v>
      </c>
      <c r="B3282" s="16">
        <v>0</v>
      </c>
      <c r="C3282" s="16" t="s">
        <v>3419</v>
      </c>
      <c r="D3282" s="16" t="s">
        <v>3403</v>
      </c>
    </row>
    <row r="3283" spans="1:4">
      <c r="A3283" s="16">
        <v>6610000100</v>
      </c>
      <c r="B3283" s="16">
        <v>0</v>
      </c>
      <c r="C3283" s="16" t="s">
        <v>3413</v>
      </c>
      <c r="D3283" s="16" t="s">
        <v>3418</v>
      </c>
    </row>
    <row r="3284" spans="1:4">
      <c r="A3284" s="16">
        <v>6700600000</v>
      </c>
      <c r="B3284" s="16">
        <v>0</v>
      </c>
      <c r="C3284" s="16" t="s">
        <v>3404</v>
      </c>
      <c r="D3284" s="16" t="s">
        <v>3409</v>
      </c>
    </row>
    <row r="3285" spans="1:4">
      <c r="A3285" s="16">
        <v>6700400000</v>
      </c>
      <c r="B3285" s="16">
        <v>0</v>
      </c>
      <c r="C3285" s="16" t="s">
        <v>3404</v>
      </c>
      <c r="D3285" s="16" t="s">
        <v>3405</v>
      </c>
    </row>
    <row r="3286" spans="1:4">
      <c r="A3286" s="16">
        <v>6060010000</v>
      </c>
      <c r="B3286" s="16">
        <v>0</v>
      </c>
      <c r="C3286" s="16" t="s">
        <v>3420</v>
      </c>
      <c r="D3286" s="16" t="s">
        <v>3421</v>
      </c>
    </row>
    <row r="3287" spans="1:4">
      <c r="A3287" s="16">
        <v>5052000000</v>
      </c>
      <c r="B3287" s="16">
        <v>0</v>
      </c>
      <c r="C3287" s="16" t="s">
        <v>3406</v>
      </c>
      <c r="D3287" s="16" t="s">
        <v>3422</v>
      </c>
    </row>
    <row r="3288" spans="1:4">
      <c r="A3288" s="16">
        <v>6610100000</v>
      </c>
      <c r="B3288" s="16">
        <v>18514</v>
      </c>
      <c r="C3288" s="16" t="s">
        <v>3413</v>
      </c>
      <c r="D3288" s="16" t="s">
        <v>3414</v>
      </c>
    </row>
    <row r="3289" spans="1:4">
      <c r="A3289" s="16">
        <v>4203000000</v>
      </c>
      <c r="B3289" s="16">
        <v>-18514</v>
      </c>
      <c r="C3289" s="16" t="s">
        <v>3408</v>
      </c>
      <c r="D3289" s="16" t="s">
        <v>3403</v>
      </c>
    </row>
    <row r="3290" spans="1:4">
      <c r="A3290" s="16">
        <v>6700600000</v>
      </c>
      <c r="B3290" s="16">
        <v>0</v>
      </c>
      <c r="C3290" s="16" t="s">
        <v>3404</v>
      </c>
      <c r="D3290" s="16" t="s">
        <v>3409</v>
      </c>
    </row>
    <row r="3291" spans="1:4">
      <c r="A3291" s="16">
        <v>6700400000</v>
      </c>
      <c r="B3291" s="16">
        <v>0</v>
      </c>
      <c r="C3291" s="16" t="s">
        <v>3404</v>
      </c>
      <c r="D3291" s="16" t="s">
        <v>3405</v>
      </c>
    </row>
    <row r="3292" spans="1:4">
      <c r="A3292" s="16">
        <v>2500000000</v>
      </c>
      <c r="B3292" s="16">
        <v>0</v>
      </c>
      <c r="C3292" s="16" t="s">
        <v>3412</v>
      </c>
      <c r="D3292" s="16" t="s">
        <v>3403</v>
      </c>
    </row>
    <row r="3293" spans="1:4">
      <c r="A3293" s="16">
        <v>5010100000</v>
      </c>
      <c r="B3293" s="16">
        <v>0</v>
      </c>
      <c r="C3293" s="16" t="s">
        <v>3406</v>
      </c>
      <c r="D3293" s="16" t="s">
        <v>3407</v>
      </c>
    </row>
    <row r="3294" spans="1:4">
      <c r="A3294" s="16">
        <v>6700600000</v>
      </c>
      <c r="B3294" s="16">
        <v>0</v>
      </c>
      <c r="C3294" s="16" t="s">
        <v>3404</v>
      </c>
      <c r="D3294" s="16" t="s">
        <v>3409</v>
      </c>
    </row>
    <row r="3295" spans="1:4">
      <c r="A3295" s="16">
        <v>6700400000</v>
      </c>
      <c r="B3295" s="16">
        <v>0</v>
      </c>
      <c r="C3295" s="16" t="s">
        <v>3404</v>
      </c>
      <c r="D3295" s="16" t="s">
        <v>3405</v>
      </c>
    </row>
    <row r="3296" spans="1:4">
      <c r="A3296" s="16">
        <v>6700200000</v>
      </c>
      <c r="B3296" s="16">
        <v>0</v>
      </c>
      <c r="C3296" s="16" t="s">
        <v>3404</v>
      </c>
      <c r="D3296" s="16" t="s">
        <v>3409</v>
      </c>
    </row>
    <row r="3297" spans="1:4">
      <c r="A3297" s="16">
        <v>6700100000</v>
      </c>
      <c r="B3297" s="16">
        <v>0</v>
      </c>
      <c r="C3297" s="16" t="s">
        <v>3404</v>
      </c>
      <c r="D3297" s="16" t="s">
        <v>3410</v>
      </c>
    </row>
    <row r="3298" spans="1:4">
      <c r="A3298" s="16">
        <v>3032000000</v>
      </c>
      <c r="B3298" s="16">
        <v>0</v>
      </c>
      <c r="C3298" s="16" t="s">
        <v>3424</v>
      </c>
      <c r="D3298" s="16" t="s">
        <v>3403</v>
      </c>
    </row>
    <row r="3299" spans="1:4">
      <c r="A3299" s="16">
        <v>6032000000</v>
      </c>
      <c r="B3299" s="16">
        <v>0</v>
      </c>
      <c r="C3299" s="16" t="s">
        <v>3429</v>
      </c>
      <c r="D3299" s="16" t="s">
        <v>3430</v>
      </c>
    </row>
    <row r="3300" spans="1:4">
      <c r="A3300" s="16">
        <v>6610100000</v>
      </c>
      <c r="B3300" s="16">
        <v>0</v>
      </c>
      <c r="C3300" s="16" t="s">
        <v>3413</v>
      </c>
      <c r="D3300" s="16" t="s">
        <v>3414</v>
      </c>
    </row>
    <row r="3301" spans="1:4">
      <c r="A3301" s="16">
        <v>4203000000</v>
      </c>
      <c r="B3301" s="16">
        <v>0</v>
      </c>
      <c r="C3301" s="16" t="s">
        <v>3408</v>
      </c>
      <c r="D3301" s="16" t="s">
        <v>3403</v>
      </c>
    </row>
    <row r="3302" spans="1:4">
      <c r="A3302" s="16">
        <v>2500000000</v>
      </c>
      <c r="B3302" s="16">
        <v>0</v>
      </c>
      <c r="C3302" s="16" t="s">
        <v>3412</v>
      </c>
      <c r="D3302" s="16" t="s">
        <v>3403</v>
      </c>
    </row>
    <row r="3303" spans="1:4">
      <c r="A3303" s="16">
        <v>5010000000</v>
      </c>
      <c r="B3303" s="16">
        <v>0</v>
      </c>
      <c r="C3303" s="16" t="s">
        <v>3406</v>
      </c>
      <c r="D3303" s="16" t="s">
        <v>3411</v>
      </c>
    </row>
    <row r="3304" spans="1:4">
      <c r="A3304" s="16">
        <v>6700600000</v>
      </c>
      <c r="B3304" s="16">
        <v>0</v>
      </c>
      <c r="C3304" s="16" t="s">
        <v>3404</v>
      </c>
      <c r="D3304" s="16" t="s">
        <v>3409</v>
      </c>
    </row>
    <row r="3305" spans="1:4">
      <c r="A3305" s="16">
        <v>6700400000</v>
      </c>
      <c r="B3305" s="16">
        <v>0</v>
      </c>
      <c r="C3305" s="16" t="s">
        <v>3404</v>
      </c>
      <c r="D3305" s="16" t="s">
        <v>3405</v>
      </c>
    </row>
    <row r="3306" spans="1:4">
      <c r="A3306" s="16">
        <v>3102000000</v>
      </c>
      <c r="B3306" s="16">
        <v>0</v>
      </c>
      <c r="C3306" s="16" t="s">
        <v>3424</v>
      </c>
      <c r="D3306" s="16" t="s">
        <v>3403</v>
      </c>
    </row>
    <row r="3307" spans="1:4">
      <c r="A3307" s="16">
        <v>6102000000</v>
      </c>
      <c r="B3307" s="16">
        <v>0</v>
      </c>
      <c r="C3307" s="16" t="s">
        <v>3425</v>
      </c>
      <c r="D3307" s="16" t="s">
        <v>3426</v>
      </c>
    </row>
    <row r="3308" spans="1:4">
      <c r="A3308" s="16">
        <v>6610000000</v>
      </c>
      <c r="B3308" s="16">
        <v>0</v>
      </c>
      <c r="C3308" s="16" t="s">
        <v>3413</v>
      </c>
      <c r="D3308" s="16" t="s">
        <v>3418</v>
      </c>
    </row>
    <row r="3309" spans="1:4">
      <c r="A3309" s="16">
        <v>4203000000</v>
      </c>
      <c r="B3309" s="16">
        <v>0</v>
      </c>
      <c r="C3309" s="16" t="s">
        <v>3408</v>
      </c>
      <c r="D3309" s="16" t="s">
        <v>3403</v>
      </c>
    </row>
    <row r="3310" spans="1:4">
      <c r="A3310" s="16">
        <v>6104001000</v>
      </c>
      <c r="B3310" s="16">
        <v>0</v>
      </c>
      <c r="C3310" s="16" t="s">
        <v>3416</v>
      </c>
      <c r="D3310" s="16" t="s">
        <v>3417</v>
      </c>
    </row>
    <row r="3311" spans="1:4">
      <c r="A3311" s="16">
        <v>3103001000</v>
      </c>
      <c r="B3311" s="16">
        <v>0</v>
      </c>
      <c r="C3311" s="16" t="s">
        <v>3402</v>
      </c>
      <c r="D3311" s="16" t="s">
        <v>3403</v>
      </c>
    </row>
    <row r="3312" spans="1:4">
      <c r="A3312" s="16">
        <v>3032000000</v>
      </c>
      <c r="B3312" s="16">
        <v>0</v>
      </c>
      <c r="C3312" s="16" t="s">
        <v>3424</v>
      </c>
      <c r="D3312" s="16" t="s">
        <v>3403</v>
      </c>
    </row>
    <row r="3313" spans="1:4">
      <c r="A3313" s="16">
        <v>6032000000</v>
      </c>
      <c r="B3313" s="16">
        <v>0</v>
      </c>
      <c r="C3313" s="16" t="s">
        <v>3429</v>
      </c>
      <c r="D3313" s="16" t="s">
        <v>3430</v>
      </c>
    </row>
    <row r="3314" spans="1:4">
      <c r="A3314" s="16">
        <v>6610000000</v>
      </c>
      <c r="B3314" s="16">
        <v>0</v>
      </c>
      <c r="C3314" s="16" t="s">
        <v>3413</v>
      </c>
      <c r="D3314" s="16" t="s">
        <v>3418</v>
      </c>
    </row>
    <row r="3315" spans="1:4">
      <c r="A3315" s="16">
        <v>4203000000</v>
      </c>
      <c r="B3315" s="16">
        <v>0</v>
      </c>
      <c r="C3315" s="16" t="s">
        <v>3408</v>
      </c>
      <c r="D3315" s="16" t="s">
        <v>3403</v>
      </c>
    </row>
    <row r="3316" spans="1:4">
      <c r="A3316" s="16">
        <v>6610100000</v>
      </c>
      <c r="B3316" s="16">
        <v>0</v>
      </c>
      <c r="C3316" s="16" t="s">
        <v>3413</v>
      </c>
      <c r="D3316" s="16" t="s">
        <v>3414</v>
      </c>
    </row>
    <row r="3317" spans="1:4">
      <c r="A3317" s="16">
        <v>4203000000</v>
      </c>
      <c r="B3317" s="16">
        <v>0</v>
      </c>
      <c r="C3317" s="16" t="s">
        <v>3408</v>
      </c>
      <c r="D3317" s="16" t="s">
        <v>3403</v>
      </c>
    </row>
    <row r="3318" spans="1:4">
      <c r="A3318" s="16">
        <v>6700200000</v>
      </c>
      <c r="B3318" s="16">
        <v>0</v>
      </c>
      <c r="C3318" s="16" t="s">
        <v>3404</v>
      </c>
      <c r="D3318" s="16" t="s">
        <v>3409</v>
      </c>
    </row>
    <row r="3319" spans="1:4">
      <c r="A3319" s="16">
        <v>6700100000</v>
      </c>
      <c r="B3319" s="16">
        <v>0</v>
      </c>
      <c r="C3319" s="16" t="s">
        <v>3404</v>
      </c>
      <c r="D3319" s="16" t="s">
        <v>3410</v>
      </c>
    </row>
    <row r="3320" spans="1:4">
      <c r="A3320" s="16">
        <v>2201000030</v>
      </c>
      <c r="B3320" s="16">
        <v>888549</v>
      </c>
      <c r="C3320" s="16" t="s">
        <v>3415</v>
      </c>
      <c r="D3320" s="16" t="s">
        <v>3403</v>
      </c>
    </row>
    <row r="3321" spans="1:4">
      <c r="A3321" s="16">
        <v>6700200000</v>
      </c>
      <c r="B3321" s="16">
        <v>-888549</v>
      </c>
      <c r="C3321" s="16" t="s">
        <v>3404</v>
      </c>
      <c r="D3321" s="16" t="s">
        <v>3409</v>
      </c>
    </row>
    <row r="3322" spans="1:4">
      <c r="A3322" s="16">
        <v>6100000020</v>
      </c>
      <c r="B3322" s="16">
        <v>0</v>
      </c>
      <c r="C3322" s="16" t="s">
        <v>3416</v>
      </c>
      <c r="D3322" s="16" t="s">
        <v>3417</v>
      </c>
    </row>
    <row r="3323" spans="1:4">
      <c r="A3323" s="16">
        <v>3810000000</v>
      </c>
      <c r="B3323" s="16">
        <v>0</v>
      </c>
      <c r="C3323" s="16" t="s">
        <v>3402</v>
      </c>
      <c r="D3323" s="16" t="s">
        <v>3403</v>
      </c>
    </row>
    <row r="3324" spans="1:4">
      <c r="A3324" s="16">
        <v>3102000000</v>
      </c>
      <c r="B3324" s="16">
        <v>0</v>
      </c>
      <c r="C3324" s="16" t="s">
        <v>3424</v>
      </c>
      <c r="D3324" s="16" t="s">
        <v>3403</v>
      </c>
    </row>
    <row r="3325" spans="1:4">
      <c r="A3325" s="16">
        <v>6102000000</v>
      </c>
      <c r="B3325" s="16">
        <v>0</v>
      </c>
      <c r="C3325" s="16" t="s">
        <v>3425</v>
      </c>
      <c r="D3325" s="16" t="s">
        <v>3426</v>
      </c>
    </row>
    <row r="3326" spans="1:4">
      <c r="A3326" s="16">
        <v>6104000000</v>
      </c>
      <c r="B3326" s="16">
        <v>0</v>
      </c>
      <c r="C3326" s="16" t="s">
        <v>3416</v>
      </c>
      <c r="D3326" s="16" t="s">
        <v>3417</v>
      </c>
    </row>
    <row r="3327" spans="1:4">
      <c r="A3327" s="16">
        <v>3103000000</v>
      </c>
      <c r="B3327" s="16">
        <v>0</v>
      </c>
      <c r="C3327" s="16" t="s">
        <v>3402</v>
      </c>
      <c r="D3327" s="16" t="s">
        <v>3403</v>
      </c>
    </row>
    <row r="3328" spans="1:4">
      <c r="A3328" s="16">
        <v>6610100000</v>
      </c>
      <c r="B3328" s="16">
        <v>0</v>
      </c>
      <c r="C3328" s="16" t="s">
        <v>3413</v>
      </c>
      <c r="D3328" s="16" t="s">
        <v>3414</v>
      </c>
    </row>
    <row r="3329" spans="1:4">
      <c r="A3329" s="16">
        <v>4203000000</v>
      </c>
      <c r="B3329" s="16">
        <v>0</v>
      </c>
      <c r="C3329" s="16" t="s">
        <v>3408</v>
      </c>
      <c r="D3329" s="16" t="s">
        <v>3403</v>
      </c>
    </row>
    <row r="3330" spans="1:4">
      <c r="A3330" s="16">
        <v>6030000000</v>
      </c>
      <c r="B3330" s="16">
        <v>0</v>
      </c>
      <c r="C3330" s="16" t="s">
        <v>3420</v>
      </c>
      <c r="D3330" s="16" t="s">
        <v>3423</v>
      </c>
    </row>
    <row r="3331" spans="1:4">
      <c r="A3331" s="16">
        <v>3030000000</v>
      </c>
      <c r="B3331" s="16">
        <v>0</v>
      </c>
      <c r="C3331" s="16" t="s">
        <v>3402</v>
      </c>
      <c r="D3331" s="16" t="s">
        <v>3403</v>
      </c>
    </row>
    <row r="3332" spans="1:4">
      <c r="A3332" s="16">
        <v>3032000000</v>
      </c>
      <c r="B3332" s="16">
        <v>0</v>
      </c>
      <c r="C3332" s="16" t="s">
        <v>3424</v>
      </c>
      <c r="D3332" s="16" t="s">
        <v>3403</v>
      </c>
    </row>
    <row r="3333" spans="1:4">
      <c r="A3333" s="16">
        <v>6032000000</v>
      </c>
      <c r="B3333" s="16">
        <v>0</v>
      </c>
      <c r="C3333" s="16" t="s">
        <v>3429</v>
      </c>
      <c r="D3333" s="16" t="s">
        <v>3430</v>
      </c>
    </row>
    <row r="3334" spans="1:4">
      <c r="A3334" s="16">
        <v>6700200000</v>
      </c>
      <c r="B3334" s="16">
        <v>0</v>
      </c>
      <c r="C3334" s="16" t="s">
        <v>3404</v>
      </c>
      <c r="D3334" s="16" t="s">
        <v>3409</v>
      </c>
    </row>
    <row r="3335" spans="1:4">
      <c r="A3335" s="16">
        <v>6700000000</v>
      </c>
      <c r="B3335" s="16">
        <v>0</v>
      </c>
      <c r="C3335" s="16" t="s">
        <v>3404</v>
      </c>
      <c r="D3335" s="16" t="s">
        <v>3405</v>
      </c>
    </row>
    <row r="3336" spans="1:4">
      <c r="A3336" s="16">
        <v>5050000000</v>
      </c>
      <c r="B3336" s="16">
        <v>0</v>
      </c>
      <c r="C3336" s="16" t="s">
        <v>3406</v>
      </c>
      <c r="D3336" s="16" t="s">
        <v>3422</v>
      </c>
    </row>
    <row r="3337" spans="1:4">
      <c r="A3337" s="16">
        <v>3800000000</v>
      </c>
      <c r="B3337" s="16">
        <v>0</v>
      </c>
      <c r="C3337" s="16" t="s">
        <v>3402</v>
      </c>
      <c r="D3337" s="16" t="s">
        <v>3403</v>
      </c>
    </row>
    <row r="3338" spans="1:4">
      <c r="A3338" s="16">
        <v>6610000000</v>
      </c>
      <c r="B3338" s="16">
        <v>0</v>
      </c>
      <c r="C3338" s="16" t="s">
        <v>3413</v>
      </c>
      <c r="D3338" s="16" t="s">
        <v>3418</v>
      </c>
    </row>
    <row r="3339" spans="1:4">
      <c r="A3339" s="16">
        <v>4203000000</v>
      </c>
      <c r="B3339" s="16">
        <v>0</v>
      </c>
      <c r="C3339" s="16" t="s">
        <v>3408</v>
      </c>
      <c r="D3339" s="16" t="s">
        <v>3403</v>
      </c>
    </row>
    <row r="3340" spans="1:4">
      <c r="A3340" s="16">
        <v>5010100010</v>
      </c>
      <c r="B3340" s="16">
        <v>0</v>
      </c>
      <c r="C3340" s="16" t="s">
        <v>3406</v>
      </c>
      <c r="D3340" s="16" t="s">
        <v>3407</v>
      </c>
    </row>
    <row r="3341" spans="1:4">
      <c r="A3341" s="16">
        <v>3710000000</v>
      </c>
      <c r="B3341" s="16">
        <v>0</v>
      </c>
      <c r="C3341" s="16" t="s">
        <v>3402</v>
      </c>
      <c r="D3341" s="16" t="s">
        <v>3403</v>
      </c>
    </row>
    <row r="3342" spans="1:4">
      <c r="A3342" s="16">
        <v>5010000010</v>
      </c>
      <c r="B3342" s="16">
        <v>0</v>
      </c>
      <c r="C3342" s="16" t="s">
        <v>3406</v>
      </c>
      <c r="D3342" s="16" t="s">
        <v>3411</v>
      </c>
    </row>
    <row r="3343" spans="1:4">
      <c r="A3343" s="16">
        <v>3710000000</v>
      </c>
      <c r="B3343" s="16">
        <v>0</v>
      </c>
      <c r="C3343" s="16" t="s">
        <v>3402</v>
      </c>
      <c r="D3343" s="16" t="s">
        <v>3403</v>
      </c>
    </row>
    <row r="3344" spans="1:4">
      <c r="A3344" s="16">
        <v>6104000000</v>
      </c>
      <c r="B3344" s="16">
        <v>0</v>
      </c>
      <c r="C3344" s="16" t="s">
        <v>3416</v>
      </c>
      <c r="D3344" s="16" t="s">
        <v>3417</v>
      </c>
    </row>
    <row r="3345" spans="1:4">
      <c r="A3345" s="16">
        <v>3103000000</v>
      </c>
      <c r="B3345" s="16">
        <v>0</v>
      </c>
      <c r="C3345" s="16" t="s">
        <v>3402</v>
      </c>
      <c r="D3345" s="16" t="s">
        <v>3403</v>
      </c>
    </row>
    <row r="3346" spans="1:4">
      <c r="A3346" s="16">
        <v>6610000000</v>
      </c>
      <c r="B3346" s="16">
        <v>0</v>
      </c>
      <c r="C3346" s="16" t="s">
        <v>3413</v>
      </c>
      <c r="D3346" s="16" t="s">
        <v>3418</v>
      </c>
    </row>
    <row r="3347" spans="1:4">
      <c r="A3347" s="16">
        <v>4203000000</v>
      </c>
      <c r="B3347" s="16">
        <v>0</v>
      </c>
      <c r="C3347" s="16" t="s">
        <v>3408</v>
      </c>
      <c r="D3347" s="16" t="s">
        <v>3403</v>
      </c>
    </row>
    <row r="3348" spans="1:4">
      <c r="A3348" s="16">
        <v>6700600000</v>
      </c>
      <c r="B3348" s="16">
        <v>0</v>
      </c>
      <c r="C3348" s="16" t="s">
        <v>3404</v>
      </c>
      <c r="D3348" s="16" t="s">
        <v>3409</v>
      </c>
    </row>
    <row r="3349" spans="1:4">
      <c r="A3349" s="16">
        <v>6700400000</v>
      </c>
      <c r="B3349" s="16">
        <v>0</v>
      </c>
      <c r="C3349" s="16" t="s">
        <v>3404</v>
      </c>
      <c r="D3349" s="16" t="s">
        <v>3405</v>
      </c>
    </row>
    <row r="3350" spans="1:4">
      <c r="A3350" s="16">
        <v>2750010000</v>
      </c>
      <c r="B3350" s="16">
        <v>0</v>
      </c>
      <c r="C3350" s="16" t="s">
        <v>3419</v>
      </c>
      <c r="D3350" s="16" t="s">
        <v>3403</v>
      </c>
    </row>
    <row r="3351" spans="1:4">
      <c r="A3351" s="16">
        <v>6610000100</v>
      </c>
      <c r="B3351" s="16">
        <v>0</v>
      </c>
      <c r="C3351" s="16" t="s">
        <v>3413</v>
      </c>
      <c r="D3351" s="16" t="s">
        <v>3418</v>
      </c>
    </row>
    <row r="3352" spans="1:4">
      <c r="A3352" s="16">
        <v>3102000000</v>
      </c>
      <c r="B3352" s="16">
        <v>0</v>
      </c>
      <c r="C3352" s="16" t="s">
        <v>3424</v>
      </c>
      <c r="D3352" s="16" t="s">
        <v>3403</v>
      </c>
    </row>
    <row r="3353" spans="1:4">
      <c r="A3353" s="16">
        <v>6102000000</v>
      </c>
      <c r="B3353" s="16">
        <v>0</v>
      </c>
      <c r="C3353" s="16" t="s">
        <v>3425</v>
      </c>
      <c r="D3353" s="16" t="s">
        <v>3426</v>
      </c>
    </row>
    <row r="3354" spans="1:4">
      <c r="A3354" s="16">
        <v>2500000000</v>
      </c>
      <c r="B3354" s="16">
        <v>0</v>
      </c>
      <c r="C3354" s="16" t="s">
        <v>3412</v>
      </c>
      <c r="D3354" s="16" t="s">
        <v>3403</v>
      </c>
    </row>
    <row r="3355" spans="1:4">
      <c r="A3355" s="16">
        <v>5010000000</v>
      </c>
      <c r="B3355" s="16">
        <v>0</v>
      </c>
      <c r="C3355" s="16" t="s">
        <v>3406</v>
      </c>
      <c r="D3355" s="16" t="s">
        <v>3411</v>
      </c>
    </row>
    <row r="3356" spans="1:4">
      <c r="A3356" s="16">
        <v>6610000000</v>
      </c>
      <c r="B3356" s="16">
        <v>0</v>
      </c>
      <c r="C3356" s="16" t="s">
        <v>3413</v>
      </c>
      <c r="D3356" s="16" t="s">
        <v>3418</v>
      </c>
    </row>
    <row r="3357" spans="1:4">
      <c r="A3357" s="16">
        <v>4203000000</v>
      </c>
      <c r="B3357" s="16">
        <v>0</v>
      </c>
      <c r="C3357" s="16" t="s">
        <v>3408</v>
      </c>
      <c r="D3357" s="16" t="s">
        <v>3403</v>
      </c>
    </row>
    <row r="3358" spans="1:4">
      <c r="A3358" s="16">
        <v>6700700000</v>
      </c>
      <c r="B3358" s="16">
        <v>0</v>
      </c>
      <c r="C3358" s="16" t="s">
        <v>3404</v>
      </c>
      <c r="D3358" s="16" t="s">
        <v>3409</v>
      </c>
    </row>
    <row r="3359" spans="1:4">
      <c r="A3359" s="16">
        <v>6700500000</v>
      </c>
      <c r="B3359" s="16">
        <v>0</v>
      </c>
      <c r="C3359" s="16" t="s">
        <v>3404</v>
      </c>
      <c r="D3359" s="16" t="s">
        <v>3405</v>
      </c>
    </row>
    <row r="3360" spans="1:4">
      <c r="A3360" s="16">
        <v>6104000000</v>
      </c>
      <c r="B3360" s="16">
        <v>403980457</v>
      </c>
      <c r="C3360" s="16" t="s">
        <v>3427</v>
      </c>
      <c r="D3360" s="16" t="s">
        <v>3417</v>
      </c>
    </row>
    <row r="3361" spans="1:4">
      <c r="A3361" s="16">
        <v>3103000000</v>
      </c>
      <c r="B3361" s="16">
        <v>-403980457</v>
      </c>
      <c r="C3361" s="16" t="s">
        <v>3402</v>
      </c>
      <c r="D3361" s="16" t="s">
        <v>3403</v>
      </c>
    </row>
    <row r="3362" spans="1:4">
      <c r="A3362" s="16">
        <v>2750010000</v>
      </c>
      <c r="B3362" s="16">
        <v>0</v>
      </c>
      <c r="C3362" s="16" t="s">
        <v>3419</v>
      </c>
      <c r="D3362" s="16" t="s">
        <v>3403</v>
      </c>
    </row>
    <row r="3363" spans="1:4">
      <c r="A3363" s="16">
        <v>6610100100</v>
      </c>
      <c r="B3363" s="16">
        <v>0</v>
      </c>
      <c r="C3363" s="16" t="s">
        <v>3413</v>
      </c>
      <c r="D3363" s="16" t="s">
        <v>3414</v>
      </c>
    </row>
    <row r="3364" spans="1:4">
      <c r="A3364" s="16">
        <v>6700200000</v>
      </c>
      <c r="B3364" s="16">
        <v>0</v>
      </c>
      <c r="C3364" s="16" t="s">
        <v>3404</v>
      </c>
      <c r="D3364" s="16" t="s">
        <v>3409</v>
      </c>
    </row>
    <row r="3365" spans="1:4">
      <c r="A3365" s="16">
        <v>2201200030</v>
      </c>
      <c r="B3365" s="16">
        <v>0</v>
      </c>
      <c r="C3365" s="16" t="s">
        <v>3415</v>
      </c>
      <c r="D3365" s="16" t="s">
        <v>3403</v>
      </c>
    </row>
    <row r="3366" spans="1:4">
      <c r="A3366" s="16">
        <v>2500000000</v>
      </c>
      <c r="B3366" s="16">
        <v>0</v>
      </c>
      <c r="C3366" s="16" t="s">
        <v>3412</v>
      </c>
      <c r="D3366" s="16" t="s">
        <v>3403</v>
      </c>
    </row>
    <row r="3367" spans="1:4">
      <c r="A3367" s="16">
        <v>5010000000</v>
      </c>
      <c r="B3367" s="16">
        <v>0</v>
      </c>
      <c r="C3367" s="16" t="s">
        <v>3406</v>
      </c>
      <c r="D3367" s="16" t="s">
        <v>3411</v>
      </c>
    </row>
    <row r="3368" spans="1:4">
      <c r="A3368" s="16">
        <v>6610000000</v>
      </c>
      <c r="B3368" s="16">
        <v>0</v>
      </c>
      <c r="C3368" s="16" t="s">
        <v>3413</v>
      </c>
      <c r="D3368" s="16" t="s">
        <v>3418</v>
      </c>
    </row>
    <row r="3369" spans="1:4">
      <c r="A3369" s="16">
        <v>4203000000</v>
      </c>
      <c r="B3369" s="16">
        <v>0</v>
      </c>
      <c r="C3369" s="16" t="s">
        <v>3408</v>
      </c>
      <c r="D3369" s="16" t="s">
        <v>3403</v>
      </c>
    </row>
    <row r="3370" spans="1:4">
      <c r="A3370" s="16">
        <v>2201000000</v>
      </c>
      <c r="B3370" s="16">
        <v>212668065</v>
      </c>
      <c r="C3370" s="16" t="s">
        <v>3415</v>
      </c>
      <c r="D3370" s="16" t="s">
        <v>3403</v>
      </c>
    </row>
    <row r="3371" spans="1:4">
      <c r="A3371" s="16">
        <v>6700200000</v>
      </c>
      <c r="B3371" s="16">
        <v>-212668065</v>
      </c>
      <c r="C3371" s="16" t="s">
        <v>3404</v>
      </c>
      <c r="D3371" s="16" t="s">
        <v>3409</v>
      </c>
    </row>
    <row r="3372" spans="1:4">
      <c r="A3372" s="16">
        <v>6700600000</v>
      </c>
      <c r="B3372" s="16">
        <v>0</v>
      </c>
      <c r="C3372" s="16" t="s">
        <v>3404</v>
      </c>
      <c r="D3372" s="16" t="s">
        <v>3409</v>
      </c>
    </row>
    <row r="3373" spans="1:4">
      <c r="A3373" s="16">
        <v>6700400000</v>
      </c>
      <c r="B3373" s="16">
        <v>0</v>
      </c>
      <c r="C3373" s="16" t="s">
        <v>3404</v>
      </c>
      <c r="D3373" s="16" t="s">
        <v>3405</v>
      </c>
    </row>
    <row r="3374" spans="1:4">
      <c r="A3374" s="16">
        <v>2750010000</v>
      </c>
      <c r="B3374" s="16">
        <v>0</v>
      </c>
      <c r="C3374" s="16" t="s">
        <v>3419</v>
      </c>
      <c r="D3374" s="16" t="s">
        <v>3403</v>
      </c>
    </row>
    <row r="3375" spans="1:4">
      <c r="A3375" s="16">
        <v>6610100100</v>
      </c>
      <c r="B3375" s="16">
        <v>0</v>
      </c>
      <c r="C3375" s="16" t="s">
        <v>3413</v>
      </c>
      <c r="D3375" s="16" t="s">
        <v>3414</v>
      </c>
    </row>
    <row r="3376" spans="1:4">
      <c r="A3376" s="16">
        <v>6700600000</v>
      </c>
      <c r="B3376" s="16">
        <v>0</v>
      </c>
      <c r="C3376" s="16" t="s">
        <v>3404</v>
      </c>
      <c r="D3376" s="16" t="s">
        <v>3409</v>
      </c>
    </row>
    <row r="3377" spans="1:4">
      <c r="A3377" s="16">
        <v>6700400000</v>
      </c>
      <c r="B3377" s="16">
        <v>0</v>
      </c>
      <c r="C3377" s="16" t="s">
        <v>3404</v>
      </c>
      <c r="D3377" s="16" t="s">
        <v>3405</v>
      </c>
    </row>
    <row r="3378" spans="1:4">
      <c r="A3378" s="16">
        <v>2500000000</v>
      </c>
      <c r="B3378" s="16">
        <v>946433</v>
      </c>
      <c r="C3378" s="16" t="s">
        <v>3412</v>
      </c>
      <c r="D3378" s="16" t="s">
        <v>3403</v>
      </c>
    </row>
    <row r="3379" spans="1:4">
      <c r="A3379" s="16">
        <v>5010100000</v>
      </c>
      <c r="B3379" s="16">
        <v>-946433</v>
      </c>
      <c r="C3379" s="16" t="s">
        <v>3406</v>
      </c>
      <c r="D3379" s="16" t="s">
        <v>3407</v>
      </c>
    </row>
    <row r="3380" spans="1:4">
      <c r="A3380" s="16">
        <v>6100000020</v>
      </c>
      <c r="B3380" s="16">
        <v>0</v>
      </c>
      <c r="C3380" s="16" t="s">
        <v>3416</v>
      </c>
      <c r="D3380" s="16" t="s">
        <v>3417</v>
      </c>
    </row>
    <row r="3381" spans="1:4">
      <c r="A3381" s="16">
        <v>3810000000</v>
      </c>
      <c r="B3381" s="16">
        <v>0</v>
      </c>
      <c r="C3381" s="16" t="s">
        <v>3402</v>
      </c>
      <c r="D3381" s="16" t="s">
        <v>3403</v>
      </c>
    </row>
    <row r="3382" spans="1:4">
      <c r="A3382" s="16">
        <v>2203000000</v>
      </c>
      <c r="B3382" s="16">
        <v>0</v>
      </c>
      <c r="C3382" s="16" t="s">
        <v>3415</v>
      </c>
      <c r="D3382" s="16" t="s">
        <v>3403</v>
      </c>
    </row>
    <row r="3383" spans="1:4">
      <c r="A3383" s="16">
        <v>6060110000</v>
      </c>
      <c r="B3383" s="16">
        <v>0</v>
      </c>
      <c r="C3383" s="16" t="s">
        <v>3420</v>
      </c>
      <c r="D3383" s="16" t="s">
        <v>3421</v>
      </c>
    </row>
    <row r="3384" spans="1:4">
      <c r="A3384" s="16">
        <v>3102000000</v>
      </c>
      <c r="B3384" s="16">
        <v>0</v>
      </c>
      <c r="C3384" s="16" t="s">
        <v>3424</v>
      </c>
      <c r="D3384" s="16" t="s">
        <v>3403</v>
      </c>
    </row>
    <row r="3385" spans="1:4">
      <c r="A3385" s="16">
        <v>6102000000</v>
      </c>
      <c r="B3385" s="16">
        <v>0</v>
      </c>
      <c r="C3385" s="16" t="s">
        <v>3425</v>
      </c>
      <c r="D3385" s="16" t="s">
        <v>3426</v>
      </c>
    </row>
    <row r="3386" spans="1:4">
      <c r="A3386" s="16">
        <v>6160000000</v>
      </c>
      <c r="B3386" s="16">
        <v>230620</v>
      </c>
      <c r="C3386" s="16" t="s">
        <v>3416</v>
      </c>
      <c r="D3386" s="16" t="s">
        <v>3417</v>
      </c>
    </row>
    <row r="3387" spans="1:4">
      <c r="A3387" s="16">
        <v>4010000000</v>
      </c>
      <c r="B3387" s="16">
        <v>-230620</v>
      </c>
      <c r="C3387" s="16" t="s">
        <v>3431</v>
      </c>
      <c r="D3387" s="16" t="s">
        <v>3403</v>
      </c>
    </row>
    <row r="3388" spans="1:4">
      <c r="A3388" s="16">
        <v>3102000000</v>
      </c>
      <c r="B3388" s="16">
        <v>0</v>
      </c>
      <c r="C3388" s="16" t="s">
        <v>3424</v>
      </c>
      <c r="D3388" s="16" t="s">
        <v>3403</v>
      </c>
    </row>
    <row r="3389" spans="1:4">
      <c r="A3389" s="16">
        <v>6102000000</v>
      </c>
      <c r="B3389" s="16">
        <v>0</v>
      </c>
      <c r="C3389" s="16" t="s">
        <v>3425</v>
      </c>
      <c r="D3389" s="16" t="s">
        <v>3426</v>
      </c>
    </row>
    <row r="3390" spans="1:4">
      <c r="A3390" s="16">
        <v>5050000000</v>
      </c>
      <c r="B3390" s="16">
        <v>0</v>
      </c>
      <c r="C3390" s="16" t="s">
        <v>3406</v>
      </c>
      <c r="D3390" s="16" t="s">
        <v>3422</v>
      </c>
    </row>
    <row r="3391" spans="1:4">
      <c r="A3391" s="16">
        <v>3800000000</v>
      </c>
      <c r="B3391" s="16">
        <v>0</v>
      </c>
      <c r="C3391" s="16" t="s">
        <v>3402</v>
      </c>
      <c r="D3391" s="16" t="s">
        <v>3403</v>
      </c>
    </row>
    <row r="3392" spans="1:4">
      <c r="A3392" s="16">
        <v>3102000000</v>
      </c>
      <c r="B3392" s="16">
        <v>0</v>
      </c>
      <c r="C3392" s="16" t="s">
        <v>3424</v>
      </c>
      <c r="D3392" s="16" t="s">
        <v>3403</v>
      </c>
    </row>
    <row r="3393" spans="1:4">
      <c r="A3393" s="16">
        <v>6102000000</v>
      </c>
      <c r="B3393" s="16">
        <v>0</v>
      </c>
      <c r="C3393" s="16" t="s">
        <v>3425</v>
      </c>
      <c r="D3393" s="16" t="s">
        <v>3426</v>
      </c>
    </row>
    <row r="3394" spans="1:4">
      <c r="A3394" s="16">
        <v>6104001000</v>
      </c>
      <c r="B3394" s="16">
        <v>0</v>
      </c>
      <c r="C3394" s="16" t="s">
        <v>3416</v>
      </c>
      <c r="D3394" s="16" t="s">
        <v>3417</v>
      </c>
    </row>
    <row r="3395" spans="1:4">
      <c r="A3395" s="16">
        <v>3103001000</v>
      </c>
      <c r="B3395" s="16">
        <v>0</v>
      </c>
      <c r="C3395" s="16" t="s">
        <v>3402</v>
      </c>
      <c r="D3395" s="16" t="s">
        <v>3403</v>
      </c>
    </row>
    <row r="3396" spans="1:4">
      <c r="A3396" s="16">
        <v>6700200000</v>
      </c>
      <c r="B3396" s="16">
        <v>0</v>
      </c>
      <c r="C3396" s="16" t="s">
        <v>3404</v>
      </c>
      <c r="D3396" s="16" t="s">
        <v>3409</v>
      </c>
    </row>
    <row r="3397" spans="1:4">
      <c r="A3397" s="16">
        <v>6700100000</v>
      </c>
      <c r="B3397" s="16">
        <v>0</v>
      </c>
      <c r="C3397" s="16" t="s">
        <v>3404</v>
      </c>
      <c r="D3397" s="16" t="s">
        <v>3410</v>
      </c>
    </row>
    <row r="3398" spans="1:4">
      <c r="A3398" s="16">
        <v>5010000010</v>
      </c>
      <c r="B3398" s="16">
        <v>0</v>
      </c>
      <c r="C3398" s="16" t="s">
        <v>3406</v>
      </c>
      <c r="D3398" s="16" t="s">
        <v>3411</v>
      </c>
    </row>
    <row r="3399" spans="1:4">
      <c r="A3399" s="16">
        <v>3710000000</v>
      </c>
      <c r="B3399" s="16">
        <v>0</v>
      </c>
      <c r="C3399" s="16" t="s">
        <v>3402</v>
      </c>
      <c r="D3399" s="16" t="s">
        <v>3403</v>
      </c>
    </row>
    <row r="3400" spans="1:4">
      <c r="A3400" s="16">
        <v>2750010000</v>
      </c>
      <c r="B3400" s="16">
        <v>0</v>
      </c>
      <c r="C3400" s="16" t="s">
        <v>3419</v>
      </c>
      <c r="D3400" s="16" t="s">
        <v>3403</v>
      </c>
    </row>
    <row r="3401" spans="1:4">
      <c r="A3401" s="16">
        <v>6610000100</v>
      </c>
      <c r="B3401" s="16">
        <v>0</v>
      </c>
      <c r="C3401" s="16" t="s">
        <v>3413</v>
      </c>
      <c r="D3401" s="16" t="s">
        <v>3418</v>
      </c>
    </row>
    <row r="3402" spans="1:4">
      <c r="A3402" s="16">
        <v>2500000000</v>
      </c>
      <c r="B3402" s="16">
        <v>0</v>
      </c>
      <c r="C3402" s="16" t="s">
        <v>3412</v>
      </c>
      <c r="D3402" s="16" t="s">
        <v>3403</v>
      </c>
    </row>
    <row r="3403" spans="1:4">
      <c r="A3403" s="16">
        <v>5010000000</v>
      </c>
      <c r="B3403" s="16">
        <v>0</v>
      </c>
      <c r="C3403" s="16" t="s">
        <v>3406</v>
      </c>
      <c r="D3403" s="16" t="s">
        <v>3411</v>
      </c>
    </row>
    <row r="3404" spans="1:4">
      <c r="A3404" s="16">
        <v>3102000000</v>
      </c>
      <c r="B3404" s="16">
        <v>0</v>
      </c>
      <c r="C3404" s="16" t="s">
        <v>3424</v>
      </c>
      <c r="D3404" s="16" t="s">
        <v>3403</v>
      </c>
    </row>
    <row r="3405" spans="1:4">
      <c r="A3405" s="16">
        <v>6102000000</v>
      </c>
      <c r="B3405" s="16">
        <v>0</v>
      </c>
      <c r="C3405" s="16" t="s">
        <v>3425</v>
      </c>
      <c r="D3405" s="16" t="s">
        <v>3426</v>
      </c>
    </row>
    <row r="3406" spans="1:4">
      <c r="A3406" s="16">
        <v>6700600000</v>
      </c>
      <c r="B3406" s="16">
        <v>0</v>
      </c>
      <c r="C3406" s="16" t="s">
        <v>3404</v>
      </c>
      <c r="D3406" s="16" t="s">
        <v>3409</v>
      </c>
    </row>
    <row r="3407" spans="1:4">
      <c r="A3407" s="16">
        <v>6700400000</v>
      </c>
      <c r="B3407" s="16">
        <v>0</v>
      </c>
      <c r="C3407" s="16" t="s">
        <v>3404</v>
      </c>
      <c r="D3407" s="16" t="s">
        <v>3405</v>
      </c>
    </row>
    <row r="3408" spans="1:4">
      <c r="A3408" s="16">
        <v>3102000000</v>
      </c>
      <c r="B3408" s="16">
        <v>0</v>
      </c>
      <c r="C3408" s="16" t="s">
        <v>3424</v>
      </c>
      <c r="D3408" s="16" t="s">
        <v>3403</v>
      </c>
    </row>
    <row r="3409" spans="1:4">
      <c r="A3409" s="16">
        <v>6102000000</v>
      </c>
      <c r="B3409" s="16">
        <v>0</v>
      </c>
      <c r="C3409" s="16" t="s">
        <v>3425</v>
      </c>
      <c r="D3409" s="16" t="s">
        <v>3426</v>
      </c>
    </row>
    <row r="3410" spans="1:4">
      <c r="A3410" s="16">
        <v>2750010000</v>
      </c>
      <c r="B3410" s="16">
        <v>0</v>
      </c>
      <c r="C3410" s="16" t="s">
        <v>3419</v>
      </c>
      <c r="D3410" s="16" t="s">
        <v>3403</v>
      </c>
    </row>
    <row r="3411" spans="1:4">
      <c r="A3411" s="16">
        <v>6610000100</v>
      </c>
      <c r="B3411" s="16">
        <v>0</v>
      </c>
      <c r="C3411" s="16" t="s">
        <v>3413</v>
      </c>
      <c r="D3411" s="16" t="s">
        <v>3418</v>
      </c>
    </row>
    <row r="3412" spans="1:4">
      <c r="A3412" s="16">
        <v>3032000000</v>
      </c>
      <c r="B3412" s="16">
        <v>0</v>
      </c>
      <c r="C3412" s="16" t="s">
        <v>3424</v>
      </c>
      <c r="D3412" s="16" t="s">
        <v>3403</v>
      </c>
    </row>
    <row r="3413" spans="1:4">
      <c r="A3413" s="16">
        <v>6032000000</v>
      </c>
      <c r="B3413" s="16">
        <v>0</v>
      </c>
      <c r="C3413" s="16" t="s">
        <v>3429</v>
      </c>
      <c r="D3413" s="16" t="s">
        <v>3430</v>
      </c>
    </row>
    <row r="3414" spans="1:4">
      <c r="A3414" s="16">
        <v>6150000000</v>
      </c>
      <c r="B3414" s="16">
        <v>0</v>
      </c>
      <c r="C3414" s="16" t="s">
        <v>3416</v>
      </c>
      <c r="D3414" s="16" t="s">
        <v>3417</v>
      </c>
    </row>
    <row r="3415" spans="1:4">
      <c r="A3415" s="16">
        <v>3510000000</v>
      </c>
      <c r="B3415" s="16">
        <v>0</v>
      </c>
      <c r="C3415" s="16" t="s">
        <v>3402</v>
      </c>
      <c r="D3415" s="16" t="s">
        <v>3403</v>
      </c>
    </row>
    <row r="3416" spans="1:4">
      <c r="A3416" s="16">
        <v>5050000000</v>
      </c>
      <c r="B3416" s="16">
        <v>0</v>
      </c>
      <c r="C3416" s="16" t="s">
        <v>3406</v>
      </c>
      <c r="D3416" s="16" t="s">
        <v>3422</v>
      </c>
    </row>
    <row r="3417" spans="1:4">
      <c r="A3417" s="16">
        <v>3800000000</v>
      </c>
      <c r="B3417" s="16">
        <v>0</v>
      </c>
      <c r="C3417" s="16" t="s">
        <v>3402</v>
      </c>
      <c r="D3417" s="16" t="s">
        <v>3403</v>
      </c>
    </row>
    <row r="3418" spans="1:4">
      <c r="A3418" s="16">
        <v>2750010000</v>
      </c>
      <c r="B3418" s="16">
        <v>0</v>
      </c>
      <c r="C3418" s="16" t="s">
        <v>3419</v>
      </c>
      <c r="D3418" s="16" t="s">
        <v>3403</v>
      </c>
    </row>
    <row r="3419" spans="1:4">
      <c r="A3419" s="16">
        <v>6610000100</v>
      </c>
      <c r="B3419" s="16">
        <v>0</v>
      </c>
      <c r="C3419" s="16" t="s">
        <v>3413</v>
      </c>
      <c r="D3419" s="16" t="s">
        <v>3418</v>
      </c>
    </row>
    <row r="3420" spans="1:4">
      <c r="A3420" s="16">
        <v>6610000000</v>
      </c>
      <c r="B3420" s="16">
        <v>0</v>
      </c>
      <c r="C3420" s="16" t="s">
        <v>3413</v>
      </c>
      <c r="D3420" s="16" t="s">
        <v>3418</v>
      </c>
    </row>
    <row r="3421" spans="1:4">
      <c r="A3421" s="16">
        <v>4203000000</v>
      </c>
      <c r="B3421" s="16">
        <v>0</v>
      </c>
      <c r="C3421" s="16" t="s">
        <v>3408</v>
      </c>
      <c r="D3421" s="16" t="s">
        <v>3403</v>
      </c>
    </row>
    <row r="3422" spans="1:4">
      <c r="A3422" s="16">
        <v>6700700000</v>
      </c>
      <c r="B3422" s="16">
        <v>0</v>
      </c>
      <c r="C3422" s="16" t="s">
        <v>3404</v>
      </c>
      <c r="D3422" s="16" t="s">
        <v>3409</v>
      </c>
    </row>
    <row r="3423" spans="1:4">
      <c r="A3423" s="16">
        <v>6700500000</v>
      </c>
      <c r="B3423" s="16">
        <v>0</v>
      </c>
      <c r="C3423" s="16" t="s">
        <v>3404</v>
      </c>
      <c r="D3423" s="16" t="s">
        <v>3405</v>
      </c>
    </row>
    <row r="3424" spans="1:4">
      <c r="A3424" s="16">
        <v>6100000000</v>
      </c>
      <c r="B3424" s="16">
        <v>0</v>
      </c>
      <c r="C3424" s="16" t="s">
        <v>3427</v>
      </c>
      <c r="D3424" s="16" t="s">
        <v>3417</v>
      </c>
    </row>
    <row r="3425" spans="1:4">
      <c r="A3425" s="16">
        <v>3100000000</v>
      </c>
      <c r="B3425" s="16">
        <v>0</v>
      </c>
      <c r="C3425" s="16" t="s">
        <v>3402</v>
      </c>
      <c r="D3425" s="16" t="s">
        <v>3403</v>
      </c>
    </row>
    <row r="3426" spans="1:4">
      <c r="A3426" s="16">
        <v>3032000000</v>
      </c>
      <c r="B3426" s="16">
        <v>0</v>
      </c>
      <c r="C3426" s="16" t="s">
        <v>3424</v>
      </c>
      <c r="D3426" s="16" t="s">
        <v>3403</v>
      </c>
    </row>
    <row r="3427" spans="1:4">
      <c r="A3427" s="16">
        <v>6032000000</v>
      </c>
      <c r="B3427" s="16">
        <v>0</v>
      </c>
      <c r="C3427" s="16" t="s">
        <v>3429</v>
      </c>
      <c r="D3427" s="16" t="s">
        <v>3430</v>
      </c>
    </row>
    <row r="3428" spans="1:4">
      <c r="A3428" s="16">
        <v>2201000030</v>
      </c>
      <c r="B3428" s="16">
        <v>0</v>
      </c>
      <c r="C3428" s="16" t="s">
        <v>3415</v>
      </c>
      <c r="D3428" s="16" t="s">
        <v>3403</v>
      </c>
    </row>
    <row r="3429" spans="1:4">
      <c r="A3429" s="16">
        <v>6700200000</v>
      </c>
      <c r="B3429" s="16">
        <v>0</v>
      </c>
      <c r="C3429" s="16" t="s">
        <v>3404</v>
      </c>
      <c r="D3429" s="16" t="s">
        <v>3409</v>
      </c>
    </row>
    <row r="3430" spans="1:4">
      <c r="A3430" s="16">
        <v>6610100000</v>
      </c>
      <c r="B3430" s="16">
        <v>21955</v>
      </c>
      <c r="C3430" s="16" t="s">
        <v>3413</v>
      </c>
      <c r="D3430" s="16" t="s">
        <v>3414</v>
      </c>
    </row>
    <row r="3431" spans="1:4">
      <c r="A3431" s="16">
        <v>4203000000</v>
      </c>
      <c r="B3431" s="16">
        <v>-21955</v>
      </c>
      <c r="C3431" s="16" t="s">
        <v>3408</v>
      </c>
      <c r="D3431" s="16" t="s">
        <v>3403</v>
      </c>
    </row>
    <row r="3432" spans="1:4">
      <c r="A3432" s="16">
        <v>2203000010</v>
      </c>
      <c r="B3432" s="16">
        <v>0</v>
      </c>
      <c r="C3432" s="16" t="s">
        <v>3415</v>
      </c>
      <c r="D3432" s="16" t="s">
        <v>3403</v>
      </c>
    </row>
    <row r="3433" spans="1:4">
      <c r="A3433" s="16">
        <v>4612000000</v>
      </c>
      <c r="B3433" s="16">
        <v>0</v>
      </c>
      <c r="C3433" s="16" t="s">
        <v>3428</v>
      </c>
      <c r="D3433" s="16" t="s">
        <v>3403</v>
      </c>
    </row>
    <row r="3434" spans="1:4">
      <c r="A3434" s="16">
        <v>6700200000</v>
      </c>
      <c r="B3434" s="16">
        <v>0</v>
      </c>
      <c r="C3434" s="16" t="s">
        <v>3404</v>
      </c>
      <c r="D3434" s="16" t="s">
        <v>3409</v>
      </c>
    </row>
    <row r="3435" spans="1:4">
      <c r="A3435" s="16">
        <v>6700100000</v>
      </c>
      <c r="B3435" s="16">
        <v>0</v>
      </c>
      <c r="C3435" s="16" t="s">
        <v>3404</v>
      </c>
      <c r="D3435" s="16" t="s">
        <v>3410</v>
      </c>
    </row>
    <row r="3436" spans="1:4">
      <c r="A3436" s="16">
        <v>5010100010</v>
      </c>
      <c r="B3436" s="16">
        <v>0</v>
      </c>
      <c r="C3436" s="16" t="s">
        <v>3406</v>
      </c>
      <c r="D3436" s="16" t="s">
        <v>3407</v>
      </c>
    </row>
    <row r="3437" spans="1:4">
      <c r="A3437" s="16">
        <v>3710000000</v>
      </c>
      <c r="B3437" s="16">
        <v>0</v>
      </c>
      <c r="C3437" s="16" t="s">
        <v>3402</v>
      </c>
      <c r="D3437" s="16" t="s">
        <v>3403</v>
      </c>
    </row>
    <row r="3438" spans="1:4">
      <c r="A3438" s="16">
        <v>6610100000</v>
      </c>
      <c r="B3438" s="16">
        <v>0</v>
      </c>
      <c r="C3438" s="16" t="s">
        <v>3413</v>
      </c>
      <c r="D3438" s="16" t="s">
        <v>3414</v>
      </c>
    </row>
    <row r="3439" spans="1:4">
      <c r="A3439" s="16">
        <v>4203000000</v>
      </c>
      <c r="B3439" s="16">
        <v>0</v>
      </c>
      <c r="C3439" s="16" t="s">
        <v>3408</v>
      </c>
      <c r="D3439" s="16" t="s">
        <v>3403</v>
      </c>
    </row>
    <row r="3440" spans="1:4">
      <c r="A3440" s="16">
        <v>2201000030</v>
      </c>
      <c r="B3440" s="16">
        <v>0</v>
      </c>
      <c r="C3440" s="16" t="s">
        <v>3415</v>
      </c>
      <c r="D3440" s="16" t="s">
        <v>3403</v>
      </c>
    </row>
    <row r="3441" spans="1:4">
      <c r="A3441" s="16">
        <v>6700200000</v>
      </c>
      <c r="B3441" s="16">
        <v>0</v>
      </c>
      <c r="C3441" s="16" t="s">
        <v>3404</v>
      </c>
      <c r="D3441" s="16" t="s">
        <v>3409</v>
      </c>
    </row>
    <row r="3442" spans="1:4">
      <c r="A3442" s="16">
        <v>3032000000</v>
      </c>
      <c r="B3442" s="16">
        <v>123364868</v>
      </c>
      <c r="C3442" s="16" t="s">
        <v>3424</v>
      </c>
      <c r="D3442" s="16" t="s">
        <v>3403</v>
      </c>
    </row>
    <row r="3443" spans="1:4">
      <c r="A3443" s="16">
        <v>6610000100</v>
      </c>
      <c r="B3443" s="16">
        <v>0</v>
      </c>
      <c r="C3443" s="16" t="s">
        <v>3413</v>
      </c>
      <c r="D3443" s="16" t="s">
        <v>3418</v>
      </c>
    </row>
    <row r="3444" spans="1:4">
      <c r="A3444" s="16">
        <v>2750010000</v>
      </c>
      <c r="B3444" s="16">
        <v>0</v>
      </c>
      <c r="C3444" s="16" t="s">
        <v>3419</v>
      </c>
      <c r="D3444" s="16" t="s">
        <v>3403</v>
      </c>
    </row>
    <row r="3445" spans="1:4">
      <c r="A3445" s="16">
        <v>6700600000</v>
      </c>
      <c r="B3445" s="16">
        <v>0</v>
      </c>
      <c r="C3445" s="16" t="s">
        <v>3404</v>
      </c>
      <c r="D3445" s="16" t="s">
        <v>3409</v>
      </c>
    </row>
    <row r="3446" spans="1:4">
      <c r="A3446" s="16">
        <v>6610100000</v>
      </c>
      <c r="B3446" s="16">
        <v>0</v>
      </c>
      <c r="C3446" s="16" t="s">
        <v>3413</v>
      </c>
      <c r="D3446" s="16" t="s">
        <v>3414</v>
      </c>
    </row>
    <row r="3447" spans="1:4">
      <c r="A3447" s="16">
        <v>6100000020</v>
      </c>
      <c r="B3447" s="16">
        <v>0</v>
      </c>
      <c r="C3447" s="16" t="s">
        <v>3416</v>
      </c>
      <c r="D3447" s="16" t="s">
        <v>3417</v>
      </c>
    </row>
    <row r="3448" spans="1:4">
      <c r="A3448" s="16">
        <v>6700200000</v>
      </c>
      <c r="B3448" s="16">
        <v>3283189</v>
      </c>
      <c r="C3448" s="16" t="s">
        <v>3404</v>
      </c>
      <c r="D3448" s="16" t="s">
        <v>3409</v>
      </c>
    </row>
    <row r="3449" spans="1:4">
      <c r="A3449" s="16">
        <v>6104000000</v>
      </c>
      <c r="B3449" s="16">
        <v>28997</v>
      </c>
      <c r="C3449" s="16" t="s">
        <v>3416</v>
      </c>
      <c r="D3449" s="16" t="s">
        <v>3417</v>
      </c>
    </row>
    <row r="3450" spans="1:4">
      <c r="A3450" s="16">
        <v>6104000000</v>
      </c>
      <c r="B3450" s="16">
        <v>0</v>
      </c>
      <c r="C3450" s="16" t="s">
        <v>3416</v>
      </c>
      <c r="D3450" s="16" t="s">
        <v>3417</v>
      </c>
    </row>
    <row r="3451" spans="1:4">
      <c r="A3451" s="16">
        <v>6102000000</v>
      </c>
      <c r="B3451" s="16">
        <v>0</v>
      </c>
      <c r="C3451" s="16" t="s">
        <v>3425</v>
      </c>
      <c r="D3451" s="16" t="s">
        <v>3426</v>
      </c>
    </row>
    <row r="3452" spans="1:4">
      <c r="A3452" s="16">
        <v>6032000000</v>
      </c>
      <c r="B3452" s="16">
        <v>-123364868</v>
      </c>
      <c r="C3452" s="16" t="s">
        <v>3429</v>
      </c>
      <c r="D3452" s="16" t="s">
        <v>3430</v>
      </c>
    </row>
    <row r="3453" spans="1:4">
      <c r="A3453" s="16">
        <v>6610000000</v>
      </c>
      <c r="B3453" s="16">
        <v>0</v>
      </c>
      <c r="C3453" s="16" t="s">
        <v>3413</v>
      </c>
      <c r="D3453" s="16" t="s">
        <v>3418</v>
      </c>
    </row>
    <row r="3454" spans="1:4">
      <c r="A3454" s="16">
        <v>6700600000</v>
      </c>
      <c r="B3454" s="16">
        <v>0</v>
      </c>
      <c r="C3454" s="16" t="s">
        <v>3404</v>
      </c>
      <c r="D3454" s="16" t="s">
        <v>3409</v>
      </c>
    </row>
    <row r="3455" spans="1:4">
      <c r="A3455" s="16">
        <v>3102000000</v>
      </c>
      <c r="B3455" s="16">
        <v>0</v>
      </c>
      <c r="C3455" s="16" t="s">
        <v>3424</v>
      </c>
      <c r="D3455" s="16" t="s">
        <v>3403</v>
      </c>
    </row>
    <row r="3456" spans="1:4">
      <c r="A3456" s="16">
        <v>6700200000</v>
      </c>
      <c r="B3456" s="16">
        <v>0</v>
      </c>
      <c r="C3456" s="16" t="s">
        <v>3404</v>
      </c>
      <c r="D3456" s="16" t="s">
        <v>3409</v>
      </c>
    </row>
    <row r="3457" spans="1:4">
      <c r="A3457" s="16">
        <v>6610100000</v>
      </c>
      <c r="B3457" s="16">
        <v>0</v>
      </c>
      <c r="C3457" s="16" t="s">
        <v>3413</v>
      </c>
      <c r="D3457" s="16" t="s">
        <v>3414</v>
      </c>
    </row>
    <row r="3458" spans="1:4">
      <c r="A3458" s="16">
        <v>3102000000</v>
      </c>
      <c r="B3458" s="16">
        <v>0</v>
      </c>
      <c r="C3458" s="16" t="s">
        <v>3424</v>
      </c>
      <c r="D3458" s="16" t="s">
        <v>3403</v>
      </c>
    </row>
    <row r="3459" spans="1:4">
      <c r="A3459" s="16">
        <v>6700200000</v>
      </c>
      <c r="B3459" s="16">
        <v>0</v>
      </c>
      <c r="C3459" s="16" t="s">
        <v>3404</v>
      </c>
      <c r="D3459" s="16" t="s">
        <v>3409</v>
      </c>
    </row>
    <row r="3460" spans="1:4">
      <c r="A3460" s="16">
        <v>6610000100</v>
      </c>
      <c r="B3460" s="16">
        <v>0</v>
      </c>
      <c r="C3460" s="16" t="s">
        <v>3413</v>
      </c>
      <c r="D3460" s="16" t="s">
        <v>3418</v>
      </c>
    </row>
    <row r="3461" spans="1:4">
      <c r="A3461" s="16">
        <v>6700400000</v>
      </c>
      <c r="B3461" s="16">
        <v>0</v>
      </c>
      <c r="C3461" s="16" t="s">
        <v>3404</v>
      </c>
      <c r="D3461" s="16" t="s">
        <v>3405</v>
      </c>
    </row>
    <row r="3462" spans="1:4">
      <c r="A3462" s="16">
        <v>4203000000</v>
      </c>
      <c r="B3462" s="16">
        <v>0</v>
      </c>
      <c r="C3462" s="16" t="s">
        <v>3408</v>
      </c>
      <c r="D3462" s="16" t="s">
        <v>3403</v>
      </c>
    </row>
    <row r="3463" spans="1:4">
      <c r="A3463" s="16">
        <v>6610100000</v>
      </c>
      <c r="B3463" s="16">
        <v>0</v>
      </c>
      <c r="C3463" s="16" t="s">
        <v>3413</v>
      </c>
      <c r="D3463" s="16" t="s">
        <v>3414</v>
      </c>
    </row>
    <row r="3464" spans="1:4">
      <c r="A3464" s="16">
        <v>3810000000</v>
      </c>
      <c r="B3464" s="16">
        <v>0</v>
      </c>
      <c r="C3464" s="16" t="s">
        <v>3402</v>
      </c>
      <c r="D3464" s="16" t="s">
        <v>3403</v>
      </c>
    </row>
    <row r="3465" spans="1:4">
      <c r="A3465" s="16">
        <v>3102000000</v>
      </c>
      <c r="B3465" s="16">
        <v>0</v>
      </c>
      <c r="C3465" s="16" t="s">
        <v>3424</v>
      </c>
      <c r="D3465" s="16" t="s">
        <v>3403</v>
      </c>
    </row>
    <row r="3466" spans="1:4">
      <c r="A3466" s="16">
        <v>6700000000</v>
      </c>
      <c r="B3466" s="16">
        <v>-3283189</v>
      </c>
      <c r="C3466" s="16" t="s">
        <v>3404</v>
      </c>
      <c r="D3466" s="16" t="s">
        <v>3405</v>
      </c>
    </row>
    <row r="3467" spans="1:4">
      <c r="A3467" s="16">
        <v>3103000000</v>
      </c>
      <c r="B3467" s="16">
        <v>-28997</v>
      </c>
      <c r="C3467" s="16" t="s">
        <v>3402</v>
      </c>
      <c r="D3467" s="16" t="s">
        <v>3403</v>
      </c>
    </row>
    <row r="3468" spans="1:4">
      <c r="A3468" s="16">
        <v>3103000000</v>
      </c>
      <c r="B3468" s="16">
        <v>0</v>
      </c>
      <c r="C3468" s="16" t="s">
        <v>3402</v>
      </c>
      <c r="D3468" s="16" t="s">
        <v>3403</v>
      </c>
    </row>
    <row r="3469" spans="1:4">
      <c r="A3469" s="16">
        <v>2500000000</v>
      </c>
      <c r="B3469" s="16">
        <v>260888</v>
      </c>
      <c r="C3469" s="16" t="s">
        <v>3412</v>
      </c>
      <c r="D3469" s="16" t="s">
        <v>3403</v>
      </c>
    </row>
    <row r="3470" spans="1:4">
      <c r="A3470" s="16">
        <v>5050000000</v>
      </c>
      <c r="B3470" s="16">
        <v>11388898</v>
      </c>
      <c r="C3470" s="16" t="s">
        <v>3406</v>
      </c>
      <c r="D3470" s="16" t="s">
        <v>3422</v>
      </c>
    </row>
    <row r="3471" spans="1:4">
      <c r="A3471" s="16">
        <v>6610000000</v>
      </c>
      <c r="B3471" s="16">
        <v>0</v>
      </c>
      <c r="C3471" s="16" t="s">
        <v>3413</v>
      </c>
      <c r="D3471" s="16" t="s">
        <v>3418</v>
      </c>
    </row>
    <row r="3472" spans="1:4">
      <c r="A3472" s="16">
        <v>4203000000</v>
      </c>
      <c r="B3472" s="16">
        <v>0</v>
      </c>
      <c r="C3472" s="16" t="s">
        <v>3408</v>
      </c>
      <c r="D3472" s="16" t="s">
        <v>3403</v>
      </c>
    </row>
    <row r="3473" spans="1:4">
      <c r="A3473" s="16">
        <v>3032000000</v>
      </c>
      <c r="B3473" s="16">
        <v>0</v>
      </c>
      <c r="C3473" s="16" t="s">
        <v>3424</v>
      </c>
      <c r="D3473" s="16" t="s">
        <v>3403</v>
      </c>
    </row>
    <row r="3474" spans="1:4">
      <c r="A3474" s="16">
        <v>6700400000</v>
      </c>
      <c r="B3474" s="16">
        <v>0</v>
      </c>
      <c r="C3474" s="16" t="s">
        <v>3404</v>
      </c>
      <c r="D3474" s="16" t="s">
        <v>3405</v>
      </c>
    </row>
    <row r="3475" spans="1:4">
      <c r="A3475" s="16">
        <v>6102000000</v>
      </c>
      <c r="B3475" s="16">
        <v>0</v>
      </c>
      <c r="C3475" s="16" t="s">
        <v>3425</v>
      </c>
      <c r="D3475" s="16" t="s">
        <v>3426</v>
      </c>
    </row>
    <row r="3476" spans="1:4">
      <c r="A3476" s="16">
        <v>6700100000</v>
      </c>
      <c r="B3476" s="16">
        <v>0</v>
      </c>
      <c r="C3476" s="16" t="s">
        <v>3404</v>
      </c>
      <c r="D3476" s="16" t="s">
        <v>3410</v>
      </c>
    </row>
    <row r="3477" spans="1:4">
      <c r="A3477" s="16">
        <v>4203000000</v>
      </c>
      <c r="B3477" s="16">
        <v>0</v>
      </c>
      <c r="C3477" s="16" t="s">
        <v>3408</v>
      </c>
      <c r="D3477" s="16" t="s">
        <v>3403</v>
      </c>
    </row>
    <row r="3478" spans="1:4">
      <c r="A3478" s="16">
        <v>6102000000</v>
      </c>
      <c r="B3478" s="16">
        <v>0</v>
      </c>
      <c r="C3478" s="16" t="s">
        <v>3425</v>
      </c>
      <c r="D3478" s="16" t="s">
        <v>3426</v>
      </c>
    </row>
    <row r="3479" spans="1:4">
      <c r="A3479" s="16">
        <v>6700200000</v>
      </c>
      <c r="B3479" s="16">
        <v>0</v>
      </c>
      <c r="C3479" s="16" t="s">
        <v>3404</v>
      </c>
      <c r="D3479" s="16" t="s">
        <v>3409</v>
      </c>
    </row>
    <row r="3480" spans="1:4">
      <c r="A3480" s="16">
        <v>5050000000</v>
      </c>
      <c r="B3480" s="16">
        <v>0</v>
      </c>
      <c r="C3480" s="16" t="s">
        <v>3406</v>
      </c>
      <c r="D3480" s="16" t="s">
        <v>3422</v>
      </c>
    </row>
    <row r="3481" spans="1:4">
      <c r="A3481" s="16">
        <v>6700100000</v>
      </c>
      <c r="B3481" s="16">
        <v>0</v>
      </c>
      <c r="C3481" s="16" t="s">
        <v>3404</v>
      </c>
      <c r="D3481" s="16" t="s">
        <v>3410</v>
      </c>
    </row>
    <row r="3482" spans="1:4">
      <c r="A3482" s="16">
        <v>6700200000</v>
      </c>
      <c r="B3482" s="16">
        <v>0</v>
      </c>
      <c r="C3482" s="16" t="s">
        <v>3404</v>
      </c>
      <c r="D3482" s="16" t="s">
        <v>3409</v>
      </c>
    </row>
    <row r="3483" spans="1:4">
      <c r="A3483" s="16">
        <v>3102000000</v>
      </c>
      <c r="B3483" s="16">
        <v>0</v>
      </c>
      <c r="C3483" s="16" t="s">
        <v>3424</v>
      </c>
      <c r="D3483" s="16" t="s">
        <v>3403</v>
      </c>
    </row>
    <row r="3484" spans="1:4">
      <c r="A3484" s="16">
        <v>5010000010</v>
      </c>
      <c r="B3484" s="16">
        <v>0</v>
      </c>
      <c r="C3484" s="16" t="s">
        <v>3406</v>
      </c>
      <c r="D3484" s="16" t="s">
        <v>3411</v>
      </c>
    </row>
    <row r="3485" spans="1:4">
      <c r="A3485" s="16">
        <v>6700200000</v>
      </c>
      <c r="B3485" s="16">
        <v>0</v>
      </c>
      <c r="C3485" s="16" t="s">
        <v>3404</v>
      </c>
      <c r="D3485" s="16" t="s">
        <v>3409</v>
      </c>
    </row>
    <row r="3486" spans="1:4">
      <c r="A3486" s="16">
        <v>4203000000</v>
      </c>
      <c r="B3486" s="16">
        <v>0</v>
      </c>
      <c r="C3486" s="16" t="s">
        <v>3408</v>
      </c>
      <c r="D3486" s="16" t="s">
        <v>3403</v>
      </c>
    </row>
    <row r="3487" spans="1:4">
      <c r="A3487" s="16">
        <v>6102000000</v>
      </c>
      <c r="B3487" s="16">
        <v>0</v>
      </c>
      <c r="C3487" s="16" t="s">
        <v>3425</v>
      </c>
      <c r="D3487" s="16" t="s">
        <v>3426</v>
      </c>
    </row>
    <row r="3488" spans="1:4">
      <c r="A3488" s="16">
        <v>2201000000</v>
      </c>
      <c r="B3488" s="16">
        <v>0</v>
      </c>
      <c r="C3488" s="16" t="s">
        <v>3415</v>
      </c>
      <c r="D3488" s="16" t="s">
        <v>3403</v>
      </c>
    </row>
    <row r="3489" spans="1:4">
      <c r="A3489" s="16">
        <v>2201000010</v>
      </c>
      <c r="B3489" s="16">
        <v>0</v>
      </c>
      <c r="C3489" s="16" t="s">
        <v>3415</v>
      </c>
      <c r="D3489" s="16" t="s">
        <v>3403</v>
      </c>
    </row>
    <row r="3490" spans="1:4">
      <c r="A3490" s="16">
        <v>5010100010</v>
      </c>
      <c r="B3490" s="16">
        <v>0</v>
      </c>
      <c r="C3490" s="16" t="s">
        <v>3406</v>
      </c>
      <c r="D3490" s="16" t="s">
        <v>3407</v>
      </c>
    </row>
    <row r="3491" spans="1:4">
      <c r="A3491" s="16">
        <v>5010100000</v>
      </c>
      <c r="B3491" s="16">
        <v>-260888</v>
      </c>
      <c r="C3491" s="16" t="s">
        <v>3406</v>
      </c>
      <c r="D3491" s="16" t="s">
        <v>3407</v>
      </c>
    </row>
    <row r="3492" spans="1:4">
      <c r="A3492" s="16">
        <v>2201000000</v>
      </c>
      <c r="B3492" s="16">
        <v>0</v>
      </c>
      <c r="C3492" s="16" t="s">
        <v>3415</v>
      </c>
      <c r="D3492" s="16" t="s">
        <v>3403</v>
      </c>
    </row>
    <row r="3493" spans="1:4">
      <c r="A3493" s="16">
        <v>2203000000</v>
      </c>
      <c r="B3493" s="16">
        <v>0</v>
      </c>
      <c r="C3493" s="16" t="s">
        <v>3415</v>
      </c>
      <c r="D3493" s="16" t="s">
        <v>3403</v>
      </c>
    </row>
    <row r="3494" spans="1:4">
      <c r="A3494" s="16">
        <v>3800000000</v>
      </c>
      <c r="B3494" s="16">
        <v>-11388898</v>
      </c>
      <c r="C3494" s="16" t="s">
        <v>3402</v>
      </c>
      <c r="D3494" s="16" t="s">
        <v>3403</v>
      </c>
    </row>
    <row r="3495" spans="1:4">
      <c r="A3495" s="16">
        <v>6700200000</v>
      </c>
      <c r="B3495" s="16">
        <v>0</v>
      </c>
      <c r="C3495" s="16" t="s">
        <v>3404</v>
      </c>
      <c r="D3495" s="16" t="s">
        <v>3409</v>
      </c>
    </row>
    <row r="3496" spans="1:4">
      <c r="A3496" s="16">
        <v>4203000000</v>
      </c>
      <c r="B3496" s="16">
        <v>0</v>
      </c>
      <c r="C3496" s="16" t="s">
        <v>3408</v>
      </c>
      <c r="D3496" s="16" t="s">
        <v>3403</v>
      </c>
    </row>
    <row r="3497" spans="1:4">
      <c r="A3497" s="16">
        <v>6032000000</v>
      </c>
      <c r="B3497" s="16">
        <v>0</v>
      </c>
      <c r="C3497" s="16" t="s">
        <v>3429</v>
      </c>
      <c r="D3497" s="16" t="s">
        <v>3430</v>
      </c>
    </row>
    <row r="3498" spans="1:4">
      <c r="A3498" s="16">
        <v>6150000000</v>
      </c>
      <c r="B3498" s="16">
        <v>0</v>
      </c>
      <c r="C3498" s="16" t="s">
        <v>3416</v>
      </c>
      <c r="D3498" s="16" t="s">
        <v>3417</v>
      </c>
    </row>
    <row r="3499" spans="1:4">
      <c r="A3499" s="16">
        <v>5010000010</v>
      </c>
      <c r="B3499" s="16">
        <v>0</v>
      </c>
      <c r="C3499" s="16" t="s">
        <v>3406</v>
      </c>
      <c r="D3499" s="16" t="s">
        <v>3411</v>
      </c>
    </row>
    <row r="3500" spans="1:4">
      <c r="A3500" s="16">
        <v>6700100000</v>
      </c>
      <c r="B3500" s="16">
        <v>0</v>
      </c>
      <c r="C3500" s="16" t="s">
        <v>3404</v>
      </c>
      <c r="D3500" s="16" t="s">
        <v>3410</v>
      </c>
    </row>
    <row r="3501" spans="1:4">
      <c r="A3501" s="16">
        <v>3800000000</v>
      </c>
      <c r="B3501" s="16">
        <v>0</v>
      </c>
      <c r="C3501" s="16" t="s">
        <v>3402</v>
      </c>
      <c r="D3501" s="16" t="s">
        <v>3403</v>
      </c>
    </row>
    <row r="3502" spans="1:4">
      <c r="A3502" s="16">
        <v>2201200030</v>
      </c>
      <c r="B3502" s="16">
        <v>0</v>
      </c>
      <c r="C3502" s="16" t="s">
        <v>3415</v>
      </c>
      <c r="D3502" s="16" t="s">
        <v>3403</v>
      </c>
    </row>
    <row r="3503" spans="1:4">
      <c r="A3503" s="16">
        <v>6102000000</v>
      </c>
      <c r="B3503" s="16">
        <v>0</v>
      </c>
      <c r="C3503" s="16" t="s">
        <v>3425</v>
      </c>
      <c r="D3503" s="16" t="s">
        <v>3426</v>
      </c>
    </row>
    <row r="3504" spans="1:4">
      <c r="A3504" s="16">
        <v>3102000000</v>
      </c>
      <c r="B3504" s="16">
        <v>0</v>
      </c>
      <c r="C3504" s="16" t="s">
        <v>3424</v>
      </c>
      <c r="D3504" s="16" t="s">
        <v>3403</v>
      </c>
    </row>
    <row r="3505" spans="1:4">
      <c r="A3505" s="16">
        <v>3710000000</v>
      </c>
      <c r="B3505" s="16">
        <v>0</v>
      </c>
      <c r="C3505" s="16" t="s">
        <v>3402</v>
      </c>
      <c r="D3505" s="16" t="s">
        <v>3403</v>
      </c>
    </row>
    <row r="3506" spans="1:4">
      <c r="A3506" s="16">
        <v>6700000000</v>
      </c>
      <c r="B3506" s="16">
        <v>0</v>
      </c>
      <c r="C3506" s="16" t="s">
        <v>3404</v>
      </c>
      <c r="D3506" s="16" t="s">
        <v>3405</v>
      </c>
    </row>
    <row r="3507" spans="1:4">
      <c r="A3507" s="16">
        <v>2500000000</v>
      </c>
      <c r="B3507" s="16">
        <v>3260796</v>
      </c>
      <c r="C3507" s="16" t="s">
        <v>3412</v>
      </c>
      <c r="D3507" s="16" t="s">
        <v>3403</v>
      </c>
    </row>
    <row r="3508" spans="1:4">
      <c r="A3508" s="16">
        <v>6700200000</v>
      </c>
      <c r="B3508" s="16">
        <v>29909770</v>
      </c>
      <c r="C3508" s="16" t="s">
        <v>3404</v>
      </c>
      <c r="D3508" s="16" t="s">
        <v>3409</v>
      </c>
    </row>
    <row r="3509" spans="1:4">
      <c r="A3509" s="16">
        <v>6700200000</v>
      </c>
      <c r="B3509" s="16">
        <v>0</v>
      </c>
      <c r="C3509" s="16" t="s">
        <v>3404</v>
      </c>
      <c r="D3509" s="16" t="s">
        <v>3409</v>
      </c>
    </row>
    <row r="3510" spans="1:4">
      <c r="A3510" s="16">
        <v>4610000000</v>
      </c>
      <c r="B3510" s="16">
        <v>0</v>
      </c>
      <c r="C3510" s="16" t="s">
        <v>3428</v>
      </c>
      <c r="D3510" s="16" t="s">
        <v>3403</v>
      </c>
    </row>
    <row r="3511" spans="1:4">
      <c r="A3511" s="16">
        <v>3710000000</v>
      </c>
      <c r="B3511" s="16">
        <v>0</v>
      </c>
      <c r="C3511" s="16" t="s">
        <v>3402</v>
      </c>
      <c r="D3511" s="16" t="s">
        <v>3403</v>
      </c>
    </row>
    <row r="3512" spans="1:4">
      <c r="A3512" s="16">
        <v>6700200000</v>
      </c>
      <c r="B3512" s="16">
        <v>0</v>
      </c>
      <c r="C3512" s="16" t="s">
        <v>3404</v>
      </c>
      <c r="D3512" s="16" t="s">
        <v>3409</v>
      </c>
    </row>
    <row r="3513" spans="1:4">
      <c r="A3513" s="16">
        <v>6060110000</v>
      </c>
      <c r="B3513" s="16">
        <v>0</v>
      </c>
      <c r="C3513" s="16" t="s">
        <v>3420</v>
      </c>
      <c r="D3513" s="16" t="s">
        <v>3421</v>
      </c>
    </row>
    <row r="3514" spans="1:4">
      <c r="A3514" s="16">
        <v>5010100010</v>
      </c>
      <c r="B3514" s="16">
        <v>0</v>
      </c>
      <c r="C3514" s="16" t="s">
        <v>3406</v>
      </c>
      <c r="D3514" s="16" t="s">
        <v>3407</v>
      </c>
    </row>
    <row r="3515" spans="1:4">
      <c r="A3515" s="16">
        <v>6700100000</v>
      </c>
      <c r="B3515" s="16">
        <v>0</v>
      </c>
      <c r="C3515" s="16" t="s">
        <v>3404</v>
      </c>
      <c r="D3515" s="16" t="s">
        <v>3410</v>
      </c>
    </row>
    <row r="3516" spans="1:4">
      <c r="A3516" s="16">
        <v>3510000000</v>
      </c>
      <c r="B3516" s="16">
        <v>0</v>
      </c>
      <c r="C3516" s="16" t="s">
        <v>3402</v>
      </c>
      <c r="D3516" s="16" t="s">
        <v>3403</v>
      </c>
    </row>
    <row r="3517" spans="1:4">
      <c r="A3517" s="16">
        <v>6700200000</v>
      </c>
      <c r="B3517" s="16">
        <v>46573</v>
      </c>
      <c r="C3517" s="16" t="s">
        <v>3404</v>
      </c>
      <c r="D3517" s="16" t="s">
        <v>3409</v>
      </c>
    </row>
    <row r="3518" spans="1:4">
      <c r="A3518" s="16">
        <v>6104001000</v>
      </c>
      <c r="B3518" s="16">
        <v>-5317</v>
      </c>
      <c r="C3518" s="16" t="s">
        <v>3416</v>
      </c>
      <c r="D3518" s="16" t="s">
        <v>3417</v>
      </c>
    </row>
    <row r="3519" spans="1:4">
      <c r="A3519" s="16">
        <v>2500000000</v>
      </c>
      <c r="B3519" s="16">
        <v>0</v>
      </c>
      <c r="C3519" s="16" t="s">
        <v>3412</v>
      </c>
      <c r="D3519" s="16" t="s">
        <v>3403</v>
      </c>
    </row>
    <row r="3520" spans="1:4">
      <c r="A3520" s="16">
        <v>6700600000</v>
      </c>
      <c r="B3520" s="16">
        <v>0</v>
      </c>
      <c r="C3520" s="16" t="s">
        <v>3404</v>
      </c>
      <c r="D3520" s="16" t="s">
        <v>3409</v>
      </c>
    </row>
    <row r="3521" spans="1:4">
      <c r="A3521" s="16">
        <v>3710000000</v>
      </c>
      <c r="B3521" s="16">
        <v>0</v>
      </c>
      <c r="C3521" s="16" t="s">
        <v>3402</v>
      </c>
      <c r="D3521" s="16" t="s">
        <v>3403</v>
      </c>
    </row>
    <row r="3522" spans="1:4">
      <c r="A3522" s="16">
        <v>6700600000</v>
      </c>
      <c r="B3522" s="16">
        <v>0</v>
      </c>
      <c r="C3522" s="16" t="s">
        <v>3404</v>
      </c>
      <c r="D3522" s="16" t="s">
        <v>3409</v>
      </c>
    </row>
    <row r="3523" spans="1:4">
      <c r="A3523" s="16">
        <v>6102000000</v>
      </c>
      <c r="B3523" s="16">
        <v>0</v>
      </c>
      <c r="C3523" s="16" t="s">
        <v>3425</v>
      </c>
      <c r="D3523" s="16" t="s">
        <v>3426</v>
      </c>
    </row>
    <row r="3524" spans="1:4">
      <c r="A3524" s="16">
        <v>5010100000</v>
      </c>
      <c r="B3524" s="16">
        <v>-3260796</v>
      </c>
      <c r="C3524" s="16" t="s">
        <v>3406</v>
      </c>
      <c r="D3524" s="16" t="s">
        <v>3407</v>
      </c>
    </row>
    <row r="3525" spans="1:4">
      <c r="A3525" s="16">
        <v>6030000000</v>
      </c>
      <c r="B3525" s="16">
        <v>0</v>
      </c>
      <c r="C3525" s="16" t="s">
        <v>3420</v>
      </c>
      <c r="D3525" s="16" t="s">
        <v>3423</v>
      </c>
    </row>
    <row r="3526" spans="1:4">
      <c r="A3526" s="16">
        <v>6700000000</v>
      </c>
      <c r="B3526" s="16">
        <v>-29909770</v>
      </c>
      <c r="C3526" s="16" t="s">
        <v>3404</v>
      </c>
      <c r="D3526" s="16" t="s">
        <v>3405</v>
      </c>
    </row>
    <row r="3527" spans="1:4">
      <c r="A3527" s="16">
        <v>2201000000</v>
      </c>
      <c r="B3527" s="16">
        <v>0</v>
      </c>
      <c r="C3527" s="16" t="s">
        <v>3415</v>
      </c>
      <c r="D3527" s="16" t="s">
        <v>3403</v>
      </c>
    </row>
    <row r="3528" spans="1:4">
      <c r="A3528" s="16">
        <v>2750010000</v>
      </c>
      <c r="B3528" s="16">
        <v>574660</v>
      </c>
      <c r="C3528" s="16" t="s">
        <v>3419</v>
      </c>
      <c r="D3528" s="16" t="s">
        <v>3403</v>
      </c>
    </row>
    <row r="3529" spans="1:4">
      <c r="A3529" s="16">
        <v>3710000000</v>
      </c>
      <c r="B3529" s="16">
        <v>0</v>
      </c>
      <c r="C3529" s="16" t="s">
        <v>3402</v>
      </c>
      <c r="D3529" s="16" t="s">
        <v>3403</v>
      </c>
    </row>
    <row r="3530" spans="1:4">
      <c r="A3530" s="16">
        <v>2201000000</v>
      </c>
      <c r="B3530" s="16">
        <v>0</v>
      </c>
      <c r="C3530" s="16" t="s">
        <v>3415</v>
      </c>
      <c r="D3530" s="16" t="s">
        <v>3403</v>
      </c>
    </row>
    <row r="3531" spans="1:4">
      <c r="A3531" s="16">
        <v>6700700000</v>
      </c>
      <c r="B3531" s="16">
        <v>0</v>
      </c>
      <c r="C3531" s="16" t="s">
        <v>3404</v>
      </c>
      <c r="D3531" s="16" t="s">
        <v>3409</v>
      </c>
    </row>
    <row r="3532" spans="1:4">
      <c r="A3532" s="16">
        <v>2201200030</v>
      </c>
      <c r="B3532" s="16">
        <v>-46573</v>
      </c>
      <c r="C3532" s="16" t="s">
        <v>3415</v>
      </c>
      <c r="D3532" s="16" t="s">
        <v>3403</v>
      </c>
    </row>
    <row r="3533" spans="1:4">
      <c r="A3533" s="16">
        <v>3103001000</v>
      </c>
      <c r="B3533" s="16">
        <v>5317</v>
      </c>
      <c r="C3533" s="16" t="s">
        <v>3402</v>
      </c>
      <c r="D3533" s="16" t="s">
        <v>3403</v>
      </c>
    </row>
    <row r="3534" spans="1:4">
      <c r="A3534" s="16">
        <v>5010000000</v>
      </c>
      <c r="B3534" s="16">
        <v>0</v>
      </c>
      <c r="C3534" s="16" t="s">
        <v>3406</v>
      </c>
      <c r="D3534" s="16" t="s">
        <v>3411</v>
      </c>
    </row>
    <row r="3535" spans="1:4">
      <c r="A3535" s="16">
        <v>6104001000</v>
      </c>
      <c r="B3535" s="16">
        <v>0</v>
      </c>
      <c r="C3535" s="16" t="s">
        <v>3427</v>
      </c>
      <c r="D3535" s="16" t="s">
        <v>3417</v>
      </c>
    </row>
    <row r="3536" spans="1:4">
      <c r="A3536" s="16">
        <v>6700400000</v>
      </c>
      <c r="B3536" s="16">
        <v>0</v>
      </c>
      <c r="C3536" s="16" t="s">
        <v>3404</v>
      </c>
      <c r="D3536" s="16" t="s">
        <v>3405</v>
      </c>
    </row>
    <row r="3537" spans="1:4">
      <c r="A3537" s="16">
        <v>6700400000</v>
      </c>
      <c r="B3537" s="16">
        <v>0</v>
      </c>
      <c r="C3537" s="16" t="s">
        <v>3404</v>
      </c>
      <c r="D3537" s="16" t="s">
        <v>3405</v>
      </c>
    </row>
    <row r="3538" spans="1:4">
      <c r="A3538" s="16">
        <v>3030000000</v>
      </c>
      <c r="B3538" s="16">
        <v>0</v>
      </c>
      <c r="C3538" s="16" t="s">
        <v>3402</v>
      </c>
      <c r="D3538" s="16" t="s">
        <v>3403</v>
      </c>
    </row>
    <row r="3539" spans="1:4">
      <c r="A3539" s="16">
        <v>6700200000</v>
      </c>
      <c r="B3539" s="16">
        <v>0</v>
      </c>
      <c r="C3539" s="16" t="s">
        <v>3404</v>
      </c>
      <c r="D3539" s="16" t="s">
        <v>3409</v>
      </c>
    </row>
    <row r="3540" spans="1:4">
      <c r="A3540" s="16">
        <v>6610000100</v>
      </c>
      <c r="B3540" s="16">
        <v>-574660</v>
      </c>
      <c r="C3540" s="16" t="s">
        <v>3413</v>
      </c>
      <c r="D3540" s="16" t="s">
        <v>3418</v>
      </c>
    </row>
    <row r="3541" spans="1:4">
      <c r="A3541" s="16">
        <v>3102000000</v>
      </c>
      <c r="B3541" s="16">
        <v>0</v>
      </c>
      <c r="C3541" s="16" t="s">
        <v>3424</v>
      </c>
      <c r="D3541" s="16" t="s">
        <v>3403</v>
      </c>
    </row>
    <row r="3542" spans="1:4">
      <c r="A3542" s="16">
        <v>6700200000</v>
      </c>
      <c r="B3542" s="16">
        <v>0</v>
      </c>
      <c r="C3542" s="16" t="s">
        <v>3404</v>
      </c>
      <c r="D3542" s="16" t="s">
        <v>3409</v>
      </c>
    </row>
    <row r="3543" spans="1:4">
      <c r="A3543" s="16">
        <v>6700500000</v>
      </c>
      <c r="B3543" s="16">
        <v>0</v>
      </c>
      <c r="C3543" s="16" t="s">
        <v>3404</v>
      </c>
      <c r="D3543" s="16" t="s">
        <v>3405</v>
      </c>
    </row>
    <row r="3544" spans="1:4">
      <c r="A3544" s="16">
        <v>3103001000</v>
      </c>
      <c r="B3544" s="16">
        <v>0</v>
      </c>
      <c r="C3544" s="16" t="s">
        <v>3402</v>
      </c>
      <c r="D3544" s="16" t="s">
        <v>3403</v>
      </c>
    </row>
    <row r="3545" spans="1:4">
      <c r="A3545" s="16">
        <v>2750010000</v>
      </c>
      <c r="B3545" s="16">
        <v>0</v>
      </c>
      <c r="C3545" s="16" t="s">
        <v>3419</v>
      </c>
      <c r="D3545" s="16" t="s">
        <v>3403</v>
      </c>
    </row>
    <row r="3546" spans="1:4">
      <c r="A3546" s="16">
        <v>6030000000</v>
      </c>
      <c r="B3546" s="16">
        <v>1873</v>
      </c>
      <c r="C3546" s="16" t="s">
        <v>3432</v>
      </c>
      <c r="D3546" s="16" t="s">
        <v>3423</v>
      </c>
    </row>
    <row r="3547" spans="1:4">
      <c r="A3547" s="16">
        <v>6150000000</v>
      </c>
      <c r="B3547" s="16">
        <v>0</v>
      </c>
      <c r="C3547" s="16" t="s">
        <v>3416</v>
      </c>
      <c r="D3547" s="16" t="s">
        <v>3417</v>
      </c>
    </row>
    <row r="3548" spans="1:4">
      <c r="A3548" s="16">
        <v>5010100010</v>
      </c>
      <c r="B3548" s="16">
        <v>1985</v>
      </c>
      <c r="C3548" s="16" t="s">
        <v>3406</v>
      </c>
      <c r="D3548" s="16" t="s">
        <v>3407</v>
      </c>
    </row>
    <row r="3549" spans="1:4">
      <c r="A3549" s="16">
        <v>3102000000</v>
      </c>
      <c r="B3549" s="16">
        <v>0</v>
      </c>
      <c r="C3549" s="16" t="s">
        <v>3424</v>
      </c>
      <c r="D3549" s="16" t="s">
        <v>3403</v>
      </c>
    </row>
    <row r="3550" spans="1:4">
      <c r="A3550" s="16">
        <v>6610100000</v>
      </c>
      <c r="B3550" s="16">
        <v>0</v>
      </c>
      <c r="C3550" s="16" t="s">
        <v>3413</v>
      </c>
      <c r="D3550" s="16" t="s">
        <v>3414</v>
      </c>
    </row>
    <row r="3551" spans="1:4">
      <c r="A3551" s="16">
        <v>6700700000</v>
      </c>
      <c r="B3551" s="16">
        <v>0</v>
      </c>
      <c r="C3551" s="16" t="s">
        <v>3404</v>
      </c>
      <c r="D3551" s="16" t="s">
        <v>3409</v>
      </c>
    </row>
    <row r="3552" spans="1:4">
      <c r="A3552" s="16">
        <v>2500000000</v>
      </c>
      <c r="B3552" s="16">
        <v>0</v>
      </c>
      <c r="C3552" s="16" t="s">
        <v>3412</v>
      </c>
      <c r="D3552" s="16" t="s">
        <v>3403</v>
      </c>
    </row>
    <row r="3553" spans="1:4">
      <c r="A3553" s="16">
        <v>6700600000</v>
      </c>
      <c r="B3553" s="16">
        <v>16560</v>
      </c>
      <c r="C3553" s="16" t="s">
        <v>3404</v>
      </c>
      <c r="D3553" s="16" t="s">
        <v>3409</v>
      </c>
    </row>
    <row r="3554" spans="1:4">
      <c r="A3554" s="16">
        <v>3102000000</v>
      </c>
      <c r="B3554" s="16">
        <v>0</v>
      </c>
      <c r="C3554" s="16" t="s">
        <v>3424</v>
      </c>
      <c r="D3554" s="16" t="s">
        <v>3403</v>
      </c>
    </row>
    <row r="3555" spans="1:4">
      <c r="A3555" s="16">
        <v>2201000000</v>
      </c>
      <c r="B3555" s="16">
        <v>0</v>
      </c>
      <c r="C3555" s="16" t="s">
        <v>3415</v>
      </c>
      <c r="D3555" s="16" t="s">
        <v>3403</v>
      </c>
    </row>
    <row r="3556" spans="1:4">
      <c r="A3556" s="16">
        <v>6102000000</v>
      </c>
      <c r="B3556" s="16">
        <v>0</v>
      </c>
      <c r="C3556" s="16" t="s">
        <v>3425</v>
      </c>
      <c r="D3556" s="16" t="s">
        <v>3426</v>
      </c>
    </row>
    <row r="3557" spans="1:4">
      <c r="A3557" s="16">
        <v>6610000000</v>
      </c>
      <c r="B3557" s="16">
        <v>0</v>
      </c>
      <c r="C3557" s="16" t="s">
        <v>3413</v>
      </c>
      <c r="D3557" s="16" t="s">
        <v>3418</v>
      </c>
    </row>
    <row r="3558" spans="1:4">
      <c r="A3558" s="16">
        <v>6700200000</v>
      </c>
      <c r="B3558" s="16">
        <v>3385</v>
      </c>
      <c r="C3558" s="16" t="s">
        <v>3404</v>
      </c>
      <c r="D3558" s="16" t="s">
        <v>3409</v>
      </c>
    </row>
    <row r="3559" spans="1:4">
      <c r="A3559" s="16">
        <v>6610000000</v>
      </c>
      <c r="B3559" s="16">
        <v>0</v>
      </c>
      <c r="C3559" s="16" t="s">
        <v>3413</v>
      </c>
      <c r="D3559" s="16" t="s">
        <v>3418</v>
      </c>
    </row>
    <row r="3560" spans="1:4">
      <c r="A3560" s="16">
        <v>6700600000</v>
      </c>
      <c r="B3560" s="16">
        <v>0</v>
      </c>
      <c r="C3560" s="16" t="s">
        <v>3404</v>
      </c>
      <c r="D3560" s="16" t="s">
        <v>3409</v>
      </c>
    </row>
    <row r="3561" spans="1:4">
      <c r="A3561" s="16">
        <v>3102000000</v>
      </c>
      <c r="B3561" s="16">
        <v>0</v>
      </c>
      <c r="C3561" s="16" t="s">
        <v>3424</v>
      </c>
      <c r="D3561" s="16" t="s">
        <v>3403</v>
      </c>
    </row>
    <row r="3562" spans="1:4">
      <c r="A3562" s="16">
        <v>2750010000</v>
      </c>
      <c r="B3562" s="16">
        <v>0</v>
      </c>
      <c r="C3562" s="16" t="s">
        <v>3419</v>
      </c>
      <c r="D3562" s="16" t="s">
        <v>3403</v>
      </c>
    </row>
    <row r="3563" spans="1:4">
      <c r="A3563" s="16">
        <v>6700200000</v>
      </c>
      <c r="B3563" s="16">
        <v>0</v>
      </c>
      <c r="C3563" s="16" t="s">
        <v>3404</v>
      </c>
      <c r="D3563" s="16" t="s">
        <v>3409</v>
      </c>
    </row>
    <row r="3564" spans="1:4">
      <c r="A3564" s="16">
        <v>3032000000</v>
      </c>
      <c r="B3564" s="16">
        <v>0</v>
      </c>
      <c r="C3564" s="16" t="s">
        <v>3424</v>
      </c>
      <c r="D3564" s="16" t="s">
        <v>3403</v>
      </c>
    </row>
    <row r="3565" spans="1:4">
      <c r="A3565" s="16">
        <v>6610000100</v>
      </c>
      <c r="B3565" s="16">
        <v>0</v>
      </c>
      <c r="C3565" s="16" t="s">
        <v>3413</v>
      </c>
      <c r="D3565" s="16" t="s">
        <v>3418</v>
      </c>
    </row>
    <row r="3566" spans="1:4">
      <c r="A3566" s="16">
        <v>3030000000</v>
      </c>
      <c r="B3566" s="16">
        <v>-1873</v>
      </c>
      <c r="C3566" s="16" t="s">
        <v>3402</v>
      </c>
      <c r="D3566" s="16" t="s">
        <v>3403</v>
      </c>
    </row>
    <row r="3567" spans="1:4">
      <c r="A3567" s="16">
        <v>3510000000</v>
      </c>
      <c r="B3567" s="16">
        <v>0</v>
      </c>
      <c r="C3567" s="16" t="s">
        <v>3402</v>
      </c>
      <c r="D3567" s="16" t="s">
        <v>3403</v>
      </c>
    </row>
    <row r="3568" spans="1:4">
      <c r="A3568" s="16">
        <v>3710000000</v>
      </c>
      <c r="B3568" s="16">
        <v>-1985</v>
      </c>
      <c r="C3568" s="16" t="s">
        <v>3402</v>
      </c>
      <c r="D3568" s="16" t="s">
        <v>3403</v>
      </c>
    </row>
    <row r="3569" spans="1:4">
      <c r="A3569" s="16">
        <v>6102000000</v>
      </c>
      <c r="B3569" s="16">
        <v>0</v>
      </c>
      <c r="C3569" s="16" t="s">
        <v>3425</v>
      </c>
      <c r="D3569" s="16" t="s">
        <v>3426</v>
      </c>
    </row>
    <row r="3570" spans="1:4">
      <c r="A3570" s="16">
        <v>4203000000</v>
      </c>
      <c r="B3570" s="16">
        <v>0</v>
      </c>
      <c r="C3570" s="16" t="s">
        <v>3408</v>
      </c>
      <c r="D3570" s="16" t="s">
        <v>3403</v>
      </c>
    </row>
    <row r="3571" spans="1:4">
      <c r="A3571" s="16">
        <v>6700500000</v>
      </c>
      <c r="B3571" s="16">
        <v>0</v>
      </c>
      <c r="C3571" s="16" t="s">
        <v>3404</v>
      </c>
      <c r="D3571" s="16" t="s">
        <v>3405</v>
      </c>
    </row>
    <row r="3572" spans="1:4">
      <c r="A3572" s="16">
        <v>6150000000</v>
      </c>
      <c r="B3572" s="16">
        <v>0</v>
      </c>
      <c r="C3572" s="16" t="s">
        <v>3416</v>
      </c>
      <c r="D3572" s="16" t="s">
        <v>3417</v>
      </c>
    </row>
    <row r="3573" spans="1:4">
      <c r="A3573" s="16">
        <v>3032000000</v>
      </c>
      <c r="B3573" s="16">
        <v>0</v>
      </c>
      <c r="C3573" s="16" t="s">
        <v>3424</v>
      </c>
      <c r="D3573" s="16" t="s">
        <v>3403</v>
      </c>
    </row>
    <row r="3574" spans="1:4">
      <c r="A3574" s="16">
        <v>5010100000</v>
      </c>
      <c r="B3574" s="16">
        <v>0</v>
      </c>
      <c r="C3574" s="16" t="s">
        <v>3406</v>
      </c>
      <c r="D3574" s="16" t="s">
        <v>3407</v>
      </c>
    </row>
    <row r="3575" spans="1:4">
      <c r="A3575" s="16">
        <v>6700200000</v>
      </c>
      <c r="B3575" s="16">
        <v>0</v>
      </c>
      <c r="C3575" s="16" t="s">
        <v>3404</v>
      </c>
      <c r="D3575" s="16" t="s">
        <v>3409</v>
      </c>
    </row>
    <row r="3576" spans="1:4">
      <c r="A3576" s="16">
        <v>6700400000</v>
      </c>
      <c r="B3576" s="16">
        <v>-16560</v>
      </c>
      <c r="C3576" s="16" t="s">
        <v>3404</v>
      </c>
      <c r="D3576" s="16" t="s">
        <v>3405</v>
      </c>
    </row>
    <row r="3577" spans="1:4">
      <c r="A3577" s="16">
        <v>6102000000</v>
      </c>
      <c r="B3577" s="16">
        <v>0</v>
      </c>
      <c r="C3577" s="16" t="s">
        <v>3425</v>
      </c>
      <c r="D3577" s="16" t="s">
        <v>3426</v>
      </c>
    </row>
    <row r="3578" spans="1:4">
      <c r="A3578" s="16">
        <v>6700200000</v>
      </c>
      <c r="B3578" s="16">
        <v>0</v>
      </c>
      <c r="C3578" s="16" t="s">
        <v>3404</v>
      </c>
      <c r="D3578" s="16" t="s">
        <v>3409</v>
      </c>
    </row>
    <row r="3579" spans="1:4">
      <c r="A3579" s="16">
        <v>4203000000</v>
      </c>
      <c r="B3579" s="16">
        <v>0</v>
      </c>
      <c r="C3579" s="16" t="s">
        <v>3408</v>
      </c>
      <c r="D3579" s="16" t="s">
        <v>3403</v>
      </c>
    </row>
    <row r="3580" spans="1:4">
      <c r="A3580" s="16">
        <v>6700000000</v>
      </c>
      <c r="B3580" s="16">
        <v>-3385</v>
      </c>
      <c r="C3580" s="16" t="s">
        <v>3404</v>
      </c>
      <c r="D3580" s="16" t="s">
        <v>3405</v>
      </c>
    </row>
    <row r="3581" spans="1:4">
      <c r="A3581" s="16">
        <v>4203000000</v>
      </c>
      <c r="B3581" s="16">
        <v>0</v>
      </c>
      <c r="C3581" s="16" t="s">
        <v>3408</v>
      </c>
      <c r="D3581" s="16" t="s">
        <v>3403</v>
      </c>
    </row>
    <row r="3582" spans="1:4">
      <c r="A3582" s="16">
        <v>6700400000</v>
      </c>
      <c r="B3582" s="16">
        <v>0</v>
      </c>
      <c r="C3582" s="16" t="s">
        <v>3404</v>
      </c>
      <c r="D3582" s="16" t="s">
        <v>3405</v>
      </c>
    </row>
    <row r="3583" spans="1:4">
      <c r="A3583" s="16">
        <v>5010000010</v>
      </c>
      <c r="B3583" s="16">
        <v>753168</v>
      </c>
      <c r="C3583" s="16" t="s">
        <v>3406</v>
      </c>
      <c r="D3583" s="16" t="s">
        <v>3411</v>
      </c>
    </row>
    <row r="3584" spans="1:4">
      <c r="A3584" s="16">
        <v>6102000000</v>
      </c>
      <c r="B3584" s="16">
        <v>0</v>
      </c>
      <c r="C3584" s="16" t="s">
        <v>3425</v>
      </c>
      <c r="D3584" s="16" t="s">
        <v>3426</v>
      </c>
    </row>
    <row r="3585" spans="1:4">
      <c r="A3585" s="16">
        <v>6610000100</v>
      </c>
      <c r="B3585" s="16">
        <v>0</v>
      </c>
      <c r="C3585" s="16" t="s">
        <v>3413</v>
      </c>
      <c r="D3585" s="16" t="s">
        <v>3418</v>
      </c>
    </row>
    <row r="3586" spans="1:4">
      <c r="A3586" s="16">
        <v>6700600000</v>
      </c>
      <c r="B3586" s="16">
        <v>0</v>
      </c>
      <c r="C3586" s="16" t="s">
        <v>3404</v>
      </c>
      <c r="D3586" s="16" t="s">
        <v>3409</v>
      </c>
    </row>
    <row r="3587" spans="1:4">
      <c r="A3587" s="16">
        <v>6700100000</v>
      </c>
      <c r="B3587" s="16">
        <v>0</v>
      </c>
      <c r="C3587" s="16" t="s">
        <v>3404</v>
      </c>
      <c r="D3587" s="16" t="s">
        <v>3410</v>
      </c>
    </row>
    <row r="3588" spans="1:4">
      <c r="A3588" s="16">
        <v>6700600000</v>
      </c>
      <c r="B3588" s="16">
        <v>0</v>
      </c>
      <c r="C3588" s="16" t="s">
        <v>3404</v>
      </c>
      <c r="D3588" s="16" t="s">
        <v>3409</v>
      </c>
    </row>
    <row r="3589" spans="1:4">
      <c r="A3589" s="16">
        <v>6032000000</v>
      </c>
      <c r="B3589" s="16">
        <v>0</v>
      </c>
      <c r="C3589" s="16" t="s">
        <v>3429</v>
      </c>
      <c r="D3589" s="16" t="s">
        <v>3430</v>
      </c>
    </row>
    <row r="3590" spans="1:4">
      <c r="A3590" s="16">
        <v>2750010000</v>
      </c>
      <c r="B3590" s="16">
        <v>0</v>
      </c>
      <c r="C3590" s="16" t="s">
        <v>3419</v>
      </c>
      <c r="D3590" s="16" t="s">
        <v>3403</v>
      </c>
    </row>
    <row r="3591" spans="1:4">
      <c r="A3591" s="16">
        <v>6610100000</v>
      </c>
      <c r="B3591" s="16">
        <v>0</v>
      </c>
      <c r="C3591" s="16" t="s">
        <v>3413</v>
      </c>
      <c r="D3591" s="16" t="s">
        <v>3414</v>
      </c>
    </row>
    <row r="3592" spans="1:4">
      <c r="A3592" s="16">
        <v>3510000000</v>
      </c>
      <c r="B3592" s="16">
        <v>0</v>
      </c>
      <c r="C3592" s="16" t="s">
        <v>3402</v>
      </c>
      <c r="D3592" s="16" t="s">
        <v>3403</v>
      </c>
    </row>
    <row r="3593" spans="1:4">
      <c r="A3593" s="16">
        <v>6032000000</v>
      </c>
      <c r="B3593" s="16">
        <v>0</v>
      </c>
      <c r="C3593" s="16" t="s">
        <v>3429</v>
      </c>
      <c r="D3593" s="16" t="s">
        <v>3430</v>
      </c>
    </row>
    <row r="3594" spans="1:4">
      <c r="A3594" s="16">
        <v>2201000000</v>
      </c>
      <c r="B3594" s="16">
        <v>6179302</v>
      </c>
      <c r="C3594" s="16" t="s">
        <v>3415</v>
      </c>
      <c r="D3594" s="16" t="s">
        <v>3403</v>
      </c>
    </row>
    <row r="3595" spans="1:4">
      <c r="A3595" s="16">
        <v>2500000000</v>
      </c>
      <c r="B3595" s="16">
        <v>7381509</v>
      </c>
      <c r="C3595" s="16" t="s">
        <v>3412</v>
      </c>
      <c r="D3595" s="16" t="s">
        <v>3403</v>
      </c>
    </row>
    <row r="3596" spans="1:4">
      <c r="A3596" s="16">
        <v>6700100000</v>
      </c>
      <c r="B3596" s="16">
        <v>0</v>
      </c>
      <c r="C3596" s="16" t="s">
        <v>3404</v>
      </c>
      <c r="D3596" s="16" t="s">
        <v>3410</v>
      </c>
    </row>
    <row r="3597" spans="1:4">
      <c r="A3597" s="16">
        <v>2201000030</v>
      </c>
      <c r="B3597" s="16">
        <v>0</v>
      </c>
      <c r="C3597" s="16" t="s">
        <v>3415</v>
      </c>
      <c r="D3597" s="16" t="s">
        <v>3403</v>
      </c>
    </row>
    <row r="3598" spans="1:4">
      <c r="A3598" s="16">
        <v>6150000000</v>
      </c>
      <c r="B3598" s="16">
        <v>0</v>
      </c>
      <c r="C3598" s="16" t="s">
        <v>3416</v>
      </c>
      <c r="D3598" s="16" t="s">
        <v>3417</v>
      </c>
    </row>
    <row r="3599" spans="1:4">
      <c r="A3599" s="16">
        <v>2203000000</v>
      </c>
      <c r="B3599" s="16">
        <v>0</v>
      </c>
      <c r="C3599" s="16" t="s">
        <v>3415</v>
      </c>
      <c r="D3599" s="16" t="s">
        <v>3403</v>
      </c>
    </row>
    <row r="3600" spans="1:4">
      <c r="A3600" s="16">
        <v>6104001000</v>
      </c>
      <c r="B3600" s="16">
        <v>0</v>
      </c>
      <c r="C3600" s="16" t="s">
        <v>3416</v>
      </c>
      <c r="D3600" s="16" t="s">
        <v>3417</v>
      </c>
    </row>
    <row r="3601" spans="1:4">
      <c r="A3601" s="16">
        <v>5010100010</v>
      </c>
      <c r="B3601" s="16">
        <v>0</v>
      </c>
      <c r="C3601" s="16" t="s">
        <v>3406</v>
      </c>
      <c r="D3601" s="16" t="s">
        <v>3407</v>
      </c>
    </row>
    <row r="3602" spans="1:4">
      <c r="A3602" s="16">
        <v>3032000000</v>
      </c>
      <c r="B3602" s="16">
        <v>0</v>
      </c>
      <c r="C3602" s="16" t="s">
        <v>3424</v>
      </c>
      <c r="D3602" s="16" t="s">
        <v>3403</v>
      </c>
    </row>
    <row r="3603" spans="1:4">
      <c r="A3603" s="16">
        <v>3710000000</v>
      </c>
      <c r="B3603" s="16">
        <v>-753168</v>
      </c>
      <c r="C3603" s="16" t="s">
        <v>3402</v>
      </c>
      <c r="D3603" s="16" t="s">
        <v>3403</v>
      </c>
    </row>
    <row r="3604" spans="1:4">
      <c r="A3604" s="16">
        <v>2500000000</v>
      </c>
      <c r="B3604" s="16">
        <v>0</v>
      </c>
      <c r="C3604" s="16" t="s">
        <v>3412</v>
      </c>
      <c r="D3604" s="16" t="s">
        <v>3403</v>
      </c>
    </row>
    <row r="3605" spans="1:4">
      <c r="A3605" s="16">
        <v>6700200000</v>
      </c>
      <c r="B3605" s="16">
        <v>0</v>
      </c>
      <c r="C3605" s="16" t="s">
        <v>3404</v>
      </c>
      <c r="D3605" s="16" t="s">
        <v>3409</v>
      </c>
    </row>
    <row r="3606" spans="1:4">
      <c r="A3606" s="16">
        <v>6700600000</v>
      </c>
      <c r="B3606" s="16">
        <v>0</v>
      </c>
      <c r="C3606" s="16" t="s">
        <v>3404</v>
      </c>
      <c r="D3606" s="16" t="s">
        <v>3409</v>
      </c>
    </row>
    <row r="3607" spans="1:4">
      <c r="A3607" s="16">
        <v>6700400000</v>
      </c>
      <c r="B3607" s="16">
        <v>0</v>
      </c>
      <c r="C3607" s="16" t="s">
        <v>3404</v>
      </c>
      <c r="D3607" s="16" t="s">
        <v>3405</v>
      </c>
    </row>
    <row r="3608" spans="1:4">
      <c r="A3608" s="16">
        <v>6700400000</v>
      </c>
      <c r="B3608" s="16">
        <v>0</v>
      </c>
      <c r="C3608" s="16" t="s">
        <v>3404</v>
      </c>
      <c r="D3608" s="16" t="s">
        <v>3405</v>
      </c>
    </row>
    <row r="3609" spans="1:4">
      <c r="A3609" s="16">
        <v>5010000010</v>
      </c>
      <c r="B3609" s="16">
        <v>0</v>
      </c>
      <c r="C3609" s="16" t="s">
        <v>3406</v>
      </c>
      <c r="D3609" s="16" t="s">
        <v>3411</v>
      </c>
    </row>
    <row r="3610" spans="1:4">
      <c r="A3610" s="16">
        <v>5010100010</v>
      </c>
      <c r="B3610" s="16">
        <v>0</v>
      </c>
      <c r="C3610" s="16" t="s">
        <v>3406</v>
      </c>
      <c r="D3610" s="16" t="s">
        <v>3407</v>
      </c>
    </row>
    <row r="3611" spans="1:4">
      <c r="A3611" s="16">
        <v>6610100100</v>
      </c>
      <c r="B3611" s="16">
        <v>0</v>
      </c>
      <c r="C3611" s="16" t="s">
        <v>3413</v>
      </c>
      <c r="D3611" s="16" t="s">
        <v>3414</v>
      </c>
    </row>
    <row r="3612" spans="1:4">
      <c r="A3612" s="16">
        <v>6610000000</v>
      </c>
      <c r="B3612" s="16">
        <v>0</v>
      </c>
      <c r="C3612" s="16" t="s">
        <v>3413</v>
      </c>
      <c r="D3612" s="16" t="s">
        <v>3418</v>
      </c>
    </row>
    <row r="3613" spans="1:4">
      <c r="A3613" s="16">
        <v>4203000000</v>
      </c>
      <c r="B3613" s="16">
        <v>0</v>
      </c>
      <c r="C3613" s="16" t="s">
        <v>3408</v>
      </c>
      <c r="D3613" s="16" t="s">
        <v>3403</v>
      </c>
    </row>
    <row r="3614" spans="1:4">
      <c r="A3614" s="16">
        <v>6610100000</v>
      </c>
      <c r="B3614" s="16">
        <v>1695</v>
      </c>
      <c r="C3614" s="16" t="s">
        <v>3413</v>
      </c>
      <c r="D3614" s="16" t="s">
        <v>3414</v>
      </c>
    </row>
    <row r="3615" spans="1:4">
      <c r="A3615" s="16">
        <v>6104000000</v>
      </c>
      <c r="B3615" s="16">
        <v>0</v>
      </c>
      <c r="C3615" s="16" t="s">
        <v>3416</v>
      </c>
      <c r="D3615" s="16" t="s">
        <v>3417</v>
      </c>
    </row>
    <row r="3616" spans="1:4">
      <c r="A3616" s="16">
        <v>6700200000</v>
      </c>
      <c r="B3616" s="16">
        <v>-6179302</v>
      </c>
      <c r="C3616" s="16" t="s">
        <v>3404</v>
      </c>
      <c r="D3616" s="16" t="s">
        <v>3409</v>
      </c>
    </row>
    <row r="3617" spans="1:4">
      <c r="A3617" s="16">
        <v>2201000000</v>
      </c>
      <c r="B3617" s="16">
        <v>0</v>
      </c>
      <c r="C3617" s="16" t="s">
        <v>3415</v>
      </c>
      <c r="D3617" s="16" t="s">
        <v>3403</v>
      </c>
    </row>
    <row r="3618" spans="1:4">
      <c r="A3618" s="16">
        <v>5010100000</v>
      </c>
      <c r="B3618" s="16">
        <v>-7381509</v>
      </c>
      <c r="C3618" s="16" t="s">
        <v>3406</v>
      </c>
      <c r="D3618" s="16" t="s">
        <v>3407</v>
      </c>
    </row>
    <row r="3619" spans="1:4">
      <c r="A3619" s="16">
        <v>2500000000</v>
      </c>
      <c r="B3619" s="16">
        <v>11100</v>
      </c>
      <c r="C3619" s="16" t="s">
        <v>3412</v>
      </c>
      <c r="D3619" s="16" t="s">
        <v>3403</v>
      </c>
    </row>
    <row r="3620" spans="1:4">
      <c r="A3620" s="16">
        <v>6700200000</v>
      </c>
      <c r="B3620" s="16">
        <v>0</v>
      </c>
      <c r="C3620" s="16" t="s">
        <v>3404</v>
      </c>
      <c r="D3620" s="16" t="s">
        <v>3409</v>
      </c>
    </row>
    <row r="3621" spans="1:4">
      <c r="A3621" s="16">
        <v>6104000000</v>
      </c>
      <c r="B3621" s="16">
        <v>0</v>
      </c>
      <c r="C3621" s="16" t="s">
        <v>3416</v>
      </c>
      <c r="D3621" s="16" t="s">
        <v>3417</v>
      </c>
    </row>
    <row r="3622" spans="1:4">
      <c r="A3622" s="16">
        <v>3510000000</v>
      </c>
      <c r="B3622" s="16">
        <v>0</v>
      </c>
      <c r="C3622" s="16" t="s">
        <v>3402</v>
      </c>
      <c r="D3622" s="16" t="s">
        <v>3403</v>
      </c>
    </row>
    <row r="3623" spans="1:4">
      <c r="A3623" s="16">
        <v>5010100010</v>
      </c>
      <c r="B3623" s="16">
        <v>0</v>
      </c>
      <c r="C3623" s="16" t="s">
        <v>3406</v>
      </c>
      <c r="D3623" s="16" t="s">
        <v>3407</v>
      </c>
    </row>
    <row r="3624" spans="1:4">
      <c r="A3624" s="16">
        <v>6610000000</v>
      </c>
      <c r="B3624" s="16">
        <v>3804023</v>
      </c>
      <c r="C3624" s="16" t="s">
        <v>3413</v>
      </c>
      <c r="D3624" s="16" t="s">
        <v>3418</v>
      </c>
    </row>
    <row r="3625" spans="1:4">
      <c r="A3625" s="16">
        <v>6060110000</v>
      </c>
      <c r="B3625" s="16">
        <v>0</v>
      </c>
      <c r="C3625" s="16" t="s">
        <v>3420</v>
      </c>
      <c r="D3625" s="16" t="s">
        <v>3421</v>
      </c>
    </row>
    <row r="3626" spans="1:4">
      <c r="A3626" s="16">
        <v>3103001000</v>
      </c>
      <c r="B3626" s="16">
        <v>0</v>
      </c>
      <c r="C3626" s="16" t="s">
        <v>3402</v>
      </c>
      <c r="D3626" s="16" t="s">
        <v>3403</v>
      </c>
    </row>
    <row r="3627" spans="1:4">
      <c r="A3627" s="16">
        <v>5050010000</v>
      </c>
      <c r="B3627" s="16">
        <v>39842748</v>
      </c>
      <c r="C3627" s="16" t="s">
        <v>3406</v>
      </c>
      <c r="D3627" s="16" t="s">
        <v>3422</v>
      </c>
    </row>
    <row r="3628" spans="1:4">
      <c r="A3628" s="16">
        <v>3710000000</v>
      </c>
      <c r="B3628" s="16">
        <v>0</v>
      </c>
      <c r="C3628" s="16" t="s">
        <v>3402</v>
      </c>
      <c r="D3628" s="16" t="s">
        <v>3403</v>
      </c>
    </row>
    <row r="3629" spans="1:4">
      <c r="A3629" s="16">
        <v>5010000010</v>
      </c>
      <c r="B3629" s="16">
        <v>0</v>
      </c>
      <c r="C3629" s="16" t="s">
        <v>3406</v>
      </c>
      <c r="D3629" s="16" t="s">
        <v>3411</v>
      </c>
    </row>
    <row r="3630" spans="1:4">
      <c r="A3630" s="16">
        <v>6032000000</v>
      </c>
      <c r="B3630" s="16">
        <v>0</v>
      </c>
      <c r="C3630" s="16" t="s">
        <v>3429</v>
      </c>
      <c r="D3630" s="16" t="s">
        <v>3430</v>
      </c>
    </row>
    <row r="3631" spans="1:4">
      <c r="A3631" s="16">
        <v>5010000000</v>
      </c>
      <c r="B3631" s="16">
        <v>0</v>
      </c>
      <c r="C3631" s="16" t="s">
        <v>3406</v>
      </c>
      <c r="D3631" s="16" t="s">
        <v>3411</v>
      </c>
    </row>
    <row r="3632" spans="1:4">
      <c r="A3632" s="16">
        <v>6700000000</v>
      </c>
      <c r="B3632" s="16">
        <v>0</v>
      </c>
      <c r="C3632" s="16" t="s">
        <v>3404</v>
      </c>
      <c r="D3632" s="16" t="s">
        <v>3405</v>
      </c>
    </row>
    <row r="3633" spans="1:4">
      <c r="A3633" s="16">
        <v>6700400000</v>
      </c>
      <c r="B3633" s="16">
        <v>0</v>
      </c>
      <c r="C3633" s="16" t="s">
        <v>3404</v>
      </c>
      <c r="D3633" s="16" t="s">
        <v>3405</v>
      </c>
    </row>
    <row r="3634" spans="1:4">
      <c r="A3634" s="16">
        <v>2201000030</v>
      </c>
      <c r="B3634" s="16">
        <v>0</v>
      </c>
      <c r="C3634" s="16" t="s">
        <v>3415</v>
      </c>
      <c r="D3634" s="16" t="s">
        <v>3403</v>
      </c>
    </row>
    <row r="3635" spans="1:4">
      <c r="A3635" s="16">
        <v>2500000000</v>
      </c>
      <c r="B3635" s="16">
        <v>0</v>
      </c>
      <c r="C3635" s="16" t="s">
        <v>3412</v>
      </c>
      <c r="D3635" s="16" t="s">
        <v>3403</v>
      </c>
    </row>
    <row r="3636" spans="1:4">
      <c r="A3636" s="16">
        <v>3710000000</v>
      </c>
      <c r="B3636" s="16">
        <v>0</v>
      </c>
      <c r="C3636" s="16" t="s">
        <v>3402</v>
      </c>
      <c r="D3636" s="16" t="s">
        <v>3403</v>
      </c>
    </row>
    <row r="3637" spans="1:4">
      <c r="A3637" s="16">
        <v>3710000000</v>
      </c>
      <c r="B3637" s="16">
        <v>0</v>
      </c>
      <c r="C3637" s="16" t="s">
        <v>3402</v>
      </c>
      <c r="D3637" s="16" t="s">
        <v>3403</v>
      </c>
    </row>
    <row r="3638" spans="1:4">
      <c r="A3638" s="16">
        <v>6610000000</v>
      </c>
      <c r="B3638" s="16">
        <v>0</v>
      </c>
      <c r="C3638" s="16" t="s">
        <v>3413</v>
      </c>
      <c r="D3638" s="16" t="s">
        <v>3418</v>
      </c>
    </row>
    <row r="3639" spans="1:4">
      <c r="A3639" s="16">
        <v>4203000000</v>
      </c>
      <c r="B3639" s="16">
        <v>0</v>
      </c>
      <c r="C3639" s="16" t="s">
        <v>3408</v>
      </c>
      <c r="D3639" s="16" t="s">
        <v>3403</v>
      </c>
    </row>
    <row r="3640" spans="1:4">
      <c r="A3640" s="16">
        <v>6700200000</v>
      </c>
      <c r="B3640" s="16">
        <v>0</v>
      </c>
      <c r="C3640" s="16" t="s">
        <v>3404</v>
      </c>
      <c r="D3640" s="16" t="s">
        <v>3409</v>
      </c>
    </row>
    <row r="3641" spans="1:4">
      <c r="A3641" s="16">
        <v>2750010000</v>
      </c>
      <c r="B3641" s="16">
        <v>0</v>
      </c>
      <c r="C3641" s="16" t="s">
        <v>3419</v>
      </c>
      <c r="D3641" s="16" t="s">
        <v>3403</v>
      </c>
    </row>
    <row r="3642" spans="1:4">
      <c r="A3642" s="16">
        <v>4203000000</v>
      </c>
      <c r="B3642" s="16">
        <v>-1695</v>
      </c>
      <c r="C3642" s="16" t="s">
        <v>3408</v>
      </c>
      <c r="D3642" s="16" t="s">
        <v>3403</v>
      </c>
    </row>
    <row r="3643" spans="1:4">
      <c r="A3643" s="16">
        <v>3103000000</v>
      </c>
      <c r="B3643" s="16">
        <v>0</v>
      </c>
      <c r="C3643" s="16" t="s">
        <v>3402</v>
      </c>
      <c r="D3643" s="16" t="s">
        <v>3403</v>
      </c>
    </row>
    <row r="3644" spans="1:4">
      <c r="A3644" s="16">
        <v>6700200000</v>
      </c>
      <c r="B3644" s="16">
        <v>0</v>
      </c>
      <c r="C3644" s="16" t="s">
        <v>3404</v>
      </c>
      <c r="D3644" s="16" t="s">
        <v>3409</v>
      </c>
    </row>
    <row r="3645" spans="1:4">
      <c r="A3645" s="16">
        <v>5010100000</v>
      </c>
      <c r="B3645" s="16">
        <v>-11100</v>
      </c>
      <c r="C3645" s="16" t="s">
        <v>3406</v>
      </c>
      <c r="D3645" s="16" t="s">
        <v>3407</v>
      </c>
    </row>
    <row r="3646" spans="1:4">
      <c r="A3646" s="16">
        <v>5010100010</v>
      </c>
      <c r="B3646" s="16">
        <v>0</v>
      </c>
      <c r="C3646" s="16" t="s">
        <v>3406</v>
      </c>
      <c r="D3646" s="16" t="s">
        <v>3407</v>
      </c>
    </row>
    <row r="3647" spans="1:4">
      <c r="A3647" s="16">
        <v>3103000000</v>
      </c>
      <c r="B3647" s="16">
        <v>0</v>
      </c>
      <c r="C3647" s="16" t="s">
        <v>3402</v>
      </c>
      <c r="D3647" s="16" t="s">
        <v>3403</v>
      </c>
    </row>
    <row r="3648" spans="1:4">
      <c r="A3648" s="16">
        <v>3710000000</v>
      </c>
      <c r="B3648" s="16">
        <v>0</v>
      </c>
      <c r="C3648" s="16" t="s">
        <v>3402</v>
      </c>
      <c r="D3648" s="16" t="s">
        <v>3403</v>
      </c>
    </row>
    <row r="3649" spans="1:4">
      <c r="A3649" s="16">
        <v>4203000000</v>
      </c>
      <c r="B3649" s="16">
        <v>-3804023</v>
      </c>
      <c r="C3649" s="16" t="s">
        <v>3408</v>
      </c>
      <c r="D3649" s="16" t="s">
        <v>3403</v>
      </c>
    </row>
    <row r="3650" spans="1:4">
      <c r="A3650" s="16">
        <v>6700200000</v>
      </c>
      <c r="B3650" s="16">
        <v>0</v>
      </c>
      <c r="C3650" s="16" t="s">
        <v>3404</v>
      </c>
      <c r="D3650" s="16" t="s">
        <v>3409</v>
      </c>
    </row>
    <row r="3651" spans="1:4">
      <c r="A3651" s="16">
        <v>5050000000</v>
      </c>
      <c r="B3651" s="16">
        <v>-39842748</v>
      </c>
      <c r="C3651" s="16" t="s">
        <v>3406</v>
      </c>
      <c r="D3651" s="16" t="s">
        <v>3422</v>
      </c>
    </row>
    <row r="3652" spans="1:4">
      <c r="A3652" s="16">
        <v>3710000000</v>
      </c>
      <c r="B3652" s="16">
        <v>0</v>
      </c>
      <c r="C3652" s="16" t="s">
        <v>3402</v>
      </c>
      <c r="D3652" s="16" t="s">
        <v>3403</v>
      </c>
    </row>
    <row r="3653" spans="1:4">
      <c r="A3653" s="16">
        <v>6700200000</v>
      </c>
      <c r="B3653" s="16">
        <v>0</v>
      </c>
      <c r="C3653" s="16" t="s">
        <v>3404</v>
      </c>
      <c r="D3653" s="16" t="s">
        <v>3409</v>
      </c>
    </row>
    <row r="3654" spans="1:4">
      <c r="A3654" s="16">
        <v>6100000000</v>
      </c>
      <c r="B3654" s="16">
        <v>0</v>
      </c>
      <c r="C3654" s="16" t="s">
        <v>3427</v>
      </c>
      <c r="D3654" s="16" t="s">
        <v>3417</v>
      </c>
    </row>
    <row r="3655" spans="1:4">
      <c r="A3655" s="16">
        <v>5010000000</v>
      </c>
      <c r="B3655" s="16">
        <v>0</v>
      </c>
      <c r="C3655" s="16" t="s">
        <v>3406</v>
      </c>
      <c r="D3655" s="16" t="s">
        <v>3411</v>
      </c>
    </row>
    <row r="3656" spans="1:4">
      <c r="A3656" s="16">
        <v>6100000000</v>
      </c>
      <c r="B3656" s="16">
        <v>64249605</v>
      </c>
      <c r="C3656" s="16" t="s">
        <v>3416</v>
      </c>
      <c r="D3656" s="16" t="s">
        <v>3417</v>
      </c>
    </row>
    <row r="3657" spans="1:4">
      <c r="A3657" s="16">
        <v>2201000000</v>
      </c>
      <c r="B3657" s="16">
        <v>0</v>
      </c>
      <c r="C3657" s="16" t="s">
        <v>3415</v>
      </c>
      <c r="D3657" s="16" t="s">
        <v>3403</v>
      </c>
    </row>
    <row r="3658" spans="1:4">
      <c r="A3658" s="16">
        <v>6700200000</v>
      </c>
      <c r="B3658" s="16">
        <v>0</v>
      </c>
      <c r="C3658" s="16" t="s">
        <v>3404</v>
      </c>
      <c r="D3658" s="16" t="s">
        <v>3409</v>
      </c>
    </row>
    <row r="3659" spans="1:4">
      <c r="A3659" s="16">
        <v>3102000000</v>
      </c>
      <c r="B3659" s="16">
        <v>17524910</v>
      </c>
      <c r="C3659" s="16" t="s">
        <v>3424</v>
      </c>
      <c r="D3659" s="16" t="s">
        <v>3403</v>
      </c>
    </row>
    <row r="3660" spans="1:4">
      <c r="A3660" s="16">
        <v>6102000000</v>
      </c>
      <c r="B3660" s="16">
        <v>-17524910</v>
      </c>
      <c r="C3660" s="16" t="s">
        <v>3425</v>
      </c>
      <c r="D3660" s="16" t="s">
        <v>3426</v>
      </c>
    </row>
    <row r="3661" spans="1:4">
      <c r="A3661" s="16">
        <v>3032000000</v>
      </c>
      <c r="B3661" s="16">
        <v>0</v>
      </c>
      <c r="C3661" s="16" t="s">
        <v>3424</v>
      </c>
      <c r="D3661" s="16" t="s">
        <v>3403</v>
      </c>
    </row>
    <row r="3662" spans="1:4">
      <c r="A3662" s="16">
        <v>6032000000</v>
      </c>
      <c r="B3662" s="16">
        <v>0</v>
      </c>
      <c r="C3662" s="16" t="s">
        <v>3429</v>
      </c>
      <c r="D3662" s="16" t="s">
        <v>3430</v>
      </c>
    </row>
    <row r="3663" spans="1:4">
      <c r="A3663" s="16">
        <v>5050010000</v>
      </c>
      <c r="B3663" s="16">
        <v>0</v>
      </c>
      <c r="C3663" s="16" t="s">
        <v>3406</v>
      </c>
      <c r="D3663" s="16" t="s">
        <v>3422</v>
      </c>
    </row>
    <row r="3664" spans="1:4">
      <c r="A3664" s="16">
        <v>5050000000</v>
      </c>
      <c r="B3664" s="16">
        <v>0</v>
      </c>
      <c r="C3664" s="16" t="s">
        <v>3406</v>
      </c>
      <c r="D3664" s="16" t="s">
        <v>3422</v>
      </c>
    </row>
    <row r="3665" spans="1:4">
      <c r="A3665" s="16">
        <v>6700200000</v>
      </c>
      <c r="B3665" s="16">
        <v>0</v>
      </c>
      <c r="C3665" s="16" t="s">
        <v>3404</v>
      </c>
      <c r="D3665" s="16" t="s">
        <v>3409</v>
      </c>
    </row>
    <row r="3666" spans="1:4">
      <c r="A3666" s="16">
        <v>6700000000</v>
      </c>
      <c r="B3666" s="16">
        <v>0</v>
      </c>
      <c r="C3666" s="16" t="s">
        <v>3404</v>
      </c>
      <c r="D3666" s="16" t="s">
        <v>3405</v>
      </c>
    </row>
    <row r="3667" spans="1:4">
      <c r="A3667" s="16">
        <v>5010000010</v>
      </c>
      <c r="B3667" s="16">
        <v>0</v>
      </c>
      <c r="C3667" s="16" t="s">
        <v>3406</v>
      </c>
      <c r="D3667" s="16" t="s">
        <v>3411</v>
      </c>
    </row>
    <row r="3668" spans="1:4">
      <c r="A3668" s="16">
        <v>3710000000</v>
      </c>
      <c r="B3668" s="16">
        <v>0</v>
      </c>
      <c r="C3668" s="16" t="s">
        <v>3402</v>
      </c>
      <c r="D3668" s="16" t="s">
        <v>3403</v>
      </c>
    </row>
    <row r="3669" spans="1:4">
      <c r="A3669" s="16">
        <v>5050000000</v>
      </c>
      <c r="B3669" s="16">
        <v>0</v>
      </c>
      <c r="C3669" s="16" t="s">
        <v>3406</v>
      </c>
      <c r="D3669" s="16" t="s">
        <v>3422</v>
      </c>
    </row>
    <row r="3670" spans="1:4">
      <c r="A3670" s="16">
        <v>3800000000</v>
      </c>
      <c r="B3670" s="16">
        <v>0</v>
      </c>
      <c r="C3670" s="16" t="s">
        <v>3402</v>
      </c>
      <c r="D3670" s="16" t="s">
        <v>3403</v>
      </c>
    </row>
    <row r="3671" spans="1:4">
      <c r="A3671" s="16">
        <v>5010100010</v>
      </c>
      <c r="B3671" s="16">
        <v>0</v>
      </c>
      <c r="C3671" s="16" t="s">
        <v>3406</v>
      </c>
      <c r="D3671" s="16" t="s">
        <v>3407</v>
      </c>
    </row>
    <row r="3672" spans="1:4">
      <c r="A3672" s="16">
        <v>3710000000</v>
      </c>
      <c r="B3672" s="16">
        <v>0</v>
      </c>
      <c r="C3672" s="16" t="s">
        <v>3402</v>
      </c>
      <c r="D3672" s="16" t="s">
        <v>3403</v>
      </c>
    </row>
    <row r="3673" spans="1:4">
      <c r="A3673" s="16">
        <v>6610000000</v>
      </c>
      <c r="B3673" s="16">
        <v>0</v>
      </c>
      <c r="C3673" s="16" t="s">
        <v>3413</v>
      </c>
      <c r="D3673" s="16" t="s">
        <v>3418</v>
      </c>
    </row>
    <row r="3674" spans="1:4">
      <c r="A3674" s="16">
        <v>4203000000</v>
      </c>
      <c r="B3674" s="16">
        <v>0</v>
      </c>
      <c r="C3674" s="16" t="s">
        <v>3408</v>
      </c>
      <c r="D3674" s="16" t="s">
        <v>3403</v>
      </c>
    </row>
    <row r="3675" spans="1:4">
      <c r="A3675" s="16">
        <v>2201000000</v>
      </c>
      <c r="B3675" s="16">
        <v>1842449</v>
      </c>
      <c r="C3675" s="16" t="s">
        <v>3415</v>
      </c>
      <c r="D3675" s="16" t="s">
        <v>3403</v>
      </c>
    </row>
    <row r="3676" spans="1:4">
      <c r="A3676" s="16">
        <v>6700200000</v>
      </c>
      <c r="B3676" s="16">
        <v>-1842449</v>
      </c>
      <c r="C3676" s="16" t="s">
        <v>3404</v>
      </c>
      <c r="D3676" s="16" t="s">
        <v>3409</v>
      </c>
    </row>
    <row r="3677" spans="1:4">
      <c r="A3677" s="16">
        <v>6700200000</v>
      </c>
      <c r="B3677" s="16">
        <v>0</v>
      </c>
      <c r="C3677" s="16" t="s">
        <v>3404</v>
      </c>
      <c r="D3677" s="16" t="s">
        <v>3409</v>
      </c>
    </row>
    <row r="3678" spans="1:4">
      <c r="A3678" s="16">
        <v>6700000000</v>
      </c>
      <c r="B3678" s="16">
        <v>0</v>
      </c>
      <c r="C3678" s="16" t="s">
        <v>3404</v>
      </c>
      <c r="D3678" s="16" t="s">
        <v>3405</v>
      </c>
    </row>
    <row r="3679" spans="1:4">
      <c r="A3679" s="16">
        <v>6100000020</v>
      </c>
      <c r="B3679" s="16">
        <v>0</v>
      </c>
      <c r="C3679" s="16" t="s">
        <v>3416</v>
      </c>
      <c r="D3679" s="16" t="s">
        <v>3417</v>
      </c>
    </row>
    <row r="3680" spans="1:4">
      <c r="A3680" s="16">
        <v>3810000000</v>
      </c>
      <c r="B3680" s="16">
        <v>0</v>
      </c>
      <c r="C3680" s="16" t="s">
        <v>3402</v>
      </c>
      <c r="D3680" s="16" t="s">
        <v>3403</v>
      </c>
    </row>
    <row r="3681" spans="1:4">
      <c r="A3681" s="16">
        <v>2750010000</v>
      </c>
      <c r="B3681" s="16">
        <v>0</v>
      </c>
      <c r="C3681" s="16" t="s">
        <v>3419</v>
      </c>
      <c r="D3681" s="16" t="s">
        <v>3403</v>
      </c>
    </row>
    <row r="3682" spans="1:4">
      <c r="A3682" s="16">
        <v>6610100100</v>
      </c>
      <c r="B3682" s="16">
        <v>0</v>
      </c>
      <c r="C3682" s="16" t="s">
        <v>3413</v>
      </c>
      <c r="D3682" s="16" t="s">
        <v>3414</v>
      </c>
    </row>
    <row r="3683" spans="1:4">
      <c r="A3683" s="16">
        <v>6104000000</v>
      </c>
      <c r="B3683" s="16">
        <v>0</v>
      </c>
      <c r="C3683" s="16" t="s">
        <v>3416</v>
      </c>
      <c r="D3683" s="16" t="s">
        <v>3417</v>
      </c>
    </row>
    <row r="3684" spans="1:4">
      <c r="A3684" s="16">
        <v>3103000000</v>
      </c>
      <c r="B3684" s="16">
        <v>0</v>
      </c>
      <c r="C3684" s="16" t="s">
        <v>3402</v>
      </c>
      <c r="D3684" s="16" t="s">
        <v>3403</v>
      </c>
    </row>
    <row r="3685" spans="1:4">
      <c r="A3685" s="16">
        <v>6030000000</v>
      </c>
      <c r="B3685" s="16">
        <v>0</v>
      </c>
      <c r="C3685" s="16" t="s">
        <v>3420</v>
      </c>
      <c r="D3685" s="16" t="s">
        <v>3423</v>
      </c>
    </row>
    <row r="3686" spans="1:4">
      <c r="A3686" s="16">
        <v>3030000000</v>
      </c>
      <c r="B3686" s="16">
        <v>0</v>
      </c>
      <c r="C3686" s="16" t="s">
        <v>3402</v>
      </c>
      <c r="D3686" s="16" t="s">
        <v>3403</v>
      </c>
    </row>
    <row r="3687" spans="1:4">
      <c r="A3687" s="16">
        <v>6700200000</v>
      </c>
      <c r="B3687" s="16">
        <v>0</v>
      </c>
      <c r="C3687" s="16" t="s">
        <v>3404</v>
      </c>
      <c r="D3687" s="16" t="s">
        <v>3409</v>
      </c>
    </row>
    <row r="3688" spans="1:4">
      <c r="A3688" s="16">
        <v>6700100000</v>
      </c>
      <c r="B3688" s="16">
        <v>0</v>
      </c>
      <c r="C3688" s="16" t="s">
        <v>3404</v>
      </c>
      <c r="D3688" s="16" t="s">
        <v>3410</v>
      </c>
    </row>
    <row r="3689" spans="1:4">
      <c r="A3689" s="16">
        <v>6700600000</v>
      </c>
      <c r="B3689" s="16">
        <v>0</v>
      </c>
      <c r="C3689" s="16" t="s">
        <v>3404</v>
      </c>
      <c r="D3689" s="16" t="s">
        <v>3409</v>
      </c>
    </row>
    <row r="3690" spans="1:4">
      <c r="A3690" s="16">
        <v>6700400000</v>
      </c>
      <c r="B3690" s="16">
        <v>0</v>
      </c>
      <c r="C3690" s="16" t="s">
        <v>3404</v>
      </c>
      <c r="D3690" s="16" t="s">
        <v>3405</v>
      </c>
    </row>
    <row r="3691" spans="1:4">
      <c r="A3691" s="16">
        <v>5010000010</v>
      </c>
      <c r="B3691" s="16">
        <v>0</v>
      </c>
      <c r="C3691" s="16" t="s">
        <v>3406</v>
      </c>
      <c r="D3691" s="16" t="s">
        <v>3411</v>
      </c>
    </row>
    <row r="3692" spans="1:4">
      <c r="A3692" s="16">
        <v>3710000000</v>
      </c>
      <c r="B3692" s="16">
        <v>0</v>
      </c>
      <c r="C3692" s="16" t="s">
        <v>3402</v>
      </c>
      <c r="D3692" s="16" t="s">
        <v>3403</v>
      </c>
    </row>
    <row r="3693" spans="1:4">
      <c r="A3693" s="16">
        <v>6100000000</v>
      </c>
      <c r="B3693" s="16">
        <v>7127320</v>
      </c>
      <c r="C3693" s="16" t="s">
        <v>3416</v>
      </c>
      <c r="D3693" s="16" t="s">
        <v>3417</v>
      </c>
    </row>
    <row r="3694" spans="1:4">
      <c r="A3694" s="16">
        <v>3100000000</v>
      </c>
      <c r="B3694" s="16">
        <v>-7127320</v>
      </c>
      <c r="C3694" s="16" t="s">
        <v>3402</v>
      </c>
      <c r="D3694" s="16" t="s">
        <v>3403</v>
      </c>
    </row>
    <row r="3695" spans="1:4">
      <c r="A3695" s="16">
        <v>6700200000</v>
      </c>
      <c r="B3695" s="16">
        <v>0</v>
      </c>
      <c r="C3695" s="16" t="s">
        <v>3404</v>
      </c>
      <c r="D3695" s="16" t="s">
        <v>3409</v>
      </c>
    </row>
    <row r="3696" spans="1:4">
      <c r="A3696" s="16">
        <v>6700100000</v>
      </c>
      <c r="B3696" s="16">
        <v>0</v>
      </c>
      <c r="C3696" s="16" t="s">
        <v>3404</v>
      </c>
      <c r="D3696" s="16" t="s">
        <v>3410</v>
      </c>
    </row>
    <row r="3697" spans="1:4">
      <c r="A3697" s="16">
        <v>2500000000</v>
      </c>
      <c r="B3697" s="16">
        <v>0</v>
      </c>
      <c r="C3697" s="16" t="s">
        <v>3412</v>
      </c>
      <c r="D3697" s="16" t="s">
        <v>3403</v>
      </c>
    </row>
    <row r="3698" spans="1:4">
      <c r="A3698" s="16">
        <v>5010100000</v>
      </c>
      <c r="B3698" s="16">
        <v>0</v>
      </c>
      <c r="C3698" s="16" t="s">
        <v>3406</v>
      </c>
      <c r="D3698" s="16" t="s">
        <v>3407</v>
      </c>
    </row>
    <row r="3699" spans="1:4">
      <c r="A3699" s="16">
        <v>6610000000</v>
      </c>
      <c r="B3699" s="16">
        <v>0</v>
      </c>
      <c r="C3699" s="16" t="s">
        <v>3413</v>
      </c>
      <c r="D3699" s="16" t="s">
        <v>3418</v>
      </c>
    </row>
    <row r="3700" spans="1:4">
      <c r="A3700" s="16">
        <v>4203000000</v>
      </c>
      <c r="B3700" s="16">
        <v>0</v>
      </c>
      <c r="C3700" s="16" t="s">
        <v>3408</v>
      </c>
      <c r="D3700" s="16" t="s">
        <v>3403</v>
      </c>
    </row>
    <row r="3701" spans="1:4">
      <c r="A3701" s="16">
        <v>6700200000</v>
      </c>
      <c r="B3701" s="16">
        <v>0</v>
      </c>
      <c r="C3701" s="16" t="s">
        <v>3404</v>
      </c>
      <c r="D3701" s="16" t="s">
        <v>3409</v>
      </c>
    </row>
    <row r="3702" spans="1:4">
      <c r="A3702" s="16">
        <v>6700100000</v>
      </c>
      <c r="B3702" s="16">
        <v>0</v>
      </c>
      <c r="C3702" s="16" t="s">
        <v>3404</v>
      </c>
      <c r="D3702" s="16" t="s">
        <v>3410</v>
      </c>
    </row>
    <row r="3703" spans="1:4">
      <c r="A3703" s="16">
        <v>6610100000</v>
      </c>
      <c r="B3703" s="16">
        <v>0</v>
      </c>
      <c r="C3703" s="16" t="s">
        <v>3413</v>
      </c>
      <c r="D3703" s="16" t="s">
        <v>3414</v>
      </c>
    </row>
    <row r="3704" spans="1:4">
      <c r="A3704" s="16">
        <v>4203000000</v>
      </c>
      <c r="B3704" s="16">
        <v>0</v>
      </c>
      <c r="C3704" s="16" t="s">
        <v>3408</v>
      </c>
      <c r="D3704" s="16" t="s">
        <v>3403</v>
      </c>
    </row>
    <row r="3705" spans="1:4">
      <c r="A3705" s="16">
        <v>5010000010</v>
      </c>
      <c r="B3705" s="16">
        <v>0</v>
      </c>
      <c r="C3705" s="16" t="s">
        <v>3406</v>
      </c>
      <c r="D3705" s="16" t="s">
        <v>3411</v>
      </c>
    </row>
    <row r="3706" spans="1:4">
      <c r="A3706" s="16">
        <v>3710000000</v>
      </c>
      <c r="B3706" s="16">
        <v>0</v>
      </c>
      <c r="C3706" s="16" t="s">
        <v>3402</v>
      </c>
      <c r="D3706" s="16" t="s">
        <v>3403</v>
      </c>
    </row>
    <row r="3707" spans="1:4">
      <c r="A3707" s="16">
        <v>3102000000</v>
      </c>
      <c r="B3707" s="16">
        <v>0</v>
      </c>
      <c r="C3707" s="16" t="s">
        <v>3424</v>
      </c>
      <c r="D3707" s="16" t="s">
        <v>3403</v>
      </c>
    </row>
    <row r="3708" spans="1:4">
      <c r="A3708" s="16">
        <v>6102000000</v>
      </c>
      <c r="B3708" s="16">
        <v>0</v>
      </c>
      <c r="C3708" s="16" t="s">
        <v>3425</v>
      </c>
      <c r="D3708" s="16" t="s">
        <v>3426</v>
      </c>
    </row>
    <row r="3709" spans="1:4">
      <c r="A3709" s="16">
        <v>6700600000</v>
      </c>
      <c r="B3709" s="16">
        <v>0</v>
      </c>
      <c r="C3709" s="16" t="s">
        <v>3404</v>
      </c>
      <c r="D3709" s="16" t="s">
        <v>3409</v>
      </c>
    </row>
    <row r="3710" spans="1:4">
      <c r="A3710" s="16">
        <v>6700400000</v>
      </c>
      <c r="B3710" s="16">
        <v>0</v>
      </c>
      <c r="C3710" s="16" t="s">
        <v>3404</v>
      </c>
      <c r="D3710" s="16" t="s">
        <v>3405</v>
      </c>
    </row>
    <row r="3711" spans="1:4">
      <c r="A3711" s="16">
        <v>6700200000</v>
      </c>
      <c r="B3711" s="16">
        <v>0</v>
      </c>
      <c r="C3711" s="16" t="s">
        <v>3404</v>
      </c>
      <c r="D3711" s="16" t="s">
        <v>3409</v>
      </c>
    </row>
    <row r="3712" spans="1:4">
      <c r="A3712" s="16">
        <v>2201200030</v>
      </c>
      <c r="B3712" s="16">
        <v>0</v>
      </c>
      <c r="C3712" s="16" t="s">
        <v>3415</v>
      </c>
      <c r="D3712" s="16" t="s">
        <v>3403</v>
      </c>
    </row>
    <row r="3713" spans="1:4">
      <c r="A3713" s="16">
        <v>3102000000</v>
      </c>
      <c r="B3713" s="16">
        <v>0</v>
      </c>
      <c r="C3713" s="16" t="s">
        <v>3424</v>
      </c>
      <c r="D3713" s="16" t="s">
        <v>3403</v>
      </c>
    </row>
    <row r="3714" spans="1:4">
      <c r="A3714" s="16">
        <v>6102000000</v>
      </c>
      <c r="B3714" s="16">
        <v>0</v>
      </c>
      <c r="C3714" s="16" t="s">
        <v>3425</v>
      </c>
      <c r="D3714" s="16" t="s">
        <v>3426</v>
      </c>
    </row>
    <row r="3715" spans="1:4">
      <c r="A3715" s="16">
        <v>6100000000</v>
      </c>
      <c r="B3715" s="16">
        <v>0</v>
      </c>
      <c r="C3715" s="16" t="s">
        <v>3416</v>
      </c>
      <c r="D3715" s="16" t="s">
        <v>3417</v>
      </c>
    </row>
    <row r="3716" spans="1:4">
      <c r="A3716" s="16">
        <v>3100000000</v>
      </c>
      <c r="B3716" s="16">
        <v>0</v>
      </c>
      <c r="C3716" s="16" t="s">
        <v>3402</v>
      </c>
      <c r="D3716" s="16" t="s">
        <v>3403</v>
      </c>
    </row>
    <row r="3717" spans="1:4">
      <c r="A3717" s="16">
        <v>6700700000</v>
      </c>
      <c r="B3717" s="16">
        <v>0</v>
      </c>
      <c r="C3717" s="16" t="s">
        <v>3404</v>
      </c>
      <c r="D3717" s="16" t="s">
        <v>3409</v>
      </c>
    </row>
    <row r="3718" spans="1:4">
      <c r="A3718" s="16">
        <v>6700500000</v>
      </c>
      <c r="B3718" s="16">
        <v>0</v>
      </c>
      <c r="C3718" s="16" t="s">
        <v>3404</v>
      </c>
      <c r="D3718" s="16" t="s">
        <v>3405</v>
      </c>
    </row>
    <row r="3719" spans="1:4">
      <c r="A3719" s="16">
        <v>2750010000</v>
      </c>
      <c r="B3719" s="16">
        <v>0</v>
      </c>
      <c r="C3719" s="16" t="s">
        <v>3419</v>
      </c>
      <c r="D3719" s="16" t="s">
        <v>3403</v>
      </c>
    </row>
    <row r="3720" spans="1:4">
      <c r="A3720" s="16">
        <v>6610100100</v>
      </c>
      <c r="B3720" s="16">
        <v>0</v>
      </c>
      <c r="C3720" s="16" t="s">
        <v>3413</v>
      </c>
      <c r="D3720" s="16" t="s">
        <v>3414</v>
      </c>
    </row>
    <row r="3721" spans="1:4">
      <c r="A3721" s="16">
        <v>6700600000</v>
      </c>
      <c r="B3721" s="16">
        <v>0</v>
      </c>
      <c r="C3721" s="16" t="s">
        <v>3404</v>
      </c>
      <c r="D3721" s="16" t="s">
        <v>3409</v>
      </c>
    </row>
    <row r="3722" spans="1:4">
      <c r="A3722" s="16">
        <v>6700400000</v>
      </c>
      <c r="B3722" s="16">
        <v>0</v>
      </c>
      <c r="C3722" s="16" t="s">
        <v>3404</v>
      </c>
      <c r="D3722" s="16" t="s">
        <v>3405</v>
      </c>
    </row>
    <row r="3723" spans="1:4">
      <c r="A3723" s="16">
        <v>6030000000</v>
      </c>
      <c r="B3723" s="16">
        <v>2081608</v>
      </c>
      <c r="C3723" s="16" t="s">
        <v>3420</v>
      </c>
      <c r="D3723" s="16" t="s">
        <v>3423</v>
      </c>
    </row>
    <row r="3724" spans="1:4">
      <c r="A3724" s="16">
        <v>3030000000</v>
      </c>
      <c r="B3724" s="16">
        <v>-2081608</v>
      </c>
      <c r="C3724" s="16" t="s">
        <v>3402</v>
      </c>
      <c r="D3724" s="16" t="s">
        <v>3403</v>
      </c>
    </row>
    <row r="3725" spans="1:4">
      <c r="A3725" s="16">
        <v>3032000000</v>
      </c>
      <c r="B3725" s="16">
        <v>1</v>
      </c>
      <c r="C3725" s="16" t="s">
        <v>3424</v>
      </c>
      <c r="D3725" s="16" t="s">
        <v>3403</v>
      </c>
    </row>
    <row r="3726" spans="1:4">
      <c r="A3726" s="16">
        <v>6032000000</v>
      </c>
      <c r="B3726" s="16">
        <v>-1</v>
      </c>
      <c r="C3726" s="16" t="s">
        <v>3429</v>
      </c>
      <c r="D3726" s="16" t="s">
        <v>3430</v>
      </c>
    </row>
    <row r="3727" spans="1:4">
      <c r="A3727" s="16">
        <v>2500000000</v>
      </c>
      <c r="B3727" s="16">
        <v>0</v>
      </c>
      <c r="C3727" s="16" t="s">
        <v>3412</v>
      </c>
      <c r="D3727" s="16" t="s">
        <v>3403</v>
      </c>
    </row>
    <row r="3728" spans="1:4">
      <c r="A3728" s="16">
        <v>5010100000</v>
      </c>
      <c r="B3728" s="16">
        <v>0</v>
      </c>
      <c r="C3728" s="16" t="s">
        <v>3406</v>
      </c>
      <c r="D3728" s="16" t="s">
        <v>3407</v>
      </c>
    </row>
    <row r="3729" spans="1:4">
      <c r="A3729" s="16">
        <v>6100000000</v>
      </c>
      <c r="B3729" s="16">
        <v>0</v>
      </c>
      <c r="C3729" s="16" t="s">
        <v>3416</v>
      </c>
      <c r="D3729" s="16" t="s">
        <v>3417</v>
      </c>
    </row>
    <row r="3730" spans="1:4">
      <c r="A3730" s="16">
        <v>3100000000</v>
      </c>
      <c r="B3730" s="16">
        <v>0</v>
      </c>
      <c r="C3730" s="16" t="s">
        <v>3402</v>
      </c>
      <c r="D3730" s="16" t="s">
        <v>3403</v>
      </c>
    </row>
    <row r="3731" spans="1:4">
      <c r="A3731" s="16">
        <v>6700200000</v>
      </c>
      <c r="B3731" s="16">
        <v>9686680</v>
      </c>
      <c r="C3731" s="16" t="s">
        <v>3404</v>
      </c>
      <c r="D3731" s="16" t="s">
        <v>3409</v>
      </c>
    </row>
    <row r="3732" spans="1:4">
      <c r="A3732" s="16">
        <v>2201200030</v>
      </c>
      <c r="B3732" s="16">
        <v>-9686680</v>
      </c>
      <c r="C3732" s="16" t="s">
        <v>3415</v>
      </c>
      <c r="D3732" s="16" t="s">
        <v>3403</v>
      </c>
    </row>
    <row r="3733" spans="1:4">
      <c r="A3733" s="16">
        <v>6700700000</v>
      </c>
      <c r="B3733" s="16">
        <v>0</v>
      </c>
      <c r="C3733" s="16" t="s">
        <v>3404</v>
      </c>
      <c r="D3733" s="16" t="s">
        <v>3409</v>
      </c>
    </row>
    <row r="3734" spans="1:4">
      <c r="A3734" s="16">
        <v>6700500000</v>
      </c>
      <c r="B3734" s="16">
        <v>0</v>
      </c>
      <c r="C3734" s="16" t="s">
        <v>3404</v>
      </c>
      <c r="D3734" s="16" t="s">
        <v>3405</v>
      </c>
    </row>
    <row r="3735" spans="1:4">
      <c r="A3735" s="16">
        <v>6100000000</v>
      </c>
      <c r="B3735" s="16">
        <v>0</v>
      </c>
      <c r="C3735" s="16" t="s">
        <v>3416</v>
      </c>
      <c r="D3735" s="16" t="s">
        <v>3417</v>
      </c>
    </row>
    <row r="3736" spans="1:4">
      <c r="A3736" s="16">
        <v>3100000000</v>
      </c>
      <c r="B3736" s="16">
        <v>0</v>
      </c>
      <c r="C3736" s="16" t="s">
        <v>3402</v>
      </c>
      <c r="D3736" s="16" t="s">
        <v>3403</v>
      </c>
    </row>
    <row r="3737" spans="1:4">
      <c r="A3737" s="16">
        <v>3032000000</v>
      </c>
      <c r="B3737" s="16">
        <v>0</v>
      </c>
      <c r="C3737" s="16" t="s">
        <v>3424</v>
      </c>
      <c r="D3737" s="16" t="s">
        <v>3403</v>
      </c>
    </row>
    <row r="3738" spans="1:4">
      <c r="A3738" s="16">
        <v>6032000000</v>
      </c>
      <c r="B3738" s="16">
        <v>0</v>
      </c>
      <c r="C3738" s="16" t="s">
        <v>3429</v>
      </c>
      <c r="D3738" s="16" t="s">
        <v>3430</v>
      </c>
    </row>
    <row r="3739" spans="1:4">
      <c r="A3739" s="16">
        <v>5050010000</v>
      </c>
      <c r="B3739" s="16">
        <v>176</v>
      </c>
      <c r="C3739" s="16" t="s">
        <v>3406</v>
      </c>
      <c r="D3739" s="16" t="s">
        <v>3422</v>
      </c>
    </row>
    <row r="3740" spans="1:4">
      <c r="A3740" s="16">
        <v>5050000000</v>
      </c>
      <c r="B3740" s="16">
        <v>-176</v>
      </c>
      <c r="C3740" s="16" t="s">
        <v>3406</v>
      </c>
      <c r="D3740" s="16" t="s">
        <v>3422</v>
      </c>
    </row>
    <row r="3741" spans="1:4">
      <c r="A3741" s="16">
        <v>6700600000</v>
      </c>
      <c r="B3741" s="16">
        <v>0</v>
      </c>
      <c r="C3741" s="16" t="s">
        <v>3404</v>
      </c>
      <c r="D3741" s="16" t="s">
        <v>3409</v>
      </c>
    </row>
    <row r="3742" spans="1:4">
      <c r="A3742" s="16">
        <v>6700400000</v>
      </c>
      <c r="B3742" s="16">
        <v>0</v>
      </c>
      <c r="C3742" s="16" t="s">
        <v>3404</v>
      </c>
      <c r="D3742" s="16" t="s">
        <v>3405</v>
      </c>
    </row>
    <row r="3743" spans="1:4">
      <c r="A3743" s="16">
        <v>6610100000</v>
      </c>
      <c r="B3743" s="16">
        <v>0</v>
      </c>
      <c r="C3743" s="16" t="s">
        <v>3413</v>
      </c>
      <c r="D3743" s="16" t="s">
        <v>3414</v>
      </c>
    </row>
    <row r="3744" spans="1:4">
      <c r="A3744" s="16">
        <v>4203000000</v>
      </c>
      <c r="B3744" s="16">
        <v>0</v>
      </c>
      <c r="C3744" s="16" t="s">
        <v>3408</v>
      </c>
      <c r="D3744" s="16" t="s">
        <v>3403</v>
      </c>
    </row>
    <row r="3745" spans="1:4">
      <c r="A3745" s="16">
        <v>3102000000</v>
      </c>
      <c r="B3745" s="16">
        <v>0</v>
      </c>
      <c r="C3745" s="16" t="s">
        <v>3424</v>
      </c>
      <c r="D3745" s="16" t="s">
        <v>3403</v>
      </c>
    </row>
    <row r="3746" spans="1:4">
      <c r="A3746" s="16">
        <v>6102000000</v>
      </c>
      <c r="B3746" s="16">
        <v>0</v>
      </c>
      <c r="C3746" s="16" t="s">
        <v>3425</v>
      </c>
      <c r="D3746" s="16" t="s">
        <v>3426</v>
      </c>
    </row>
    <row r="3747" spans="1:4">
      <c r="A3747" s="16">
        <v>6030000000</v>
      </c>
      <c r="B3747" s="16">
        <v>0</v>
      </c>
      <c r="C3747" s="16" t="s">
        <v>3420</v>
      </c>
      <c r="D3747" s="16" t="s">
        <v>3423</v>
      </c>
    </row>
    <row r="3748" spans="1:4">
      <c r="A3748" s="16">
        <v>3030000000</v>
      </c>
      <c r="B3748" s="16">
        <v>0</v>
      </c>
      <c r="C3748" s="16" t="s">
        <v>3402</v>
      </c>
      <c r="D3748" s="16" t="s">
        <v>3403</v>
      </c>
    </row>
    <row r="3749" spans="1:4">
      <c r="A3749" s="16">
        <v>3032000000</v>
      </c>
      <c r="B3749" s="16">
        <v>0</v>
      </c>
      <c r="C3749" s="16" t="s">
        <v>3424</v>
      </c>
      <c r="D3749" s="16" t="s">
        <v>3403</v>
      </c>
    </row>
    <row r="3750" spans="1:4">
      <c r="A3750" s="16">
        <v>6032000000</v>
      </c>
      <c r="B3750" s="16">
        <v>0</v>
      </c>
      <c r="C3750" s="16" t="s">
        <v>3429</v>
      </c>
      <c r="D3750" s="16" t="s">
        <v>3430</v>
      </c>
    </row>
    <row r="3751" spans="1:4">
      <c r="A3751" s="16">
        <v>6610000000</v>
      </c>
      <c r="B3751" s="16">
        <v>0</v>
      </c>
      <c r="C3751" s="16" t="s">
        <v>3413</v>
      </c>
      <c r="D3751" s="16" t="s">
        <v>3418</v>
      </c>
    </row>
    <row r="3752" spans="1:4">
      <c r="A3752" s="16">
        <v>4203000000</v>
      </c>
      <c r="B3752" s="16">
        <v>0</v>
      </c>
      <c r="C3752" s="16" t="s">
        <v>3408</v>
      </c>
      <c r="D3752" s="16" t="s">
        <v>3403</v>
      </c>
    </row>
    <row r="3753" spans="1:4">
      <c r="A3753" s="16">
        <v>6610100000</v>
      </c>
      <c r="B3753" s="16">
        <v>0</v>
      </c>
      <c r="C3753" s="16" t="s">
        <v>3413</v>
      </c>
      <c r="D3753" s="16" t="s">
        <v>3414</v>
      </c>
    </row>
    <row r="3754" spans="1:4">
      <c r="A3754" s="16">
        <v>4203000000</v>
      </c>
      <c r="B3754" s="16">
        <v>0</v>
      </c>
      <c r="C3754" s="16" t="s">
        <v>3408</v>
      </c>
      <c r="D3754" s="16" t="s">
        <v>3403</v>
      </c>
    </row>
    <row r="3755" spans="1:4">
      <c r="A3755" s="16">
        <v>6700700000</v>
      </c>
      <c r="B3755" s="16">
        <v>0</v>
      </c>
      <c r="C3755" s="16" t="s">
        <v>3404</v>
      </c>
      <c r="D3755" s="16" t="s">
        <v>3409</v>
      </c>
    </row>
    <row r="3756" spans="1:4">
      <c r="A3756" s="16">
        <v>6700500000</v>
      </c>
      <c r="B3756" s="16">
        <v>0</v>
      </c>
      <c r="C3756" s="16" t="s">
        <v>3404</v>
      </c>
      <c r="D3756" s="16" t="s">
        <v>3405</v>
      </c>
    </row>
    <row r="3757" spans="1:4">
      <c r="A3757" s="16">
        <v>2750010000</v>
      </c>
      <c r="B3757" s="16">
        <v>0</v>
      </c>
      <c r="C3757" s="16" t="s">
        <v>3419</v>
      </c>
      <c r="D3757" s="16" t="s">
        <v>3403</v>
      </c>
    </row>
    <row r="3758" spans="1:4">
      <c r="A3758" s="16">
        <v>6610000100</v>
      </c>
      <c r="B3758" s="16">
        <v>0</v>
      </c>
      <c r="C3758" s="16" t="s">
        <v>3413</v>
      </c>
      <c r="D3758" s="16" t="s">
        <v>3418</v>
      </c>
    </row>
    <row r="3759" spans="1:4">
      <c r="A3759" s="16">
        <v>6104000000</v>
      </c>
      <c r="B3759" s="16">
        <v>0</v>
      </c>
      <c r="C3759" s="16" t="s">
        <v>3416</v>
      </c>
      <c r="D3759" s="16" t="s">
        <v>3417</v>
      </c>
    </row>
    <row r="3760" spans="1:4">
      <c r="A3760" s="16">
        <v>3103000000</v>
      </c>
      <c r="B3760" s="16">
        <v>0</v>
      </c>
      <c r="C3760" s="16" t="s">
        <v>3402</v>
      </c>
      <c r="D3760" s="16" t="s">
        <v>3403</v>
      </c>
    </row>
    <row r="3761" spans="1:4">
      <c r="A3761" s="16">
        <v>6610100000</v>
      </c>
      <c r="B3761" s="16">
        <v>0</v>
      </c>
      <c r="C3761" s="16" t="s">
        <v>3413</v>
      </c>
      <c r="D3761" s="16" t="s">
        <v>3414</v>
      </c>
    </row>
    <row r="3762" spans="1:4">
      <c r="A3762" s="16">
        <v>4203000000</v>
      </c>
      <c r="B3762" s="16">
        <v>0</v>
      </c>
      <c r="C3762" s="16" t="s">
        <v>3408</v>
      </c>
      <c r="D3762" s="16" t="s">
        <v>3403</v>
      </c>
    </row>
    <row r="3763" spans="1:4">
      <c r="A3763" s="16">
        <v>3032000000</v>
      </c>
      <c r="B3763" s="16">
        <v>0</v>
      </c>
      <c r="C3763" s="16" t="s">
        <v>3424</v>
      </c>
      <c r="D3763" s="16" t="s">
        <v>3403</v>
      </c>
    </row>
    <row r="3764" spans="1:4">
      <c r="A3764" s="16">
        <v>6032000000</v>
      </c>
      <c r="B3764" s="16">
        <v>0</v>
      </c>
      <c r="C3764" s="16" t="s">
        <v>3429</v>
      </c>
      <c r="D3764" s="16" t="s">
        <v>3430</v>
      </c>
    </row>
    <row r="3765" spans="1:4">
      <c r="A3765" s="16">
        <v>6060010000</v>
      </c>
      <c r="B3765" s="16">
        <v>1766626</v>
      </c>
      <c r="C3765" s="16" t="s">
        <v>3420</v>
      </c>
      <c r="D3765" s="16" t="s">
        <v>3421</v>
      </c>
    </row>
    <row r="3766" spans="1:4">
      <c r="A3766" s="16">
        <v>5052000000</v>
      </c>
      <c r="B3766" s="16">
        <v>-1766626</v>
      </c>
      <c r="C3766" s="16" t="s">
        <v>3406</v>
      </c>
      <c r="D3766" s="16" t="s">
        <v>3422</v>
      </c>
    </row>
    <row r="3767" spans="1:4">
      <c r="A3767" s="16">
        <v>6030000000</v>
      </c>
      <c r="B3767" s="16">
        <v>0</v>
      </c>
      <c r="C3767" s="16" t="s">
        <v>3420</v>
      </c>
      <c r="D3767" s="16" t="s">
        <v>3423</v>
      </c>
    </row>
    <row r="3768" spans="1:4">
      <c r="A3768" s="16">
        <v>3030000000</v>
      </c>
      <c r="B3768" s="16">
        <v>0</v>
      </c>
      <c r="C3768" s="16" t="s">
        <v>3402</v>
      </c>
      <c r="D3768" s="16" t="s">
        <v>3403</v>
      </c>
    </row>
    <row r="3769" spans="1:4">
      <c r="A3769" s="16">
        <v>2750010000</v>
      </c>
      <c r="B3769" s="16">
        <v>123</v>
      </c>
      <c r="C3769" s="16" t="s">
        <v>3419</v>
      </c>
      <c r="D3769" s="16" t="s">
        <v>3403</v>
      </c>
    </row>
    <row r="3770" spans="1:4">
      <c r="A3770" s="16">
        <v>6610100100</v>
      </c>
      <c r="B3770" s="16">
        <v>-123</v>
      </c>
      <c r="C3770" s="16" t="s">
        <v>3413</v>
      </c>
      <c r="D3770" s="16" t="s">
        <v>3414</v>
      </c>
    </row>
    <row r="3771" spans="1:4">
      <c r="A3771" s="16">
        <v>2500000000</v>
      </c>
      <c r="B3771" s="16">
        <v>0</v>
      </c>
      <c r="C3771" s="16" t="s">
        <v>3412</v>
      </c>
      <c r="D3771" s="16" t="s">
        <v>3403</v>
      </c>
    </row>
    <row r="3772" spans="1:4">
      <c r="A3772" s="16">
        <v>5010100000</v>
      </c>
      <c r="B3772" s="16">
        <v>0</v>
      </c>
      <c r="C3772" s="16" t="s">
        <v>3406</v>
      </c>
      <c r="D3772" s="16" t="s">
        <v>3407</v>
      </c>
    </row>
    <row r="3773" spans="1:4">
      <c r="A3773" s="16">
        <v>6100000020</v>
      </c>
      <c r="B3773" s="16">
        <v>0</v>
      </c>
      <c r="C3773" s="16" t="s">
        <v>3416</v>
      </c>
      <c r="D3773" s="16" t="s">
        <v>3417</v>
      </c>
    </row>
    <row r="3774" spans="1:4">
      <c r="A3774" s="16">
        <v>3810000000</v>
      </c>
      <c r="B3774" s="16">
        <v>0</v>
      </c>
      <c r="C3774" s="16" t="s">
        <v>3402</v>
      </c>
      <c r="D3774" s="16" t="s">
        <v>3403</v>
      </c>
    </row>
    <row r="3775" spans="1:4">
      <c r="A3775" s="16">
        <v>6700700000</v>
      </c>
      <c r="B3775" s="16">
        <v>0</v>
      </c>
      <c r="C3775" s="16" t="s">
        <v>3404</v>
      </c>
      <c r="D3775" s="16" t="s">
        <v>3409</v>
      </c>
    </row>
    <row r="3776" spans="1:4">
      <c r="A3776" s="16">
        <v>6700500000</v>
      </c>
      <c r="B3776" s="16">
        <v>0</v>
      </c>
      <c r="C3776" s="16" t="s">
        <v>3404</v>
      </c>
      <c r="D3776" s="16" t="s">
        <v>3405</v>
      </c>
    </row>
    <row r="3777" spans="1:4">
      <c r="A3777" s="16">
        <v>2201000030</v>
      </c>
      <c r="B3777" s="16">
        <v>0</v>
      </c>
      <c r="C3777" s="16" t="s">
        <v>3415</v>
      </c>
      <c r="D3777" s="16" t="s">
        <v>3403</v>
      </c>
    </row>
    <row r="3778" spans="1:4">
      <c r="A3778" s="16">
        <v>6700200000</v>
      </c>
      <c r="B3778" s="16">
        <v>0</v>
      </c>
      <c r="C3778" s="16" t="s">
        <v>3404</v>
      </c>
      <c r="D3778" s="16" t="s">
        <v>3409</v>
      </c>
    </row>
    <row r="3779" spans="1:4">
      <c r="A3779" s="16">
        <v>6104000000</v>
      </c>
      <c r="B3779" s="16">
        <v>0</v>
      </c>
      <c r="C3779" s="16" t="s">
        <v>3416</v>
      </c>
      <c r="D3779" s="16" t="s">
        <v>3417</v>
      </c>
    </row>
    <row r="3780" spans="1:4">
      <c r="A3780" s="16">
        <v>3103000000</v>
      </c>
      <c r="B3780" s="16">
        <v>0</v>
      </c>
      <c r="C3780" s="16" t="s">
        <v>3402</v>
      </c>
      <c r="D3780" s="16" t="s">
        <v>3403</v>
      </c>
    </row>
    <row r="3781" spans="1:4">
      <c r="A3781" s="16">
        <v>6610100000</v>
      </c>
      <c r="B3781" s="16">
        <v>0</v>
      </c>
      <c r="C3781" s="16" t="s">
        <v>3413</v>
      </c>
      <c r="D3781" s="16" t="s">
        <v>3414</v>
      </c>
    </row>
    <row r="3782" spans="1:4">
      <c r="A3782" s="16">
        <v>4203000000</v>
      </c>
      <c r="B3782" s="16">
        <v>0</v>
      </c>
      <c r="C3782" s="16" t="s">
        <v>3408</v>
      </c>
      <c r="D3782" s="16" t="s">
        <v>3403</v>
      </c>
    </row>
    <row r="3783" spans="1:4">
      <c r="A3783" s="16">
        <v>6610000000</v>
      </c>
      <c r="B3783" s="16">
        <v>0</v>
      </c>
      <c r="C3783" s="16" t="s">
        <v>3413</v>
      </c>
      <c r="D3783" s="16" t="s">
        <v>3418</v>
      </c>
    </row>
    <row r="3784" spans="1:4">
      <c r="A3784" s="16">
        <v>4203000000</v>
      </c>
      <c r="B3784" s="16">
        <v>0</v>
      </c>
      <c r="C3784" s="16" t="s">
        <v>3408</v>
      </c>
      <c r="D3784" s="16" t="s">
        <v>3403</v>
      </c>
    </row>
    <row r="3785" spans="1:4">
      <c r="A3785" s="16">
        <v>6700600000</v>
      </c>
      <c r="B3785" s="16">
        <v>0</v>
      </c>
      <c r="C3785" s="16" t="s">
        <v>3404</v>
      </c>
      <c r="D3785" s="16" t="s">
        <v>3409</v>
      </c>
    </row>
    <row r="3786" spans="1:4">
      <c r="A3786" s="16">
        <v>6700400000</v>
      </c>
      <c r="B3786" s="16">
        <v>0</v>
      </c>
      <c r="C3786" s="16" t="s">
        <v>3404</v>
      </c>
      <c r="D3786" s="16" t="s">
        <v>3405</v>
      </c>
    </row>
    <row r="3787" spans="1:4">
      <c r="A3787" s="16">
        <v>6700200000</v>
      </c>
      <c r="B3787" s="16">
        <v>0</v>
      </c>
      <c r="C3787" s="16" t="s">
        <v>3404</v>
      </c>
      <c r="D3787" s="16" t="s">
        <v>3409</v>
      </c>
    </row>
    <row r="3788" spans="1:4">
      <c r="A3788" s="16">
        <v>6700000000</v>
      </c>
      <c r="B3788" s="16">
        <v>0</v>
      </c>
      <c r="C3788" s="16" t="s">
        <v>3404</v>
      </c>
      <c r="D3788" s="16" t="s">
        <v>3405</v>
      </c>
    </row>
    <row r="3789" spans="1:4">
      <c r="A3789" s="16">
        <v>2201000000</v>
      </c>
      <c r="B3789" s="16">
        <v>0</v>
      </c>
      <c r="C3789" s="16" t="s">
        <v>3415</v>
      </c>
      <c r="D3789" s="16" t="s">
        <v>3403</v>
      </c>
    </row>
    <row r="3790" spans="1:4">
      <c r="A3790" s="16">
        <v>6700200000</v>
      </c>
      <c r="B3790" s="16">
        <v>0</v>
      </c>
      <c r="C3790" s="16" t="s">
        <v>3404</v>
      </c>
      <c r="D3790" s="16" t="s">
        <v>3409</v>
      </c>
    </row>
    <row r="3791" spans="1:4">
      <c r="A3791" s="16">
        <v>6700200000</v>
      </c>
      <c r="B3791" s="16">
        <v>0</v>
      </c>
      <c r="C3791" s="16" t="s">
        <v>3404</v>
      </c>
      <c r="D3791" s="16" t="s">
        <v>3409</v>
      </c>
    </row>
    <row r="3792" spans="1:4">
      <c r="A3792" s="16">
        <v>6700000000</v>
      </c>
      <c r="B3792" s="16">
        <v>0</v>
      </c>
      <c r="C3792" s="16" t="s">
        <v>3404</v>
      </c>
      <c r="D3792" s="16" t="s">
        <v>3405</v>
      </c>
    </row>
    <row r="3793" spans="1:4">
      <c r="A3793" s="16">
        <v>6610000000</v>
      </c>
      <c r="B3793" s="16">
        <v>58162</v>
      </c>
      <c r="C3793" s="16" t="s">
        <v>3413</v>
      </c>
      <c r="D3793" s="16" t="s">
        <v>3418</v>
      </c>
    </row>
    <row r="3794" spans="1:4">
      <c r="A3794" s="16">
        <v>4203000000</v>
      </c>
      <c r="B3794" s="16">
        <v>-58162</v>
      </c>
      <c r="C3794" s="16" t="s">
        <v>3408</v>
      </c>
      <c r="D3794" s="16" t="s">
        <v>3403</v>
      </c>
    </row>
    <row r="3795" spans="1:4">
      <c r="A3795" s="16">
        <v>3102000000</v>
      </c>
      <c r="B3795" s="16">
        <v>0</v>
      </c>
      <c r="C3795" s="16" t="s">
        <v>3424</v>
      </c>
      <c r="D3795" s="16" t="s">
        <v>3403</v>
      </c>
    </row>
    <row r="3796" spans="1:4">
      <c r="A3796" s="16">
        <v>6102000000</v>
      </c>
      <c r="B3796" s="16">
        <v>0</v>
      </c>
      <c r="C3796" s="16" t="s">
        <v>3425</v>
      </c>
      <c r="D3796" s="16" t="s">
        <v>3426</v>
      </c>
    </row>
    <row r="3797" spans="1:4">
      <c r="A3797" s="16">
        <v>6700700000</v>
      </c>
      <c r="B3797" s="16">
        <v>0</v>
      </c>
      <c r="C3797" s="16" t="s">
        <v>3404</v>
      </c>
      <c r="D3797" s="16" t="s">
        <v>3409</v>
      </c>
    </row>
    <row r="3798" spans="1:4">
      <c r="A3798" s="16">
        <v>6700500000</v>
      </c>
      <c r="B3798" s="16">
        <v>0</v>
      </c>
      <c r="C3798" s="16" t="s">
        <v>3404</v>
      </c>
      <c r="D3798" s="16" t="s">
        <v>3405</v>
      </c>
    </row>
    <row r="3799" spans="1:4">
      <c r="A3799" s="16">
        <v>2500000000</v>
      </c>
      <c r="B3799" s="16">
        <v>0</v>
      </c>
      <c r="C3799" s="16" t="s">
        <v>3412</v>
      </c>
      <c r="D3799" s="16" t="s">
        <v>3403</v>
      </c>
    </row>
    <row r="3800" spans="1:4">
      <c r="A3800" s="16">
        <v>5010000000</v>
      </c>
      <c r="B3800" s="16">
        <v>0</v>
      </c>
      <c r="C3800" s="16" t="s">
        <v>3406</v>
      </c>
      <c r="D3800" s="16" t="s">
        <v>3411</v>
      </c>
    </row>
    <row r="3801" spans="1:4">
      <c r="A3801" s="16">
        <v>6030000000</v>
      </c>
      <c r="B3801" s="16">
        <v>5569</v>
      </c>
      <c r="C3801" s="16" t="s">
        <v>3420</v>
      </c>
      <c r="D3801" s="16" t="s">
        <v>3423</v>
      </c>
    </row>
    <row r="3802" spans="1:4">
      <c r="A3802" s="16">
        <v>3030000000</v>
      </c>
      <c r="B3802" s="16">
        <v>-5569</v>
      </c>
      <c r="C3802" s="16" t="s">
        <v>3402</v>
      </c>
      <c r="D3802" s="16" t="s">
        <v>3403</v>
      </c>
    </row>
    <row r="3803" spans="1:4">
      <c r="A3803" s="16">
        <v>3102000000</v>
      </c>
      <c r="B3803" s="16">
        <v>0</v>
      </c>
      <c r="C3803" s="16" t="s">
        <v>3424</v>
      </c>
      <c r="D3803" s="16" t="s">
        <v>3403</v>
      </c>
    </row>
    <row r="3804" spans="1:4">
      <c r="A3804" s="16">
        <v>6102000000</v>
      </c>
      <c r="B3804" s="16">
        <v>0</v>
      </c>
      <c r="C3804" s="16" t="s">
        <v>3425</v>
      </c>
      <c r="D3804" s="16" t="s">
        <v>3426</v>
      </c>
    </row>
    <row r="3805" spans="1:4">
      <c r="A3805" s="16">
        <v>6030000000</v>
      </c>
      <c r="B3805" s="16">
        <v>0</v>
      </c>
      <c r="C3805" s="16" t="s">
        <v>3420</v>
      </c>
      <c r="D3805" s="16" t="s">
        <v>3423</v>
      </c>
    </row>
    <row r="3806" spans="1:4">
      <c r="A3806" s="16">
        <v>3030000000</v>
      </c>
      <c r="B3806" s="16">
        <v>0</v>
      </c>
      <c r="C3806" s="16" t="s">
        <v>3402</v>
      </c>
      <c r="D3806" s="16" t="s">
        <v>3403</v>
      </c>
    </row>
    <row r="3807" spans="1:4">
      <c r="A3807" s="16">
        <v>3032000000</v>
      </c>
      <c r="B3807" s="16">
        <v>0</v>
      </c>
      <c r="C3807" s="16" t="s">
        <v>3424</v>
      </c>
      <c r="D3807" s="16" t="s">
        <v>3403</v>
      </c>
    </row>
    <row r="3808" spans="1:4">
      <c r="A3808" s="16">
        <v>6032000000</v>
      </c>
      <c r="B3808" s="16">
        <v>0</v>
      </c>
      <c r="C3808" s="16" t="s">
        <v>3429</v>
      </c>
      <c r="D3808" s="16" t="s">
        <v>3430</v>
      </c>
    </row>
    <row r="3809" spans="1:4">
      <c r="A3809" s="16">
        <v>5010100010</v>
      </c>
      <c r="B3809" s="16">
        <v>0</v>
      </c>
      <c r="C3809" s="16" t="s">
        <v>3406</v>
      </c>
      <c r="D3809" s="16" t="s">
        <v>3407</v>
      </c>
    </row>
    <row r="3810" spans="1:4">
      <c r="A3810" s="16">
        <v>3710000000</v>
      </c>
      <c r="B3810" s="16">
        <v>0</v>
      </c>
      <c r="C3810" s="16" t="s">
        <v>3402</v>
      </c>
      <c r="D3810" s="16" t="s">
        <v>3403</v>
      </c>
    </row>
    <row r="3811" spans="1:4">
      <c r="A3811" s="16">
        <v>5010000010</v>
      </c>
      <c r="B3811" s="16">
        <v>0</v>
      </c>
      <c r="C3811" s="16" t="s">
        <v>3406</v>
      </c>
      <c r="D3811" s="16" t="s">
        <v>3411</v>
      </c>
    </row>
    <row r="3812" spans="1:4">
      <c r="A3812" s="16">
        <v>3710000000</v>
      </c>
      <c r="B3812" s="16">
        <v>0</v>
      </c>
      <c r="C3812" s="16" t="s">
        <v>3402</v>
      </c>
      <c r="D3812" s="16" t="s">
        <v>3403</v>
      </c>
    </row>
    <row r="3813" spans="1:4">
      <c r="A3813" s="16">
        <v>6610100000</v>
      </c>
      <c r="B3813" s="16">
        <v>0</v>
      </c>
      <c r="C3813" s="16" t="s">
        <v>3413</v>
      </c>
      <c r="D3813" s="16" t="s">
        <v>3414</v>
      </c>
    </row>
    <row r="3814" spans="1:4">
      <c r="A3814" s="16">
        <v>4203000000</v>
      </c>
      <c r="B3814" s="16">
        <v>0</v>
      </c>
      <c r="C3814" s="16" t="s">
        <v>3408</v>
      </c>
      <c r="D3814" s="16" t="s">
        <v>3403</v>
      </c>
    </row>
    <row r="3815" spans="1:4">
      <c r="A3815" s="16">
        <v>5010100010</v>
      </c>
      <c r="B3815" s="16">
        <v>0</v>
      </c>
      <c r="C3815" s="16" t="s">
        <v>3406</v>
      </c>
      <c r="D3815" s="16" t="s">
        <v>3407</v>
      </c>
    </row>
    <row r="3816" spans="1:4">
      <c r="A3816" s="16">
        <v>3710000000</v>
      </c>
      <c r="B3816" s="16">
        <v>0</v>
      </c>
      <c r="C3816" s="16" t="s">
        <v>3402</v>
      </c>
      <c r="D3816" s="16" t="s">
        <v>3403</v>
      </c>
    </row>
    <row r="3817" spans="1:4">
      <c r="A3817" s="16">
        <v>2203000000</v>
      </c>
      <c r="B3817" s="16">
        <v>0</v>
      </c>
      <c r="C3817" s="16" t="s">
        <v>3415</v>
      </c>
      <c r="D3817" s="16" t="s">
        <v>3403</v>
      </c>
    </row>
    <row r="3818" spans="1:4">
      <c r="A3818" s="16">
        <v>6060110000</v>
      </c>
      <c r="B3818" s="16">
        <v>0</v>
      </c>
      <c r="C3818" s="16" t="s">
        <v>3420</v>
      </c>
      <c r="D3818" s="16" t="s">
        <v>3421</v>
      </c>
    </row>
    <row r="3819" spans="1:4">
      <c r="A3819" s="16">
        <v>6700600000</v>
      </c>
      <c r="B3819" s="16">
        <v>0</v>
      </c>
      <c r="C3819" s="16" t="s">
        <v>3404</v>
      </c>
      <c r="D3819" s="16" t="s">
        <v>3409</v>
      </c>
    </row>
    <row r="3820" spans="1:4">
      <c r="A3820" s="16">
        <v>6700400000</v>
      </c>
      <c r="B3820" s="16">
        <v>0</v>
      </c>
      <c r="C3820" s="16" t="s">
        <v>3404</v>
      </c>
      <c r="D3820" s="16" t="s">
        <v>3405</v>
      </c>
    </row>
    <row r="3821" spans="1:4">
      <c r="A3821" s="16">
        <v>6610000000</v>
      </c>
      <c r="B3821" s="16">
        <v>0</v>
      </c>
      <c r="C3821" s="16" t="s">
        <v>3413</v>
      </c>
      <c r="D3821" s="16" t="s">
        <v>3418</v>
      </c>
    </row>
    <row r="3822" spans="1:4">
      <c r="A3822" s="16">
        <v>4203000000</v>
      </c>
      <c r="B3822" s="16">
        <v>0</v>
      </c>
      <c r="C3822" s="16" t="s">
        <v>3408</v>
      </c>
      <c r="D3822" s="16" t="s">
        <v>3403</v>
      </c>
    </row>
    <row r="3823" spans="1:4">
      <c r="A3823" s="16">
        <v>2500000000</v>
      </c>
      <c r="B3823" s="16">
        <v>0</v>
      </c>
      <c r="C3823" s="16" t="s">
        <v>3412</v>
      </c>
      <c r="D3823" s="16" t="s">
        <v>3403</v>
      </c>
    </row>
    <row r="3824" spans="1:4">
      <c r="A3824" s="16">
        <v>5010000000</v>
      </c>
      <c r="B3824" s="16">
        <v>0</v>
      </c>
      <c r="C3824" s="16" t="s">
        <v>3406</v>
      </c>
      <c r="D3824" s="16" t="s">
        <v>3411</v>
      </c>
    </row>
    <row r="3825" spans="1:4">
      <c r="A3825" s="16">
        <v>6610000000</v>
      </c>
      <c r="B3825" s="16">
        <v>0</v>
      </c>
      <c r="C3825" s="16" t="s">
        <v>3413</v>
      </c>
      <c r="D3825" s="16" t="s">
        <v>3418</v>
      </c>
    </row>
    <row r="3826" spans="1:4">
      <c r="A3826" s="16">
        <v>4203000000</v>
      </c>
      <c r="B3826" s="16">
        <v>0</v>
      </c>
      <c r="C3826" s="16" t="s">
        <v>3408</v>
      </c>
      <c r="D3826" s="16" t="s">
        <v>3403</v>
      </c>
    </row>
    <row r="3827" spans="1:4">
      <c r="A3827" s="16">
        <v>2750010000</v>
      </c>
      <c r="B3827" s="16">
        <v>0</v>
      </c>
      <c r="C3827" s="16" t="s">
        <v>3419</v>
      </c>
      <c r="D3827" s="16" t="s">
        <v>3403</v>
      </c>
    </row>
    <row r="3828" spans="1:4">
      <c r="A3828" s="16">
        <v>6610000100</v>
      </c>
      <c r="B3828" s="16">
        <v>0</v>
      </c>
      <c r="C3828" s="16" t="s">
        <v>3413</v>
      </c>
      <c r="D3828" s="16" t="s">
        <v>3418</v>
      </c>
    </row>
    <row r="3829" spans="1:4">
      <c r="A3829" s="16">
        <v>6100000000</v>
      </c>
      <c r="B3829" s="16">
        <v>1389543</v>
      </c>
      <c r="C3829" s="16" t="s">
        <v>3427</v>
      </c>
      <c r="D3829" s="16" t="s">
        <v>3417</v>
      </c>
    </row>
    <row r="3830" spans="1:4">
      <c r="A3830" s="16">
        <v>3100000000</v>
      </c>
      <c r="B3830" s="16">
        <v>-1389543</v>
      </c>
      <c r="C3830" s="16" t="s">
        <v>3402</v>
      </c>
      <c r="D3830" s="16" t="s">
        <v>3403</v>
      </c>
    </row>
    <row r="3831" spans="1:4">
      <c r="A3831" s="16">
        <v>3102000000</v>
      </c>
      <c r="B3831" s="16">
        <v>0</v>
      </c>
      <c r="C3831" s="16" t="s">
        <v>3424</v>
      </c>
      <c r="D3831" s="16" t="s">
        <v>3403</v>
      </c>
    </row>
    <row r="3832" spans="1:4">
      <c r="A3832" s="16">
        <v>6102000000</v>
      </c>
      <c r="B3832" s="16">
        <v>0</v>
      </c>
      <c r="C3832" s="16" t="s">
        <v>3425</v>
      </c>
      <c r="D3832" s="16" t="s">
        <v>3426</v>
      </c>
    </row>
    <row r="3833" spans="1:4">
      <c r="A3833" s="16">
        <v>2750010000</v>
      </c>
      <c r="B3833" s="16">
        <v>0</v>
      </c>
      <c r="C3833" s="16" t="s">
        <v>3419</v>
      </c>
      <c r="D3833" s="16" t="s">
        <v>3403</v>
      </c>
    </row>
    <row r="3834" spans="1:4">
      <c r="A3834" s="16">
        <v>6610000100</v>
      </c>
      <c r="B3834" s="16">
        <v>0</v>
      </c>
      <c r="C3834" s="16" t="s">
        <v>3413</v>
      </c>
      <c r="D3834" s="16" t="s">
        <v>3418</v>
      </c>
    </row>
    <row r="3835" spans="1:4">
      <c r="A3835" s="16">
        <v>5010100010</v>
      </c>
      <c r="B3835" s="16">
        <v>0</v>
      </c>
      <c r="C3835" s="16" t="s">
        <v>3406</v>
      </c>
      <c r="D3835" s="16" t="s">
        <v>3407</v>
      </c>
    </row>
    <row r="3836" spans="1:4">
      <c r="A3836" s="16">
        <v>3710000000</v>
      </c>
      <c r="B3836" s="16">
        <v>0</v>
      </c>
      <c r="C3836" s="16" t="s">
        <v>3402</v>
      </c>
      <c r="D3836" s="16" t="s">
        <v>3403</v>
      </c>
    </row>
    <row r="3837" spans="1:4">
      <c r="A3837" s="16">
        <v>6700700000</v>
      </c>
      <c r="B3837" s="16">
        <v>0</v>
      </c>
      <c r="C3837" s="16" t="s">
        <v>3404</v>
      </c>
      <c r="D3837" s="16" t="s">
        <v>3409</v>
      </c>
    </row>
    <row r="3838" spans="1:4">
      <c r="A3838" s="16">
        <v>6700500000</v>
      </c>
      <c r="B3838" s="16">
        <v>0</v>
      </c>
      <c r="C3838" s="16" t="s">
        <v>3404</v>
      </c>
      <c r="D3838" s="16" t="s">
        <v>3405</v>
      </c>
    </row>
    <row r="3839" spans="1:4">
      <c r="A3839" s="16">
        <v>6610100000</v>
      </c>
      <c r="B3839" s="16">
        <v>0</v>
      </c>
      <c r="C3839" s="16" t="s">
        <v>3413</v>
      </c>
      <c r="D3839" s="16" t="s">
        <v>3414</v>
      </c>
    </row>
    <row r="3840" spans="1:4">
      <c r="A3840" s="16">
        <v>4203000000</v>
      </c>
      <c r="B3840" s="16">
        <v>0</v>
      </c>
      <c r="C3840" s="16" t="s">
        <v>3408</v>
      </c>
      <c r="D3840" s="16" t="s">
        <v>3403</v>
      </c>
    </row>
    <row r="3841" spans="1:4">
      <c r="A3841" s="16">
        <v>6104000000</v>
      </c>
      <c r="B3841" s="16">
        <v>0</v>
      </c>
      <c r="C3841" s="16" t="s">
        <v>3416</v>
      </c>
      <c r="D3841" s="16" t="s">
        <v>3417</v>
      </c>
    </row>
    <row r="3842" spans="1:4">
      <c r="A3842" s="16">
        <v>3103000000</v>
      </c>
      <c r="B3842" s="16">
        <v>0</v>
      </c>
      <c r="C3842" s="16" t="s">
        <v>3402</v>
      </c>
      <c r="D3842" s="16" t="s">
        <v>3403</v>
      </c>
    </row>
    <row r="3843" spans="1:4">
      <c r="A3843" s="16">
        <v>6700600000</v>
      </c>
      <c r="B3843" s="16">
        <v>0</v>
      </c>
      <c r="C3843" s="16" t="s">
        <v>3404</v>
      </c>
      <c r="D3843" s="16" t="s">
        <v>3409</v>
      </c>
    </row>
    <row r="3844" spans="1:4">
      <c r="A3844" s="16">
        <v>6700400000</v>
      </c>
      <c r="B3844" s="16">
        <v>0</v>
      </c>
      <c r="C3844" s="16" t="s">
        <v>3404</v>
      </c>
      <c r="D3844" s="16" t="s">
        <v>3405</v>
      </c>
    </row>
    <row r="3845" spans="1:4">
      <c r="A3845" s="16">
        <v>2201000000</v>
      </c>
      <c r="B3845" s="16">
        <v>0</v>
      </c>
      <c r="C3845" s="16" t="s">
        <v>3415</v>
      </c>
      <c r="D3845" s="16" t="s">
        <v>3403</v>
      </c>
    </row>
    <row r="3846" spans="1:4">
      <c r="A3846" s="16">
        <v>6700200000</v>
      </c>
      <c r="B3846" s="16">
        <v>0</v>
      </c>
      <c r="C3846" s="16" t="s">
        <v>3404</v>
      </c>
      <c r="D3846" s="16" t="s">
        <v>3409</v>
      </c>
    </row>
    <row r="3847" spans="1:4">
      <c r="A3847" s="16">
        <v>6700200000</v>
      </c>
      <c r="B3847" s="16">
        <v>0</v>
      </c>
      <c r="C3847" s="16" t="s">
        <v>3404</v>
      </c>
      <c r="D3847" s="16" t="s">
        <v>3409</v>
      </c>
    </row>
    <row r="3848" spans="1:4">
      <c r="A3848" s="16">
        <v>6700000000</v>
      </c>
      <c r="B3848" s="16">
        <v>0</v>
      </c>
      <c r="C3848" s="16" t="s">
        <v>3404</v>
      </c>
      <c r="D3848" s="16" t="s">
        <v>3405</v>
      </c>
    </row>
    <row r="3849" spans="1:4">
      <c r="A3849" s="16">
        <v>6030000000</v>
      </c>
      <c r="B3849" s="16">
        <v>0</v>
      </c>
      <c r="C3849" s="16" t="s">
        <v>3420</v>
      </c>
      <c r="D3849" s="16" t="s">
        <v>3423</v>
      </c>
    </row>
    <row r="3850" spans="1:4">
      <c r="A3850" s="16">
        <v>3030000000</v>
      </c>
      <c r="B3850" s="16">
        <v>0</v>
      </c>
      <c r="C3850" s="16" t="s">
        <v>3402</v>
      </c>
      <c r="D3850" s="16" t="s">
        <v>3403</v>
      </c>
    </row>
    <row r="3851" spans="1:4">
      <c r="A3851" s="16">
        <v>2750010000</v>
      </c>
      <c r="B3851" s="16">
        <v>0</v>
      </c>
      <c r="C3851" s="16" t="s">
        <v>3419</v>
      </c>
      <c r="D3851" s="16" t="s">
        <v>3403</v>
      </c>
    </row>
    <row r="3852" spans="1:4">
      <c r="A3852" s="16">
        <v>6610100100</v>
      </c>
      <c r="B3852" s="16">
        <v>0</v>
      </c>
      <c r="C3852" s="16" t="s">
        <v>3413</v>
      </c>
      <c r="D3852" s="16" t="s">
        <v>3414</v>
      </c>
    </row>
    <row r="3853" spans="1:4">
      <c r="A3853" s="16">
        <v>2500000000</v>
      </c>
      <c r="B3853" s="16">
        <v>0</v>
      </c>
      <c r="C3853" s="16" t="s">
        <v>3412</v>
      </c>
      <c r="D3853" s="16" t="s">
        <v>3403</v>
      </c>
    </row>
    <row r="3854" spans="1:4">
      <c r="A3854" s="16">
        <v>5010100000</v>
      </c>
      <c r="B3854" s="16">
        <v>0</v>
      </c>
      <c r="C3854" s="16" t="s">
        <v>3406</v>
      </c>
      <c r="D3854" s="16" t="s">
        <v>3407</v>
      </c>
    </row>
    <row r="3855" spans="1:4">
      <c r="A3855" s="16">
        <v>5050010000</v>
      </c>
      <c r="B3855" s="16">
        <v>0</v>
      </c>
      <c r="C3855" s="16" t="s">
        <v>3406</v>
      </c>
      <c r="D3855" s="16" t="s">
        <v>3422</v>
      </c>
    </row>
    <row r="3856" spans="1:4">
      <c r="A3856" s="16">
        <v>5050000000</v>
      </c>
      <c r="B3856" s="16">
        <v>0</v>
      </c>
      <c r="C3856" s="16" t="s">
        <v>3406</v>
      </c>
      <c r="D3856" s="16" t="s">
        <v>3422</v>
      </c>
    </row>
    <row r="3857" spans="1:4">
      <c r="A3857" s="16">
        <v>6610000000</v>
      </c>
      <c r="B3857" s="16">
        <v>0</v>
      </c>
      <c r="C3857" s="16" t="s">
        <v>3413</v>
      </c>
      <c r="D3857" s="16" t="s">
        <v>3418</v>
      </c>
    </row>
    <row r="3858" spans="1:4">
      <c r="A3858" s="16">
        <v>4203000000</v>
      </c>
      <c r="B3858" s="16">
        <v>0</v>
      </c>
      <c r="C3858" s="16" t="s">
        <v>3408</v>
      </c>
      <c r="D3858" s="16" t="s">
        <v>3403</v>
      </c>
    </row>
    <row r="3859" spans="1:4">
      <c r="A3859" s="16">
        <v>6700600000</v>
      </c>
      <c r="B3859" s="16">
        <v>0</v>
      </c>
      <c r="C3859" s="16" t="s">
        <v>3404</v>
      </c>
      <c r="D3859" s="16" t="s">
        <v>3409</v>
      </c>
    </row>
    <row r="3860" spans="1:4">
      <c r="A3860" s="16">
        <v>6700400000</v>
      </c>
      <c r="B3860" s="16">
        <v>0</v>
      </c>
      <c r="C3860" s="16" t="s">
        <v>3404</v>
      </c>
      <c r="D3860" s="16" t="s">
        <v>3405</v>
      </c>
    </row>
    <row r="3861" spans="1:4">
      <c r="A3861" s="16">
        <v>3102000000</v>
      </c>
      <c r="B3861" s="16">
        <v>0</v>
      </c>
      <c r="C3861" s="16" t="s">
        <v>3424</v>
      </c>
      <c r="D3861" s="16" t="s">
        <v>3403</v>
      </c>
    </row>
    <row r="3862" spans="1:4">
      <c r="A3862" s="16">
        <v>6102000000</v>
      </c>
      <c r="B3862" s="16">
        <v>0</v>
      </c>
      <c r="C3862" s="16" t="s">
        <v>3425</v>
      </c>
      <c r="D3862" s="16" t="s">
        <v>3426</v>
      </c>
    </row>
    <row r="3863" spans="1:4">
      <c r="A3863" s="16">
        <v>6700700000</v>
      </c>
      <c r="B3863" s="16">
        <v>0</v>
      </c>
      <c r="C3863" s="16" t="s">
        <v>3404</v>
      </c>
      <c r="D3863" s="16" t="s">
        <v>3409</v>
      </c>
    </row>
    <row r="3864" spans="1:4">
      <c r="A3864" s="16">
        <v>6700500000</v>
      </c>
      <c r="B3864" s="16">
        <v>0</v>
      </c>
      <c r="C3864" s="16" t="s">
        <v>3404</v>
      </c>
      <c r="D3864" s="16" t="s">
        <v>3405</v>
      </c>
    </row>
    <row r="3865" spans="1:4">
      <c r="A3865" s="16">
        <v>6030000000</v>
      </c>
      <c r="B3865" s="16">
        <v>0</v>
      </c>
      <c r="C3865" s="16" t="s">
        <v>3420</v>
      </c>
      <c r="D3865" s="16" t="s">
        <v>3423</v>
      </c>
    </row>
    <row r="3866" spans="1:4">
      <c r="A3866" s="16">
        <v>3030000000</v>
      </c>
      <c r="B3866" s="16">
        <v>0</v>
      </c>
      <c r="C3866" s="16" t="s">
        <v>3402</v>
      </c>
      <c r="D3866" s="16" t="s">
        <v>3403</v>
      </c>
    </row>
    <row r="3867" spans="1:4">
      <c r="A3867" s="16">
        <v>6700200000</v>
      </c>
      <c r="B3867" s="16">
        <v>0</v>
      </c>
      <c r="C3867" s="16" t="s">
        <v>3404</v>
      </c>
      <c r="D3867" s="16" t="s">
        <v>3409</v>
      </c>
    </row>
    <row r="3868" spans="1:4">
      <c r="A3868" s="16">
        <v>6700000000</v>
      </c>
      <c r="B3868" s="16">
        <v>0</v>
      </c>
      <c r="C3868" s="16" t="s">
        <v>3404</v>
      </c>
      <c r="D3868" s="16" t="s">
        <v>3405</v>
      </c>
    </row>
    <row r="3869" spans="1:4">
      <c r="A3869" s="16">
        <v>6700200000</v>
      </c>
      <c r="B3869" s="16">
        <v>0</v>
      </c>
      <c r="C3869" s="16" t="s">
        <v>3404</v>
      </c>
      <c r="D3869" s="16" t="s">
        <v>3409</v>
      </c>
    </row>
    <row r="3870" spans="1:4">
      <c r="A3870" s="16">
        <v>6700000000</v>
      </c>
      <c r="B3870" s="16">
        <v>0</v>
      </c>
      <c r="C3870" s="16" t="s">
        <v>3404</v>
      </c>
      <c r="D3870" s="16" t="s">
        <v>3405</v>
      </c>
    </row>
    <row r="3871" spans="1:4">
      <c r="A3871" s="16">
        <v>2201000000</v>
      </c>
      <c r="B3871" s="16">
        <v>0</v>
      </c>
      <c r="C3871" s="16" t="s">
        <v>3415</v>
      </c>
      <c r="D3871" s="16" t="s">
        <v>3403</v>
      </c>
    </row>
    <row r="3872" spans="1:4">
      <c r="A3872" s="16">
        <v>6700200000</v>
      </c>
      <c r="B3872" s="16">
        <v>0</v>
      </c>
      <c r="C3872" s="16" t="s">
        <v>3404</v>
      </c>
      <c r="D3872" s="16" t="s">
        <v>3409</v>
      </c>
    </row>
    <row r="3873" spans="1:4">
      <c r="A3873" s="16">
        <v>4203000000</v>
      </c>
      <c r="B3873" s="16">
        <v>0</v>
      </c>
      <c r="C3873" s="16" t="s">
        <v>3408</v>
      </c>
      <c r="D3873" s="16" t="s">
        <v>3403</v>
      </c>
    </row>
    <row r="3874" spans="1:4">
      <c r="A3874" s="16">
        <v>5052000000</v>
      </c>
      <c r="B3874" s="16">
        <v>0</v>
      </c>
      <c r="C3874" s="16" t="s">
        <v>3406</v>
      </c>
      <c r="D3874" s="16" t="s">
        <v>3422</v>
      </c>
    </row>
    <row r="3875" spans="1:4">
      <c r="A3875" s="16">
        <v>6700100000</v>
      </c>
      <c r="B3875" s="16">
        <v>0</v>
      </c>
      <c r="C3875" s="16" t="s">
        <v>3404</v>
      </c>
      <c r="D3875" s="16" t="s">
        <v>3410</v>
      </c>
    </row>
    <row r="3876" spans="1:4">
      <c r="A3876" s="16">
        <v>6610000100</v>
      </c>
      <c r="B3876" s="16">
        <v>0</v>
      </c>
      <c r="C3876" s="16" t="s">
        <v>3413</v>
      </c>
      <c r="D3876" s="16" t="s">
        <v>3418</v>
      </c>
    </row>
    <row r="3877" spans="1:4">
      <c r="A3877" s="16">
        <v>2750010000</v>
      </c>
      <c r="B3877" s="16">
        <v>0</v>
      </c>
      <c r="C3877" s="16" t="s">
        <v>3419</v>
      </c>
      <c r="D3877" s="16" t="s">
        <v>3403</v>
      </c>
    </row>
    <row r="3878" spans="1:4">
      <c r="A3878" s="16">
        <v>6700600000</v>
      </c>
      <c r="B3878" s="16">
        <v>0</v>
      </c>
      <c r="C3878" s="16" t="s">
        <v>3404</v>
      </c>
      <c r="D3878" s="16" t="s">
        <v>3409</v>
      </c>
    </row>
    <row r="3879" spans="1:4">
      <c r="A3879" s="16">
        <v>3710000000</v>
      </c>
      <c r="B3879" s="16">
        <v>0</v>
      </c>
      <c r="C3879" s="16" t="s">
        <v>3402</v>
      </c>
      <c r="D3879" s="16" t="s">
        <v>3403</v>
      </c>
    </row>
    <row r="3880" spans="1:4">
      <c r="A3880" s="16">
        <v>3102000000</v>
      </c>
      <c r="B3880" s="16">
        <v>0</v>
      </c>
      <c r="C3880" s="16" t="s">
        <v>3424</v>
      </c>
      <c r="D3880" s="16" t="s">
        <v>3403</v>
      </c>
    </row>
    <row r="3881" spans="1:4">
      <c r="A3881" s="16">
        <v>6610100000</v>
      </c>
      <c r="B3881" s="16">
        <v>0</v>
      </c>
      <c r="C3881" s="16" t="s">
        <v>3413</v>
      </c>
      <c r="D3881" s="16" t="s">
        <v>3414</v>
      </c>
    </row>
    <row r="3882" spans="1:4">
      <c r="A3882" s="16">
        <v>6700600000</v>
      </c>
      <c r="B3882" s="16">
        <v>0</v>
      </c>
      <c r="C3882" s="16" t="s">
        <v>3404</v>
      </c>
      <c r="D3882" s="16" t="s">
        <v>3409</v>
      </c>
    </row>
    <row r="3883" spans="1:4">
      <c r="A3883" s="16">
        <v>2201200030</v>
      </c>
      <c r="B3883" s="16">
        <v>0</v>
      </c>
      <c r="C3883" s="16" t="s">
        <v>3415</v>
      </c>
      <c r="D3883" s="16" t="s">
        <v>3403</v>
      </c>
    </row>
    <row r="3884" spans="1:4">
      <c r="A3884" s="16">
        <v>6610100000</v>
      </c>
      <c r="B3884" s="16">
        <v>54670</v>
      </c>
      <c r="C3884" s="16" t="s">
        <v>3413</v>
      </c>
      <c r="D3884" s="16" t="s">
        <v>3414</v>
      </c>
    </row>
    <row r="3885" spans="1:4">
      <c r="A3885" s="16">
        <v>2500000000</v>
      </c>
      <c r="B3885" s="16">
        <v>0</v>
      </c>
      <c r="C3885" s="16" t="s">
        <v>3412</v>
      </c>
      <c r="D3885" s="16" t="s">
        <v>3403</v>
      </c>
    </row>
    <row r="3886" spans="1:4">
      <c r="A3886" s="16">
        <v>6030000000</v>
      </c>
      <c r="B3886" s="16">
        <v>0</v>
      </c>
      <c r="C3886" s="16" t="s">
        <v>3420</v>
      </c>
      <c r="D3886" s="16" t="s">
        <v>3423</v>
      </c>
    </row>
    <row r="3887" spans="1:4">
      <c r="A3887" s="16">
        <v>6700600000</v>
      </c>
      <c r="B3887" s="16">
        <v>0</v>
      </c>
      <c r="C3887" s="16" t="s">
        <v>3404</v>
      </c>
      <c r="D3887" s="16" t="s">
        <v>3409</v>
      </c>
    </row>
    <row r="3888" spans="1:4">
      <c r="A3888" s="16">
        <v>2201000000</v>
      </c>
      <c r="B3888" s="16">
        <v>0</v>
      </c>
      <c r="C3888" s="16" t="s">
        <v>3415</v>
      </c>
      <c r="D3888" s="16" t="s">
        <v>3403</v>
      </c>
    </row>
    <row r="3889" spans="1:4">
      <c r="A3889" s="16">
        <v>3100000000</v>
      </c>
      <c r="B3889" s="16">
        <v>0</v>
      </c>
      <c r="C3889" s="16" t="s">
        <v>3402</v>
      </c>
      <c r="D3889" s="16" t="s">
        <v>3403</v>
      </c>
    </row>
    <row r="3890" spans="1:4">
      <c r="A3890" s="16">
        <v>3100000000</v>
      </c>
      <c r="B3890" s="16">
        <v>-64249605</v>
      </c>
      <c r="C3890" s="16" t="s">
        <v>3402</v>
      </c>
      <c r="D3890" s="16" t="s">
        <v>3403</v>
      </c>
    </row>
    <row r="3891" spans="1:4">
      <c r="A3891" s="16">
        <v>2201200030</v>
      </c>
      <c r="B3891" s="16">
        <v>0</v>
      </c>
      <c r="C3891" s="16" t="s">
        <v>3415</v>
      </c>
      <c r="D3891" s="16" t="s">
        <v>3403</v>
      </c>
    </row>
    <row r="3892" spans="1:4">
      <c r="A3892" s="16">
        <v>6104001000</v>
      </c>
      <c r="B3892" s="16">
        <v>0</v>
      </c>
      <c r="C3892" s="16" t="s">
        <v>3427</v>
      </c>
      <c r="D3892" s="16" t="s">
        <v>3417</v>
      </c>
    </row>
    <row r="3893" spans="1:4">
      <c r="A3893" s="16">
        <v>4011000000</v>
      </c>
      <c r="B3893" s="16">
        <v>0</v>
      </c>
      <c r="C3893" s="16" t="s">
        <v>3431</v>
      </c>
      <c r="D3893" s="16" t="s">
        <v>3403</v>
      </c>
    </row>
    <row r="3894" spans="1:4">
      <c r="A3894" s="16">
        <v>6610000100</v>
      </c>
      <c r="B3894" s="16">
        <v>0</v>
      </c>
      <c r="C3894" s="16" t="s">
        <v>3413</v>
      </c>
      <c r="D3894" s="16" t="s">
        <v>3418</v>
      </c>
    </row>
    <row r="3895" spans="1:4">
      <c r="A3895" s="16">
        <v>6700400000</v>
      </c>
      <c r="B3895" s="16">
        <v>0</v>
      </c>
      <c r="C3895" s="16" t="s">
        <v>3404</v>
      </c>
      <c r="D3895" s="16" t="s">
        <v>3405</v>
      </c>
    </row>
    <row r="3896" spans="1:4">
      <c r="A3896" s="16">
        <v>6102000000</v>
      </c>
      <c r="B3896" s="16">
        <v>0</v>
      </c>
      <c r="C3896" s="16" t="s">
        <v>3425</v>
      </c>
      <c r="D3896" s="16" t="s">
        <v>3426</v>
      </c>
    </row>
    <row r="3897" spans="1:4">
      <c r="A3897" s="16">
        <v>4203000000</v>
      </c>
      <c r="B3897" s="16">
        <v>0</v>
      </c>
      <c r="C3897" s="16" t="s">
        <v>3408</v>
      </c>
      <c r="D3897" s="16" t="s">
        <v>3403</v>
      </c>
    </row>
    <row r="3898" spans="1:4">
      <c r="A3898" s="16">
        <v>6700400000</v>
      </c>
      <c r="B3898" s="16">
        <v>0</v>
      </c>
      <c r="C3898" s="16" t="s">
        <v>3404</v>
      </c>
      <c r="D3898" s="16" t="s">
        <v>3405</v>
      </c>
    </row>
    <row r="3899" spans="1:4">
      <c r="A3899" s="16">
        <v>2750010000</v>
      </c>
      <c r="B3899" s="16">
        <v>0</v>
      </c>
      <c r="C3899" s="16" t="s">
        <v>3419</v>
      </c>
      <c r="D3899" s="16" t="s">
        <v>3403</v>
      </c>
    </row>
    <row r="3900" spans="1:4">
      <c r="A3900" s="16">
        <v>4203000000</v>
      </c>
      <c r="B3900" s="16">
        <v>-54670</v>
      </c>
      <c r="C3900" s="16" t="s">
        <v>3408</v>
      </c>
      <c r="D3900" s="16" t="s">
        <v>3403</v>
      </c>
    </row>
    <row r="3901" spans="1:4">
      <c r="A3901" s="16">
        <v>5010100000</v>
      </c>
      <c r="B3901" s="16">
        <v>0</v>
      </c>
      <c r="C3901" s="16" t="s">
        <v>3406</v>
      </c>
      <c r="D3901" s="16" t="s">
        <v>3407</v>
      </c>
    </row>
    <row r="3902" spans="1:4">
      <c r="A3902" s="16">
        <v>3030000000</v>
      </c>
      <c r="B3902" s="16">
        <v>0</v>
      </c>
      <c r="C3902" s="16" t="s">
        <v>3402</v>
      </c>
      <c r="D3902" s="16" t="s">
        <v>3403</v>
      </c>
    </row>
    <row r="3903" spans="1:4">
      <c r="A3903" s="16">
        <v>6700400000</v>
      </c>
      <c r="B3903" s="16">
        <v>0</v>
      </c>
      <c r="C3903" s="16" t="s">
        <v>3404</v>
      </c>
      <c r="D3903" s="16" t="s">
        <v>3405</v>
      </c>
    </row>
    <row r="3904" spans="1:4">
      <c r="A3904" s="16">
        <v>6700200000</v>
      </c>
      <c r="B3904" s="16">
        <v>0</v>
      </c>
      <c r="C3904" s="16" t="s">
        <v>3404</v>
      </c>
      <c r="D3904" s="16" t="s">
        <v>3409</v>
      </c>
    </row>
    <row r="3905" spans="1:4">
      <c r="A3905" s="16">
        <v>6100000000</v>
      </c>
      <c r="B3905" s="16">
        <v>0</v>
      </c>
      <c r="C3905" s="16" t="s">
        <v>3416</v>
      </c>
      <c r="D3905" s="16" t="s">
        <v>3417</v>
      </c>
    </row>
    <row r="3906" spans="1:4">
      <c r="A3906" s="16">
        <v>6610000000</v>
      </c>
      <c r="B3906" s="16">
        <v>0</v>
      </c>
      <c r="C3906" s="16" t="s">
        <v>3413</v>
      </c>
      <c r="D3906" s="16" t="s">
        <v>3418</v>
      </c>
    </row>
    <row r="3907" spans="1:4">
      <c r="A3907" s="16">
        <v>6150000000</v>
      </c>
      <c r="B3907" s="16">
        <v>0</v>
      </c>
      <c r="C3907" s="16" t="s">
        <v>3416</v>
      </c>
      <c r="D3907" s="16" t="s">
        <v>3417</v>
      </c>
    </row>
    <row r="3908" spans="1:4">
      <c r="A3908" s="16">
        <v>3103001000</v>
      </c>
      <c r="B3908" s="16">
        <v>0</v>
      </c>
      <c r="C3908" s="16" t="s">
        <v>3402</v>
      </c>
      <c r="D3908" s="16" t="s">
        <v>3403</v>
      </c>
    </row>
    <row r="3909" spans="1:4">
      <c r="A3909" s="16">
        <v>6700200000</v>
      </c>
      <c r="B3909" s="16">
        <v>0</v>
      </c>
      <c r="C3909" s="16" t="s">
        <v>3404</v>
      </c>
      <c r="D3909" s="16" t="s">
        <v>3409</v>
      </c>
    </row>
    <row r="3910" spans="1:4">
      <c r="A3910" s="16">
        <v>2203000000</v>
      </c>
      <c r="B3910" s="16">
        <v>0</v>
      </c>
      <c r="C3910" s="16" t="s">
        <v>3415</v>
      </c>
      <c r="D3910" s="16" t="s">
        <v>3403</v>
      </c>
    </row>
    <row r="3911" spans="1:4">
      <c r="A3911" s="16">
        <v>6700200000</v>
      </c>
      <c r="B3911" s="16">
        <v>7162480</v>
      </c>
      <c r="C3911" s="16" t="s">
        <v>3404</v>
      </c>
      <c r="D3911" s="16" t="s">
        <v>3409</v>
      </c>
    </row>
    <row r="3912" spans="1:4">
      <c r="A3912" s="16">
        <v>6104001000</v>
      </c>
      <c r="B3912" s="16">
        <v>0</v>
      </c>
      <c r="C3912" s="16" t="s">
        <v>3416</v>
      </c>
      <c r="D3912" s="16" t="s">
        <v>3417</v>
      </c>
    </row>
    <row r="3913" spans="1:4">
      <c r="A3913" s="16">
        <v>6610100100</v>
      </c>
      <c r="B3913" s="16">
        <v>0</v>
      </c>
      <c r="C3913" s="16" t="s">
        <v>3413</v>
      </c>
      <c r="D3913" s="16" t="s">
        <v>3414</v>
      </c>
    </row>
    <row r="3914" spans="1:4">
      <c r="A3914" s="16">
        <v>5010000010</v>
      </c>
      <c r="B3914" s="16">
        <v>0</v>
      </c>
      <c r="C3914" s="16" t="s">
        <v>3406</v>
      </c>
      <c r="D3914" s="16" t="s">
        <v>3411</v>
      </c>
    </row>
    <row r="3915" spans="1:4">
      <c r="A3915" s="16">
        <v>2750010000</v>
      </c>
      <c r="B3915" s="16">
        <v>0</v>
      </c>
      <c r="C3915" s="16" t="s">
        <v>3419</v>
      </c>
      <c r="D3915" s="16" t="s">
        <v>3403</v>
      </c>
    </row>
    <row r="3916" spans="1:4">
      <c r="A3916" s="16">
        <v>4010100000</v>
      </c>
      <c r="B3916" s="16">
        <v>0</v>
      </c>
      <c r="C3916" s="16" t="s">
        <v>3431</v>
      </c>
      <c r="D3916" s="16" t="s">
        <v>3403</v>
      </c>
    </row>
    <row r="3917" spans="1:4">
      <c r="A3917" s="16">
        <v>4203000000</v>
      </c>
      <c r="B3917" s="16">
        <v>0</v>
      </c>
      <c r="C3917" s="16" t="s">
        <v>3408</v>
      </c>
      <c r="D3917" s="16" t="s">
        <v>3403</v>
      </c>
    </row>
    <row r="3918" spans="1:4">
      <c r="A3918" s="16">
        <v>3032000000</v>
      </c>
      <c r="B3918" s="16">
        <v>0</v>
      </c>
      <c r="C3918" s="16" t="s">
        <v>3424</v>
      </c>
      <c r="D3918" s="16" t="s">
        <v>3403</v>
      </c>
    </row>
    <row r="3919" spans="1:4">
      <c r="A3919" s="16">
        <v>3510000000</v>
      </c>
      <c r="B3919" s="16">
        <v>0</v>
      </c>
      <c r="C3919" s="16" t="s">
        <v>3402</v>
      </c>
      <c r="D3919" s="16" t="s">
        <v>3403</v>
      </c>
    </row>
    <row r="3920" spans="1:4">
      <c r="A3920" s="16">
        <v>5050000000</v>
      </c>
      <c r="B3920" s="16">
        <v>0</v>
      </c>
      <c r="C3920" s="16" t="s">
        <v>3406</v>
      </c>
      <c r="D3920" s="16" t="s">
        <v>3422</v>
      </c>
    </row>
    <row r="3921" spans="1:4">
      <c r="A3921" s="16">
        <v>6700100000</v>
      </c>
      <c r="B3921" s="16">
        <v>0</v>
      </c>
      <c r="C3921" s="16" t="s">
        <v>3404</v>
      </c>
      <c r="D3921" s="16" t="s">
        <v>3410</v>
      </c>
    </row>
    <row r="3922" spans="1:4">
      <c r="A3922" s="16">
        <v>6060110000</v>
      </c>
      <c r="B3922" s="16">
        <v>0</v>
      </c>
      <c r="C3922" s="16" t="s">
        <v>3420</v>
      </c>
      <c r="D3922" s="16" t="s">
        <v>3421</v>
      </c>
    </row>
    <row r="3923" spans="1:4">
      <c r="A3923" s="16">
        <v>6700000000</v>
      </c>
      <c r="B3923" s="16">
        <v>-7162480</v>
      </c>
      <c r="C3923" s="16" t="s">
        <v>3404</v>
      </c>
      <c r="D3923" s="16" t="s">
        <v>3405</v>
      </c>
    </row>
    <row r="3924" spans="1:4">
      <c r="A3924" s="16">
        <v>3103001000</v>
      </c>
      <c r="B3924" s="16">
        <v>0</v>
      </c>
      <c r="C3924" s="16" t="s">
        <v>3402</v>
      </c>
      <c r="D3924" s="16" t="s">
        <v>3403</v>
      </c>
    </row>
    <row r="3925" spans="1:4">
      <c r="A3925" s="16">
        <v>5010000010</v>
      </c>
      <c r="B3925" s="16">
        <v>0</v>
      </c>
      <c r="C3925" s="16" t="s">
        <v>3406</v>
      </c>
      <c r="D3925" s="16" t="s">
        <v>3411</v>
      </c>
    </row>
    <row r="3926" spans="1:4">
      <c r="A3926" s="16">
        <v>6610100000</v>
      </c>
      <c r="B3926" s="16">
        <v>5246</v>
      </c>
      <c r="C3926" s="16" t="s">
        <v>3413</v>
      </c>
      <c r="D3926" s="16" t="s">
        <v>3414</v>
      </c>
    </row>
    <row r="3927" spans="1:4">
      <c r="A3927" s="16">
        <v>3710000000</v>
      </c>
      <c r="B3927" s="16">
        <v>0</v>
      </c>
      <c r="C3927" s="16" t="s">
        <v>3402</v>
      </c>
      <c r="D3927" s="16" t="s">
        <v>3403</v>
      </c>
    </row>
    <row r="3928" spans="1:4">
      <c r="A3928" s="16">
        <v>6610000100</v>
      </c>
      <c r="B3928" s="16">
        <v>0</v>
      </c>
      <c r="C3928" s="16" t="s">
        <v>3413</v>
      </c>
      <c r="D3928" s="16" t="s">
        <v>3418</v>
      </c>
    </row>
    <row r="3929" spans="1:4">
      <c r="A3929" s="16">
        <v>6100000000</v>
      </c>
      <c r="B3929" s="16">
        <v>291814</v>
      </c>
      <c r="C3929" s="16" t="s">
        <v>3416</v>
      </c>
      <c r="D3929" s="16" t="s">
        <v>3417</v>
      </c>
    </row>
    <row r="3930" spans="1:4">
      <c r="A3930" s="16">
        <v>2201000000</v>
      </c>
      <c r="B3930" s="16">
        <v>0</v>
      </c>
      <c r="C3930" s="16" t="s">
        <v>3415</v>
      </c>
      <c r="D3930" s="16" t="s">
        <v>3403</v>
      </c>
    </row>
    <row r="3931" spans="1:4">
      <c r="A3931" s="16">
        <v>2201000030</v>
      </c>
      <c r="B3931" s="16">
        <v>0</v>
      </c>
      <c r="C3931" s="16" t="s">
        <v>3415</v>
      </c>
      <c r="D3931" s="16" t="s">
        <v>3403</v>
      </c>
    </row>
    <row r="3932" spans="1:4">
      <c r="A3932" s="16">
        <v>6700700000</v>
      </c>
      <c r="B3932" s="16">
        <v>0</v>
      </c>
      <c r="C3932" s="16" t="s">
        <v>3404</v>
      </c>
      <c r="D3932" s="16" t="s">
        <v>3409</v>
      </c>
    </row>
    <row r="3933" spans="1:4">
      <c r="A3933" s="16">
        <v>6610100000</v>
      </c>
      <c r="B3933" s="16">
        <v>0</v>
      </c>
      <c r="C3933" s="16" t="s">
        <v>3413</v>
      </c>
      <c r="D3933" s="16" t="s">
        <v>3414</v>
      </c>
    </row>
    <row r="3934" spans="1:4">
      <c r="A3934" s="16">
        <v>2201000000</v>
      </c>
      <c r="B3934" s="16">
        <v>0</v>
      </c>
      <c r="C3934" s="16" t="s">
        <v>3415</v>
      </c>
      <c r="D3934" s="16" t="s">
        <v>3403</v>
      </c>
    </row>
    <row r="3935" spans="1:4">
      <c r="A3935" s="16">
        <v>6032000000</v>
      </c>
      <c r="B3935" s="16">
        <v>0</v>
      </c>
      <c r="C3935" s="16" t="s">
        <v>3429</v>
      </c>
      <c r="D3935" s="16" t="s">
        <v>3430</v>
      </c>
    </row>
    <row r="3936" spans="1:4">
      <c r="A3936" s="16">
        <v>6700200000</v>
      </c>
      <c r="B3936" s="16">
        <v>0</v>
      </c>
      <c r="C3936" s="16" t="s">
        <v>3404</v>
      </c>
      <c r="D3936" s="16" t="s">
        <v>3409</v>
      </c>
    </row>
    <row r="3937" spans="1:4">
      <c r="A3937" s="16">
        <v>2203000000</v>
      </c>
      <c r="B3937" s="16">
        <v>0</v>
      </c>
      <c r="C3937" s="16" t="s">
        <v>3415</v>
      </c>
      <c r="D3937" s="16" t="s">
        <v>3403</v>
      </c>
    </row>
    <row r="3938" spans="1:4">
      <c r="A3938" s="16">
        <v>2201000000</v>
      </c>
      <c r="B3938" s="16">
        <v>6863626</v>
      </c>
      <c r="C3938" s="16" t="s">
        <v>3415</v>
      </c>
      <c r="D3938" s="16" t="s">
        <v>3403</v>
      </c>
    </row>
    <row r="3939" spans="1:4">
      <c r="A3939" s="16">
        <v>3800000000</v>
      </c>
      <c r="B3939" s="16">
        <v>0</v>
      </c>
      <c r="C3939" s="16" t="s">
        <v>3402</v>
      </c>
      <c r="D3939" s="16" t="s">
        <v>3403</v>
      </c>
    </row>
    <row r="3940" spans="1:4">
      <c r="A3940" s="16">
        <v>2500000000</v>
      </c>
      <c r="B3940" s="16">
        <v>0</v>
      </c>
      <c r="C3940" s="16" t="s">
        <v>3412</v>
      </c>
      <c r="D3940" s="16" t="s">
        <v>3403</v>
      </c>
    </row>
    <row r="3941" spans="1:4">
      <c r="A3941" s="16">
        <v>2750010000</v>
      </c>
      <c r="B3941" s="16">
        <v>0</v>
      </c>
      <c r="C3941" s="16" t="s">
        <v>3419</v>
      </c>
      <c r="D3941" s="16" t="s">
        <v>3403</v>
      </c>
    </row>
    <row r="3942" spans="1:4">
      <c r="A3942" s="16">
        <v>3710000000</v>
      </c>
      <c r="B3942" s="16">
        <v>0</v>
      </c>
      <c r="C3942" s="16" t="s">
        <v>3402</v>
      </c>
      <c r="D3942" s="16" t="s">
        <v>3403</v>
      </c>
    </row>
    <row r="3943" spans="1:4">
      <c r="A3943" s="16">
        <v>2500000000</v>
      </c>
      <c r="B3943" s="16">
        <v>0</v>
      </c>
      <c r="C3943" s="16" t="s">
        <v>3412</v>
      </c>
      <c r="D3943" s="16" t="s">
        <v>3403</v>
      </c>
    </row>
    <row r="3944" spans="1:4">
      <c r="A3944" s="16">
        <v>4203000000</v>
      </c>
      <c r="B3944" s="16">
        <v>-5246</v>
      </c>
      <c r="C3944" s="16" t="s">
        <v>3408</v>
      </c>
      <c r="D3944" s="16" t="s">
        <v>3403</v>
      </c>
    </row>
    <row r="3945" spans="1:4">
      <c r="A3945" s="16">
        <v>2500000000</v>
      </c>
      <c r="B3945" s="16">
        <v>-79610</v>
      </c>
      <c r="C3945" s="16" t="s">
        <v>3412</v>
      </c>
      <c r="D3945" s="16" t="s">
        <v>3403</v>
      </c>
    </row>
    <row r="3946" spans="1:4">
      <c r="A3946" s="16">
        <v>3100000000</v>
      </c>
      <c r="B3946" s="16">
        <v>-291814</v>
      </c>
      <c r="C3946" s="16" t="s">
        <v>3402</v>
      </c>
      <c r="D3946" s="16" t="s">
        <v>3403</v>
      </c>
    </row>
    <row r="3947" spans="1:4">
      <c r="A3947" s="16">
        <v>2201000000</v>
      </c>
      <c r="B3947" s="16">
        <v>0</v>
      </c>
      <c r="C3947" s="16" t="s">
        <v>3415</v>
      </c>
      <c r="D3947" s="16" t="s">
        <v>3403</v>
      </c>
    </row>
    <row r="3948" spans="1:4">
      <c r="A3948" s="16">
        <v>6700200000</v>
      </c>
      <c r="B3948" s="16">
        <v>0</v>
      </c>
      <c r="C3948" s="16" t="s">
        <v>3404</v>
      </c>
      <c r="D3948" s="16" t="s">
        <v>3409</v>
      </c>
    </row>
    <row r="3949" spans="1:4">
      <c r="A3949" s="16">
        <v>6700600000</v>
      </c>
      <c r="B3949" s="16">
        <v>0</v>
      </c>
      <c r="C3949" s="16" t="s">
        <v>3404</v>
      </c>
      <c r="D3949" s="16" t="s">
        <v>3409</v>
      </c>
    </row>
    <row r="3950" spans="1:4">
      <c r="A3950" s="16">
        <v>6610100000</v>
      </c>
      <c r="B3950" s="16">
        <v>0</v>
      </c>
      <c r="C3950" s="16" t="s">
        <v>3413</v>
      </c>
      <c r="D3950" s="16" t="s">
        <v>3414</v>
      </c>
    </row>
    <row r="3951" spans="1:4">
      <c r="A3951" s="16">
        <v>6700200000</v>
      </c>
      <c r="B3951" s="16">
        <v>0</v>
      </c>
      <c r="C3951" s="16" t="s">
        <v>3404</v>
      </c>
      <c r="D3951" s="16" t="s">
        <v>3409</v>
      </c>
    </row>
    <row r="3952" spans="1:4">
      <c r="A3952" s="16">
        <v>6700500000</v>
      </c>
      <c r="B3952" s="16">
        <v>0</v>
      </c>
      <c r="C3952" s="16" t="s">
        <v>3404</v>
      </c>
      <c r="D3952" s="16" t="s">
        <v>3405</v>
      </c>
    </row>
    <row r="3953" spans="1:4">
      <c r="A3953" s="16">
        <v>4203000000</v>
      </c>
      <c r="B3953" s="16">
        <v>0</v>
      </c>
      <c r="C3953" s="16" t="s">
        <v>3408</v>
      </c>
      <c r="D3953" s="16" t="s">
        <v>3403</v>
      </c>
    </row>
    <row r="3954" spans="1:4">
      <c r="A3954" s="16">
        <v>6700200000</v>
      </c>
      <c r="B3954" s="16">
        <v>0</v>
      </c>
      <c r="C3954" s="16" t="s">
        <v>3404</v>
      </c>
      <c r="D3954" s="16" t="s">
        <v>3409</v>
      </c>
    </row>
    <row r="3955" spans="1:4">
      <c r="A3955" s="16">
        <v>5010100010</v>
      </c>
      <c r="B3955" s="16">
        <v>0</v>
      </c>
      <c r="C3955" s="16" t="s">
        <v>3406</v>
      </c>
      <c r="D3955" s="16" t="s">
        <v>3407</v>
      </c>
    </row>
    <row r="3956" spans="1:4">
      <c r="A3956" s="16">
        <v>6700100000</v>
      </c>
      <c r="B3956" s="16">
        <v>0</v>
      </c>
      <c r="C3956" s="16" t="s">
        <v>3404</v>
      </c>
      <c r="D3956" s="16" t="s">
        <v>3410</v>
      </c>
    </row>
    <row r="3957" spans="1:4">
      <c r="A3957" s="16">
        <v>6060110000</v>
      </c>
      <c r="B3957" s="16">
        <v>0</v>
      </c>
      <c r="C3957" s="16" t="s">
        <v>3420</v>
      </c>
      <c r="D3957" s="16" t="s">
        <v>3421</v>
      </c>
    </row>
    <row r="3958" spans="1:4">
      <c r="A3958" s="16">
        <v>6700200000</v>
      </c>
      <c r="B3958" s="16">
        <v>-6863626</v>
      </c>
      <c r="C3958" s="16" t="s">
        <v>3404</v>
      </c>
      <c r="D3958" s="16" t="s">
        <v>3409</v>
      </c>
    </row>
    <row r="3959" spans="1:4">
      <c r="A3959" s="16">
        <v>5010100000</v>
      </c>
      <c r="B3959" s="16">
        <v>0</v>
      </c>
      <c r="C3959" s="16" t="s">
        <v>3406</v>
      </c>
      <c r="D3959" s="16" t="s">
        <v>3407</v>
      </c>
    </row>
    <row r="3960" spans="1:4">
      <c r="A3960" s="16">
        <v>5052010000</v>
      </c>
      <c r="B3960" s="16">
        <v>0</v>
      </c>
      <c r="C3960" s="16" t="s">
        <v>3406</v>
      </c>
      <c r="D3960" s="16" t="s">
        <v>3422</v>
      </c>
    </row>
    <row r="3961" spans="1:4">
      <c r="A3961" s="16">
        <v>6610000100</v>
      </c>
      <c r="B3961" s="16">
        <v>0</v>
      </c>
      <c r="C3961" s="16" t="s">
        <v>3413</v>
      </c>
      <c r="D3961" s="16" t="s">
        <v>3418</v>
      </c>
    </row>
    <row r="3962" spans="1:4">
      <c r="A3962" s="16">
        <v>6610100000</v>
      </c>
      <c r="B3962" s="16">
        <v>0</v>
      </c>
      <c r="C3962" s="16" t="s">
        <v>3413</v>
      </c>
      <c r="D3962" s="16" t="s">
        <v>3414</v>
      </c>
    </row>
    <row r="3963" spans="1:4">
      <c r="A3963" s="16">
        <v>5010100000</v>
      </c>
      <c r="B3963" s="16">
        <v>0</v>
      </c>
      <c r="C3963" s="16" t="s">
        <v>3406</v>
      </c>
      <c r="D3963" s="16" t="s">
        <v>3407</v>
      </c>
    </row>
    <row r="3964" spans="1:4">
      <c r="A3964" s="16">
        <v>6610100000</v>
      </c>
      <c r="B3964" s="16">
        <v>0</v>
      </c>
      <c r="C3964" s="16" t="s">
        <v>3413</v>
      </c>
      <c r="D3964" s="16" t="s">
        <v>3414</v>
      </c>
    </row>
    <row r="3965" spans="1:4">
      <c r="A3965" s="16">
        <v>5010000000</v>
      </c>
      <c r="B3965" s="16">
        <v>79610</v>
      </c>
      <c r="C3965" s="16" t="s">
        <v>3406</v>
      </c>
      <c r="D3965" s="16" t="s">
        <v>3411</v>
      </c>
    </row>
    <row r="3966" spans="1:4">
      <c r="A3966" s="16">
        <v>6030000000</v>
      </c>
      <c r="B3966" s="16">
        <v>0</v>
      </c>
      <c r="C3966" s="16" t="s">
        <v>3420</v>
      </c>
      <c r="D3966" s="16" t="s">
        <v>3423</v>
      </c>
    </row>
    <row r="3967" spans="1:4">
      <c r="A3967" s="16">
        <v>6700200000</v>
      </c>
      <c r="B3967" s="16">
        <v>0</v>
      </c>
      <c r="C3967" s="16" t="s">
        <v>3404</v>
      </c>
      <c r="D3967" s="16" t="s">
        <v>3409</v>
      </c>
    </row>
    <row r="3968" spans="1:4">
      <c r="A3968" s="16">
        <v>6104000000</v>
      </c>
      <c r="B3968" s="16">
        <v>0</v>
      </c>
      <c r="C3968" s="16" t="s">
        <v>3416</v>
      </c>
      <c r="D3968" s="16" t="s">
        <v>3417</v>
      </c>
    </row>
    <row r="3969" spans="1:4">
      <c r="A3969" s="16">
        <v>6700400000</v>
      </c>
      <c r="B3969" s="16">
        <v>0</v>
      </c>
      <c r="C3969" s="16" t="s">
        <v>3404</v>
      </c>
      <c r="D3969" s="16" t="s">
        <v>3405</v>
      </c>
    </row>
    <row r="3970" spans="1:4">
      <c r="A3970" s="16">
        <v>5010000010</v>
      </c>
      <c r="B3970" s="16">
        <v>0</v>
      </c>
      <c r="C3970" s="16" t="s">
        <v>3406</v>
      </c>
      <c r="D3970" s="16" t="s">
        <v>3411</v>
      </c>
    </row>
    <row r="3971" spans="1:4">
      <c r="A3971" s="16">
        <v>4203000000</v>
      </c>
      <c r="B3971" s="16">
        <v>0</v>
      </c>
      <c r="C3971" s="16" t="s">
        <v>3408</v>
      </c>
      <c r="D3971" s="16" t="s">
        <v>3403</v>
      </c>
    </row>
    <row r="3972" spans="1:4">
      <c r="A3972" s="16">
        <v>3102000000</v>
      </c>
      <c r="B3972" s="16">
        <v>-83326</v>
      </c>
      <c r="C3972" s="16" t="s">
        <v>3424</v>
      </c>
      <c r="D3972" s="16" t="s">
        <v>3403</v>
      </c>
    </row>
    <row r="3973" spans="1:4">
      <c r="A3973" s="16">
        <v>3710000000</v>
      </c>
      <c r="B3973" s="16">
        <v>0</v>
      </c>
      <c r="C3973" s="16" t="s">
        <v>3402</v>
      </c>
      <c r="D3973" s="16" t="s">
        <v>3403</v>
      </c>
    </row>
    <row r="3974" spans="1:4">
      <c r="A3974" s="16">
        <v>6700600000</v>
      </c>
      <c r="B3974" s="16">
        <v>0</v>
      </c>
      <c r="C3974" s="16" t="s">
        <v>3404</v>
      </c>
      <c r="D3974" s="16" t="s">
        <v>3409</v>
      </c>
    </row>
    <row r="3975" spans="1:4">
      <c r="A3975" s="16">
        <v>6150000000</v>
      </c>
      <c r="B3975" s="16">
        <v>0</v>
      </c>
      <c r="C3975" s="16" t="s">
        <v>3416</v>
      </c>
      <c r="D3975" s="16" t="s">
        <v>3417</v>
      </c>
    </row>
    <row r="3976" spans="1:4">
      <c r="A3976" s="16">
        <v>6700200000</v>
      </c>
      <c r="B3976" s="16">
        <v>472601348</v>
      </c>
      <c r="C3976" s="16" t="s">
        <v>3404</v>
      </c>
      <c r="D3976" s="16" t="s">
        <v>3409</v>
      </c>
    </row>
    <row r="3977" spans="1:4">
      <c r="A3977" s="16">
        <v>2201400000</v>
      </c>
      <c r="B3977" s="16">
        <v>1762355</v>
      </c>
      <c r="C3977" s="16" t="s">
        <v>3415</v>
      </c>
      <c r="D3977" s="16" t="s">
        <v>3403</v>
      </c>
    </row>
    <row r="3978" spans="1:4">
      <c r="A3978" s="16">
        <v>2750010000</v>
      </c>
      <c r="B3978" s="16">
        <v>0</v>
      </c>
      <c r="C3978" s="16" t="s">
        <v>3419</v>
      </c>
      <c r="D3978" s="16" t="s">
        <v>3403</v>
      </c>
    </row>
    <row r="3979" spans="1:4">
      <c r="A3979" s="16">
        <v>5052000000</v>
      </c>
      <c r="B3979" s="16">
        <v>0</v>
      </c>
      <c r="C3979" s="16" t="s">
        <v>3406</v>
      </c>
      <c r="D3979" s="16" t="s">
        <v>3422</v>
      </c>
    </row>
    <row r="3980" spans="1:4">
      <c r="A3980" s="16">
        <v>4203000000</v>
      </c>
      <c r="B3980" s="16">
        <v>0</v>
      </c>
      <c r="C3980" s="16" t="s">
        <v>3408</v>
      </c>
      <c r="D3980" s="16" t="s">
        <v>3403</v>
      </c>
    </row>
    <row r="3981" spans="1:4">
      <c r="A3981" s="16">
        <v>4203000000</v>
      </c>
      <c r="B3981" s="16">
        <v>0</v>
      </c>
      <c r="C3981" s="16" t="s">
        <v>3408</v>
      </c>
      <c r="D3981" s="16" t="s">
        <v>3403</v>
      </c>
    </row>
    <row r="3982" spans="1:4">
      <c r="A3982" s="16">
        <v>3030000000</v>
      </c>
      <c r="B3982" s="16">
        <v>0</v>
      </c>
      <c r="C3982" s="16" t="s">
        <v>3402</v>
      </c>
      <c r="D3982" s="16" t="s">
        <v>3403</v>
      </c>
    </row>
    <row r="3983" spans="1:4">
      <c r="A3983" s="16">
        <v>6610000000</v>
      </c>
      <c r="B3983" s="16">
        <v>0</v>
      </c>
      <c r="C3983" s="16" t="s">
        <v>3413</v>
      </c>
      <c r="D3983" s="16" t="s">
        <v>3418</v>
      </c>
    </row>
    <row r="3984" spans="1:4">
      <c r="A3984" s="16">
        <v>3032000000</v>
      </c>
      <c r="B3984" s="16">
        <v>0</v>
      </c>
      <c r="C3984" s="16" t="s">
        <v>3424</v>
      </c>
      <c r="D3984" s="16" t="s">
        <v>3403</v>
      </c>
    </row>
    <row r="3985" spans="1:4">
      <c r="A3985" s="16">
        <v>3103000000</v>
      </c>
      <c r="B3985" s="16">
        <v>0</v>
      </c>
      <c r="C3985" s="16" t="s">
        <v>3402</v>
      </c>
      <c r="D3985" s="16" t="s">
        <v>3403</v>
      </c>
    </row>
    <row r="3986" spans="1:4">
      <c r="A3986" s="16">
        <v>3710000000</v>
      </c>
      <c r="B3986" s="16">
        <v>0</v>
      </c>
      <c r="C3986" s="16" t="s">
        <v>3402</v>
      </c>
      <c r="D3986" s="16" t="s">
        <v>3403</v>
      </c>
    </row>
    <row r="3987" spans="1:4">
      <c r="A3987" s="16">
        <v>6102000000</v>
      </c>
      <c r="B3987" s="16">
        <v>83326</v>
      </c>
      <c r="C3987" s="16" t="s">
        <v>3425</v>
      </c>
      <c r="D3987" s="16" t="s">
        <v>3426</v>
      </c>
    </row>
    <row r="3988" spans="1:4">
      <c r="A3988" s="16">
        <v>6700400000</v>
      </c>
      <c r="B3988" s="16">
        <v>0</v>
      </c>
      <c r="C3988" s="16" t="s">
        <v>3404</v>
      </c>
      <c r="D3988" s="16" t="s">
        <v>3405</v>
      </c>
    </row>
    <row r="3989" spans="1:4">
      <c r="A3989" s="16">
        <v>3510000000</v>
      </c>
      <c r="B3989" s="16">
        <v>0</v>
      </c>
      <c r="C3989" s="16" t="s">
        <v>3402</v>
      </c>
      <c r="D3989" s="16" t="s">
        <v>3403</v>
      </c>
    </row>
    <row r="3990" spans="1:4">
      <c r="A3990" s="16">
        <v>6700200000</v>
      </c>
      <c r="B3990" s="16">
        <v>0</v>
      </c>
      <c r="C3990" s="16" t="s">
        <v>3404</v>
      </c>
      <c r="D3990" s="16" t="s">
        <v>3409</v>
      </c>
    </row>
    <row r="3991" spans="1:4">
      <c r="A3991" s="16">
        <v>6700000000</v>
      </c>
      <c r="B3991" s="16">
        <v>-472601348</v>
      </c>
      <c r="C3991" s="16" t="s">
        <v>3404</v>
      </c>
      <c r="D3991" s="16" t="s">
        <v>3405</v>
      </c>
    </row>
    <row r="3992" spans="1:4">
      <c r="A3992" s="16">
        <v>6700700000</v>
      </c>
      <c r="B3992" s="16">
        <v>-1762355</v>
      </c>
      <c r="C3992" s="16" t="s">
        <v>3404</v>
      </c>
      <c r="D3992" s="16" t="s">
        <v>3409</v>
      </c>
    </row>
    <row r="3993" spans="1:4">
      <c r="A3993" s="16">
        <v>6610100000</v>
      </c>
      <c r="B3993" s="16">
        <v>0</v>
      </c>
      <c r="C3993" s="16" t="s">
        <v>3413</v>
      </c>
      <c r="D3993" s="16" t="s">
        <v>3414</v>
      </c>
    </row>
    <row r="3994" spans="1:4">
      <c r="A3994" s="16">
        <v>6100000000</v>
      </c>
      <c r="B3994" s="16">
        <v>0</v>
      </c>
      <c r="C3994" s="16" t="s">
        <v>3427</v>
      </c>
      <c r="D3994" s="16" t="s">
        <v>3417</v>
      </c>
    </row>
    <row r="3995" spans="1:4">
      <c r="A3995" s="16">
        <v>6610100100</v>
      </c>
      <c r="B3995" s="16">
        <v>0</v>
      </c>
      <c r="C3995" s="16" t="s">
        <v>3413</v>
      </c>
      <c r="D3995" s="16" t="s">
        <v>3414</v>
      </c>
    </row>
    <row r="3996" spans="1:4">
      <c r="A3996" s="16">
        <v>6700700000</v>
      </c>
      <c r="B3996" s="16">
        <v>0</v>
      </c>
      <c r="C3996" s="16" t="s">
        <v>3404</v>
      </c>
      <c r="D3996" s="16" t="s">
        <v>3409</v>
      </c>
    </row>
    <row r="3997" spans="1:4">
      <c r="A3997" s="16">
        <v>5010000010</v>
      </c>
      <c r="B3997" s="16">
        <v>0</v>
      </c>
      <c r="C3997" s="16" t="s">
        <v>3406</v>
      </c>
      <c r="D3997" s="16" t="s">
        <v>3411</v>
      </c>
    </row>
    <row r="3998" spans="1:4">
      <c r="A3998" s="16">
        <v>2500000000</v>
      </c>
      <c r="B3998" s="16">
        <v>1301702</v>
      </c>
      <c r="C3998" s="16" t="s">
        <v>3412</v>
      </c>
      <c r="D3998" s="16" t="s">
        <v>3403</v>
      </c>
    </row>
    <row r="3999" spans="1:4">
      <c r="A3999" s="16">
        <v>4203000000</v>
      </c>
      <c r="B3999" s="16">
        <v>0</v>
      </c>
      <c r="C3999" s="16" t="s">
        <v>3408</v>
      </c>
      <c r="D3999" s="16" t="s">
        <v>3403</v>
      </c>
    </row>
    <row r="4000" spans="1:4">
      <c r="A4000" s="16">
        <v>6700700000</v>
      </c>
      <c r="B4000" s="16">
        <v>0</v>
      </c>
      <c r="C4000" s="16" t="s">
        <v>3404</v>
      </c>
      <c r="D4000" s="16" t="s">
        <v>3409</v>
      </c>
    </row>
    <row r="4001" spans="1:4">
      <c r="A4001" s="16">
        <v>6032000000</v>
      </c>
      <c r="B4001" s="16">
        <v>0</v>
      </c>
      <c r="C4001" s="16" t="s">
        <v>3429</v>
      </c>
      <c r="D4001" s="16" t="s">
        <v>3430</v>
      </c>
    </row>
    <row r="4002" spans="1:4">
      <c r="A4002" s="16">
        <v>3032000000</v>
      </c>
      <c r="B4002" s="16">
        <v>0</v>
      </c>
      <c r="C4002" s="16" t="s">
        <v>3424</v>
      </c>
      <c r="D4002" s="16" t="s">
        <v>3403</v>
      </c>
    </row>
    <row r="4003" spans="1:4">
      <c r="A4003" s="16">
        <v>6700100000</v>
      </c>
      <c r="B4003" s="16">
        <v>0</v>
      </c>
      <c r="C4003" s="16" t="s">
        <v>3404</v>
      </c>
      <c r="D4003" s="16" t="s">
        <v>3410</v>
      </c>
    </row>
    <row r="4004" spans="1:4">
      <c r="A4004" s="16">
        <v>4203000000</v>
      </c>
      <c r="B4004" s="16">
        <v>0</v>
      </c>
      <c r="C4004" s="16" t="s">
        <v>3408</v>
      </c>
      <c r="D4004" s="16" t="s">
        <v>3403</v>
      </c>
    </row>
    <row r="4005" spans="1:4">
      <c r="A4005" s="16">
        <v>3100000000</v>
      </c>
      <c r="B4005" s="16">
        <v>0</v>
      </c>
      <c r="C4005" s="16" t="s">
        <v>3402</v>
      </c>
      <c r="D4005" s="16" t="s">
        <v>3403</v>
      </c>
    </row>
    <row r="4006" spans="1:4">
      <c r="A4006" s="16">
        <v>6700500000</v>
      </c>
      <c r="B4006" s="16">
        <v>0</v>
      </c>
      <c r="C4006" s="16" t="s">
        <v>3404</v>
      </c>
      <c r="D4006" s="16" t="s">
        <v>3405</v>
      </c>
    </row>
    <row r="4007" spans="1:4">
      <c r="A4007" s="16">
        <v>3710000000</v>
      </c>
      <c r="B4007" s="16">
        <v>0</v>
      </c>
      <c r="C4007" s="16" t="s">
        <v>3402</v>
      </c>
      <c r="D4007" s="16" t="s">
        <v>3403</v>
      </c>
    </row>
    <row r="4008" spans="1:4">
      <c r="A4008" s="16">
        <v>5010100000</v>
      </c>
      <c r="B4008" s="16">
        <v>-1301702</v>
      </c>
      <c r="C4008" s="16" t="s">
        <v>3406</v>
      </c>
      <c r="D4008" s="16" t="s">
        <v>3407</v>
      </c>
    </row>
    <row r="4009" spans="1:4">
      <c r="A4009" s="16">
        <v>6700200000</v>
      </c>
      <c r="B4009" s="16">
        <v>0</v>
      </c>
      <c r="C4009" s="16" t="s">
        <v>3404</v>
      </c>
      <c r="D4009" s="16" t="s">
        <v>3409</v>
      </c>
    </row>
    <row r="4010" spans="1:4">
      <c r="A4010" s="16">
        <v>6700500000</v>
      </c>
      <c r="B4010" s="16">
        <v>0</v>
      </c>
      <c r="C4010" s="16" t="s">
        <v>3404</v>
      </c>
      <c r="D4010" s="16" t="s">
        <v>3405</v>
      </c>
    </row>
    <row r="4011" spans="1:4">
      <c r="A4011" s="16">
        <v>2201000000</v>
      </c>
      <c r="B4011" s="16">
        <v>0</v>
      </c>
      <c r="C4011" s="16" t="s">
        <v>3415</v>
      </c>
      <c r="D4011" s="16" t="s">
        <v>3403</v>
      </c>
    </row>
    <row r="4012" spans="1:4">
      <c r="A4012" s="16">
        <v>5050010000</v>
      </c>
      <c r="B4012" s="16">
        <v>0</v>
      </c>
      <c r="C4012" s="16" t="s">
        <v>3406</v>
      </c>
      <c r="D4012" s="16" t="s">
        <v>3422</v>
      </c>
    </row>
    <row r="4013" spans="1:4">
      <c r="A4013" s="16">
        <v>6700200000</v>
      </c>
      <c r="B4013" s="16">
        <v>0</v>
      </c>
      <c r="C4013" s="16" t="s">
        <v>3404</v>
      </c>
      <c r="D4013" s="16" t="s">
        <v>3409</v>
      </c>
    </row>
    <row r="4014" spans="1:4">
      <c r="A4014" s="16">
        <v>6100000000</v>
      </c>
      <c r="B4014" s="16">
        <v>0</v>
      </c>
      <c r="C4014" s="16" t="s">
        <v>3427</v>
      </c>
      <c r="D4014" s="16" t="s">
        <v>3417</v>
      </c>
    </row>
    <row r="4015" spans="1:4">
      <c r="A4015" s="16">
        <v>6100000000</v>
      </c>
      <c r="B4015" s="16">
        <v>0</v>
      </c>
      <c r="C4015" s="16" t="s">
        <v>3416</v>
      </c>
      <c r="D4015" s="16" t="s">
        <v>3417</v>
      </c>
    </row>
    <row r="4016" spans="1:4">
      <c r="A4016" s="16">
        <v>6100000000</v>
      </c>
      <c r="B4016" s="16">
        <v>4457616</v>
      </c>
      <c r="C4016" s="16" t="s">
        <v>3416</v>
      </c>
      <c r="D4016" s="16" t="s">
        <v>3417</v>
      </c>
    </row>
    <row r="4017" spans="1:4">
      <c r="A4017" s="16">
        <v>6700200000</v>
      </c>
      <c r="B4017" s="16">
        <v>1800</v>
      </c>
      <c r="C4017" s="16" t="s">
        <v>3404</v>
      </c>
      <c r="D4017" s="16" t="s">
        <v>3409</v>
      </c>
    </row>
    <row r="4018" spans="1:4">
      <c r="A4018" s="16">
        <v>6032000000</v>
      </c>
      <c r="B4018" s="16">
        <v>0</v>
      </c>
      <c r="C4018" s="16" t="s">
        <v>3429</v>
      </c>
      <c r="D4018" s="16" t="s">
        <v>3430</v>
      </c>
    </row>
    <row r="4019" spans="1:4">
      <c r="A4019" s="16">
        <v>3102000000</v>
      </c>
      <c r="B4019" s="16">
        <v>0</v>
      </c>
      <c r="C4019" s="16" t="s">
        <v>3424</v>
      </c>
      <c r="D4019" s="16" t="s">
        <v>3403</v>
      </c>
    </row>
    <row r="4020" spans="1:4">
      <c r="A4020" s="16">
        <v>2750010000</v>
      </c>
      <c r="B4020" s="16">
        <v>10463</v>
      </c>
      <c r="C4020" s="16" t="s">
        <v>3419</v>
      </c>
      <c r="D4020" s="16" t="s">
        <v>3403</v>
      </c>
    </row>
    <row r="4021" spans="1:4">
      <c r="A4021" s="16">
        <v>2500000000</v>
      </c>
      <c r="B4021" s="16">
        <v>0</v>
      </c>
      <c r="C4021" s="16" t="s">
        <v>3412</v>
      </c>
      <c r="D4021" s="16" t="s">
        <v>3403</v>
      </c>
    </row>
    <row r="4022" spans="1:4">
      <c r="A4022" s="16">
        <v>6030000000</v>
      </c>
      <c r="B4022" s="16">
        <v>0</v>
      </c>
      <c r="C4022" s="16" t="s">
        <v>3420</v>
      </c>
      <c r="D4022" s="16" t="s">
        <v>3423</v>
      </c>
    </row>
    <row r="4023" spans="1:4">
      <c r="A4023" s="16">
        <v>6700100000</v>
      </c>
      <c r="B4023" s="16">
        <v>0</v>
      </c>
      <c r="C4023" s="16" t="s">
        <v>3404</v>
      </c>
      <c r="D4023" s="16" t="s">
        <v>3410</v>
      </c>
    </row>
    <row r="4024" spans="1:4">
      <c r="A4024" s="16">
        <v>6700200000</v>
      </c>
      <c r="B4024" s="16">
        <v>0</v>
      </c>
      <c r="C4024" s="16" t="s">
        <v>3404</v>
      </c>
      <c r="D4024" s="16" t="s">
        <v>3409</v>
      </c>
    </row>
    <row r="4025" spans="1:4">
      <c r="A4025" s="16">
        <v>5050000000</v>
      </c>
      <c r="B4025" s="16">
        <v>0</v>
      </c>
      <c r="C4025" s="16" t="s">
        <v>3406</v>
      </c>
      <c r="D4025" s="16" t="s">
        <v>3422</v>
      </c>
    </row>
    <row r="4026" spans="1:4">
      <c r="A4026" s="16">
        <v>6700100000</v>
      </c>
      <c r="B4026" s="16">
        <v>0</v>
      </c>
      <c r="C4026" s="16" t="s">
        <v>3404</v>
      </c>
      <c r="D4026" s="16" t="s">
        <v>3410</v>
      </c>
    </row>
    <row r="4027" spans="1:4">
      <c r="A4027" s="16">
        <v>3100000000</v>
      </c>
      <c r="B4027" s="16">
        <v>0</v>
      </c>
      <c r="C4027" s="16" t="s">
        <v>3402</v>
      </c>
      <c r="D4027" s="16" t="s">
        <v>3403</v>
      </c>
    </row>
    <row r="4028" spans="1:4">
      <c r="A4028" s="16">
        <v>2201000030</v>
      </c>
      <c r="B4028" s="16">
        <v>0</v>
      </c>
      <c r="C4028" s="16" t="s">
        <v>3415</v>
      </c>
      <c r="D4028" s="16" t="s">
        <v>3403</v>
      </c>
    </row>
    <row r="4029" spans="1:4">
      <c r="A4029" s="16">
        <v>4010100000</v>
      </c>
      <c r="B4029" s="16">
        <v>0</v>
      </c>
      <c r="C4029" s="16" t="s">
        <v>3431</v>
      </c>
      <c r="D4029" s="16" t="s">
        <v>3403</v>
      </c>
    </row>
    <row r="4030" spans="1:4">
      <c r="A4030" s="16">
        <v>6700200000</v>
      </c>
      <c r="B4030" s="16">
        <v>33615333</v>
      </c>
      <c r="C4030" s="16" t="s">
        <v>3404</v>
      </c>
      <c r="D4030" s="16" t="s">
        <v>3409</v>
      </c>
    </row>
    <row r="4031" spans="1:4">
      <c r="A4031" s="16">
        <v>6700600000</v>
      </c>
      <c r="B4031" s="16">
        <v>0</v>
      </c>
      <c r="C4031" s="16" t="s">
        <v>3404</v>
      </c>
      <c r="D4031" s="16" t="s">
        <v>3409</v>
      </c>
    </row>
    <row r="4032" spans="1:4">
      <c r="A4032" s="16">
        <v>3100000000</v>
      </c>
      <c r="B4032" s="16">
        <v>-4457616</v>
      </c>
      <c r="C4032" s="16" t="s">
        <v>3402</v>
      </c>
      <c r="D4032" s="16" t="s">
        <v>3403</v>
      </c>
    </row>
    <row r="4033" spans="1:4">
      <c r="A4033" s="16">
        <v>6700000000</v>
      </c>
      <c r="B4033" s="16">
        <v>-1800</v>
      </c>
      <c r="C4033" s="16" t="s">
        <v>3404</v>
      </c>
      <c r="D4033" s="16" t="s">
        <v>3405</v>
      </c>
    </row>
    <row r="4034" spans="1:4">
      <c r="A4034" s="16">
        <v>6102000000</v>
      </c>
      <c r="B4034" s="16">
        <v>0</v>
      </c>
      <c r="C4034" s="16" t="s">
        <v>3425</v>
      </c>
      <c r="D4034" s="16" t="s">
        <v>3426</v>
      </c>
    </row>
    <row r="4035" spans="1:4">
      <c r="A4035" s="16">
        <v>2500000000</v>
      </c>
      <c r="B4035" s="16">
        <v>0</v>
      </c>
      <c r="C4035" s="16" t="s">
        <v>3412</v>
      </c>
      <c r="D4035" s="16" t="s">
        <v>3403</v>
      </c>
    </row>
    <row r="4036" spans="1:4">
      <c r="A4036" s="16">
        <v>6610100100</v>
      </c>
      <c r="B4036" s="16">
        <v>-10463</v>
      </c>
      <c r="C4036" s="16" t="s">
        <v>3413</v>
      </c>
      <c r="D4036" s="16" t="s">
        <v>3414</v>
      </c>
    </row>
    <row r="4037" spans="1:4">
      <c r="A4037" s="16">
        <v>6610000000</v>
      </c>
      <c r="B4037" s="16">
        <v>0</v>
      </c>
      <c r="C4037" s="16" t="s">
        <v>3413</v>
      </c>
      <c r="D4037" s="16" t="s">
        <v>3418</v>
      </c>
    </row>
    <row r="4038" spans="1:4">
      <c r="A4038" s="16">
        <v>5010100000</v>
      </c>
      <c r="B4038" s="16">
        <v>0</v>
      </c>
      <c r="C4038" s="16" t="s">
        <v>3406</v>
      </c>
      <c r="D4038" s="16" t="s">
        <v>3407</v>
      </c>
    </row>
    <row r="4039" spans="1:4">
      <c r="A4039" s="16">
        <v>3030000000</v>
      </c>
      <c r="B4039" s="16">
        <v>0</v>
      </c>
      <c r="C4039" s="16" t="s">
        <v>3402</v>
      </c>
      <c r="D4039" s="16" t="s">
        <v>3403</v>
      </c>
    </row>
    <row r="4040" spans="1:4">
      <c r="A4040" s="16">
        <v>3032000000</v>
      </c>
      <c r="B4040" s="16">
        <v>0</v>
      </c>
      <c r="C4040" s="16" t="s">
        <v>3424</v>
      </c>
      <c r="D4040" s="16" t="s">
        <v>3403</v>
      </c>
    </row>
    <row r="4041" spans="1:4">
      <c r="A4041" s="16">
        <v>6700200000</v>
      </c>
      <c r="B4041" s="16">
        <v>0</v>
      </c>
      <c r="C4041" s="16" t="s">
        <v>3404</v>
      </c>
      <c r="D4041" s="16" t="s">
        <v>3409</v>
      </c>
    </row>
    <row r="4042" spans="1:4">
      <c r="A4042" s="16">
        <v>6610000000</v>
      </c>
      <c r="B4042" s="16">
        <v>0</v>
      </c>
      <c r="C4042" s="16" t="s">
        <v>3413</v>
      </c>
      <c r="D4042" s="16" t="s">
        <v>3418</v>
      </c>
    </row>
    <row r="4043" spans="1:4">
      <c r="A4043" s="16">
        <v>5010100010</v>
      </c>
      <c r="B4043" s="16">
        <v>0</v>
      </c>
      <c r="C4043" s="16" t="s">
        <v>3406</v>
      </c>
      <c r="D4043" s="16" t="s">
        <v>3407</v>
      </c>
    </row>
    <row r="4044" spans="1:4">
      <c r="A4044" s="16">
        <v>2750010000</v>
      </c>
      <c r="B4044" s="16">
        <v>0</v>
      </c>
      <c r="C4044" s="16" t="s">
        <v>3419</v>
      </c>
      <c r="D4044" s="16" t="s">
        <v>3403</v>
      </c>
    </row>
    <row r="4045" spans="1:4">
      <c r="A4045" s="16">
        <v>6700200000</v>
      </c>
      <c r="B4045" s="16">
        <v>0</v>
      </c>
      <c r="C4045" s="16" t="s">
        <v>3404</v>
      </c>
      <c r="D4045" s="16" t="s">
        <v>3409</v>
      </c>
    </row>
    <row r="4046" spans="1:4">
      <c r="A4046" s="16">
        <v>6700100000</v>
      </c>
      <c r="B4046" s="16">
        <v>-33615333</v>
      </c>
      <c r="C4046" s="16" t="s">
        <v>3404</v>
      </c>
      <c r="D4046" s="16" t="s">
        <v>3410</v>
      </c>
    </row>
    <row r="4047" spans="1:4">
      <c r="A4047" s="16">
        <v>6700400000</v>
      </c>
      <c r="B4047" s="16">
        <v>0</v>
      </c>
      <c r="C4047" s="16" t="s">
        <v>3404</v>
      </c>
      <c r="D4047" s="16" t="s">
        <v>3405</v>
      </c>
    </row>
    <row r="4048" spans="1:4">
      <c r="A4048" s="16">
        <v>6610100000</v>
      </c>
      <c r="B4048" s="16">
        <v>2202</v>
      </c>
      <c r="C4048" s="16" t="s">
        <v>3413</v>
      </c>
      <c r="D4048" s="16" t="s">
        <v>3414</v>
      </c>
    </row>
    <row r="4049" spans="1:4">
      <c r="A4049" s="16">
        <v>5010000000</v>
      </c>
      <c r="B4049" s="16">
        <v>0</v>
      </c>
      <c r="C4049" s="16" t="s">
        <v>3406</v>
      </c>
      <c r="D4049" s="16" t="s">
        <v>3411</v>
      </c>
    </row>
    <row r="4050" spans="1:4">
      <c r="A4050" s="16">
        <v>6100000000</v>
      </c>
      <c r="B4050" s="16">
        <v>0</v>
      </c>
      <c r="C4050" s="16" t="s">
        <v>3416</v>
      </c>
      <c r="D4050" s="16" t="s">
        <v>3417</v>
      </c>
    </row>
    <row r="4051" spans="1:4">
      <c r="A4051" s="16">
        <v>6700200000</v>
      </c>
      <c r="B4051" s="16">
        <v>0</v>
      </c>
      <c r="C4051" s="16" t="s">
        <v>3404</v>
      </c>
      <c r="D4051" s="16" t="s">
        <v>3409</v>
      </c>
    </row>
    <row r="4052" spans="1:4">
      <c r="A4052" s="16">
        <v>2201000000</v>
      </c>
      <c r="B4052" s="16">
        <v>0</v>
      </c>
      <c r="C4052" s="16" t="s">
        <v>3415</v>
      </c>
      <c r="D4052" s="16" t="s">
        <v>3403</v>
      </c>
    </row>
    <row r="4053" spans="1:4">
      <c r="A4053" s="16">
        <v>6030000000</v>
      </c>
      <c r="B4053" s="16">
        <v>721111</v>
      </c>
      <c r="C4053" s="16" t="s">
        <v>3420</v>
      </c>
      <c r="D4053" s="16" t="s">
        <v>3423</v>
      </c>
    </row>
    <row r="4054" spans="1:4">
      <c r="A4054" s="16">
        <v>6104000000</v>
      </c>
      <c r="B4054" s="16">
        <v>0</v>
      </c>
      <c r="C4054" s="16" t="s">
        <v>3416</v>
      </c>
      <c r="D4054" s="16" t="s">
        <v>3417</v>
      </c>
    </row>
    <row r="4055" spans="1:4">
      <c r="A4055" s="16">
        <v>4203000000</v>
      </c>
      <c r="B4055" s="16">
        <v>0</v>
      </c>
      <c r="C4055" s="16" t="s">
        <v>3408</v>
      </c>
      <c r="D4055" s="16" t="s">
        <v>3403</v>
      </c>
    </row>
    <row r="4056" spans="1:4">
      <c r="A4056" s="16">
        <v>6032000000</v>
      </c>
      <c r="B4056" s="16">
        <v>0</v>
      </c>
      <c r="C4056" s="16" t="s">
        <v>3429</v>
      </c>
      <c r="D4056" s="16" t="s">
        <v>3430</v>
      </c>
    </row>
    <row r="4057" spans="1:4">
      <c r="A4057" s="16">
        <v>6700000000</v>
      </c>
      <c r="B4057" s="16">
        <v>0</v>
      </c>
      <c r="C4057" s="16" t="s">
        <v>3404</v>
      </c>
      <c r="D4057" s="16" t="s">
        <v>3405</v>
      </c>
    </row>
    <row r="4058" spans="1:4">
      <c r="A4058" s="16">
        <v>6700700000</v>
      </c>
      <c r="B4058" s="16">
        <v>0</v>
      </c>
      <c r="C4058" s="16" t="s">
        <v>3404</v>
      </c>
      <c r="D4058" s="16" t="s">
        <v>3409</v>
      </c>
    </row>
    <row r="4059" spans="1:4">
      <c r="A4059" s="16">
        <v>4203000000</v>
      </c>
      <c r="B4059" s="16">
        <v>0</v>
      </c>
      <c r="C4059" s="16" t="s">
        <v>3408</v>
      </c>
      <c r="D4059" s="16" t="s">
        <v>3403</v>
      </c>
    </row>
    <row r="4060" spans="1:4">
      <c r="A4060" s="16">
        <v>3710000000</v>
      </c>
      <c r="B4060" s="16">
        <v>0</v>
      </c>
      <c r="C4060" s="16" t="s">
        <v>3402</v>
      </c>
      <c r="D4060" s="16" t="s">
        <v>3403</v>
      </c>
    </row>
    <row r="4061" spans="1:4">
      <c r="A4061" s="16">
        <v>6610100100</v>
      </c>
      <c r="B4061" s="16">
        <v>0</v>
      </c>
      <c r="C4061" s="16" t="s">
        <v>3413</v>
      </c>
      <c r="D4061" s="16" t="s">
        <v>3414</v>
      </c>
    </row>
    <row r="4062" spans="1:4">
      <c r="A4062" s="16">
        <v>6700200000</v>
      </c>
      <c r="B4062" s="16">
        <v>0</v>
      </c>
      <c r="C4062" s="16" t="s">
        <v>3404</v>
      </c>
      <c r="D4062" s="16" t="s">
        <v>3409</v>
      </c>
    </row>
    <row r="4063" spans="1:4">
      <c r="A4063" s="16">
        <v>4203000000</v>
      </c>
      <c r="B4063" s="16">
        <v>-2202</v>
      </c>
      <c r="C4063" s="16" t="s">
        <v>3408</v>
      </c>
      <c r="D4063" s="16" t="s">
        <v>3403</v>
      </c>
    </row>
    <row r="4064" spans="1:4">
      <c r="A4064" s="16">
        <v>3100000000</v>
      </c>
      <c r="B4064" s="16">
        <v>0</v>
      </c>
      <c r="C4064" s="16" t="s">
        <v>3402</v>
      </c>
      <c r="D4064" s="16" t="s">
        <v>3403</v>
      </c>
    </row>
    <row r="4065" spans="1:4">
      <c r="A4065" s="16">
        <v>6700000000</v>
      </c>
      <c r="B4065" s="16">
        <v>0</v>
      </c>
      <c r="C4065" s="16" t="s">
        <v>3404</v>
      </c>
      <c r="D4065" s="16" t="s">
        <v>3405</v>
      </c>
    </row>
    <row r="4066" spans="1:4">
      <c r="A4066" s="16">
        <v>6700200000</v>
      </c>
      <c r="B4066" s="16">
        <v>0</v>
      </c>
      <c r="C4066" s="16" t="s">
        <v>3404</v>
      </c>
      <c r="D4066" s="16" t="s">
        <v>3409</v>
      </c>
    </row>
    <row r="4067" spans="1:4">
      <c r="A4067" s="16">
        <v>3030000000</v>
      </c>
      <c r="B4067" s="16">
        <v>-721111</v>
      </c>
      <c r="C4067" s="16" t="s">
        <v>3402</v>
      </c>
      <c r="D4067" s="16" t="s">
        <v>3403</v>
      </c>
    </row>
    <row r="4068" spans="1:4">
      <c r="A4068" s="16">
        <v>3103000000</v>
      </c>
      <c r="B4068" s="16">
        <v>0</v>
      </c>
      <c r="C4068" s="16" t="s">
        <v>3402</v>
      </c>
      <c r="D4068" s="16" t="s">
        <v>3403</v>
      </c>
    </row>
    <row r="4069" spans="1:4">
      <c r="A4069" s="16">
        <v>2500000000</v>
      </c>
      <c r="B4069" s="16">
        <v>0</v>
      </c>
      <c r="C4069" s="16" t="s">
        <v>3412</v>
      </c>
      <c r="D4069" s="16" t="s">
        <v>3403</v>
      </c>
    </row>
    <row r="4070" spans="1:4">
      <c r="A4070" s="16">
        <v>6700500000</v>
      </c>
      <c r="B4070" s="16">
        <v>0</v>
      </c>
      <c r="C4070" s="16" t="s">
        <v>3404</v>
      </c>
      <c r="D4070" s="16" t="s">
        <v>3405</v>
      </c>
    </row>
    <row r="4071" spans="1:4">
      <c r="A4071" s="16">
        <v>6700600000</v>
      </c>
      <c r="B4071" s="16">
        <v>0</v>
      </c>
      <c r="C4071" s="16" t="s">
        <v>3404</v>
      </c>
      <c r="D4071" s="16" t="s">
        <v>3409</v>
      </c>
    </row>
    <row r="4072" spans="1:4">
      <c r="A4072" s="16">
        <v>6610100000</v>
      </c>
      <c r="B4072" s="16">
        <v>0</v>
      </c>
      <c r="C4072" s="16" t="s">
        <v>3413</v>
      </c>
      <c r="D4072" s="16" t="s">
        <v>3414</v>
      </c>
    </row>
    <row r="4073" spans="1:4">
      <c r="A4073" s="16">
        <v>6104000000</v>
      </c>
      <c r="B4073" s="16">
        <v>253489813</v>
      </c>
      <c r="C4073" s="16" t="s">
        <v>3427</v>
      </c>
      <c r="D4073" s="16" t="s">
        <v>3417</v>
      </c>
    </row>
    <row r="4074" spans="1:4">
      <c r="A4074" s="16">
        <v>6700200000</v>
      </c>
      <c r="B4074" s="16">
        <v>5710</v>
      </c>
      <c r="C4074" s="16" t="s">
        <v>3404</v>
      </c>
      <c r="D4074" s="16" t="s">
        <v>3409</v>
      </c>
    </row>
    <row r="4075" spans="1:4">
      <c r="A4075" s="16">
        <v>5052010000</v>
      </c>
      <c r="B4075" s="16">
        <v>0</v>
      </c>
      <c r="C4075" s="16" t="s">
        <v>3406</v>
      </c>
      <c r="D4075" s="16" t="s">
        <v>3422</v>
      </c>
    </row>
    <row r="4076" spans="1:4">
      <c r="A4076" s="16">
        <v>6700000000</v>
      </c>
      <c r="B4076" s="16">
        <v>0</v>
      </c>
      <c r="C4076" s="16" t="s">
        <v>3404</v>
      </c>
      <c r="D4076" s="16" t="s">
        <v>3405</v>
      </c>
    </row>
    <row r="4077" spans="1:4">
      <c r="A4077" s="16">
        <v>5050000000</v>
      </c>
      <c r="B4077" s="16">
        <v>0</v>
      </c>
      <c r="C4077" s="16" t="s">
        <v>3406</v>
      </c>
      <c r="D4077" s="16" t="s">
        <v>3422</v>
      </c>
    </row>
    <row r="4078" spans="1:4">
      <c r="A4078" s="16">
        <v>6700700000</v>
      </c>
      <c r="B4078" s="16">
        <v>9045899</v>
      </c>
      <c r="C4078" s="16" t="s">
        <v>3404</v>
      </c>
      <c r="D4078" s="16" t="s">
        <v>3409</v>
      </c>
    </row>
    <row r="4079" spans="1:4">
      <c r="A4079" s="16">
        <v>2201000030</v>
      </c>
      <c r="B4079" s="16">
        <v>31009553</v>
      </c>
      <c r="C4079" s="16" t="s">
        <v>3415</v>
      </c>
      <c r="D4079" s="16" t="s">
        <v>3403</v>
      </c>
    </row>
    <row r="4080" spans="1:4">
      <c r="A4080" s="16">
        <v>6150000000</v>
      </c>
      <c r="B4080" s="16">
        <v>0</v>
      </c>
      <c r="C4080" s="16" t="s">
        <v>3416</v>
      </c>
      <c r="D4080" s="16" t="s">
        <v>3417</v>
      </c>
    </row>
    <row r="4081" spans="1:4">
      <c r="A4081" s="16">
        <v>5010000000</v>
      </c>
      <c r="B4081" s="16">
        <v>0</v>
      </c>
      <c r="C4081" s="16" t="s">
        <v>3406</v>
      </c>
      <c r="D4081" s="16" t="s">
        <v>3411</v>
      </c>
    </row>
    <row r="4082" spans="1:4">
      <c r="A4082" s="16">
        <v>6700400000</v>
      </c>
      <c r="B4082" s="16">
        <v>0</v>
      </c>
      <c r="C4082" s="16" t="s">
        <v>3404</v>
      </c>
      <c r="D4082" s="16" t="s">
        <v>3405</v>
      </c>
    </row>
    <row r="4083" spans="1:4">
      <c r="A4083" s="16">
        <v>4203000000</v>
      </c>
      <c r="B4083" s="16">
        <v>0</v>
      </c>
      <c r="C4083" s="16" t="s">
        <v>3408</v>
      </c>
      <c r="D4083" s="16" t="s">
        <v>3403</v>
      </c>
    </row>
    <row r="4084" spans="1:4">
      <c r="A4084" s="16">
        <v>6700600000</v>
      </c>
      <c r="B4084" s="16">
        <v>0</v>
      </c>
      <c r="C4084" s="16" t="s">
        <v>3404</v>
      </c>
      <c r="D4084" s="16" t="s">
        <v>3409</v>
      </c>
    </row>
    <row r="4085" spans="1:4">
      <c r="A4085" s="16">
        <v>3103000000</v>
      </c>
      <c r="B4085" s="16">
        <v>-253489813</v>
      </c>
      <c r="C4085" s="16" t="s">
        <v>3402</v>
      </c>
      <c r="D4085" s="16" t="s">
        <v>3403</v>
      </c>
    </row>
    <row r="4086" spans="1:4">
      <c r="A4086" s="16">
        <v>2201200030</v>
      </c>
      <c r="B4086" s="16">
        <v>-5710</v>
      </c>
      <c r="C4086" s="16" t="s">
        <v>3415</v>
      </c>
      <c r="D4086" s="16" t="s">
        <v>3403</v>
      </c>
    </row>
    <row r="4087" spans="1:4">
      <c r="A4087" s="16">
        <v>6700200000</v>
      </c>
      <c r="B4087" s="16">
        <v>0</v>
      </c>
      <c r="C4087" s="16" t="s">
        <v>3404</v>
      </c>
      <c r="D4087" s="16" t="s">
        <v>3409</v>
      </c>
    </row>
    <row r="4088" spans="1:4">
      <c r="A4088" s="16">
        <v>5010000010</v>
      </c>
      <c r="B4088" s="16">
        <v>0</v>
      </c>
      <c r="C4088" s="16" t="s">
        <v>3406</v>
      </c>
      <c r="D4088" s="16" t="s">
        <v>3411</v>
      </c>
    </row>
    <row r="4089" spans="1:4">
      <c r="A4089" s="16">
        <v>3710000000</v>
      </c>
      <c r="B4089" s="16">
        <v>0</v>
      </c>
      <c r="C4089" s="16" t="s">
        <v>3402</v>
      </c>
      <c r="D4089" s="16" t="s">
        <v>3403</v>
      </c>
    </row>
    <row r="4090" spans="1:4">
      <c r="A4090" s="16">
        <v>6700700000</v>
      </c>
      <c r="B4090" s="16">
        <v>0</v>
      </c>
      <c r="C4090" s="16" t="s">
        <v>3404</v>
      </c>
      <c r="D4090" s="16" t="s">
        <v>3409</v>
      </c>
    </row>
    <row r="4091" spans="1:4">
      <c r="A4091" s="16">
        <v>6700500000</v>
      </c>
      <c r="B4091" s="16">
        <v>0</v>
      </c>
      <c r="C4091" s="16" t="s">
        <v>3404</v>
      </c>
      <c r="D4091" s="16" t="s">
        <v>3405</v>
      </c>
    </row>
    <row r="4092" spans="1:4">
      <c r="A4092" s="16">
        <v>5050010000</v>
      </c>
      <c r="B4092" s="16">
        <v>0</v>
      </c>
      <c r="C4092" s="16" t="s">
        <v>3406</v>
      </c>
      <c r="D4092" s="16" t="s">
        <v>3422</v>
      </c>
    </row>
    <row r="4093" spans="1:4">
      <c r="A4093" s="16">
        <v>5050000000</v>
      </c>
      <c r="B4093" s="16">
        <v>0</v>
      </c>
      <c r="C4093" s="16" t="s">
        <v>3406</v>
      </c>
      <c r="D4093" s="16" t="s">
        <v>3422</v>
      </c>
    </row>
    <row r="4094" spans="1:4">
      <c r="A4094" s="16">
        <v>6030000000</v>
      </c>
      <c r="B4094" s="16">
        <v>0</v>
      </c>
      <c r="C4094" s="16" t="s">
        <v>3420</v>
      </c>
      <c r="D4094" s="16" t="s">
        <v>3423</v>
      </c>
    </row>
    <row r="4095" spans="1:4">
      <c r="A4095" s="16">
        <v>3030000000</v>
      </c>
      <c r="B4095" s="16">
        <v>0</v>
      </c>
      <c r="C4095" s="16" t="s">
        <v>3402</v>
      </c>
      <c r="D4095" s="16" t="s">
        <v>3403</v>
      </c>
    </row>
    <row r="4096" spans="1:4">
      <c r="A4096" s="16">
        <v>5010000010</v>
      </c>
      <c r="B4096" s="16">
        <v>0</v>
      </c>
      <c r="C4096" s="16" t="s">
        <v>3406</v>
      </c>
      <c r="D4096" s="16" t="s">
        <v>3411</v>
      </c>
    </row>
    <row r="4097" spans="1:4">
      <c r="A4097" s="16">
        <v>3710000000</v>
      </c>
      <c r="B4097" s="16">
        <v>0</v>
      </c>
      <c r="C4097" s="16" t="s">
        <v>3402</v>
      </c>
      <c r="D4097" s="16" t="s">
        <v>3403</v>
      </c>
    </row>
    <row r="4098" spans="1:4">
      <c r="A4098" s="16">
        <v>2500000000</v>
      </c>
      <c r="B4098" s="16">
        <v>0</v>
      </c>
      <c r="C4098" s="16" t="s">
        <v>3412</v>
      </c>
      <c r="D4098" s="16" t="s">
        <v>3403</v>
      </c>
    </row>
    <row r="4099" spans="1:4">
      <c r="A4099" s="16">
        <v>5010100000</v>
      </c>
      <c r="B4099" s="16">
        <v>0</v>
      </c>
      <c r="C4099" s="16" t="s">
        <v>3406</v>
      </c>
      <c r="D4099" s="16" t="s">
        <v>3407</v>
      </c>
    </row>
    <row r="4100" spans="1:4">
      <c r="A4100" s="16">
        <v>6700600000</v>
      </c>
      <c r="B4100" s="16">
        <v>0</v>
      </c>
      <c r="C4100" s="16" t="s">
        <v>3404</v>
      </c>
      <c r="D4100" s="16" t="s">
        <v>3409</v>
      </c>
    </row>
    <row r="4101" spans="1:4">
      <c r="A4101" s="16">
        <v>6700400000</v>
      </c>
      <c r="B4101" s="16">
        <v>0</v>
      </c>
      <c r="C4101" s="16" t="s">
        <v>3404</v>
      </c>
      <c r="D4101" s="16" t="s">
        <v>3405</v>
      </c>
    </row>
    <row r="4102" spans="1:4">
      <c r="A4102" s="16">
        <v>6100000020</v>
      </c>
      <c r="B4102" s="16">
        <v>0</v>
      </c>
      <c r="C4102" s="16" t="s">
        <v>3416</v>
      </c>
      <c r="D4102" s="16" t="s">
        <v>3417</v>
      </c>
    </row>
    <row r="4103" spans="1:4">
      <c r="A4103" s="16">
        <v>3810000000</v>
      </c>
      <c r="B4103" s="16">
        <v>0</v>
      </c>
      <c r="C4103" s="16" t="s">
        <v>3402</v>
      </c>
      <c r="D4103" s="16" t="s">
        <v>3403</v>
      </c>
    </row>
    <row r="4104" spans="1:4">
      <c r="A4104" s="16">
        <v>6700700000</v>
      </c>
      <c r="B4104" s="16">
        <v>0</v>
      </c>
      <c r="C4104" s="16" t="s">
        <v>3404</v>
      </c>
      <c r="D4104" s="16" t="s">
        <v>3409</v>
      </c>
    </row>
    <row r="4105" spans="1:4">
      <c r="A4105" s="16">
        <v>6700500000</v>
      </c>
      <c r="B4105" s="16">
        <v>0</v>
      </c>
      <c r="C4105" s="16" t="s">
        <v>3404</v>
      </c>
      <c r="D4105" s="16" t="s">
        <v>3405</v>
      </c>
    </row>
    <row r="4106" spans="1:4">
      <c r="A4106" s="16">
        <v>5052010000</v>
      </c>
      <c r="B4106" s="16">
        <v>0</v>
      </c>
      <c r="C4106" s="16" t="s">
        <v>3406</v>
      </c>
      <c r="D4106" s="16" t="s">
        <v>3422</v>
      </c>
    </row>
    <row r="4107" spans="1:4">
      <c r="A4107" s="16">
        <v>5052000000</v>
      </c>
      <c r="B4107" s="16">
        <v>0</v>
      </c>
      <c r="C4107" s="16" t="s">
        <v>3406</v>
      </c>
      <c r="D4107" s="16" t="s">
        <v>3422</v>
      </c>
    </row>
    <row r="4108" spans="1:4">
      <c r="A4108" s="16">
        <v>6700700000</v>
      </c>
      <c r="B4108" s="16">
        <v>0</v>
      </c>
      <c r="C4108" s="16" t="s">
        <v>3404</v>
      </c>
      <c r="D4108" s="16" t="s">
        <v>3409</v>
      </c>
    </row>
    <row r="4109" spans="1:4">
      <c r="A4109" s="16">
        <v>6700500000</v>
      </c>
      <c r="B4109" s="16">
        <v>0</v>
      </c>
      <c r="C4109" s="16" t="s">
        <v>3404</v>
      </c>
      <c r="D4109" s="16" t="s">
        <v>3405</v>
      </c>
    </row>
    <row r="4110" spans="1:4">
      <c r="A4110" s="16">
        <v>2500000000</v>
      </c>
      <c r="B4110" s="16">
        <v>0</v>
      </c>
      <c r="C4110" s="16" t="s">
        <v>3412</v>
      </c>
      <c r="D4110" s="16" t="s">
        <v>3403</v>
      </c>
    </row>
    <row r="4111" spans="1:4">
      <c r="A4111" s="16">
        <v>5010000000</v>
      </c>
      <c r="B4111" s="16">
        <v>0</v>
      </c>
      <c r="C4111" s="16" t="s">
        <v>3406</v>
      </c>
      <c r="D4111" s="16" t="s">
        <v>3411</v>
      </c>
    </row>
    <row r="4112" spans="1:4">
      <c r="A4112" s="16">
        <v>6700200000</v>
      </c>
      <c r="B4112" s="16">
        <v>0</v>
      </c>
      <c r="C4112" s="16" t="s">
        <v>3404</v>
      </c>
      <c r="D4112" s="16" t="s">
        <v>3409</v>
      </c>
    </row>
    <row r="4113" spans="1:4">
      <c r="A4113" s="16">
        <v>6700000000</v>
      </c>
      <c r="B4113" s="16">
        <v>0</v>
      </c>
      <c r="C4113" s="16" t="s">
        <v>3404</v>
      </c>
      <c r="D4113" s="16" t="s">
        <v>3405</v>
      </c>
    </row>
    <row r="4114" spans="1:4">
      <c r="A4114" s="16">
        <v>2500000000</v>
      </c>
      <c r="B4114" s="16">
        <v>84454068</v>
      </c>
      <c r="C4114" s="16" t="s">
        <v>3412</v>
      </c>
      <c r="D4114" s="16" t="s">
        <v>3403</v>
      </c>
    </row>
    <row r="4115" spans="1:4">
      <c r="A4115" s="16">
        <v>5010100000</v>
      </c>
      <c r="B4115" s="16">
        <v>-84454068</v>
      </c>
      <c r="C4115" s="16" t="s">
        <v>3406</v>
      </c>
      <c r="D4115" s="16" t="s">
        <v>3407</v>
      </c>
    </row>
    <row r="4116" spans="1:4">
      <c r="A4116" s="16">
        <v>6700200000</v>
      </c>
      <c r="B4116" s="16">
        <v>0</v>
      </c>
      <c r="C4116" s="16" t="s">
        <v>3404</v>
      </c>
      <c r="D4116" s="16" t="s">
        <v>3409</v>
      </c>
    </row>
    <row r="4117" spans="1:4">
      <c r="A4117" s="16">
        <v>6700100000</v>
      </c>
      <c r="B4117" s="16">
        <v>0</v>
      </c>
      <c r="C4117" s="16" t="s">
        <v>3404</v>
      </c>
      <c r="D4117" s="16" t="s">
        <v>3410</v>
      </c>
    </row>
    <row r="4118" spans="1:4">
      <c r="A4118" s="16">
        <v>5010100010</v>
      </c>
      <c r="B4118" s="16">
        <v>0</v>
      </c>
      <c r="C4118" s="16" t="s">
        <v>3406</v>
      </c>
      <c r="D4118" s="16" t="s">
        <v>3407</v>
      </c>
    </row>
    <row r="4119" spans="1:4">
      <c r="A4119" s="16">
        <v>3710000000</v>
      </c>
      <c r="B4119" s="16">
        <v>0</v>
      </c>
      <c r="C4119" s="16" t="s">
        <v>3402</v>
      </c>
      <c r="D4119" s="16" t="s">
        <v>3403</v>
      </c>
    </row>
    <row r="4120" spans="1:4">
      <c r="A4120" s="16">
        <v>6610100000</v>
      </c>
      <c r="B4120" s="16">
        <v>0</v>
      </c>
      <c r="C4120" s="16" t="s">
        <v>3413</v>
      </c>
      <c r="D4120" s="16" t="s">
        <v>3414</v>
      </c>
    </row>
    <row r="4121" spans="1:4">
      <c r="A4121" s="16">
        <v>4203000000</v>
      </c>
      <c r="B4121" s="16">
        <v>0</v>
      </c>
      <c r="C4121" s="16" t="s">
        <v>3408</v>
      </c>
      <c r="D4121" s="16" t="s">
        <v>3403</v>
      </c>
    </row>
    <row r="4122" spans="1:4">
      <c r="A4122" s="16">
        <v>6700200000</v>
      </c>
      <c r="B4122" s="16">
        <v>0</v>
      </c>
      <c r="C4122" s="16" t="s">
        <v>3404</v>
      </c>
      <c r="D4122" s="16" t="s">
        <v>3409</v>
      </c>
    </row>
    <row r="4123" spans="1:4">
      <c r="A4123" s="16">
        <v>2201200030</v>
      </c>
      <c r="B4123" s="16">
        <v>0</v>
      </c>
      <c r="C4123" s="16" t="s">
        <v>3415</v>
      </c>
      <c r="D4123" s="16" t="s">
        <v>3403</v>
      </c>
    </row>
    <row r="4124" spans="1:4">
      <c r="A4124" s="16">
        <v>6700200000</v>
      </c>
      <c r="B4124" s="16">
        <v>0</v>
      </c>
      <c r="C4124" s="16" t="s">
        <v>3404</v>
      </c>
      <c r="D4124" s="16" t="s">
        <v>3409</v>
      </c>
    </row>
    <row r="4125" spans="1:4">
      <c r="A4125" s="16">
        <v>6700000000</v>
      </c>
      <c r="B4125" s="16">
        <v>0</v>
      </c>
      <c r="C4125" s="16" t="s">
        <v>3404</v>
      </c>
      <c r="D4125" s="16" t="s">
        <v>3405</v>
      </c>
    </row>
    <row r="4126" spans="1:4">
      <c r="A4126" s="16">
        <v>6610100000</v>
      </c>
      <c r="B4126" s="16">
        <v>0</v>
      </c>
      <c r="C4126" s="16" t="s">
        <v>3413</v>
      </c>
      <c r="D4126" s="16" t="s">
        <v>3414</v>
      </c>
    </row>
    <row r="4127" spans="1:4">
      <c r="A4127" s="16">
        <v>4203000000</v>
      </c>
      <c r="B4127" s="16">
        <v>0</v>
      </c>
      <c r="C4127" s="16" t="s">
        <v>3408</v>
      </c>
      <c r="D4127" s="16" t="s">
        <v>3403</v>
      </c>
    </row>
    <row r="4128" spans="1:4">
      <c r="A4128" s="16">
        <v>6150000000</v>
      </c>
      <c r="B4128" s="16">
        <v>0</v>
      </c>
      <c r="C4128" s="16" t="s">
        <v>3416</v>
      </c>
      <c r="D4128" s="16" t="s">
        <v>3417</v>
      </c>
    </row>
    <row r="4129" spans="1:4">
      <c r="A4129" s="16">
        <v>3510000000</v>
      </c>
      <c r="B4129" s="16">
        <v>0</v>
      </c>
      <c r="C4129" s="16" t="s">
        <v>3402</v>
      </c>
      <c r="D4129" s="16" t="s">
        <v>3403</v>
      </c>
    </row>
    <row r="4130" spans="1:4">
      <c r="A4130" s="16">
        <v>3102000000</v>
      </c>
      <c r="B4130" s="16">
        <v>0</v>
      </c>
      <c r="C4130" s="16" t="s">
        <v>3424</v>
      </c>
      <c r="D4130" s="16" t="s">
        <v>3403</v>
      </c>
    </row>
    <row r="4131" spans="1:4">
      <c r="A4131" s="16">
        <v>6102000000</v>
      </c>
      <c r="B4131" s="16">
        <v>0</v>
      </c>
      <c r="C4131" s="16" t="s">
        <v>3425</v>
      </c>
      <c r="D4131" s="16" t="s">
        <v>3426</v>
      </c>
    </row>
    <row r="4132" spans="1:4">
      <c r="A4132" s="16">
        <v>6700600000</v>
      </c>
      <c r="B4132" s="16">
        <v>0</v>
      </c>
      <c r="C4132" s="16" t="s">
        <v>3404</v>
      </c>
      <c r="D4132" s="16" t="s">
        <v>3409</v>
      </c>
    </row>
    <row r="4133" spans="1:4">
      <c r="A4133" s="16">
        <v>6700400000</v>
      </c>
      <c r="B4133" s="16">
        <v>0</v>
      </c>
      <c r="C4133" s="16" t="s">
        <v>3404</v>
      </c>
      <c r="D4133" s="16" t="s">
        <v>3405</v>
      </c>
    </row>
    <row r="4134" spans="1:4">
      <c r="A4134" s="16">
        <v>6700200000</v>
      </c>
      <c r="B4134" s="16">
        <v>0</v>
      </c>
      <c r="C4134" s="16" t="s">
        <v>3404</v>
      </c>
      <c r="D4134" s="16" t="s">
        <v>3409</v>
      </c>
    </row>
    <row r="4135" spans="1:4">
      <c r="A4135" s="16">
        <v>6700100000</v>
      </c>
      <c r="B4135" s="16">
        <v>0</v>
      </c>
      <c r="C4135" s="16" t="s">
        <v>3404</v>
      </c>
      <c r="D4135" s="16" t="s">
        <v>3410</v>
      </c>
    </row>
    <row r="4136" spans="1:4">
      <c r="A4136" s="16">
        <v>6610100000</v>
      </c>
      <c r="B4136" s="16">
        <v>0</v>
      </c>
      <c r="C4136" s="16" t="s">
        <v>3413</v>
      </c>
      <c r="D4136" s="16" t="s">
        <v>3414</v>
      </c>
    </row>
    <row r="4137" spans="1:4">
      <c r="A4137" s="16">
        <v>4203000000</v>
      </c>
      <c r="B4137" s="16">
        <v>0</v>
      </c>
      <c r="C4137" s="16" t="s">
        <v>3408</v>
      </c>
      <c r="D4137" s="16" t="s">
        <v>3403</v>
      </c>
    </row>
    <row r="4138" spans="1:4">
      <c r="A4138" s="16">
        <v>6700700000</v>
      </c>
      <c r="B4138" s="16">
        <v>0</v>
      </c>
      <c r="C4138" s="16" t="s">
        <v>3404</v>
      </c>
      <c r="D4138" s="16" t="s">
        <v>3409</v>
      </c>
    </row>
    <row r="4139" spans="1:4">
      <c r="A4139" s="16">
        <v>6700500000</v>
      </c>
      <c r="B4139" s="16">
        <v>0</v>
      </c>
      <c r="C4139" s="16" t="s">
        <v>3404</v>
      </c>
      <c r="D4139" s="16" t="s">
        <v>3405</v>
      </c>
    </row>
    <row r="4140" spans="1:4">
      <c r="A4140" s="16">
        <v>2500000000</v>
      </c>
      <c r="B4140" s="16">
        <v>-169881</v>
      </c>
      <c r="C4140" s="16" t="s">
        <v>3412</v>
      </c>
      <c r="D4140" s="16" t="s">
        <v>3403</v>
      </c>
    </row>
    <row r="4141" spans="1:4">
      <c r="A4141" s="16">
        <v>5010000000</v>
      </c>
      <c r="B4141" s="16">
        <v>169881</v>
      </c>
      <c r="C4141" s="16" t="s">
        <v>3406</v>
      </c>
      <c r="D4141" s="16" t="s">
        <v>3411</v>
      </c>
    </row>
    <row r="4142" spans="1:4">
      <c r="A4142" s="16">
        <v>2500000000</v>
      </c>
      <c r="B4142" s="16">
        <v>158459</v>
      </c>
      <c r="C4142" s="16" t="s">
        <v>3412</v>
      </c>
      <c r="D4142" s="16" t="s">
        <v>3403</v>
      </c>
    </row>
    <row r="4143" spans="1:4">
      <c r="A4143" s="16">
        <v>5010100000</v>
      </c>
      <c r="B4143" s="16">
        <v>-158459</v>
      </c>
      <c r="C4143" s="16" t="s">
        <v>3406</v>
      </c>
      <c r="D4143" s="16" t="s">
        <v>3407</v>
      </c>
    </row>
    <row r="4144" spans="1:4">
      <c r="A4144" s="16">
        <v>2500000000</v>
      </c>
      <c r="B4144" s="16">
        <v>0</v>
      </c>
      <c r="C4144" s="16" t="s">
        <v>3412</v>
      </c>
      <c r="D4144" s="16" t="s">
        <v>3403</v>
      </c>
    </row>
    <row r="4145" spans="1:4">
      <c r="A4145" s="16">
        <v>5010000000</v>
      </c>
      <c r="B4145" s="16">
        <v>0</v>
      </c>
      <c r="C4145" s="16" t="s">
        <v>3406</v>
      </c>
      <c r="D4145" s="16" t="s">
        <v>3411</v>
      </c>
    </row>
    <row r="4146" spans="1:4">
      <c r="A4146" s="16">
        <v>6610100000</v>
      </c>
      <c r="B4146" s="16">
        <v>0</v>
      </c>
      <c r="C4146" s="16" t="s">
        <v>3413</v>
      </c>
      <c r="D4146" s="16" t="s">
        <v>3414</v>
      </c>
    </row>
    <row r="4147" spans="1:4">
      <c r="A4147" s="16">
        <v>4203000000</v>
      </c>
      <c r="B4147" s="16">
        <v>0</v>
      </c>
      <c r="C4147" s="16" t="s">
        <v>3408</v>
      </c>
      <c r="D4147" s="16" t="s">
        <v>3403</v>
      </c>
    </row>
    <row r="4148" spans="1:4">
      <c r="A4148" s="16">
        <v>6700200000</v>
      </c>
      <c r="B4148" s="16">
        <v>0</v>
      </c>
      <c r="C4148" s="16" t="s">
        <v>3404</v>
      </c>
      <c r="D4148" s="16" t="s">
        <v>3409</v>
      </c>
    </row>
    <row r="4149" spans="1:4">
      <c r="A4149" s="16">
        <v>6700000000</v>
      </c>
      <c r="B4149" s="16">
        <v>0</v>
      </c>
      <c r="C4149" s="16" t="s">
        <v>3404</v>
      </c>
      <c r="D4149" s="16" t="s">
        <v>3405</v>
      </c>
    </row>
    <row r="4150" spans="1:4">
      <c r="A4150" s="16">
        <v>2750010000</v>
      </c>
      <c r="B4150" s="16">
        <v>0</v>
      </c>
      <c r="C4150" s="16" t="s">
        <v>3419</v>
      </c>
      <c r="D4150" s="16" t="s">
        <v>3403</v>
      </c>
    </row>
    <row r="4151" spans="1:4">
      <c r="A4151" s="16">
        <v>6610100100</v>
      </c>
      <c r="B4151" s="16">
        <v>0</v>
      </c>
      <c r="C4151" s="16" t="s">
        <v>3413</v>
      </c>
      <c r="D4151" s="16" t="s">
        <v>3414</v>
      </c>
    </row>
    <row r="4152" spans="1:4">
      <c r="A4152" s="16">
        <v>2500000000</v>
      </c>
      <c r="B4152" s="16">
        <v>0</v>
      </c>
      <c r="C4152" s="16" t="s">
        <v>3412</v>
      </c>
      <c r="D4152" s="16" t="s">
        <v>3403</v>
      </c>
    </row>
    <row r="4153" spans="1:4">
      <c r="A4153" s="16">
        <v>5010000000</v>
      </c>
      <c r="B4153" s="16">
        <v>0</v>
      </c>
      <c r="C4153" s="16" t="s">
        <v>3406</v>
      </c>
      <c r="D4153" s="16" t="s">
        <v>3411</v>
      </c>
    </row>
    <row r="4154" spans="1:4">
      <c r="A4154" s="16">
        <v>6610000000</v>
      </c>
      <c r="B4154" s="16">
        <v>0</v>
      </c>
      <c r="C4154" s="16" t="s">
        <v>3413</v>
      </c>
      <c r="D4154" s="16" t="s">
        <v>3418</v>
      </c>
    </row>
    <row r="4155" spans="1:4">
      <c r="A4155" s="16">
        <v>4203000000</v>
      </c>
      <c r="B4155" s="16">
        <v>0</v>
      </c>
      <c r="C4155" s="16" t="s">
        <v>3408</v>
      </c>
      <c r="D4155" s="16" t="s">
        <v>3403</v>
      </c>
    </row>
    <row r="4156" spans="1:4">
      <c r="A4156" s="16">
        <v>6700600000</v>
      </c>
      <c r="B4156" s="16">
        <v>0</v>
      </c>
      <c r="C4156" s="16" t="s">
        <v>3404</v>
      </c>
      <c r="D4156" s="16" t="s">
        <v>3409</v>
      </c>
    </row>
    <row r="4157" spans="1:4">
      <c r="A4157" s="16">
        <v>6700400000</v>
      </c>
      <c r="B4157" s="16">
        <v>0</v>
      </c>
      <c r="C4157" s="16" t="s">
        <v>3404</v>
      </c>
      <c r="D4157" s="16" t="s">
        <v>3405</v>
      </c>
    </row>
    <row r="4158" spans="1:4">
      <c r="A4158" s="16">
        <v>2201000000</v>
      </c>
      <c r="B4158" s="16">
        <v>0</v>
      </c>
      <c r="C4158" s="16" t="s">
        <v>3415</v>
      </c>
      <c r="D4158" s="16" t="s">
        <v>3403</v>
      </c>
    </row>
    <row r="4159" spans="1:4">
      <c r="A4159" s="16">
        <v>6700200000</v>
      </c>
      <c r="B4159" s="16">
        <v>0</v>
      </c>
      <c r="C4159" s="16" t="s">
        <v>3404</v>
      </c>
      <c r="D4159" s="16" t="s">
        <v>3409</v>
      </c>
    </row>
    <row r="4160" spans="1:4">
      <c r="A4160" s="16">
        <v>6700700000</v>
      </c>
      <c r="B4160" s="16">
        <v>0</v>
      </c>
      <c r="C4160" s="16" t="s">
        <v>3404</v>
      </c>
      <c r="D4160" s="16" t="s">
        <v>3409</v>
      </c>
    </row>
    <row r="4161" spans="1:4">
      <c r="A4161" s="16">
        <v>6700500000</v>
      </c>
      <c r="B4161" s="16">
        <v>0</v>
      </c>
      <c r="C4161" s="16" t="s">
        <v>3404</v>
      </c>
      <c r="D4161" s="16" t="s">
        <v>3405</v>
      </c>
    </row>
    <row r="4162" spans="1:4">
      <c r="A4162" s="16">
        <v>6610100000</v>
      </c>
      <c r="B4162" s="16">
        <v>0</v>
      </c>
      <c r="C4162" s="16" t="s">
        <v>3413</v>
      </c>
      <c r="D4162" s="16" t="s">
        <v>3414</v>
      </c>
    </row>
    <row r="4163" spans="1:4">
      <c r="A4163" s="16">
        <v>4203000000</v>
      </c>
      <c r="B4163" s="16">
        <v>0</v>
      </c>
      <c r="C4163" s="16" t="s">
        <v>3408</v>
      </c>
      <c r="D4163" s="16" t="s">
        <v>3403</v>
      </c>
    </row>
    <row r="4164" spans="1:4">
      <c r="A4164" s="16">
        <v>6100000000</v>
      </c>
      <c r="B4164" s="16">
        <v>24465</v>
      </c>
      <c r="C4164" s="16" t="s">
        <v>3427</v>
      </c>
      <c r="D4164" s="16" t="s">
        <v>3417</v>
      </c>
    </row>
    <row r="4165" spans="1:4">
      <c r="A4165" s="16">
        <v>3100000000</v>
      </c>
      <c r="B4165" s="16">
        <v>-24465</v>
      </c>
      <c r="C4165" s="16" t="s">
        <v>3402</v>
      </c>
      <c r="D4165" s="16" t="s">
        <v>3403</v>
      </c>
    </row>
    <row r="4166" spans="1:4">
      <c r="A4166" s="16">
        <v>5050010000</v>
      </c>
      <c r="B4166" s="16">
        <v>4869032</v>
      </c>
      <c r="C4166" s="16" t="s">
        <v>3406</v>
      </c>
      <c r="D4166" s="16" t="s">
        <v>3422</v>
      </c>
    </row>
    <row r="4167" spans="1:4">
      <c r="A4167" s="16">
        <v>5050000000</v>
      </c>
      <c r="B4167" s="16">
        <v>-4869032</v>
      </c>
      <c r="C4167" s="16" t="s">
        <v>3406</v>
      </c>
      <c r="D4167" s="16" t="s">
        <v>3422</v>
      </c>
    </row>
    <row r="4168" spans="1:4">
      <c r="A4168" s="16">
        <v>6100000000</v>
      </c>
      <c r="B4168" s="16">
        <v>0</v>
      </c>
      <c r="C4168" s="16" t="s">
        <v>3427</v>
      </c>
      <c r="D4168" s="16" t="s">
        <v>3417</v>
      </c>
    </row>
    <row r="4169" spans="1:4">
      <c r="A4169" s="16">
        <v>3100000000</v>
      </c>
      <c r="B4169" s="16">
        <v>0</v>
      </c>
      <c r="C4169" s="16" t="s">
        <v>3402</v>
      </c>
      <c r="D4169" s="16" t="s">
        <v>3403</v>
      </c>
    </row>
    <row r="4170" spans="1:4">
      <c r="A4170" s="16">
        <v>6700700000</v>
      </c>
      <c r="B4170" s="16">
        <v>0</v>
      </c>
      <c r="C4170" s="16" t="s">
        <v>3404</v>
      </c>
      <c r="D4170" s="16" t="s">
        <v>3409</v>
      </c>
    </row>
    <row r="4171" spans="1:4">
      <c r="A4171" s="16">
        <v>6700500000</v>
      </c>
      <c r="B4171" s="16">
        <v>0</v>
      </c>
      <c r="C4171" s="16" t="s">
        <v>3404</v>
      </c>
      <c r="D4171" s="16" t="s">
        <v>3405</v>
      </c>
    </row>
    <row r="4172" spans="1:4">
      <c r="A4172" s="16">
        <v>6700200000</v>
      </c>
      <c r="B4172" s="16">
        <v>0</v>
      </c>
      <c r="C4172" s="16" t="s">
        <v>3404</v>
      </c>
      <c r="D4172" s="16" t="s">
        <v>3409</v>
      </c>
    </row>
    <row r="4173" spans="1:4">
      <c r="A4173" s="16">
        <v>6700100000</v>
      </c>
      <c r="B4173" s="16">
        <v>0</v>
      </c>
      <c r="C4173" s="16" t="s">
        <v>3404</v>
      </c>
      <c r="D4173" s="16" t="s">
        <v>3410</v>
      </c>
    </row>
    <row r="4174" spans="1:4">
      <c r="A4174" s="16">
        <v>2201000000</v>
      </c>
      <c r="B4174" s="16">
        <v>0</v>
      </c>
      <c r="C4174" s="16" t="s">
        <v>3415</v>
      </c>
      <c r="D4174" s="16" t="s">
        <v>3403</v>
      </c>
    </row>
    <row r="4175" spans="1:4">
      <c r="A4175" s="16">
        <v>6700200000</v>
      </c>
      <c r="B4175" s="16">
        <v>0</v>
      </c>
      <c r="C4175" s="16" t="s">
        <v>3404</v>
      </c>
      <c r="D4175" s="16" t="s">
        <v>3409</v>
      </c>
    </row>
    <row r="4176" spans="1:4">
      <c r="A4176" s="16">
        <v>6700600000</v>
      </c>
      <c r="B4176" s="16">
        <v>0</v>
      </c>
      <c r="C4176" s="16" t="s">
        <v>3404</v>
      </c>
      <c r="D4176" s="16" t="s">
        <v>3409</v>
      </c>
    </row>
    <row r="4177" spans="1:4">
      <c r="A4177" s="16">
        <v>6700400000</v>
      </c>
      <c r="B4177" s="16">
        <v>0</v>
      </c>
      <c r="C4177" s="16" t="s">
        <v>3404</v>
      </c>
      <c r="D4177" s="16" t="s">
        <v>3405</v>
      </c>
    </row>
    <row r="4178" spans="1:4">
      <c r="A4178" s="16">
        <v>6700600000</v>
      </c>
      <c r="B4178" s="16">
        <v>0</v>
      </c>
      <c r="C4178" s="16" t="s">
        <v>3404</v>
      </c>
      <c r="D4178" s="16" t="s">
        <v>3409</v>
      </c>
    </row>
    <row r="4179" spans="1:4">
      <c r="A4179" s="16">
        <v>6700400000</v>
      </c>
      <c r="B4179" s="16">
        <v>0</v>
      </c>
      <c r="C4179" s="16" t="s">
        <v>3404</v>
      </c>
      <c r="D4179" s="16" t="s">
        <v>3405</v>
      </c>
    </row>
    <row r="4180" spans="1:4">
      <c r="A4180" s="16">
        <v>6030000000</v>
      </c>
      <c r="B4180" s="16">
        <v>0</v>
      </c>
      <c r="C4180" s="16" t="s">
        <v>3420</v>
      </c>
      <c r="D4180" s="16" t="s">
        <v>3423</v>
      </c>
    </row>
    <row r="4181" spans="1:4">
      <c r="A4181" s="16">
        <v>3030000000</v>
      </c>
      <c r="B4181" s="16">
        <v>0</v>
      </c>
      <c r="C4181" s="16" t="s">
        <v>3402</v>
      </c>
      <c r="D4181" s="16" t="s">
        <v>3403</v>
      </c>
    </row>
    <row r="4182" spans="1:4">
      <c r="A4182" s="16">
        <v>6700600000</v>
      </c>
      <c r="B4182" s="16">
        <v>0</v>
      </c>
      <c r="C4182" s="16" t="s">
        <v>3404</v>
      </c>
      <c r="D4182" s="16" t="s">
        <v>3409</v>
      </c>
    </row>
    <row r="4183" spans="1:4">
      <c r="A4183" s="16">
        <v>6700400000</v>
      </c>
      <c r="B4183" s="16">
        <v>0</v>
      </c>
      <c r="C4183" s="16" t="s">
        <v>3404</v>
      </c>
      <c r="D4183" s="16" t="s">
        <v>3405</v>
      </c>
    </row>
    <row r="4184" spans="1:4">
      <c r="A4184" s="16">
        <v>3102000000</v>
      </c>
      <c r="B4184" s="16">
        <v>0</v>
      </c>
      <c r="C4184" s="16" t="s">
        <v>3424</v>
      </c>
      <c r="D4184" s="16" t="s">
        <v>3403</v>
      </c>
    </row>
    <row r="4185" spans="1:4">
      <c r="A4185" s="16">
        <v>6102000000</v>
      </c>
      <c r="B4185" s="16">
        <v>0</v>
      </c>
      <c r="C4185" s="16" t="s">
        <v>3425</v>
      </c>
      <c r="D4185" s="16" t="s">
        <v>3426</v>
      </c>
    </row>
    <row r="4186" spans="1:4">
      <c r="A4186" s="16">
        <v>2500000000</v>
      </c>
      <c r="B4186" s="16">
        <v>1052711</v>
      </c>
      <c r="C4186" s="16" t="s">
        <v>3412</v>
      </c>
      <c r="D4186" s="16" t="s">
        <v>3403</v>
      </c>
    </row>
    <row r="4187" spans="1:4">
      <c r="A4187" s="16">
        <v>5010100000</v>
      </c>
      <c r="B4187" s="16">
        <v>-1052711</v>
      </c>
      <c r="C4187" s="16" t="s">
        <v>3406</v>
      </c>
      <c r="D4187" s="16" t="s">
        <v>3407</v>
      </c>
    </row>
    <row r="4188" spans="1:4">
      <c r="A4188" s="16">
        <v>6700700000</v>
      </c>
      <c r="B4188" s="16">
        <v>0</v>
      </c>
      <c r="C4188" s="16" t="s">
        <v>3404</v>
      </c>
      <c r="D4188" s="16" t="s">
        <v>3409</v>
      </c>
    </row>
    <row r="4189" spans="1:4">
      <c r="A4189" s="16">
        <v>6700500000</v>
      </c>
      <c r="B4189" s="16">
        <v>0</v>
      </c>
      <c r="C4189" s="16" t="s">
        <v>3404</v>
      </c>
      <c r="D4189" s="16" t="s">
        <v>3405</v>
      </c>
    </row>
    <row r="4190" spans="1:4">
      <c r="A4190" s="16">
        <v>6100000020</v>
      </c>
      <c r="B4190" s="16">
        <v>0</v>
      </c>
      <c r="C4190" s="16" t="s">
        <v>3416</v>
      </c>
      <c r="D4190" s="16" t="s">
        <v>3417</v>
      </c>
    </row>
    <row r="4191" spans="1:4">
      <c r="A4191" s="16">
        <v>3810000000</v>
      </c>
      <c r="B4191" s="16">
        <v>0</v>
      </c>
      <c r="C4191" s="16" t="s">
        <v>3402</v>
      </c>
      <c r="D4191" s="16" t="s">
        <v>3403</v>
      </c>
    </row>
    <row r="4192" spans="1:4">
      <c r="A4192" s="16">
        <v>2750010000</v>
      </c>
      <c r="B4192" s="16">
        <v>0</v>
      </c>
      <c r="C4192" s="16" t="s">
        <v>3419</v>
      </c>
      <c r="D4192" s="16" t="s">
        <v>3403</v>
      </c>
    </row>
    <row r="4193" spans="1:4">
      <c r="A4193" s="16">
        <v>6610000100</v>
      </c>
      <c r="B4193" s="16">
        <v>0</v>
      </c>
      <c r="C4193" s="16" t="s">
        <v>3413</v>
      </c>
      <c r="D4193" s="16" t="s">
        <v>3418</v>
      </c>
    </row>
    <row r="4194" spans="1:4">
      <c r="A4194" s="16">
        <v>6700200000</v>
      </c>
      <c r="B4194" s="16">
        <v>0</v>
      </c>
      <c r="C4194" s="16" t="s">
        <v>3404</v>
      </c>
      <c r="D4194" s="16" t="s">
        <v>3409</v>
      </c>
    </row>
    <row r="4195" spans="1:4">
      <c r="A4195" s="16">
        <v>6700100000</v>
      </c>
      <c r="B4195" s="16">
        <v>0</v>
      </c>
      <c r="C4195" s="16" t="s">
        <v>3404</v>
      </c>
      <c r="D4195" s="16" t="s">
        <v>3410</v>
      </c>
    </row>
    <row r="4196" spans="1:4">
      <c r="A4196" s="16">
        <v>6030000000</v>
      </c>
      <c r="B4196" s="16">
        <v>0</v>
      </c>
      <c r="C4196" s="16" t="s">
        <v>3420</v>
      </c>
      <c r="D4196" s="16" t="s">
        <v>3423</v>
      </c>
    </row>
    <row r="4197" spans="1:4">
      <c r="A4197" s="16">
        <v>3030000000</v>
      </c>
      <c r="B4197" s="16">
        <v>0</v>
      </c>
      <c r="C4197" s="16" t="s">
        <v>3402</v>
      </c>
      <c r="D4197" s="16" t="s">
        <v>3403</v>
      </c>
    </row>
    <row r="4198" spans="1:4">
      <c r="A4198" s="16">
        <v>2201000000</v>
      </c>
      <c r="B4198" s="16">
        <v>803669</v>
      </c>
      <c r="C4198" s="16" t="s">
        <v>3415</v>
      </c>
      <c r="D4198" s="16" t="s">
        <v>3403</v>
      </c>
    </row>
    <row r="4199" spans="1:4">
      <c r="A4199" s="16">
        <v>6700200000</v>
      </c>
      <c r="B4199" s="16">
        <v>-803669</v>
      </c>
      <c r="C4199" s="16" t="s">
        <v>3404</v>
      </c>
      <c r="D4199" s="16" t="s">
        <v>3409</v>
      </c>
    </row>
    <row r="4200" spans="1:4">
      <c r="A4200" s="16">
        <v>6104000000</v>
      </c>
      <c r="B4200" s="16">
        <v>0</v>
      </c>
      <c r="C4200" s="16" t="s">
        <v>3427</v>
      </c>
      <c r="D4200" s="16" t="s">
        <v>3417</v>
      </c>
    </row>
    <row r="4201" spans="1:4">
      <c r="A4201" s="16">
        <v>3103000000</v>
      </c>
      <c r="B4201" s="16">
        <v>0</v>
      </c>
      <c r="C4201" s="16" t="s">
        <v>3402</v>
      </c>
      <c r="D4201" s="16" t="s">
        <v>3403</v>
      </c>
    </row>
    <row r="4202" spans="1:4">
      <c r="A4202" s="16">
        <v>2500000000</v>
      </c>
      <c r="B4202" s="16">
        <v>0</v>
      </c>
      <c r="C4202" s="16" t="s">
        <v>3412</v>
      </c>
      <c r="D4202" s="16" t="s">
        <v>3403</v>
      </c>
    </row>
    <row r="4203" spans="1:4">
      <c r="A4203" s="16">
        <v>5010000000</v>
      </c>
      <c r="B4203" s="16">
        <v>0</v>
      </c>
      <c r="C4203" s="16" t="s">
        <v>3406</v>
      </c>
      <c r="D4203" s="16" t="s">
        <v>3411</v>
      </c>
    </row>
    <row r="4204" spans="1:4">
      <c r="A4204" s="16">
        <v>6700700000</v>
      </c>
      <c r="B4204" s="16">
        <v>0</v>
      </c>
      <c r="C4204" s="16" t="s">
        <v>3404</v>
      </c>
      <c r="D4204" s="16" t="s">
        <v>3409</v>
      </c>
    </row>
    <row r="4205" spans="1:4">
      <c r="A4205" s="16">
        <v>6700500000</v>
      </c>
      <c r="B4205" s="16">
        <v>0</v>
      </c>
      <c r="C4205" s="16" t="s">
        <v>3404</v>
      </c>
      <c r="D4205" s="16" t="s">
        <v>3405</v>
      </c>
    </row>
    <row r="4206" spans="1:4">
      <c r="A4206" s="16">
        <v>6700600000</v>
      </c>
      <c r="B4206" s="16">
        <v>0</v>
      </c>
      <c r="C4206" s="16" t="s">
        <v>3404</v>
      </c>
      <c r="D4206" s="16" t="s">
        <v>3409</v>
      </c>
    </row>
    <row r="4207" spans="1:4">
      <c r="A4207" s="16">
        <v>6700400000</v>
      </c>
      <c r="B4207" s="16">
        <v>0</v>
      </c>
      <c r="C4207" s="16" t="s">
        <v>3404</v>
      </c>
      <c r="D4207" s="16" t="s">
        <v>3405</v>
      </c>
    </row>
    <row r="4208" spans="1:4">
      <c r="A4208" s="16">
        <v>6104000000</v>
      </c>
      <c r="B4208" s="16">
        <v>0</v>
      </c>
      <c r="C4208" s="16" t="s">
        <v>3416</v>
      </c>
      <c r="D4208" s="16" t="s">
        <v>3417</v>
      </c>
    </row>
    <row r="4209" spans="1:4">
      <c r="A4209" s="16">
        <v>3103000000</v>
      </c>
      <c r="B4209" s="16">
        <v>0</v>
      </c>
      <c r="C4209" s="16" t="s">
        <v>3402</v>
      </c>
      <c r="D4209" s="16" t="s">
        <v>3403</v>
      </c>
    </row>
    <row r="4210" spans="1:4">
      <c r="A4210" s="16">
        <v>6610100000</v>
      </c>
      <c r="B4210" s="16">
        <v>0</v>
      </c>
      <c r="C4210" s="16" t="s">
        <v>3413</v>
      </c>
      <c r="D4210" s="16" t="s">
        <v>3414</v>
      </c>
    </row>
    <row r="4211" spans="1:4">
      <c r="A4211" s="16">
        <v>4203000000</v>
      </c>
      <c r="B4211" s="16">
        <v>0</v>
      </c>
      <c r="C4211" s="16" t="s">
        <v>3408</v>
      </c>
      <c r="D4211" s="16" t="s">
        <v>3403</v>
      </c>
    </row>
    <row r="4212" spans="1:4">
      <c r="A4212" s="16">
        <v>3102000000</v>
      </c>
      <c r="B4212" s="16">
        <v>0</v>
      </c>
      <c r="C4212" s="16" t="s">
        <v>3424</v>
      </c>
      <c r="D4212" s="16" t="s">
        <v>3403</v>
      </c>
    </row>
    <row r="4213" spans="1:4">
      <c r="A4213" s="16">
        <v>6102000000</v>
      </c>
      <c r="B4213" s="16">
        <v>0</v>
      </c>
      <c r="C4213" s="16" t="s">
        <v>3425</v>
      </c>
      <c r="D4213" s="16" t="s">
        <v>3426</v>
      </c>
    </row>
    <row r="4214" spans="1:4">
      <c r="A4214" s="16">
        <v>2500000000</v>
      </c>
      <c r="B4214" s="16">
        <v>0</v>
      </c>
      <c r="C4214" s="16" t="s">
        <v>3412</v>
      </c>
      <c r="D4214" s="16" t="s">
        <v>3403</v>
      </c>
    </row>
    <row r="4215" spans="1:4">
      <c r="A4215" s="16">
        <v>5010100000</v>
      </c>
      <c r="B4215" s="16">
        <v>0</v>
      </c>
      <c r="C4215" s="16" t="s">
        <v>3406</v>
      </c>
      <c r="D4215" s="16" t="s">
        <v>3407</v>
      </c>
    </row>
    <row r="4216" spans="1:4">
      <c r="A4216" s="16">
        <v>3812000000</v>
      </c>
      <c r="B4216" s="16">
        <v>0</v>
      </c>
      <c r="C4216" s="16" t="s">
        <v>3424</v>
      </c>
      <c r="D4216" s="16" t="s">
        <v>3403</v>
      </c>
    </row>
    <row r="4217" spans="1:4">
      <c r="A4217" s="16">
        <v>6102000020</v>
      </c>
      <c r="B4217" s="16">
        <v>0</v>
      </c>
      <c r="C4217" s="16" t="s">
        <v>3425</v>
      </c>
      <c r="D4217" s="16" t="s">
        <v>3426</v>
      </c>
    </row>
    <row r="4218" spans="1:4">
      <c r="A4218" s="16">
        <v>6104000000</v>
      </c>
      <c r="B4218" s="16">
        <v>191146</v>
      </c>
      <c r="C4218" s="16" t="s">
        <v>3427</v>
      </c>
      <c r="D4218" s="16" t="s">
        <v>3417</v>
      </c>
    </row>
    <row r="4219" spans="1:4">
      <c r="A4219" s="16">
        <v>3103000000</v>
      </c>
      <c r="B4219" s="16">
        <v>-191146</v>
      </c>
      <c r="C4219" s="16" t="s">
        <v>3402</v>
      </c>
      <c r="D4219" s="16" t="s">
        <v>3403</v>
      </c>
    </row>
    <row r="4220" spans="1:4">
      <c r="A4220" s="16">
        <v>6700200000</v>
      </c>
      <c r="B4220" s="16">
        <v>0</v>
      </c>
      <c r="C4220" s="16" t="s">
        <v>3404</v>
      </c>
      <c r="D4220" s="16" t="s">
        <v>3409</v>
      </c>
    </row>
    <row r="4221" spans="1:4">
      <c r="A4221" s="16">
        <v>2201200030</v>
      </c>
      <c r="B4221" s="16">
        <v>0</v>
      </c>
      <c r="C4221" s="16" t="s">
        <v>3415</v>
      </c>
      <c r="D4221" s="16" t="s">
        <v>3403</v>
      </c>
    </row>
    <row r="4222" spans="1:4">
      <c r="A4222" s="16">
        <v>6700200000</v>
      </c>
      <c r="B4222" s="16">
        <v>0</v>
      </c>
      <c r="C4222" s="16" t="s">
        <v>3404</v>
      </c>
      <c r="D4222" s="16" t="s">
        <v>3409</v>
      </c>
    </row>
    <row r="4223" spans="1:4">
      <c r="A4223" s="16">
        <v>6700000000</v>
      </c>
      <c r="B4223" s="16">
        <v>0</v>
      </c>
      <c r="C4223" s="16" t="s">
        <v>3404</v>
      </c>
      <c r="D4223" s="16" t="s">
        <v>3405</v>
      </c>
    </row>
    <row r="4224" spans="1:4">
      <c r="A4224" s="16">
        <v>6700200000</v>
      </c>
      <c r="B4224" s="16">
        <v>0</v>
      </c>
      <c r="C4224" s="16" t="s">
        <v>3404</v>
      </c>
      <c r="D4224" s="16" t="s">
        <v>3409</v>
      </c>
    </row>
    <row r="4225" spans="1:4">
      <c r="A4225" s="16">
        <v>6700000000</v>
      </c>
      <c r="B4225" s="16">
        <v>0</v>
      </c>
      <c r="C4225" s="16" t="s">
        <v>3404</v>
      </c>
      <c r="D4225" s="16" t="s">
        <v>3405</v>
      </c>
    </row>
    <row r="4226" spans="1:4">
      <c r="A4226" s="16">
        <v>3102000000</v>
      </c>
      <c r="B4226" s="16">
        <v>0</v>
      </c>
      <c r="C4226" s="16" t="s">
        <v>3424</v>
      </c>
      <c r="D4226" s="16" t="s">
        <v>3403</v>
      </c>
    </row>
    <row r="4227" spans="1:4">
      <c r="A4227" s="16">
        <v>6102000000</v>
      </c>
      <c r="B4227" s="16">
        <v>0</v>
      </c>
      <c r="C4227" s="16" t="s">
        <v>3425</v>
      </c>
      <c r="D4227" s="16" t="s">
        <v>3426</v>
      </c>
    </row>
    <row r="4228" spans="1:4">
      <c r="A4228" s="16">
        <v>6700200000</v>
      </c>
      <c r="B4228" s="16">
        <v>0</v>
      </c>
      <c r="C4228" s="16" t="s">
        <v>3404</v>
      </c>
      <c r="D4228" s="16" t="s">
        <v>3409</v>
      </c>
    </row>
    <row r="4229" spans="1:4">
      <c r="A4229" s="16">
        <v>6700000000</v>
      </c>
      <c r="B4229" s="16">
        <v>0</v>
      </c>
      <c r="C4229" s="16" t="s">
        <v>3404</v>
      </c>
      <c r="D4229" s="16" t="s">
        <v>3405</v>
      </c>
    </row>
    <row r="4230" spans="1:4">
      <c r="A4230" s="16">
        <v>6700600000</v>
      </c>
      <c r="B4230" s="16">
        <v>0</v>
      </c>
      <c r="C4230" s="16" t="s">
        <v>3404</v>
      </c>
      <c r="D4230" s="16" t="s">
        <v>3409</v>
      </c>
    </row>
    <row r="4231" spans="1:4">
      <c r="A4231" s="16">
        <v>6700400000</v>
      </c>
      <c r="B4231" s="16">
        <v>0</v>
      </c>
      <c r="C4231" s="16" t="s">
        <v>3404</v>
      </c>
      <c r="D4231" s="16" t="s">
        <v>3405</v>
      </c>
    </row>
    <row r="4232" spans="1:4">
      <c r="A4232" s="16">
        <v>6610100000</v>
      </c>
      <c r="B4232" s="16">
        <v>0</v>
      </c>
      <c r="C4232" s="16" t="s">
        <v>3413</v>
      </c>
      <c r="D4232" s="16" t="s">
        <v>3414</v>
      </c>
    </row>
    <row r="4233" spans="1:4">
      <c r="A4233" s="16">
        <v>4203000000</v>
      </c>
      <c r="B4233" s="16">
        <v>0</v>
      </c>
      <c r="C4233" s="16" t="s">
        <v>3408</v>
      </c>
      <c r="D4233" s="16" t="s">
        <v>3403</v>
      </c>
    </row>
    <row r="4234" spans="1:4">
      <c r="A4234" s="16">
        <v>6104001000</v>
      </c>
      <c r="B4234" s="16">
        <v>0</v>
      </c>
      <c r="C4234" s="16" t="s">
        <v>3416</v>
      </c>
      <c r="D4234" s="16" t="s">
        <v>3417</v>
      </c>
    </row>
    <row r="4235" spans="1:4">
      <c r="A4235" s="16">
        <v>3103001000</v>
      </c>
      <c r="B4235" s="16">
        <v>0</v>
      </c>
      <c r="C4235" s="16" t="s">
        <v>3402</v>
      </c>
      <c r="D4235" s="16" t="s">
        <v>3403</v>
      </c>
    </row>
    <row r="4236" spans="1:4">
      <c r="A4236" s="16">
        <v>3102000000</v>
      </c>
      <c r="B4236" s="16">
        <v>0</v>
      </c>
      <c r="C4236" s="16" t="s">
        <v>3424</v>
      </c>
      <c r="D4236" s="16" t="s">
        <v>3403</v>
      </c>
    </row>
    <row r="4237" spans="1:4">
      <c r="A4237" s="16">
        <v>6102000000</v>
      </c>
      <c r="B4237" s="16">
        <v>0</v>
      </c>
      <c r="C4237" s="16" t="s">
        <v>3425</v>
      </c>
      <c r="D4237" s="16" t="s">
        <v>3426</v>
      </c>
    </row>
    <row r="4238" spans="1:4">
      <c r="A4238" s="16">
        <v>6700700000</v>
      </c>
      <c r="B4238" s="16">
        <v>0</v>
      </c>
      <c r="C4238" s="16" t="s">
        <v>3404</v>
      </c>
      <c r="D4238" s="16" t="s">
        <v>3409</v>
      </c>
    </row>
    <row r="4239" spans="1:4">
      <c r="A4239" s="16">
        <v>6700500000</v>
      </c>
      <c r="B4239" s="16">
        <v>0</v>
      </c>
      <c r="C4239" s="16" t="s">
        <v>3404</v>
      </c>
      <c r="D4239" s="16" t="s">
        <v>3405</v>
      </c>
    </row>
    <row r="4240" spans="1:4">
      <c r="A4240" s="16">
        <v>3102000000</v>
      </c>
      <c r="B4240" s="16">
        <v>0</v>
      </c>
      <c r="C4240" s="16" t="s">
        <v>3424</v>
      </c>
      <c r="D4240" s="16" t="s">
        <v>3403</v>
      </c>
    </row>
    <row r="4241" spans="1:4">
      <c r="A4241" s="16">
        <v>6102000000</v>
      </c>
      <c r="B4241" s="16">
        <v>0</v>
      </c>
      <c r="C4241" s="16" t="s">
        <v>3425</v>
      </c>
      <c r="D4241" s="16" t="s">
        <v>3426</v>
      </c>
    </row>
    <row r="4242" spans="1:4">
      <c r="A4242" s="16">
        <v>5010000010</v>
      </c>
      <c r="B4242" s="16">
        <v>0</v>
      </c>
      <c r="C4242" s="16" t="s">
        <v>3406</v>
      </c>
      <c r="D4242" s="16" t="s">
        <v>3411</v>
      </c>
    </row>
    <row r="4243" spans="1:4">
      <c r="A4243" s="16">
        <v>3710000000</v>
      </c>
      <c r="B4243" s="16">
        <v>0</v>
      </c>
      <c r="C4243" s="16" t="s">
        <v>3402</v>
      </c>
      <c r="D4243" s="16" t="s">
        <v>3403</v>
      </c>
    </row>
    <row r="4244" spans="1:4">
      <c r="A4244" s="16">
        <v>6700700000</v>
      </c>
      <c r="B4244" s="16">
        <v>0</v>
      </c>
      <c r="C4244" s="16" t="s">
        <v>3404</v>
      </c>
      <c r="D4244" s="16" t="s">
        <v>3409</v>
      </c>
    </row>
    <row r="4245" spans="1:4">
      <c r="A4245" s="16">
        <v>6700500000</v>
      </c>
      <c r="B4245" s="16">
        <v>0</v>
      </c>
      <c r="C4245" s="16" t="s">
        <v>3404</v>
      </c>
      <c r="D4245" s="16" t="s">
        <v>3405</v>
      </c>
    </row>
    <row r="4246" spans="1:4">
      <c r="A4246" s="16">
        <v>6030000000</v>
      </c>
      <c r="B4246" s="16">
        <v>0</v>
      </c>
      <c r="C4246" s="16" t="s">
        <v>3420</v>
      </c>
      <c r="D4246" s="16" t="s">
        <v>3423</v>
      </c>
    </row>
    <row r="4247" spans="1:4">
      <c r="A4247" s="16">
        <v>3030000000</v>
      </c>
      <c r="B4247" s="16">
        <v>0</v>
      </c>
      <c r="C4247" s="16" t="s">
        <v>3402</v>
      </c>
      <c r="D4247" s="16" t="s">
        <v>3403</v>
      </c>
    </row>
    <row r="4248" spans="1:4">
      <c r="A4248" s="16">
        <v>6700200000</v>
      </c>
      <c r="B4248" s="16">
        <v>0</v>
      </c>
      <c r="C4248" s="16" t="s">
        <v>3404</v>
      </c>
      <c r="D4248" s="16" t="s">
        <v>3409</v>
      </c>
    </row>
    <row r="4249" spans="1:4">
      <c r="A4249" s="16">
        <v>2201200030</v>
      </c>
      <c r="B4249" s="16">
        <v>0</v>
      </c>
      <c r="C4249" s="16" t="s">
        <v>3415</v>
      </c>
      <c r="D4249" s="16" t="s">
        <v>3403</v>
      </c>
    </row>
    <row r="4250" spans="1:4">
      <c r="A4250" s="16">
        <v>6100000000</v>
      </c>
      <c r="B4250" s="16">
        <v>3012552</v>
      </c>
      <c r="C4250" s="16" t="s">
        <v>3416</v>
      </c>
      <c r="D4250" s="16" t="s">
        <v>3417</v>
      </c>
    </row>
    <row r="4251" spans="1:4">
      <c r="A4251" s="16">
        <v>3100000000</v>
      </c>
      <c r="B4251" s="16">
        <v>-3012552</v>
      </c>
      <c r="C4251" s="16" t="s">
        <v>3402</v>
      </c>
      <c r="D4251" s="16" t="s">
        <v>3403</v>
      </c>
    </row>
    <row r="4252" spans="1:4">
      <c r="A4252" s="16">
        <v>2203000000</v>
      </c>
      <c r="B4252" s="16">
        <v>0</v>
      </c>
      <c r="C4252" s="16" t="s">
        <v>3415</v>
      </c>
      <c r="D4252" s="16" t="s">
        <v>3403</v>
      </c>
    </row>
    <row r="4253" spans="1:4">
      <c r="A4253" s="16">
        <v>6060110000</v>
      </c>
      <c r="B4253" s="16">
        <v>0</v>
      </c>
      <c r="C4253" s="16" t="s">
        <v>3420</v>
      </c>
      <c r="D4253" s="16" t="s">
        <v>3421</v>
      </c>
    </row>
    <row r="4254" spans="1:4">
      <c r="A4254" s="16">
        <v>6700200000</v>
      </c>
      <c r="B4254" s="16">
        <v>0</v>
      </c>
      <c r="C4254" s="16" t="s">
        <v>3404</v>
      </c>
      <c r="D4254" s="16" t="s">
        <v>3409</v>
      </c>
    </row>
    <row r="4255" spans="1:4">
      <c r="A4255" s="16">
        <v>2201200030</v>
      </c>
      <c r="B4255" s="16">
        <v>0</v>
      </c>
      <c r="C4255" s="16" t="s">
        <v>3415</v>
      </c>
      <c r="D4255" s="16" t="s">
        <v>3403</v>
      </c>
    </row>
    <row r="4256" spans="1:4">
      <c r="A4256" s="16">
        <v>2750010000</v>
      </c>
      <c r="B4256" s="16">
        <v>43905</v>
      </c>
      <c r="C4256" s="16" t="s">
        <v>3419</v>
      </c>
      <c r="D4256" s="16" t="s">
        <v>3403</v>
      </c>
    </row>
    <row r="4257" spans="1:4">
      <c r="A4257" s="16">
        <v>6610000100</v>
      </c>
      <c r="B4257" s="16">
        <v>-43905</v>
      </c>
      <c r="C4257" s="16" t="s">
        <v>3413</v>
      </c>
      <c r="D4257" s="16" t="s">
        <v>3418</v>
      </c>
    </row>
    <row r="4258" spans="1:4">
      <c r="A4258" s="16">
        <v>2500000000</v>
      </c>
      <c r="B4258" s="16">
        <v>0</v>
      </c>
      <c r="C4258" s="16" t="s">
        <v>3412</v>
      </c>
      <c r="D4258" s="16" t="s">
        <v>3403</v>
      </c>
    </row>
    <row r="4259" spans="1:4">
      <c r="A4259" s="16">
        <v>5010100000</v>
      </c>
      <c r="B4259" s="16">
        <v>0</v>
      </c>
      <c r="C4259" s="16" t="s">
        <v>3406</v>
      </c>
      <c r="D4259" s="16" t="s">
        <v>3407</v>
      </c>
    </row>
    <row r="4260" spans="1:4">
      <c r="A4260" s="16">
        <v>6700700000</v>
      </c>
      <c r="B4260" s="16">
        <v>0</v>
      </c>
      <c r="C4260" s="16" t="s">
        <v>3404</v>
      </c>
      <c r="D4260" s="16" t="s">
        <v>3409</v>
      </c>
    </row>
    <row r="4261" spans="1:4">
      <c r="A4261" s="16">
        <v>6700500000</v>
      </c>
      <c r="B4261" s="16">
        <v>0</v>
      </c>
      <c r="C4261" s="16" t="s">
        <v>3404</v>
      </c>
      <c r="D4261" s="16" t="s">
        <v>3405</v>
      </c>
    </row>
    <row r="4262" spans="1:4">
      <c r="A4262" s="16">
        <v>2500000000</v>
      </c>
      <c r="B4262" s="16">
        <v>334285</v>
      </c>
      <c r="C4262" s="16" t="s">
        <v>3412</v>
      </c>
      <c r="D4262" s="16" t="s">
        <v>3403</v>
      </c>
    </row>
    <row r="4263" spans="1:4">
      <c r="A4263" s="16">
        <v>5010100000</v>
      </c>
      <c r="B4263" s="16">
        <v>-334285</v>
      </c>
      <c r="C4263" s="16" t="s">
        <v>3406</v>
      </c>
      <c r="D4263" s="16" t="s">
        <v>3407</v>
      </c>
    </row>
    <row r="4264" spans="1:4">
      <c r="A4264" s="16">
        <v>6700200000</v>
      </c>
      <c r="B4264" s="16">
        <v>0</v>
      </c>
      <c r="C4264" s="16" t="s">
        <v>3404</v>
      </c>
      <c r="D4264" s="16" t="s">
        <v>3409</v>
      </c>
    </row>
    <row r="4265" spans="1:4">
      <c r="A4265" s="16">
        <v>6700100000</v>
      </c>
      <c r="B4265" s="16">
        <v>0</v>
      </c>
      <c r="C4265" s="16" t="s">
        <v>3404</v>
      </c>
      <c r="D4265" s="16" t="s">
        <v>3410</v>
      </c>
    </row>
    <row r="4266" spans="1:4">
      <c r="A4266" s="16">
        <v>2500000000</v>
      </c>
      <c r="B4266" s="16">
        <v>0</v>
      </c>
      <c r="C4266" s="16" t="s">
        <v>3412</v>
      </c>
      <c r="D4266" s="16" t="s">
        <v>3403</v>
      </c>
    </row>
    <row r="4267" spans="1:4">
      <c r="A4267" s="16">
        <v>5010000000</v>
      </c>
      <c r="B4267" s="16">
        <v>0</v>
      </c>
      <c r="C4267" s="16" t="s">
        <v>3406</v>
      </c>
      <c r="D4267" s="16" t="s">
        <v>3411</v>
      </c>
    </row>
    <row r="4268" spans="1:4">
      <c r="A4268" s="16">
        <v>6700600000</v>
      </c>
      <c r="B4268" s="16">
        <v>0</v>
      </c>
      <c r="C4268" s="16" t="s">
        <v>3404</v>
      </c>
      <c r="D4268" s="16" t="s">
        <v>3409</v>
      </c>
    </row>
    <row r="4269" spans="1:4">
      <c r="A4269" s="16">
        <v>6700400000</v>
      </c>
      <c r="B4269" s="16">
        <v>0</v>
      </c>
      <c r="C4269" s="16" t="s">
        <v>3404</v>
      </c>
      <c r="D4269" s="16" t="s">
        <v>3405</v>
      </c>
    </row>
    <row r="4270" spans="1:4">
      <c r="A4270" s="16">
        <v>2500000000</v>
      </c>
      <c r="B4270" s="16">
        <v>0</v>
      </c>
      <c r="C4270" s="16" t="s">
        <v>3412</v>
      </c>
      <c r="D4270" s="16" t="s">
        <v>3403</v>
      </c>
    </row>
    <row r="4271" spans="1:4">
      <c r="A4271" s="16">
        <v>5010100000</v>
      </c>
      <c r="B4271" s="16">
        <v>0</v>
      </c>
      <c r="C4271" s="16" t="s">
        <v>3406</v>
      </c>
      <c r="D4271" s="16" t="s">
        <v>3407</v>
      </c>
    </row>
    <row r="4272" spans="1:4">
      <c r="A4272" s="16">
        <v>6104001000</v>
      </c>
      <c r="B4272" s="16">
        <v>0</v>
      </c>
      <c r="C4272" s="16" t="s">
        <v>3427</v>
      </c>
      <c r="D4272" s="16" t="s">
        <v>3417</v>
      </c>
    </row>
    <row r="4273" spans="1:4">
      <c r="A4273" s="16">
        <v>3103001000</v>
      </c>
      <c r="B4273" s="16">
        <v>0</v>
      </c>
      <c r="C4273" s="16" t="s">
        <v>3402</v>
      </c>
      <c r="D4273" s="16" t="s">
        <v>3403</v>
      </c>
    </row>
    <row r="4274" spans="1:4">
      <c r="A4274" s="16">
        <v>6700200000</v>
      </c>
      <c r="B4274" s="16">
        <v>0</v>
      </c>
      <c r="C4274" s="16" t="s">
        <v>3404</v>
      </c>
      <c r="D4274" s="16" t="s">
        <v>3409</v>
      </c>
    </row>
    <row r="4275" spans="1:4">
      <c r="A4275" s="16">
        <v>6700000000</v>
      </c>
      <c r="B4275" s="16">
        <v>0</v>
      </c>
      <c r="C4275" s="16" t="s">
        <v>3404</v>
      </c>
      <c r="D4275" s="16" t="s">
        <v>3405</v>
      </c>
    </row>
    <row r="4276" spans="1:4">
      <c r="A4276" s="16">
        <v>6700200000</v>
      </c>
      <c r="B4276" s="16">
        <v>0</v>
      </c>
      <c r="C4276" s="16" t="s">
        <v>3404</v>
      </c>
      <c r="D4276" s="16" t="s">
        <v>3409</v>
      </c>
    </row>
    <row r="4277" spans="1:4">
      <c r="A4277" s="16">
        <v>6700100000</v>
      </c>
      <c r="B4277" s="16">
        <v>0</v>
      </c>
      <c r="C4277" s="16" t="s">
        <v>3404</v>
      </c>
      <c r="D4277" s="16" t="s">
        <v>3410</v>
      </c>
    </row>
    <row r="4278" spans="1:4">
      <c r="A4278" s="16">
        <v>6150000000</v>
      </c>
      <c r="B4278" s="16">
        <v>1044854</v>
      </c>
      <c r="C4278" s="16" t="s">
        <v>3416</v>
      </c>
      <c r="D4278" s="16" t="s">
        <v>3417</v>
      </c>
    </row>
    <row r="4279" spans="1:4">
      <c r="A4279" s="16">
        <v>3510000000</v>
      </c>
      <c r="B4279" s="16">
        <v>-1044854</v>
      </c>
      <c r="C4279" s="16" t="s">
        <v>3402</v>
      </c>
      <c r="D4279" s="16" t="s">
        <v>3403</v>
      </c>
    </row>
    <row r="4280" spans="1:4">
      <c r="A4280" s="16">
        <v>2201000000</v>
      </c>
      <c r="B4280" s="16">
        <v>0</v>
      </c>
      <c r="C4280" s="16" t="s">
        <v>3415</v>
      </c>
      <c r="D4280" s="16" t="s">
        <v>3403</v>
      </c>
    </row>
    <row r="4281" spans="1:4">
      <c r="A4281" s="16">
        <v>6700200000</v>
      </c>
      <c r="B4281" s="16">
        <v>0</v>
      </c>
      <c r="C4281" s="16" t="s">
        <v>3404</v>
      </c>
      <c r="D4281" s="16" t="s">
        <v>3409</v>
      </c>
    </row>
    <row r="4282" spans="1:4">
      <c r="A4282" s="16">
        <v>2201000000</v>
      </c>
      <c r="B4282" s="16">
        <v>4051247</v>
      </c>
      <c r="C4282" s="16" t="s">
        <v>3415</v>
      </c>
      <c r="D4282" s="16" t="s">
        <v>3403</v>
      </c>
    </row>
    <row r="4283" spans="1:4">
      <c r="A4283" s="16">
        <v>6700200000</v>
      </c>
      <c r="B4283" s="16">
        <v>-4051247</v>
      </c>
      <c r="C4283" s="16" t="s">
        <v>3404</v>
      </c>
      <c r="D4283" s="16" t="s">
        <v>3409</v>
      </c>
    </row>
    <row r="4284" spans="1:4">
      <c r="A4284" s="16">
        <v>6150000000</v>
      </c>
      <c r="B4284" s="16">
        <v>0</v>
      </c>
      <c r="C4284" s="16" t="s">
        <v>3416</v>
      </c>
      <c r="D4284" s="16" t="s">
        <v>3417</v>
      </c>
    </row>
    <row r="4285" spans="1:4">
      <c r="A4285" s="16">
        <v>3510000000</v>
      </c>
      <c r="B4285" s="16">
        <v>0</v>
      </c>
      <c r="C4285" s="16" t="s">
        <v>3402</v>
      </c>
      <c r="D4285" s="16" t="s">
        <v>3403</v>
      </c>
    </row>
    <row r="4286" spans="1:4">
      <c r="A4286" s="16">
        <v>3102000000</v>
      </c>
      <c r="B4286" s="16">
        <v>0</v>
      </c>
      <c r="C4286" s="16" t="s">
        <v>3424</v>
      </c>
      <c r="D4286" s="16" t="s">
        <v>3403</v>
      </c>
    </row>
    <row r="4287" spans="1:4">
      <c r="A4287" s="16">
        <v>6102000000</v>
      </c>
      <c r="B4287" s="16">
        <v>0</v>
      </c>
      <c r="C4287" s="16" t="s">
        <v>3425</v>
      </c>
      <c r="D4287" s="16" t="s">
        <v>3426</v>
      </c>
    </row>
    <row r="4288" spans="1:4">
      <c r="A4288" s="16">
        <v>2201300000</v>
      </c>
      <c r="B4288" s="16">
        <v>640880</v>
      </c>
      <c r="C4288" s="16" t="s">
        <v>3415</v>
      </c>
      <c r="D4288" s="16" t="s">
        <v>3403</v>
      </c>
    </row>
    <row r="4289" spans="1:4">
      <c r="A4289" s="16">
        <v>6700600000</v>
      </c>
      <c r="B4289" s="16">
        <v>-640880</v>
      </c>
      <c r="C4289" s="16" t="s">
        <v>3404</v>
      </c>
      <c r="D4289" s="16" t="s">
        <v>3409</v>
      </c>
    </row>
    <row r="4290" spans="1:4">
      <c r="A4290" s="16">
        <v>2750010000</v>
      </c>
      <c r="B4290" s="16">
        <v>0</v>
      </c>
      <c r="C4290" s="16" t="s">
        <v>3419</v>
      </c>
      <c r="D4290" s="16" t="s">
        <v>3403</v>
      </c>
    </row>
    <row r="4291" spans="1:4">
      <c r="A4291" s="16">
        <v>6610100100</v>
      </c>
      <c r="B4291" s="16">
        <v>0</v>
      </c>
      <c r="C4291" s="16" t="s">
        <v>3413</v>
      </c>
      <c r="D4291" s="16" t="s">
        <v>3414</v>
      </c>
    </row>
    <row r="4292" spans="1:4">
      <c r="A4292" s="16">
        <v>6030000000</v>
      </c>
      <c r="B4292" s="16">
        <v>1172329</v>
      </c>
      <c r="C4292" s="16" t="s">
        <v>3420</v>
      </c>
      <c r="D4292" s="16" t="s">
        <v>3423</v>
      </c>
    </row>
    <row r="4293" spans="1:4">
      <c r="A4293" s="16">
        <v>3030000000</v>
      </c>
      <c r="B4293" s="16">
        <v>-1172329</v>
      </c>
      <c r="C4293" s="16" t="s">
        <v>3402</v>
      </c>
      <c r="D4293" s="16" t="s">
        <v>3403</v>
      </c>
    </row>
    <row r="4294" spans="1:4">
      <c r="A4294" s="16">
        <v>6700700000</v>
      </c>
      <c r="B4294" s="16">
        <v>0</v>
      </c>
      <c r="C4294" s="16" t="s">
        <v>3404</v>
      </c>
      <c r="D4294" s="16" t="s">
        <v>3409</v>
      </c>
    </row>
    <row r="4295" spans="1:4">
      <c r="A4295" s="16">
        <v>6700500000</v>
      </c>
      <c r="B4295" s="16">
        <v>0</v>
      </c>
      <c r="C4295" s="16" t="s">
        <v>3404</v>
      </c>
      <c r="D4295" s="16" t="s">
        <v>3405</v>
      </c>
    </row>
    <row r="4296" spans="1:4">
      <c r="A4296" s="16">
        <v>6700200000</v>
      </c>
      <c r="B4296" s="16">
        <v>0</v>
      </c>
      <c r="C4296" s="16" t="s">
        <v>3404</v>
      </c>
      <c r="D4296" s="16" t="s">
        <v>3409</v>
      </c>
    </row>
    <row r="4297" spans="1:4">
      <c r="A4297" s="16">
        <v>6700000000</v>
      </c>
      <c r="B4297" s="16">
        <v>0</v>
      </c>
      <c r="C4297" s="16" t="s">
        <v>3404</v>
      </c>
      <c r="D4297" s="16" t="s">
        <v>3405</v>
      </c>
    </row>
    <row r="4298" spans="1:4">
      <c r="A4298" s="16">
        <v>2500000000</v>
      </c>
      <c r="B4298" s="16">
        <v>-15005</v>
      </c>
      <c r="C4298" s="16" t="s">
        <v>3412</v>
      </c>
      <c r="D4298" s="16" t="s">
        <v>3403</v>
      </c>
    </row>
    <row r="4299" spans="1:4">
      <c r="A4299" s="16">
        <v>5010000000</v>
      </c>
      <c r="B4299" s="16">
        <v>15005</v>
      </c>
      <c r="C4299" s="16" t="s">
        <v>3406</v>
      </c>
      <c r="D4299" s="16" t="s">
        <v>3411</v>
      </c>
    </row>
    <row r="4300" spans="1:4">
      <c r="A4300" s="16">
        <v>6700200000</v>
      </c>
      <c r="B4300" s="16">
        <v>0</v>
      </c>
      <c r="C4300" s="16" t="s">
        <v>3404</v>
      </c>
      <c r="D4300" s="16" t="s">
        <v>3409</v>
      </c>
    </row>
    <row r="4301" spans="1:4">
      <c r="A4301" s="16">
        <v>6700000000</v>
      </c>
      <c r="B4301" s="16">
        <v>0</v>
      </c>
      <c r="C4301" s="16" t="s">
        <v>3404</v>
      </c>
      <c r="D4301" s="16" t="s">
        <v>3405</v>
      </c>
    </row>
    <row r="4302" spans="1:4">
      <c r="A4302" s="16">
        <v>6700200000</v>
      </c>
      <c r="B4302" s="16">
        <v>0</v>
      </c>
      <c r="C4302" s="16" t="s">
        <v>3404</v>
      </c>
      <c r="D4302" s="16" t="s">
        <v>3409</v>
      </c>
    </row>
    <row r="4303" spans="1:4">
      <c r="A4303" s="16">
        <v>6700000000</v>
      </c>
      <c r="B4303" s="16">
        <v>0</v>
      </c>
      <c r="C4303" s="16" t="s">
        <v>3404</v>
      </c>
      <c r="D4303" s="16" t="s">
        <v>3405</v>
      </c>
    </row>
    <row r="4304" spans="1:4">
      <c r="A4304" s="16">
        <v>6610000000</v>
      </c>
      <c r="B4304" s="16">
        <v>0</v>
      </c>
      <c r="C4304" s="16" t="s">
        <v>3413</v>
      </c>
      <c r="D4304" s="16" t="s">
        <v>3418</v>
      </c>
    </row>
    <row r="4305" spans="1:4">
      <c r="A4305" s="16">
        <v>4203000000</v>
      </c>
      <c r="B4305" s="16">
        <v>0</v>
      </c>
      <c r="C4305" s="16" t="s">
        <v>3408</v>
      </c>
      <c r="D4305" s="16" t="s">
        <v>3403</v>
      </c>
    </row>
    <row r="4306" spans="1:4">
      <c r="A4306" s="16">
        <v>6104001000</v>
      </c>
      <c r="B4306" s="16">
        <v>3039</v>
      </c>
      <c r="C4306" s="16" t="s">
        <v>3416</v>
      </c>
      <c r="D4306" s="16" t="s">
        <v>3417</v>
      </c>
    </row>
    <row r="4307" spans="1:4">
      <c r="A4307" s="16">
        <v>3103001000</v>
      </c>
      <c r="B4307" s="16">
        <v>-3039</v>
      </c>
      <c r="C4307" s="16" t="s">
        <v>3402</v>
      </c>
      <c r="D4307" s="16" t="s">
        <v>3403</v>
      </c>
    </row>
    <row r="4308" spans="1:4">
      <c r="A4308" s="16">
        <v>2201000000</v>
      </c>
      <c r="B4308" s="16">
        <v>0</v>
      </c>
      <c r="C4308" s="16" t="s">
        <v>3415</v>
      </c>
      <c r="D4308" s="16" t="s">
        <v>3403</v>
      </c>
    </row>
    <row r="4309" spans="1:4">
      <c r="A4309" s="16">
        <v>6700200000</v>
      </c>
      <c r="B4309" s="16">
        <v>0</v>
      </c>
      <c r="C4309" s="16" t="s">
        <v>3404</v>
      </c>
      <c r="D4309" s="16" t="s">
        <v>3409</v>
      </c>
    </row>
    <row r="4310" spans="1:4">
      <c r="A4310" s="16">
        <v>5010000010</v>
      </c>
      <c r="B4310" s="16">
        <v>84888</v>
      </c>
      <c r="C4310" s="16" t="s">
        <v>3406</v>
      </c>
      <c r="D4310" s="16" t="s">
        <v>3411</v>
      </c>
    </row>
    <row r="4311" spans="1:4">
      <c r="A4311" s="16">
        <v>3710000000</v>
      </c>
      <c r="B4311" s="16">
        <v>-84888</v>
      </c>
      <c r="C4311" s="16" t="s">
        <v>3402</v>
      </c>
      <c r="D4311" s="16" t="s">
        <v>3403</v>
      </c>
    </row>
    <row r="4312" spans="1:4">
      <c r="A4312" s="16">
        <v>6030000000</v>
      </c>
      <c r="B4312" s="16">
        <v>0</v>
      </c>
      <c r="C4312" s="16" t="s">
        <v>3420</v>
      </c>
      <c r="D4312" s="16" t="s">
        <v>3423</v>
      </c>
    </row>
    <row r="4313" spans="1:4">
      <c r="A4313" s="16">
        <v>3030000000</v>
      </c>
      <c r="B4313" s="16">
        <v>0</v>
      </c>
      <c r="C4313" s="16" t="s">
        <v>3402</v>
      </c>
      <c r="D4313" s="16" t="s">
        <v>3403</v>
      </c>
    </row>
    <row r="4314" spans="1:4">
      <c r="A4314" s="16">
        <v>6104000000</v>
      </c>
      <c r="B4314" s="16">
        <v>0</v>
      </c>
      <c r="C4314" s="16" t="s">
        <v>3416</v>
      </c>
      <c r="D4314" s="16" t="s">
        <v>3417</v>
      </c>
    </row>
    <row r="4315" spans="1:4">
      <c r="A4315" s="16">
        <v>3103000000</v>
      </c>
      <c r="B4315" s="16">
        <v>0</v>
      </c>
      <c r="C4315" s="16" t="s">
        <v>3402</v>
      </c>
      <c r="D4315" s="16" t="s">
        <v>3403</v>
      </c>
    </row>
    <row r="4316" spans="1:4">
      <c r="A4316" s="16">
        <v>5010100010</v>
      </c>
      <c r="B4316" s="16">
        <v>0</v>
      </c>
      <c r="C4316" s="16" t="s">
        <v>3406</v>
      </c>
      <c r="D4316" s="16" t="s">
        <v>3407</v>
      </c>
    </row>
    <row r="4317" spans="1:4">
      <c r="A4317" s="16">
        <v>3710000000</v>
      </c>
      <c r="B4317" s="16">
        <v>0</v>
      </c>
      <c r="C4317" s="16" t="s">
        <v>3402</v>
      </c>
      <c r="D4317" s="16" t="s">
        <v>3403</v>
      </c>
    </row>
    <row r="4318" spans="1:4">
      <c r="A4318" s="16">
        <v>6700600000</v>
      </c>
      <c r="B4318" s="16">
        <v>0</v>
      </c>
      <c r="C4318" s="16" t="s">
        <v>3404</v>
      </c>
      <c r="D4318" s="16" t="s">
        <v>3409</v>
      </c>
    </row>
    <row r="4319" spans="1:4">
      <c r="A4319" s="16">
        <v>6700400000</v>
      </c>
      <c r="B4319" s="16">
        <v>0</v>
      </c>
      <c r="C4319" s="16" t="s">
        <v>3404</v>
      </c>
      <c r="D4319" s="16" t="s">
        <v>3405</v>
      </c>
    </row>
    <row r="4320" spans="1:4">
      <c r="A4320" s="16">
        <v>6150000000</v>
      </c>
      <c r="B4320" s="16">
        <v>0</v>
      </c>
      <c r="C4320" s="16" t="s">
        <v>3416</v>
      </c>
      <c r="D4320" s="16" t="s">
        <v>3417</v>
      </c>
    </row>
    <row r="4321" spans="1:4">
      <c r="A4321" s="16">
        <v>3510000000</v>
      </c>
      <c r="B4321" s="16">
        <v>0</v>
      </c>
      <c r="C4321" s="16" t="s">
        <v>3402</v>
      </c>
      <c r="D4321" s="16" t="s">
        <v>3403</v>
      </c>
    </row>
    <row r="4322" spans="1:4">
      <c r="A4322" s="16">
        <v>6700700000</v>
      </c>
      <c r="B4322" s="16">
        <v>0</v>
      </c>
      <c r="C4322" s="16" t="s">
        <v>3404</v>
      </c>
      <c r="D4322" s="16" t="s">
        <v>3409</v>
      </c>
    </row>
    <row r="4323" spans="1:4">
      <c r="A4323" s="16">
        <v>6700500000</v>
      </c>
      <c r="B4323" s="16">
        <v>0</v>
      </c>
      <c r="C4323" s="16" t="s">
        <v>3404</v>
      </c>
      <c r="D4323" s="16" t="s">
        <v>3405</v>
      </c>
    </row>
    <row r="4324" spans="1:4">
      <c r="A4324" s="16">
        <v>2500000000</v>
      </c>
      <c r="B4324" s="16">
        <v>0</v>
      </c>
      <c r="C4324" s="16" t="s">
        <v>3412</v>
      </c>
      <c r="D4324" s="16" t="s">
        <v>3403</v>
      </c>
    </row>
    <row r="4325" spans="1:4">
      <c r="A4325" s="16">
        <v>5010100000</v>
      </c>
      <c r="B4325" s="16">
        <v>0</v>
      </c>
      <c r="C4325" s="16" t="s">
        <v>3406</v>
      </c>
      <c r="D4325" s="16" t="s">
        <v>3407</v>
      </c>
    </row>
    <row r="4326" spans="1:4">
      <c r="A4326" s="16">
        <v>6104000000</v>
      </c>
      <c r="B4326" s="16">
        <v>8130503299</v>
      </c>
      <c r="C4326" s="16" t="s">
        <v>3416</v>
      </c>
      <c r="D4326" s="16" t="s">
        <v>3417</v>
      </c>
    </row>
    <row r="4327" spans="1:4">
      <c r="A4327" s="16">
        <v>3103000000</v>
      </c>
      <c r="B4327" s="16">
        <v>-8130503299</v>
      </c>
      <c r="C4327" s="16" t="s">
        <v>3402</v>
      </c>
      <c r="D4327" s="16" t="s">
        <v>3403</v>
      </c>
    </row>
    <row r="4328" spans="1:4">
      <c r="A4328" s="16">
        <v>6700200000</v>
      </c>
      <c r="B4328" s="16">
        <v>0</v>
      </c>
      <c r="C4328" s="16" t="s">
        <v>3404</v>
      </c>
      <c r="D4328" s="16" t="s">
        <v>3409</v>
      </c>
    </row>
    <row r="4329" spans="1:4">
      <c r="A4329" s="16">
        <v>2201200030</v>
      </c>
      <c r="B4329" s="16">
        <v>0</v>
      </c>
      <c r="C4329" s="16" t="s">
        <v>3415</v>
      </c>
      <c r="D4329" s="16" t="s">
        <v>3403</v>
      </c>
    </row>
    <row r="4330" spans="1:4">
      <c r="A4330" s="16">
        <v>5010100010</v>
      </c>
      <c r="B4330" s="16">
        <v>0</v>
      </c>
      <c r="C4330" s="16" t="s">
        <v>3406</v>
      </c>
      <c r="D4330" s="16" t="s">
        <v>3407</v>
      </c>
    </row>
    <row r="4331" spans="1:4">
      <c r="A4331" s="16">
        <v>3710000000</v>
      </c>
      <c r="B4331" s="16">
        <v>0</v>
      </c>
      <c r="C4331" s="16" t="s">
        <v>3402</v>
      </c>
      <c r="D4331" s="16" t="s">
        <v>3403</v>
      </c>
    </row>
    <row r="4332" spans="1:4">
      <c r="A4332" s="16">
        <v>6700200000</v>
      </c>
      <c r="B4332" s="16">
        <v>0</v>
      </c>
      <c r="C4332" s="16" t="s">
        <v>3404</v>
      </c>
      <c r="D4332" s="16" t="s">
        <v>3409</v>
      </c>
    </row>
    <row r="4333" spans="1:4">
      <c r="A4333" s="16">
        <v>6700000000</v>
      </c>
      <c r="B4333" s="16">
        <v>0</v>
      </c>
      <c r="C4333" s="16" t="s">
        <v>3404</v>
      </c>
      <c r="D4333" s="16" t="s">
        <v>3405</v>
      </c>
    </row>
    <row r="4334" spans="1:4">
      <c r="A4334" s="16">
        <v>6030000000</v>
      </c>
      <c r="B4334" s="16">
        <v>0</v>
      </c>
      <c r="C4334" s="16" t="s">
        <v>3432</v>
      </c>
      <c r="D4334" s="16" t="s">
        <v>3423</v>
      </c>
    </row>
    <row r="4335" spans="1:4">
      <c r="A4335" s="16">
        <v>3030000000</v>
      </c>
      <c r="B4335" s="16">
        <v>0</v>
      </c>
      <c r="C4335" s="16" t="s">
        <v>3402</v>
      </c>
      <c r="D4335" s="16" t="s">
        <v>3403</v>
      </c>
    </row>
    <row r="4336" spans="1:4">
      <c r="A4336" s="16">
        <v>2750010000</v>
      </c>
      <c r="B4336" s="16">
        <v>0</v>
      </c>
      <c r="C4336" s="16" t="s">
        <v>3419</v>
      </c>
      <c r="D4336" s="16" t="s">
        <v>3403</v>
      </c>
    </row>
    <row r="4337" spans="1:4">
      <c r="A4337" s="16">
        <v>6610000100</v>
      </c>
      <c r="B4337" s="16">
        <v>0</v>
      </c>
      <c r="C4337" s="16" t="s">
        <v>3413</v>
      </c>
      <c r="D4337" s="16" t="s">
        <v>3418</v>
      </c>
    </row>
    <row r="4338" spans="1:4">
      <c r="A4338" s="16">
        <v>6104000000</v>
      </c>
      <c r="B4338" s="16">
        <v>0</v>
      </c>
      <c r="C4338" s="16" t="s">
        <v>3427</v>
      </c>
      <c r="D4338" s="16" t="s">
        <v>3417</v>
      </c>
    </row>
    <row r="4339" spans="1:4">
      <c r="A4339" s="16">
        <v>3103000000</v>
      </c>
      <c r="B4339" s="16">
        <v>0</v>
      </c>
      <c r="C4339" s="16" t="s">
        <v>3402</v>
      </c>
      <c r="D4339" s="16" t="s">
        <v>3403</v>
      </c>
    </row>
    <row r="4340" spans="1:4">
      <c r="A4340" s="16">
        <v>6700700000</v>
      </c>
      <c r="B4340" s="16">
        <v>0</v>
      </c>
      <c r="C4340" s="16" t="s">
        <v>3404</v>
      </c>
      <c r="D4340" s="16" t="s">
        <v>3409</v>
      </c>
    </row>
    <row r="4341" spans="1:4">
      <c r="A4341" s="16">
        <v>6700500000</v>
      </c>
      <c r="B4341" s="16">
        <v>0</v>
      </c>
      <c r="C4341" s="16" t="s">
        <v>3404</v>
      </c>
      <c r="D4341" s="16" t="s">
        <v>3405</v>
      </c>
    </row>
    <row r="4342" spans="1:4">
      <c r="A4342" s="16">
        <v>2201000000</v>
      </c>
      <c r="B4342" s="16">
        <v>0</v>
      </c>
      <c r="C4342" s="16" t="s">
        <v>3415</v>
      </c>
      <c r="D4342" s="16" t="s">
        <v>3403</v>
      </c>
    </row>
    <row r="4343" spans="1:4">
      <c r="A4343" s="16">
        <v>6700200000</v>
      </c>
      <c r="B4343" s="16">
        <v>0</v>
      </c>
      <c r="C4343" s="16" t="s">
        <v>3404</v>
      </c>
      <c r="D4343" s="16" t="s">
        <v>3409</v>
      </c>
    </row>
    <row r="4344" spans="1:4">
      <c r="A4344" s="16">
        <v>6700700000</v>
      </c>
      <c r="B4344" s="16">
        <v>0</v>
      </c>
      <c r="C4344" s="16" t="s">
        <v>3404</v>
      </c>
      <c r="D4344" s="16" t="s">
        <v>3409</v>
      </c>
    </row>
    <row r="4345" spans="1:4">
      <c r="A4345" s="16">
        <v>6700500000</v>
      </c>
      <c r="B4345" s="16">
        <v>0</v>
      </c>
      <c r="C4345" s="16" t="s">
        <v>3404</v>
      </c>
      <c r="D4345" s="16" t="s">
        <v>3405</v>
      </c>
    </row>
    <row r="4346" spans="1:4">
      <c r="A4346" s="16">
        <v>6104001000</v>
      </c>
      <c r="B4346" s="16">
        <v>0</v>
      </c>
      <c r="C4346" s="16" t="s">
        <v>3416</v>
      </c>
      <c r="D4346" s="16" t="s">
        <v>3417</v>
      </c>
    </row>
    <row r="4347" spans="1:4">
      <c r="A4347" s="16">
        <v>3103001000</v>
      </c>
      <c r="B4347" s="16">
        <v>0</v>
      </c>
      <c r="C4347" s="16" t="s">
        <v>3402</v>
      </c>
      <c r="D4347" s="16" t="s">
        <v>3403</v>
      </c>
    </row>
    <row r="4348" spans="1:4">
      <c r="A4348" s="16">
        <v>6700200000</v>
      </c>
      <c r="B4348" s="16">
        <v>0</v>
      </c>
      <c r="C4348" s="16" t="s">
        <v>3404</v>
      </c>
      <c r="D4348" s="16" t="s">
        <v>3409</v>
      </c>
    </row>
    <row r="4349" spans="1:4">
      <c r="A4349" s="16">
        <v>6700100000</v>
      </c>
      <c r="B4349" s="16">
        <v>0</v>
      </c>
      <c r="C4349" s="16" t="s">
        <v>3404</v>
      </c>
      <c r="D4349" s="16" t="s">
        <v>3410</v>
      </c>
    </row>
    <row r="4350" spans="1:4">
      <c r="A4350" s="16">
        <v>6700600000</v>
      </c>
      <c r="B4350" s="16">
        <v>0</v>
      </c>
      <c r="C4350" s="16" t="s">
        <v>3404</v>
      </c>
      <c r="D4350" s="16" t="s">
        <v>3409</v>
      </c>
    </row>
    <row r="4351" spans="1:4">
      <c r="A4351" s="16">
        <v>6700400000</v>
      </c>
      <c r="B4351" s="16">
        <v>0</v>
      </c>
      <c r="C4351" s="16" t="s">
        <v>3404</v>
      </c>
      <c r="D4351" s="16" t="s">
        <v>3405</v>
      </c>
    </row>
    <row r="4352" spans="1:4">
      <c r="A4352" s="16">
        <v>3102000000</v>
      </c>
      <c r="B4352" s="16">
        <v>0</v>
      </c>
      <c r="C4352" s="16" t="s">
        <v>3424</v>
      </c>
      <c r="D4352" s="16" t="s">
        <v>3403</v>
      </c>
    </row>
    <row r="4353" spans="1:4">
      <c r="A4353" s="16">
        <v>6102000000</v>
      </c>
      <c r="B4353" s="16">
        <v>0</v>
      </c>
      <c r="C4353" s="16" t="s">
        <v>3425</v>
      </c>
      <c r="D4353" s="16" t="s">
        <v>3426</v>
      </c>
    </row>
    <row r="4354" spans="1:4">
      <c r="A4354" s="16">
        <v>2201000000</v>
      </c>
      <c r="B4354" s="16">
        <v>0</v>
      </c>
      <c r="C4354" s="16" t="s">
        <v>3415</v>
      </c>
      <c r="D4354" s="16" t="s">
        <v>3403</v>
      </c>
    </row>
    <row r="4355" spans="1:4">
      <c r="A4355" s="16">
        <v>6700200000</v>
      </c>
      <c r="B4355" s="16">
        <v>0</v>
      </c>
      <c r="C4355" s="16" t="s">
        <v>3404</v>
      </c>
      <c r="D4355" s="16" t="s">
        <v>3409</v>
      </c>
    </row>
    <row r="4356" spans="1:4">
      <c r="A4356" s="16">
        <v>6104000000</v>
      </c>
      <c r="B4356" s="16">
        <v>0</v>
      </c>
      <c r="C4356" s="16" t="s">
        <v>3416</v>
      </c>
      <c r="D4356" s="16" t="s">
        <v>3417</v>
      </c>
    </row>
    <row r="4357" spans="1:4">
      <c r="A4357" s="16">
        <v>3103000000</v>
      </c>
      <c r="B4357" s="16">
        <v>0</v>
      </c>
      <c r="C4357" s="16" t="s">
        <v>3402</v>
      </c>
      <c r="D4357" s="16" t="s">
        <v>3403</v>
      </c>
    </row>
    <row r="4358" spans="1:4">
      <c r="A4358" s="16">
        <v>2500000000</v>
      </c>
      <c r="B4358" s="16">
        <v>0</v>
      </c>
      <c r="C4358" s="16" t="s">
        <v>3412</v>
      </c>
      <c r="D4358" s="16" t="s">
        <v>3403</v>
      </c>
    </row>
    <row r="4359" spans="1:4">
      <c r="A4359" s="16">
        <v>5010000000</v>
      </c>
      <c r="B4359" s="16">
        <v>0</v>
      </c>
      <c r="C4359" s="16" t="s">
        <v>3406</v>
      </c>
      <c r="D4359" s="16" t="s">
        <v>3411</v>
      </c>
    </row>
    <row r="4360" spans="1:4">
      <c r="A4360" s="16">
        <v>6700600000</v>
      </c>
      <c r="B4360" s="16">
        <v>0</v>
      </c>
      <c r="C4360" s="16" t="s">
        <v>3404</v>
      </c>
      <c r="D4360" s="16" t="s">
        <v>3409</v>
      </c>
    </row>
    <row r="4361" spans="1:4">
      <c r="A4361" s="16">
        <v>6700400000</v>
      </c>
      <c r="B4361" s="16">
        <v>0</v>
      </c>
      <c r="C4361" s="16" t="s">
        <v>3404</v>
      </c>
      <c r="D4361" s="16" t="s">
        <v>3405</v>
      </c>
    </row>
    <row r="4362" spans="1:4">
      <c r="A4362" s="16">
        <v>2500000000</v>
      </c>
      <c r="B4362" s="16">
        <v>0</v>
      </c>
      <c r="C4362" s="16" t="s">
        <v>3412</v>
      </c>
      <c r="D4362" s="16" t="s">
        <v>3403</v>
      </c>
    </row>
    <row r="4363" spans="1:4">
      <c r="A4363" s="16">
        <v>5010100000</v>
      </c>
      <c r="B4363" s="16">
        <v>0</v>
      </c>
      <c r="C4363" s="16" t="s">
        <v>3406</v>
      </c>
      <c r="D4363" s="16" t="s">
        <v>3407</v>
      </c>
    </row>
    <row r="4364" spans="1:4">
      <c r="A4364" s="16">
        <v>6700200000</v>
      </c>
      <c r="B4364" s="16">
        <v>0</v>
      </c>
      <c r="C4364" s="16" t="s">
        <v>3404</v>
      </c>
      <c r="D4364" s="16" t="s">
        <v>3409</v>
      </c>
    </row>
    <row r="4365" spans="1:4">
      <c r="A4365" s="16">
        <v>6700000000</v>
      </c>
      <c r="B4365" s="16">
        <v>0</v>
      </c>
      <c r="C4365" s="16" t="s">
        <v>3404</v>
      </c>
      <c r="D4365" s="16" t="s">
        <v>3405</v>
      </c>
    </row>
    <row r="4366" spans="1:4">
      <c r="A4366" s="16">
        <v>6150000000</v>
      </c>
      <c r="B4366" s="16">
        <v>0</v>
      </c>
      <c r="C4366" s="16" t="s">
        <v>3416</v>
      </c>
      <c r="D4366" s="16" t="s">
        <v>3417</v>
      </c>
    </row>
    <row r="4367" spans="1:4">
      <c r="A4367" s="16">
        <v>3510000000</v>
      </c>
      <c r="B4367" s="16">
        <v>0</v>
      </c>
      <c r="C4367" s="16" t="s">
        <v>3402</v>
      </c>
      <c r="D4367" s="16" t="s">
        <v>3403</v>
      </c>
    </row>
    <row r="4368" spans="1:4">
      <c r="A4368" s="16">
        <v>6610000000</v>
      </c>
      <c r="B4368" s="16">
        <v>0</v>
      </c>
      <c r="C4368" s="16" t="s">
        <v>3413</v>
      </c>
      <c r="D4368" s="16" t="s">
        <v>3418</v>
      </c>
    </row>
    <row r="4369" spans="1:4">
      <c r="A4369" s="16">
        <v>4203000000</v>
      </c>
      <c r="B4369" s="16">
        <v>0</v>
      </c>
      <c r="C4369" s="16" t="s">
        <v>3408</v>
      </c>
      <c r="D4369" s="16" t="s">
        <v>3403</v>
      </c>
    </row>
    <row r="4370" spans="1:4">
      <c r="A4370" s="16">
        <v>5010100010</v>
      </c>
      <c r="B4370" s="16">
        <v>0</v>
      </c>
      <c r="C4370" s="16" t="s">
        <v>3406</v>
      </c>
      <c r="D4370" s="16" t="s">
        <v>3407</v>
      </c>
    </row>
    <row r="4371" spans="1:4">
      <c r="A4371" s="16">
        <v>3710000000</v>
      </c>
      <c r="B4371" s="16">
        <v>0</v>
      </c>
      <c r="C4371" s="16" t="s">
        <v>3402</v>
      </c>
      <c r="D4371" s="16" t="s">
        <v>3403</v>
      </c>
    </row>
    <row r="4372" spans="1:4">
      <c r="A4372" s="16">
        <v>2201000000</v>
      </c>
      <c r="B4372" s="16">
        <v>224836</v>
      </c>
      <c r="C4372" s="16" t="s">
        <v>3415</v>
      </c>
      <c r="D4372" s="16" t="s">
        <v>3403</v>
      </c>
    </row>
    <row r="4373" spans="1:4">
      <c r="A4373" s="16">
        <v>6700200000</v>
      </c>
      <c r="B4373" s="16">
        <v>-224836</v>
      </c>
      <c r="C4373" s="16" t="s">
        <v>3404</v>
      </c>
      <c r="D4373" s="16" t="s">
        <v>3409</v>
      </c>
    </row>
    <row r="4374" spans="1:4">
      <c r="A4374" s="16">
        <v>6610100000</v>
      </c>
      <c r="B4374" s="16">
        <v>499</v>
      </c>
      <c r="C4374" s="16" t="s">
        <v>3413</v>
      </c>
      <c r="D4374" s="16" t="s">
        <v>3414</v>
      </c>
    </row>
    <row r="4375" spans="1:4">
      <c r="A4375" s="16">
        <v>4203000000</v>
      </c>
      <c r="B4375" s="16">
        <v>-499</v>
      </c>
      <c r="C4375" s="16" t="s">
        <v>3408</v>
      </c>
      <c r="D4375" s="16" t="s">
        <v>3403</v>
      </c>
    </row>
    <row r="4376" spans="1:4">
      <c r="A4376" s="16">
        <v>2750010000</v>
      </c>
      <c r="B4376" s="16">
        <v>0</v>
      </c>
      <c r="C4376" s="16" t="s">
        <v>3419</v>
      </c>
      <c r="D4376" s="16" t="s">
        <v>3403</v>
      </c>
    </row>
    <row r="4377" spans="1:4">
      <c r="A4377" s="16">
        <v>6610100100</v>
      </c>
      <c r="B4377" s="16">
        <v>0</v>
      </c>
      <c r="C4377" s="16" t="s">
        <v>3413</v>
      </c>
      <c r="D4377" s="16" t="s">
        <v>3414</v>
      </c>
    </row>
    <row r="4378" spans="1:4">
      <c r="A4378" s="16">
        <v>6100000000</v>
      </c>
      <c r="B4378" s="16">
        <v>0</v>
      </c>
      <c r="C4378" s="16" t="s">
        <v>3427</v>
      </c>
      <c r="D4378" s="16" t="s">
        <v>3417</v>
      </c>
    </row>
    <row r="4379" spans="1:4">
      <c r="A4379" s="16">
        <v>3100000000</v>
      </c>
      <c r="B4379" s="16">
        <v>0</v>
      </c>
      <c r="C4379" s="16" t="s">
        <v>3402</v>
      </c>
      <c r="D4379" s="16" t="s">
        <v>3403</v>
      </c>
    </row>
    <row r="4380" spans="1:4">
      <c r="A4380" s="16">
        <v>6100000000</v>
      </c>
      <c r="B4380" s="16">
        <v>0</v>
      </c>
      <c r="C4380" s="16" t="s">
        <v>3416</v>
      </c>
      <c r="D4380" s="16" t="s">
        <v>3417</v>
      </c>
    </row>
    <row r="4381" spans="1:4">
      <c r="A4381" s="16">
        <v>3100000000</v>
      </c>
      <c r="B4381" s="16">
        <v>0</v>
      </c>
      <c r="C4381" s="16" t="s">
        <v>3402</v>
      </c>
      <c r="D4381" s="16" t="s">
        <v>3403</v>
      </c>
    </row>
    <row r="4382" spans="1:4">
      <c r="A4382" s="16">
        <v>2203000000</v>
      </c>
      <c r="B4382" s="16">
        <v>0</v>
      </c>
      <c r="C4382" s="16" t="s">
        <v>3415</v>
      </c>
      <c r="D4382" s="16" t="s">
        <v>3403</v>
      </c>
    </row>
    <row r="4383" spans="1:4">
      <c r="A4383" s="16">
        <v>6060110000</v>
      </c>
      <c r="B4383" s="16">
        <v>0</v>
      </c>
      <c r="C4383" s="16" t="s">
        <v>3420</v>
      </c>
      <c r="D4383" s="16" t="s">
        <v>3421</v>
      </c>
    </row>
    <row r="4384" spans="1:4">
      <c r="A4384" s="16">
        <v>2500000000</v>
      </c>
      <c r="B4384" s="16">
        <v>0</v>
      </c>
      <c r="C4384" s="16" t="s">
        <v>3412</v>
      </c>
      <c r="D4384" s="16" t="s">
        <v>3403</v>
      </c>
    </row>
    <row r="4385" spans="1:4">
      <c r="A4385" s="16">
        <v>5010100000</v>
      </c>
      <c r="B4385" s="16">
        <v>0</v>
      </c>
      <c r="C4385" s="16" t="s">
        <v>3406</v>
      </c>
      <c r="D4385" s="16" t="s">
        <v>3407</v>
      </c>
    </row>
    <row r="4386" spans="1:4">
      <c r="A4386" s="16">
        <v>6610000000</v>
      </c>
      <c r="B4386" s="16">
        <v>0</v>
      </c>
      <c r="C4386" s="16" t="s">
        <v>3413</v>
      </c>
      <c r="D4386" s="16" t="s">
        <v>3418</v>
      </c>
    </row>
    <row r="4387" spans="1:4">
      <c r="A4387" s="16">
        <v>4203000000</v>
      </c>
      <c r="B4387" s="16">
        <v>0</v>
      </c>
      <c r="C4387" s="16" t="s">
        <v>3408</v>
      </c>
      <c r="D4387" s="16" t="s">
        <v>3403</v>
      </c>
    </row>
    <row r="4388" spans="1:4">
      <c r="A4388" s="16">
        <v>6150000000</v>
      </c>
      <c r="B4388" s="16">
        <v>0</v>
      </c>
      <c r="C4388" s="16" t="s">
        <v>3416</v>
      </c>
      <c r="D4388" s="16" t="s">
        <v>3417</v>
      </c>
    </row>
    <row r="4389" spans="1:4">
      <c r="A4389" s="16">
        <v>3510000000</v>
      </c>
      <c r="B4389" s="16">
        <v>0</v>
      </c>
      <c r="C4389" s="16" t="s">
        <v>3402</v>
      </c>
      <c r="D4389" s="16" t="s">
        <v>3403</v>
      </c>
    </row>
    <row r="4390" spans="1:4">
      <c r="A4390" s="16">
        <v>2500000000</v>
      </c>
      <c r="B4390" s="16">
        <v>0</v>
      </c>
      <c r="C4390" s="16" t="s">
        <v>3412</v>
      </c>
      <c r="D4390" s="16" t="s">
        <v>3403</v>
      </c>
    </row>
    <row r="4391" spans="1:4">
      <c r="A4391" s="16">
        <v>5010100000</v>
      </c>
      <c r="B4391" s="16">
        <v>0</v>
      </c>
      <c r="C4391" s="16" t="s">
        <v>3406</v>
      </c>
      <c r="D4391" s="16" t="s">
        <v>3407</v>
      </c>
    </row>
    <row r="4392" spans="1:4">
      <c r="A4392" s="16">
        <v>2500000000</v>
      </c>
      <c r="B4392" s="16">
        <v>3351</v>
      </c>
      <c r="C4392" s="16" t="s">
        <v>3412</v>
      </c>
      <c r="D4392" s="16" t="s">
        <v>3403</v>
      </c>
    </row>
    <row r="4393" spans="1:4">
      <c r="A4393" s="16">
        <v>5010000000</v>
      </c>
      <c r="B4393" s="16">
        <v>-3351</v>
      </c>
      <c r="C4393" s="16" t="s">
        <v>3406</v>
      </c>
      <c r="D4393" s="16" t="s">
        <v>3411</v>
      </c>
    </row>
    <row r="4394" spans="1:4">
      <c r="A4394" s="16">
        <v>3032000000</v>
      </c>
      <c r="B4394" s="16">
        <v>1180081</v>
      </c>
      <c r="C4394" s="16" t="s">
        <v>3424</v>
      </c>
      <c r="D4394" s="16" t="s">
        <v>3403</v>
      </c>
    </row>
    <row r="4395" spans="1:4">
      <c r="A4395" s="16">
        <v>6032000000</v>
      </c>
      <c r="B4395" s="16">
        <v>-1180081</v>
      </c>
      <c r="C4395" s="16" t="s">
        <v>3429</v>
      </c>
      <c r="D4395" s="16" t="s">
        <v>3430</v>
      </c>
    </row>
    <row r="4396" spans="1:4">
      <c r="A4396" s="16">
        <v>2500000000</v>
      </c>
      <c r="B4396" s="16">
        <v>0</v>
      </c>
      <c r="C4396" s="16" t="s">
        <v>3412</v>
      </c>
      <c r="D4396" s="16" t="s">
        <v>3403</v>
      </c>
    </row>
    <row r="4397" spans="1:4">
      <c r="A4397" s="16">
        <v>5010100000</v>
      </c>
      <c r="B4397" s="16">
        <v>0</v>
      </c>
      <c r="C4397" s="16" t="s">
        <v>3406</v>
      </c>
      <c r="D4397" s="16" t="s">
        <v>3407</v>
      </c>
    </row>
    <row r="4398" spans="1:4">
      <c r="A4398" s="16">
        <v>6100000000</v>
      </c>
      <c r="B4398" s="16">
        <v>28025453739</v>
      </c>
      <c r="C4398" s="16" t="s">
        <v>3416</v>
      </c>
      <c r="D4398" s="16" t="s">
        <v>3417</v>
      </c>
    </row>
    <row r="4399" spans="1:4">
      <c r="A4399" s="16">
        <v>3100000000</v>
      </c>
      <c r="B4399" s="16">
        <v>-28025453739</v>
      </c>
      <c r="C4399" s="16" t="s">
        <v>3402</v>
      </c>
      <c r="D4399" s="16" t="s">
        <v>3403</v>
      </c>
    </row>
    <row r="4400" spans="1:4">
      <c r="A4400" s="16">
        <v>5010000010</v>
      </c>
      <c r="B4400" s="16">
        <v>0</v>
      </c>
      <c r="C4400" s="16" t="s">
        <v>3406</v>
      </c>
      <c r="D4400" s="16" t="s">
        <v>3411</v>
      </c>
    </row>
    <row r="4401" spans="1:4">
      <c r="A4401" s="16">
        <v>3710000000</v>
      </c>
      <c r="B4401" s="16">
        <v>0</v>
      </c>
      <c r="C4401" s="16" t="s">
        <v>3402</v>
      </c>
      <c r="D4401" s="16" t="s">
        <v>3403</v>
      </c>
    </row>
    <row r="4402" spans="1:4">
      <c r="A4402" s="16">
        <v>2750010000</v>
      </c>
      <c r="B4402" s="16">
        <v>0</v>
      </c>
      <c r="C4402" s="16" t="s">
        <v>3419</v>
      </c>
      <c r="D4402" s="16" t="s">
        <v>3403</v>
      </c>
    </row>
    <row r="4403" spans="1:4">
      <c r="A4403" s="16">
        <v>6610000100</v>
      </c>
      <c r="B4403" s="16">
        <v>0</v>
      </c>
      <c r="C4403" s="16" t="s">
        <v>3413</v>
      </c>
      <c r="D4403" s="16" t="s">
        <v>3418</v>
      </c>
    </row>
    <row r="4404" spans="1:4">
      <c r="A4404" s="16">
        <v>6100000020</v>
      </c>
      <c r="B4404" s="16">
        <v>0</v>
      </c>
      <c r="C4404" s="16" t="s">
        <v>3416</v>
      </c>
      <c r="D4404" s="16" t="s">
        <v>3417</v>
      </c>
    </row>
    <row r="4405" spans="1:4">
      <c r="A4405" s="16">
        <v>3810000000</v>
      </c>
      <c r="B4405" s="16">
        <v>0</v>
      </c>
      <c r="C4405" s="16" t="s">
        <v>3402</v>
      </c>
      <c r="D4405" s="16" t="s">
        <v>3403</v>
      </c>
    </row>
    <row r="4406" spans="1:4">
      <c r="A4406" s="16">
        <v>6700200000</v>
      </c>
      <c r="B4406" s="16">
        <v>0</v>
      </c>
      <c r="C4406" s="16" t="s">
        <v>3404</v>
      </c>
      <c r="D4406" s="16" t="s">
        <v>3409</v>
      </c>
    </row>
    <row r="4407" spans="1:4">
      <c r="A4407" s="16">
        <v>6700000000</v>
      </c>
      <c r="B4407" s="16">
        <v>0</v>
      </c>
      <c r="C4407" s="16" t="s">
        <v>3404</v>
      </c>
      <c r="D4407" s="16" t="s">
        <v>3405</v>
      </c>
    </row>
    <row r="4408" spans="1:4">
      <c r="A4408" s="16">
        <v>6700200000</v>
      </c>
      <c r="B4408" s="16">
        <v>0</v>
      </c>
      <c r="C4408" s="16" t="s">
        <v>3404</v>
      </c>
      <c r="D4408" s="16" t="s">
        <v>3409</v>
      </c>
    </row>
    <row r="4409" spans="1:4">
      <c r="A4409" s="16">
        <v>6700100000</v>
      </c>
      <c r="B4409" s="16">
        <v>0</v>
      </c>
      <c r="C4409" s="16" t="s">
        <v>3404</v>
      </c>
      <c r="D4409" s="16" t="s">
        <v>3410</v>
      </c>
    </row>
    <row r="4410" spans="1:4">
      <c r="A4410" s="16">
        <v>5052010000</v>
      </c>
      <c r="B4410" s="16">
        <v>0</v>
      </c>
      <c r="C4410" s="16" t="s">
        <v>3406</v>
      </c>
      <c r="D4410" s="16" t="s">
        <v>3422</v>
      </c>
    </row>
    <row r="4411" spans="1:4">
      <c r="A4411" s="16">
        <v>5052000000</v>
      </c>
      <c r="B4411" s="16">
        <v>0</v>
      </c>
      <c r="C4411" s="16" t="s">
        <v>3406</v>
      </c>
      <c r="D4411" s="16" t="s">
        <v>3422</v>
      </c>
    </row>
    <row r="4412" spans="1:4">
      <c r="A4412" s="16">
        <v>3032000000</v>
      </c>
      <c r="B4412" s="16">
        <v>0</v>
      </c>
      <c r="C4412" s="16" t="s">
        <v>3424</v>
      </c>
      <c r="D4412" s="16" t="s">
        <v>3403</v>
      </c>
    </row>
    <row r="4413" spans="1:4">
      <c r="A4413" s="16">
        <v>6032000000</v>
      </c>
      <c r="B4413" s="16">
        <v>0</v>
      </c>
      <c r="C4413" s="16" t="s">
        <v>3429</v>
      </c>
      <c r="D4413" s="16" t="s">
        <v>3430</v>
      </c>
    </row>
    <row r="4414" spans="1:4">
      <c r="A4414" s="16">
        <v>6104000000</v>
      </c>
      <c r="B4414" s="16">
        <v>0</v>
      </c>
      <c r="C4414" s="16" t="s">
        <v>3416</v>
      </c>
      <c r="D4414" s="16" t="s">
        <v>3417</v>
      </c>
    </row>
    <row r="4415" spans="1:4">
      <c r="A4415" s="16">
        <v>3103000000</v>
      </c>
      <c r="B4415" s="16">
        <v>0</v>
      </c>
      <c r="C4415" s="16" t="s">
        <v>3402</v>
      </c>
      <c r="D4415" s="16" t="s">
        <v>3403</v>
      </c>
    </row>
    <row r="4416" spans="1:4">
      <c r="A4416" s="16">
        <v>6030000000</v>
      </c>
      <c r="B4416" s="16">
        <v>0</v>
      </c>
      <c r="C4416" s="16" t="s">
        <v>3420</v>
      </c>
      <c r="D4416" s="16" t="s">
        <v>3423</v>
      </c>
    </row>
    <row r="4417" spans="1:4">
      <c r="A4417" s="16">
        <v>3030000000</v>
      </c>
      <c r="B4417" s="16">
        <v>0</v>
      </c>
      <c r="C4417" s="16" t="s">
        <v>3402</v>
      </c>
      <c r="D4417" s="16" t="s">
        <v>3403</v>
      </c>
    </row>
    <row r="4418" spans="1:4">
      <c r="A4418" s="16">
        <v>6030000000</v>
      </c>
      <c r="B4418" s="16">
        <v>0</v>
      </c>
      <c r="C4418" s="16" t="s">
        <v>3420</v>
      </c>
      <c r="D4418" s="16" t="s">
        <v>3423</v>
      </c>
    </row>
    <row r="4419" spans="1:4">
      <c r="A4419" s="16">
        <v>3030000000</v>
      </c>
      <c r="B4419" s="16">
        <v>0</v>
      </c>
      <c r="C4419" s="16" t="s">
        <v>3402</v>
      </c>
      <c r="D4419" s="16" t="s">
        <v>3403</v>
      </c>
    </row>
    <row r="4420" spans="1:4">
      <c r="A4420" s="16">
        <v>6100000000</v>
      </c>
      <c r="B4420" s="16">
        <v>0</v>
      </c>
      <c r="C4420" s="16" t="s">
        <v>3416</v>
      </c>
      <c r="D4420" s="16" t="s">
        <v>3417</v>
      </c>
    </row>
    <row r="4421" spans="1:4">
      <c r="A4421" s="16">
        <v>4010100000</v>
      </c>
      <c r="B4421" s="16">
        <v>0</v>
      </c>
      <c r="C4421" s="16" t="s">
        <v>3431</v>
      </c>
      <c r="D4421" s="16" t="s">
        <v>3403</v>
      </c>
    </row>
    <row r="4422" spans="1:4">
      <c r="A4422" s="16">
        <v>6700600000</v>
      </c>
      <c r="B4422" s="16">
        <v>0</v>
      </c>
      <c r="C4422" s="16" t="s">
        <v>3404</v>
      </c>
      <c r="D4422" s="16" t="s">
        <v>3409</v>
      </c>
    </row>
    <row r="4423" spans="1:4">
      <c r="A4423" s="16">
        <v>6700400000</v>
      </c>
      <c r="B4423" s="16">
        <v>0</v>
      </c>
      <c r="C4423" s="16" t="s">
        <v>3404</v>
      </c>
      <c r="D4423" s="16" t="s">
        <v>3405</v>
      </c>
    </row>
    <row r="4424" spans="1:4">
      <c r="A4424" s="16">
        <v>2201000000</v>
      </c>
      <c r="B4424" s="16">
        <v>0</v>
      </c>
      <c r="C4424" s="16" t="s">
        <v>3415</v>
      </c>
      <c r="D4424" s="16" t="s">
        <v>3403</v>
      </c>
    </row>
    <row r="4425" spans="1:4">
      <c r="A4425" s="16">
        <v>6700200000</v>
      </c>
      <c r="B4425" s="16">
        <v>0</v>
      </c>
      <c r="C4425" s="16" t="s">
        <v>3404</v>
      </c>
      <c r="D4425" s="16" t="s">
        <v>3409</v>
      </c>
    </row>
    <row r="4426" spans="1:4">
      <c r="A4426" s="16">
        <v>6700200000</v>
      </c>
      <c r="B4426" s="16">
        <v>0</v>
      </c>
      <c r="C4426" s="16" t="s">
        <v>3404</v>
      </c>
      <c r="D4426" s="16" t="s">
        <v>3409</v>
      </c>
    </row>
    <row r="4427" spans="1:4">
      <c r="A4427" s="16">
        <v>6700100000</v>
      </c>
      <c r="B4427" s="16">
        <v>0</v>
      </c>
      <c r="C4427" s="16" t="s">
        <v>3404</v>
      </c>
      <c r="D4427" s="16" t="s">
        <v>3410</v>
      </c>
    </row>
    <row r="4428" spans="1:4">
      <c r="A4428" s="16">
        <v>3102000000</v>
      </c>
      <c r="B4428" s="16">
        <v>0</v>
      </c>
      <c r="C4428" s="16" t="s">
        <v>3424</v>
      </c>
      <c r="D4428" s="16" t="s">
        <v>3403</v>
      </c>
    </row>
    <row r="4429" spans="1:4">
      <c r="A4429" s="16">
        <v>6102000000</v>
      </c>
      <c r="B4429" s="16">
        <v>0</v>
      </c>
      <c r="C4429" s="16" t="s">
        <v>3425</v>
      </c>
      <c r="D4429" s="16" t="s">
        <v>3426</v>
      </c>
    </row>
    <row r="4430" spans="1:4">
      <c r="A4430" s="16">
        <v>2500000000</v>
      </c>
      <c r="B4430" s="16">
        <v>0</v>
      </c>
      <c r="C4430" s="16" t="s">
        <v>3412</v>
      </c>
      <c r="D4430" s="16" t="s">
        <v>3403</v>
      </c>
    </row>
    <row r="4431" spans="1:4">
      <c r="A4431" s="16">
        <v>5010000000</v>
      </c>
      <c r="B4431" s="16">
        <v>0</v>
      </c>
      <c r="C4431" s="16" t="s">
        <v>3406</v>
      </c>
      <c r="D4431" s="16" t="s">
        <v>3411</v>
      </c>
    </row>
    <row r="4432" spans="1:4">
      <c r="A4432" s="16">
        <v>3032000000</v>
      </c>
      <c r="B4432" s="16">
        <v>0</v>
      </c>
      <c r="C4432" s="16" t="s">
        <v>3424</v>
      </c>
      <c r="D4432" s="16" t="s">
        <v>3403</v>
      </c>
    </row>
    <row r="4433" spans="1:4">
      <c r="A4433" s="16">
        <v>6032000000</v>
      </c>
      <c r="B4433" s="16">
        <v>0</v>
      </c>
      <c r="C4433" s="16" t="s">
        <v>3429</v>
      </c>
      <c r="D4433" s="16" t="s">
        <v>3430</v>
      </c>
    </row>
    <row r="4434" spans="1:4">
      <c r="A4434" s="16">
        <v>6610100000</v>
      </c>
      <c r="B4434" s="16">
        <v>0</v>
      </c>
      <c r="C4434" s="16" t="s">
        <v>3413</v>
      </c>
      <c r="D4434" s="16" t="s">
        <v>3414</v>
      </c>
    </row>
    <row r="4435" spans="1:4">
      <c r="A4435" s="16">
        <v>4203000000</v>
      </c>
      <c r="B4435" s="16">
        <v>0</v>
      </c>
      <c r="C4435" s="16" t="s">
        <v>3408</v>
      </c>
      <c r="D4435" s="16" t="s">
        <v>3403</v>
      </c>
    </row>
    <row r="4436" spans="1:4">
      <c r="A4436" s="16">
        <v>6030000000</v>
      </c>
      <c r="B4436" s="16">
        <v>0</v>
      </c>
      <c r="C4436" s="16" t="s">
        <v>3420</v>
      </c>
      <c r="D4436" s="16" t="s">
        <v>3423</v>
      </c>
    </row>
    <row r="4437" spans="1:4">
      <c r="A4437" s="16">
        <v>3030000000</v>
      </c>
      <c r="B4437" s="16">
        <v>0</v>
      </c>
      <c r="C4437" s="16" t="s">
        <v>3402</v>
      </c>
      <c r="D4437" s="16" t="s">
        <v>3403</v>
      </c>
    </row>
    <row r="4438" spans="1:4">
      <c r="A4438" s="16">
        <v>6700200000</v>
      </c>
      <c r="B4438" s="16">
        <v>0</v>
      </c>
      <c r="C4438" s="16" t="s">
        <v>3404</v>
      </c>
      <c r="D4438" s="16" t="s">
        <v>3409</v>
      </c>
    </row>
    <row r="4439" spans="1:4">
      <c r="A4439" s="16">
        <v>6700100000</v>
      </c>
      <c r="B4439" s="16">
        <v>0</v>
      </c>
      <c r="C4439" s="16" t="s">
        <v>3404</v>
      </c>
      <c r="D4439" s="16" t="s">
        <v>3410</v>
      </c>
    </row>
    <row r="4440" spans="1:4">
      <c r="A4440" s="16">
        <v>6700700000</v>
      </c>
      <c r="B4440" s="16">
        <v>0</v>
      </c>
      <c r="C4440" s="16" t="s">
        <v>3404</v>
      </c>
      <c r="D4440" s="16" t="s">
        <v>3409</v>
      </c>
    </row>
    <row r="4441" spans="1:4">
      <c r="A4441" s="16">
        <v>6700500000</v>
      </c>
      <c r="B4441" s="16">
        <v>0</v>
      </c>
      <c r="C4441" s="16" t="s">
        <v>3404</v>
      </c>
      <c r="D4441" s="16" t="s">
        <v>3405</v>
      </c>
    </row>
    <row r="4442" spans="1:4">
      <c r="A4442" s="16">
        <v>3102000000</v>
      </c>
      <c r="B4442" s="16">
        <v>0</v>
      </c>
      <c r="C4442" s="16" t="s">
        <v>3424</v>
      </c>
      <c r="D4442" s="16" t="s">
        <v>3403</v>
      </c>
    </row>
    <row r="4443" spans="1:4">
      <c r="A4443" s="16">
        <v>6102000000</v>
      </c>
      <c r="B4443" s="16">
        <v>0</v>
      </c>
      <c r="C4443" s="16" t="s">
        <v>3425</v>
      </c>
      <c r="D4443" s="16" t="s">
        <v>3426</v>
      </c>
    </row>
    <row r="4444" spans="1:4">
      <c r="A4444" s="16">
        <v>6104000000</v>
      </c>
      <c r="B4444" s="16">
        <v>0</v>
      </c>
      <c r="C4444" s="16" t="s">
        <v>3427</v>
      </c>
      <c r="D4444" s="16" t="s">
        <v>3417</v>
      </c>
    </row>
    <row r="4445" spans="1:4">
      <c r="A4445" s="16">
        <v>3103000000</v>
      </c>
      <c r="B4445" s="16">
        <v>0</v>
      </c>
      <c r="C4445" s="16" t="s">
        <v>3402</v>
      </c>
      <c r="D4445" s="16" t="s">
        <v>3403</v>
      </c>
    </row>
    <row r="4446" spans="1:4">
      <c r="A4446" s="16">
        <v>6700200000</v>
      </c>
      <c r="B4446" s="16">
        <v>0</v>
      </c>
      <c r="C4446" s="16" t="s">
        <v>3404</v>
      </c>
      <c r="D4446" s="16" t="s">
        <v>3409</v>
      </c>
    </row>
    <row r="4447" spans="1:4">
      <c r="A4447" s="16">
        <v>6700100000</v>
      </c>
      <c r="B4447" s="16">
        <v>0</v>
      </c>
      <c r="C4447" s="16" t="s">
        <v>3404</v>
      </c>
      <c r="D4447" s="16" t="s">
        <v>3410</v>
      </c>
    </row>
    <row r="4448" spans="1:4">
      <c r="A4448" s="16">
        <v>6700200000</v>
      </c>
      <c r="B4448" s="16">
        <v>0</v>
      </c>
      <c r="C4448" s="16" t="s">
        <v>3404</v>
      </c>
      <c r="D4448" s="16" t="s">
        <v>3409</v>
      </c>
    </row>
    <row r="4449" spans="1:4">
      <c r="A4449" s="16">
        <v>2201200030</v>
      </c>
      <c r="B4449" s="16">
        <v>0</v>
      </c>
      <c r="C4449" s="16" t="s">
        <v>3415</v>
      </c>
      <c r="D4449" s="16" t="s">
        <v>3403</v>
      </c>
    </row>
    <row r="4450" spans="1:4">
      <c r="A4450" s="16">
        <v>6700700000</v>
      </c>
      <c r="B4450" s="16">
        <v>0</v>
      </c>
      <c r="C4450" s="16" t="s">
        <v>3404</v>
      </c>
      <c r="D4450" s="16" t="s">
        <v>3409</v>
      </c>
    </row>
    <row r="4451" spans="1:4">
      <c r="A4451" s="16">
        <v>6700500000</v>
      </c>
      <c r="B4451" s="16">
        <v>0</v>
      </c>
      <c r="C4451" s="16" t="s">
        <v>3404</v>
      </c>
      <c r="D4451" s="16" t="s">
        <v>3405</v>
      </c>
    </row>
    <row r="4452" spans="1:4">
      <c r="A4452" s="16">
        <v>6610100000</v>
      </c>
      <c r="B4452" s="16">
        <v>0</v>
      </c>
      <c r="C4452" s="16" t="s">
        <v>3413</v>
      </c>
      <c r="D4452" s="16" t="s">
        <v>3414</v>
      </c>
    </row>
    <row r="4453" spans="1:4">
      <c r="A4453" s="16">
        <v>4203000000</v>
      </c>
      <c r="B4453" s="16">
        <v>0</v>
      </c>
      <c r="C4453" s="16" t="s">
        <v>3408</v>
      </c>
      <c r="D4453" s="16" t="s">
        <v>3403</v>
      </c>
    </row>
    <row r="4454" spans="1:4">
      <c r="A4454" s="16">
        <v>6100000000</v>
      </c>
      <c r="B4454" s="16">
        <v>0</v>
      </c>
      <c r="C4454" s="16" t="s">
        <v>3416</v>
      </c>
      <c r="D4454" s="16" t="s">
        <v>3417</v>
      </c>
    </row>
    <row r="4455" spans="1:4">
      <c r="A4455" s="16">
        <v>3100000000</v>
      </c>
      <c r="B4455" s="16">
        <v>0</v>
      </c>
      <c r="C4455" s="16" t="s">
        <v>3402</v>
      </c>
      <c r="D4455" s="16" t="s">
        <v>3403</v>
      </c>
    </row>
    <row r="4456" spans="1:4">
      <c r="A4456" s="16">
        <v>2201000000</v>
      </c>
      <c r="B4456" s="16">
        <v>0</v>
      </c>
      <c r="C4456" s="16" t="s">
        <v>3415</v>
      </c>
      <c r="D4456" s="16" t="s">
        <v>3403</v>
      </c>
    </row>
    <row r="4457" spans="1:4">
      <c r="A4457" s="16">
        <v>6700200000</v>
      </c>
      <c r="B4457" s="16">
        <v>0</v>
      </c>
      <c r="C4457" s="16" t="s">
        <v>3404</v>
      </c>
      <c r="D4457" s="16" t="s">
        <v>3409</v>
      </c>
    </row>
    <row r="4458" spans="1:4">
      <c r="A4458" s="16">
        <v>3032000000</v>
      </c>
      <c r="B4458" s="16">
        <v>5515</v>
      </c>
      <c r="C4458" s="16" t="s">
        <v>3424</v>
      </c>
      <c r="D4458" s="16" t="s">
        <v>3403</v>
      </c>
    </row>
    <row r="4459" spans="1:4">
      <c r="A4459" s="16">
        <v>6032000000</v>
      </c>
      <c r="B4459" s="16">
        <v>-5515</v>
      </c>
      <c r="C4459" s="16" t="s">
        <v>3429</v>
      </c>
      <c r="D4459" s="16" t="s">
        <v>3430</v>
      </c>
    </row>
    <row r="4460" spans="1:4">
      <c r="A4460" s="16">
        <v>2203000000</v>
      </c>
      <c r="B4460" s="16">
        <v>0</v>
      </c>
      <c r="C4460" s="16" t="s">
        <v>3415</v>
      </c>
      <c r="D4460" s="16" t="s">
        <v>3403</v>
      </c>
    </row>
    <row r="4461" spans="1:4">
      <c r="A4461" s="16">
        <v>6060110000</v>
      </c>
      <c r="B4461" s="16">
        <v>0</v>
      </c>
      <c r="C4461" s="16" t="s">
        <v>3420</v>
      </c>
      <c r="D4461" s="16" t="s">
        <v>3421</v>
      </c>
    </row>
    <row r="4462" spans="1:4">
      <c r="A4462" s="16">
        <v>6100000000</v>
      </c>
      <c r="B4462" s="16">
        <v>6582</v>
      </c>
      <c r="C4462" s="16" t="s">
        <v>3416</v>
      </c>
      <c r="D4462" s="16" t="s">
        <v>3417</v>
      </c>
    </row>
    <row r="4463" spans="1:4">
      <c r="A4463" s="16">
        <v>3100000000</v>
      </c>
      <c r="B4463" s="16">
        <v>-6582</v>
      </c>
      <c r="C4463" s="16" t="s">
        <v>3402</v>
      </c>
      <c r="D4463" s="16" t="s">
        <v>3403</v>
      </c>
    </row>
    <row r="4464" spans="1:4">
      <c r="A4464" s="16">
        <v>6700700000</v>
      </c>
      <c r="B4464" s="16">
        <v>0</v>
      </c>
      <c r="C4464" s="16" t="s">
        <v>3404</v>
      </c>
      <c r="D4464" s="16" t="s">
        <v>3409</v>
      </c>
    </row>
    <row r="4465" spans="1:4">
      <c r="A4465" s="16">
        <v>6700500000</v>
      </c>
      <c r="B4465" s="16">
        <v>0</v>
      </c>
      <c r="C4465" s="16" t="s">
        <v>3404</v>
      </c>
      <c r="D4465" s="16" t="s">
        <v>3405</v>
      </c>
    </row>
    <row r="4466" spans="1:4">
      <c r="A4466" s="16">
        <v>5010000010</v>
      </c>
      <c r="B4466" s="16">
        <v>0</v>
      </c>
      <c r="C4466" s="16" t="s">
        <v>3406</v>
      </c>
      <c r="D4466" s="16" t="s">
        <v>3411</v>
      </c>
    </row>
    <row r="4467" spans="1:4">
      <c r="A4467" s="16">
        <v>3710000000</v>
      </c>
      <c r="B4467" s="16">
        <v>0</v>
      </c>
      <c r="C4467" s="16" t="s">
        <v>3402</v>
      </c>
      <c r="D4467" s="16" t="s">
        <v>3403</v>
      </c>
    </row>
    <row r="4468" spans="1:4">
      <c r="A4468" s="16">
        <v>6700200000</v>
      </c>
      <c r="B4468" s="16">
        <v>0</v>
      </c>
      <c r="C4468" s="16" t="s">
        <v>3404</v>
      </c>
      <c r="D4468" s="16" t="s">
        <v>3409</v>
      </c>
    </row>
    <row r="4469" spans="1:4">
      <c r="A4469" s="16">
        <v>6700000000</v>
      </c>
      <c r="B4469" s="16">
        <v>0</v>
      </c>
      <c r="C4469" s="16" t="s">
        <v>3404</v>
      </c>
      <c r="D4469" s="16" t="s">
        <v>3405</v>
      </c>
    </row>
    <row r="4470" spans="1:4">
      <c r="A4470" s="16">
        <v>2500000000</v>
      </c>
      <c r="B4470" s="16">
        <v>0</v>
      </c>
      <c r="C4470" s="16" t="s">
        <v>3412</v>
      </c>
      <c r="D4470" s="16" t="s">
        <v>3403</v>
      </c>
    </row>
    <row r="4471" spans="1:4">
      <c r="A4471" s="16">
        <v>5010100000</v>
      </c>
      <c r="B4471" s="16">
        <v>0</v>
      </c>
      <c r="C4471" s="16" t="s">
        <v>3406</v>
      </c>
      <c r="D4471" s="16" t="s">
        <v>3407</v>
      </c>
    </row>
    <row r="4472" spans="1:4">
      <c r="A4472" s="16">
        <v>6700200000</v>
      </c>
      <c r="B4472" s="16">
        <v>0</v>
      </c>
      <c r="C4472" s="16" t="s">
        <v>3404</v>
      </c>
      <c r="D4472" s="16" t="s">
        <v>3409</v>
      </c>
    </row>
    <row r="4473" spans="1:4">
      <c r="A4473" s="16">
        <v>6700000000</v>
      </c>
      <c r="B4473" s="16">
        <v>0</v>
      </c>
      <c r="C4473" s="16" t="s">
        <v>3404</v>
      </c>
      <c r="D4473" s="16" t="s">
        <v>3405</v>
      </c>
    </row>
    <row r="4474" spans="1:4">
      <c r="A4474" s="16">
        <v>2500000000</v>
      </c>
      <c r="B4474" s="16">
        <v>0</v>
      </c>
      <c r="C4474" s="16" t="s">
        <v>3412</v>
      </c>
      <c r="D4474" s="16" t="s">
        <v>3403</v>
      </c>
    </row>
    <row r="4475" spans="1:4">
      <c r="A4475" s="16">
        <v>5010000000</v>
      </c>
      <c r="B4475" s="16">
        <v>0</v>
      </c>
      <c r="C4475" s="16" t="s">
        <v>3406</v>
      </c>
      <c r="D4475" s="16" t="s">
        <v>3411</v>
      </c>
    </row>
    <row r="4476" spans="1:4">
      <c r="A4476" s="16">
        <v>6700600000</v>
      </c>
      <c r="B4476" s="16">
        <v>0</v>
      </c>
      <c r="C4476" s="16" t="s">
        <v>3404</v>
      </c>
      <c r="D4476" s="16" t="s">
        <v>3409</v>
      </c>
    </row>
    <row r="4477" spans="1:4">
      <c r="A4477" s="16">
        <v>6700400000</v>
      </c>
      <c r="B4477" s="16">
        <v>0</v>
      </c>
      <c r="C4477" s="16" t="s">
        <v>3404</v>
      </c>
      <c r="D4477" s="16" t="s">
        <v>3405</v>
      </c>
    </row>
    <row r="4478" spans="1:4">
      <c r="A4478" s="16">
        <v>2201300000</v>
      </c>
      <c r="B4478" s="16">
        <v>0</v>
      </c>
      <c r="C4478" s="16" t="s">
        <v>3415</v>
      </c>
      <c r="D4478" s="16" t="s">
        <v>3403</v>
      </c>
    </row>
    <row r="4479" spans="1:4">
      <c r="A4479" s="16">
        <v>6700600000</v>
      </c>
      <c r="B4479" s="16">
        <v>0</v>
      </c>
      <c r="C4479" s="16" t="s">
        <v>3404</v>
      </c>
      <c r="D4479" s="16" t="s">
        <v>3409</v>
      </c>
    </row>
    <row r="4480" spans="1:4">
      <c r="A4480" s="16">
        <v>6610000000</v>
      </c>
      <c r="B4480" s="16">
        <v>4884183</v>
      </c>
      <c r="C4480" s="16" t="s">
        <v>3413</v>
      </c>
      <c r="D4480" s="16" t="s">
        <v>3418</v>
      </c>
    </row>
    <row r="4481" spans="1:4">
      <c r="A4481" s="16">
        <v>4203000000</v>
      </c>
      <c r="B4481" s="16">
        <v>-4884183</v>
      </c>
      <c r="C4481" s="16" t="s">
        <v>3408</v>
      </c>
      <c r="D4481" s="16" t="s">
        <v>3403</v>
      </c>
    </row>
    <row r="4482" spans="1:4">
      <c r="A4482" s="16">
        <v>6700200000</v>
      </c>
      <c r="B4482" s="16">
        <v>0</v>
      </c>
      <c r="C4482" s="16" t="s">
        <v>3404</v>
      </c>
      <c r="D4482" s="16" t="s">
        <v>3409</v>
      </c>
    </row>
    <row r="4483" spans="1:4">
      <c r="A4483" s="16">
        <v>6700000000</v>
      </c>
      <c r="B4483" s="16">
        <v>0</v>
      </c>
      <c r="C4483" s="16" t="s">
        <v>3404</v>
      </c>
      <c r="D4483" s="16" t="s">
        <v>3405</v>
      </c>
    </row>
    <row r="4484" spans="1:4">
      <c r="A4484" s="16">
        <v>5052010000</v>
      </c>
      <c r="B4484" s="16">
        <v>0</v>
      </c>
      <c r="C4484" s="16" t="s">
        <v>3406</v>
      </c>
      <c r="D4484" s="16" t="s">
        <v>3422</v>
      </c>
    </row>
    <row r="4485" spans="1:4">
      <c r="A4485" s="16">
        <v>5052000000</v>
      </c>
      <c r="B4485" s="16">
        <v>0</v>
      </c>
      <c r="C4485" s="16" t="s">
        <v>3406</v>
      </c>
      <c r="D4485" s="16" t="s">
        <v>3422</v>
      </c>
    </row>
    <row r="4486" spans="1:4">
      <c r="A4486" s="16">
        <v>6700200000</v>
      </c>
      <c r="B4486" s="16">
        <v>261320</v>
      </c>
      <c r="C4486" s="16" t="s">
        <v>3404</v>
      </c>
      <c r="D4486" s="16" t="s">
        <v>3409</v>
      </c>
    </row>
    <row r="4487" spans="1:4">
      <c r="A4487" s="16">
        <v>2201200030</v>
      </c>
      <c r="B4487" s="16">
        <v>-261320</v>
      </c>
      <c r="C4487" s="16" t="s">
        <v>3415</v>
      </c>
      <c r="D4487" s="16" t="s">
        <v>3403</v>
      </c>
    </row>
    <row r="4488" spans="1:4">
      <c r="A4488" s="16">
        <v>6610100000</v>
      </c>
      <c r="B4488" s="16">
        <v>0</v>
      </c>
      <c r="C4488" s="16" t="s">
        <v>3413</v>
      </c>
      <c r="D4488" s="16" t="s">
        <v>3414</v>
      </c>
    </row>
    <row r="4489" spans="1:4">
      <c r="A4489" s="16">
        <v>4203000000</v>
      </c>
      <c r="B4489" s="16">
        <v>0</v>
      </c>
      <c r="C4489" s="16" t="s">
        <v>3408</v>
      </c>
      <c r="D4489" s="16" t="s">
        <v>3403</v>
      </c>
    </row>
    <row r="4490" spans="1:4">
      <c r="A4490" s="16">
        <v>3032000000</v>
      </c>
      <c r="B4490" s="16">
        <v>0</v>
      </c>
      <c r="C4490" s="16" t="s">
        <v>3424</v>
      </c>
      <c r="D4490" s="16" t="s">
        <v>3403</v>
      </c>
    </row>
    <row r="4491" spans="1:4">
      <c r="A4491" s="16">
        <v>6032000000</v>
      </c>
      <c r="B4491" s="16">
        <v>0</v>
      </c>
      <c r="C4491" s="16" t="s">
        <v>3429</v>
      </c>
      <c r="D4491" s="16" t="s">
        <v>3430</v>
      </c>
    </row>
    <row r="4492" spans="1:4">
      <c r="A4492" s="16">
        <v>6700700000</v>
      </c>
      <c r="B4492" s="16">
        <v>0</v>
      </c>
      <c r="C4492" s="16" t="s">
        <v>3404</v>
      </c>
      <c r="D4492" s="16" t="s">
        <v>3409</v>
      </c>
    </row>
    <row r="4493" spans="1:4">
      <c r="A4493" s="16">
        <v>6700500000</v>
      </c>
      <c r="B4493" s="16">
        <v>0</v>
      </c>
      <c r="C4493" s="16" t="s">
        <v>3404</v>
      </c>
      <c r="D4493" s="16" t="s">
        <v>3405</v>
      </c>
    </row>
    <row r="4494" spans="1:4">
      <c r="A4494" s="16">
        <v>2750010000</v>
      </c>
      <c r="B4494" s="16">
        <v>0</v>
      </c>
      <c r="C4494" s="16" t="s">
        <v>3419</v>
      </c>
      <c r="D4494" s="16" t="s">
        <v>3403</v>
      </c>
    </row>
    <row r="4495" spans="1:4">
      <c r="A4495" s="16">
        <v>6610000100</v>
      </c>
      <c r="B4495" s="16">
        <v>0</v>
      </c>
      <c r="C4495" s="16" t="s">
        <v>3413</v>
      </c>
      <c r="D4495" s="16" t="s">
        <v>3418</v>
      </c>
    </row>
    <row r="4496" spans="1:4">
      <c r="A4496" s="16">
        <v>6060010000</v>
      </c>
      <c r="B4496" s="16">
        <v>59041384</v>
      </c>
      <c r="C4496" s="16" t="s">
        <v>3420</v>
      </c>
      <c r="D4496" s="16" t="s">
        <v>3421</v>
      </c>
    </row>
    <row r="4497" spans="1:4">
      <c r="A4497" s="16">
        <v>5052000000</v>
      </c>
      <c r="B4497" s="16">
        <v>-59041384</v>
      </c>
      <c r="C4497" s="16" t="s">
        <v>3406</v>
      </c>
      <c r="D4497" s="16" t="s">
        <v>3422</v>
      </c>
    </row>
    <row r="4498" spans="1:4">
      <c r="A4498" s="16">
        <v>6100000020</v>
      </c>
      <c r="B4498" s="16">
        <v>0</v>
      </c>
      <c r="C4498" s="16" t="s">
        <v>3416</v>
      </c>
      <c r="D4498" s="16" t="s">
        <v>3417</v>
      </c>
    </row>
    <row r="4499" spans="1:4">
      <c r="A4499" s="16">
        <v>3810000000</v>
      </c>
      <c r="B4499" s="16">
        <v>0</v>
      </c>
      <c r="C4499" s="16" t="s">
        <v>3402</v>
      </c>
      <c r="D4499" s="16" t="s">
        <v>3403</v>
      </c>
    </row>
    <row r="4500" spans="1:4">
      <c r="A4500" s="16">
        <v>6700200000</v>
      </c>
      <c r="B4500" s="16">
        <v>0</v>
      </c>
      <c r="C4500" s="16" t="s">
        <v>3404</v>
      </c>
      <c r="D4500" s="16" t="s">
        <v>3409</v>
      </c>
    </row>
    <row r="4501" spans="1:4">
      <c r="A4501" s="16">
        <v>6700000000</v>
      </c>
      <c r="B4501" s="16">
        <v>0</v>
      </c>
      <c r="C4501" s="16" t="s">
        <v>3404</v>
      </c>
      <c r="D4501" s="16" t="s">
        <v>3405</v>
      </c>
    </row>
    <row r="4502" spans="1:4">
      <c r="A4502" s="16">
        <v>6104000000</v>
      </c>
      <c r="B4502" s="16">
        <v>0</v>
      </c>
      <c r="C4502" s="16" t="s">
        <v>3416</v>
      </c>
      <c r="D4502" s="16" t="s">
        <v>3417</v>
      </c>
    </row>
    <row r="4503" spans="1:4">
      <c r="A4503" s="16">
        <v>3103000000</v>
      </c>
      <c r="B4503" s="16">
        <v>0</v>
      </c>
      <c r="C4503" s="16" t="s">
        <v>3402</v>
      </c>
      <c r="D4503" s="16" t="s">
        <v>3403</v>
      </c>
    </row>
    <row r="4504" spans="1:4">
      <c r="A4504" s="16">
        <v>6610000000</v>
      </c>
      <c r="B4504" s="16">
        <v>0</v>
      </c>
      <c r="C4504" s="16" t="s">
        <v>3413</v>
      </c>
      <c r="D4504" s="16" t="s">
        <v>3418</v>
      </c>
    </row>
    <row r="4505" spans="1:4">
      <c r="A4505" s="16">
        <v>4203000000</v>
      </c>
      <c r="B4505" s="16">
        <v>0</v>
      </c>
      <c r="C4505" s="16" t="s">
        <v>3408</v>
      </c>
      <c r="D4505" s="16" t="s">
        <v>3403</v>
      </c>
    </row>
    <row r="4506" spans="1:4">
      <c r="A4506" s="16">
        <v>6104001000</v>
      </c>
      <c r="B4506" s="16">
        <v>0</v>
      </c>
      <c r="C4506" s="16" t="s">
        <v>3427</v>
      </c>
      <c r="D4506" s="16" t="s">
        <v>3417</v>
      </c>
    </row>
    <row r="4507" spans="1:4">
      <c r="A4507" s="16">
        <v>3103001000</v>
      </c>
      <c r="B4507" s="16">
        <v>0</v>
      </c>
      <c r="C4507" s="16" t="s">
        <v>3402</v>
      </c>
      <c r="D4507" s="16" t="s">
        <v>3403</v>
      </c>
    </row>
    <row r="4508" spans="1:4">
      <c r="A4508" s="16">
        <v>6610000000</v>
      </c>
      <c r="B4508" s="16">
        <v>0</v>
      </c>
      <c r="C4508" s="16" t="s">
        <v>3413</v>
      </c>
      <c r="D4508" s="16" t="s">
        <v>3418</v>
      </c>
    </row>
    <row r="4509" spans="1:4">
      <c r="A4509" s="16">
        <v>4203000000</v>
      </c>
      <c r="B4509" s="16">
        <v>0</v>
      </c>
      <c r="C4509" s="16" t="s">
        <v>3408</v>
      </c>
      <c r="D4509" s="16" t="s">
        <v>3403</v>
      </c>
    </row>
    <row r="4510" spans="1:4">
      <c r="A4510" s="16">
        <v>6700700000</v>
      </c>
      <c r="B4510" s="16">
        <v>0</v>
      </c>
      <c r="C4510" s="16" t="s">
        <v>3404</v>
      </c>
      <c r="D4510" s="16" t="s">
        <v>3409</v>
      </c>
    </row>
    <row r="4511" spans="1:4">
      <c r="A4511" s="16">
        <v>6700500000</v>
      </c>
      <c r="B4511" s="16">
        <v>0</v>
      </c>
      <c r="C4511" s="16" t="s">
        <v>3404</v>
      </c>
      <c r="D4511" s="16" t="s">
        <v>3405</v>
      </c>
    </row>
    <row r="4512" spans="1:4">
      <c r="A4512" s="16">
        <v>2500000000</v>
      </c>
      <c r="B4512" s="16">
        <v>0</v>
      </c>
      <c r="C4512" s="16" t="s">
        <v>3412</v>
      </c>
      <c r="D4512" s="16" t="s">
        <v>3403</v>
      </c>
    </row>
    <row r="4513" spans="1:4">
      <c r="A4513" s="16">
        <v>5010100000</v>
      </c>
      <c r="B4513" s="16">
        <v>0</v>
      </c>
      <c r="C4513" s="16" t="s">
        <v>3406</v>
      </c>
      <c r="D4513" s="16" t="s">
        <v>3407</v>
      </c>
    </row>
    <row r="4514" spans="1:4">
      <c r="A4514" s="16">
        <v>6150000000</v>
      </c>
      <c r="B4514" s="16">
        <v>0</v>
      </c>
      <c r="C4514" s="16" t="s">
        <v>3416</v>
      </c>
      <c r="D4514" s="16" t="s">
        <v>3417</v>
      </c>
    </row>
    <row r="4515" spans="1:4">
      <c r="A4515" s="16">
        <v>3510000000</v>
      </c>
      <c r="B4515" s="16">
        <v>0</v>
      </c>
      <c r="C4515" s="16" t="s">
        <v>3402</v>
      </c>
      <c r="D4515" s="16" t="s">
        <v>3403</v>
      </c>
    </row>
    <row r="4516" spans="1:4">
      <c r="A4516" s="16">
        <v>3102000000</v>
      </c>
      <c r="B4516" s="16">
        <v>0</v>
      </c>
      <c r="C4516" s="16" t="s">
        <v>3424</v>
      </c>
      <c r="D4516" s="16" t="s">
        <v>3403</v>
      </c>
    </row>
    <row r="4517" spans="1:4">
      <c r="A4517" s="16">
        <v>3032000000</v>
      </c>
      <c r="B4517" s="16">
        <v>0</v>
      </c>
      <c r="C4517" s="16" t="s">
        <v>3424</v>
      </c>
      <c r="D4517" s="16" t="s">
        <v>3403</v>
      </c>
    </row>
    <row r="4518" spans="1:4">
      <c r="A4518" s="16">
        <v>5052000000</v>
      </c>
      <c r="B4518" s="16">
        <v>0</v>
      </c>
      <c r="C4518" s="16" t="s">
        <v>3406</v>
      </c>
      <c r="D4518" s="16" t="s">
        <v>3422</v>
      </c>
    </row>
    <row r="4519" spans="1:4">
      <c r="A4519" s="16">
        <v>2500000000</v>
      </c>
      <c r="B4519" s="16">
        <v>1641461</v>
      </c>
      <c r="C4519" s="16" t="s">
        <v>3412</v>
      </c>
      <c r="D4519" s="16" t="s">
        <v>3403</v>
      </c>
    </row>
    <row r="4520" spans="1:4">
      <c r="A4520" s="16">
        <v>3800000000</v>
      </c>
      <c r="B4520" s="16">
        <v>0</v>
      </c>
      <c r="C4520" s="16" t="s">
        <v>3402</v>
      </c>
      <c r="D4520" s="16" t="s">
        <v>3403</v>
      </c>
    </row>
    <row r="4521" spans="1:4">
      <c r="A4521" s="16">
        <v>6700700000</v>
      </c>
      <c r="B4521" s="16">
        <v>0</v>
      </c>
      <c r="C4521" s="16" t="s">
        <v>3404</v>
      </c>
      <c r="D4521" s="16" t="s">
        <v>3409</v>
      </c>
    </row>
    <row r="4522" spans="1:4">
      <c r="A4522" s="16">
        <v>6700500000</v>
      </c>
      <c r="B4522" s="16">
        <v>-9045899</v>
      </c>
      <c r="C4522" s="16" t="s">
        <v>3404</v>
      </c>
      <c r="D4522" s="16" t="s">
        <v>3405</v>
      </c>
    </row>
    <row r="4523" spans="1:4">
      <c r="A4523" s="16">
        <v>6700200000</v>
      </c>
      <c r="B4523" s="16">
        <v>-31009553</v>
      </c>
      <c r="C4523" s="16" t="s">
        <v>3404</v>
      </c>
      <c r="D4523" s="16" t="s">
        <v>3409</v>
      </c>
    </row>
    <row r="4524" spans="1:4">
      <c r="A4524" s="16">
        <v>6060010000</v>
      </c>
      <c r="B4524" s="16">
        <v>2015</v>
      </c>
      <c r="C4524" s="16" t="s">
        <v>3420</v>
      </c>
      <c r="D4524" s="16" t="s">
        <v>3421</v>
      </c>
    </row>
    <row r="4525" spans="1:4">
      <c r="A4525" s="16">
        <v>6610000000</v>
      </c>
      <c r="B4525" s="16">
        <v>0</v>
      </c>
      <c r="C4525" s="16" t="s">
        <v>3413</v>
      </c>
      <c r="D4525" s="16" t="s">
        <v>3418</v>
      </c>
    </row>
    <row r="4526" spans="1:4">
      <c r="A4526" s="16">
        <v>3510000000</v>
      </c>
      <c r="B4526" s="16">
        <v>0</v>
      </c>
      <c r="C4526" s="16" t="s">
        <v>3402</v>
      </c>
      <c r="D4526" s="16" t="s">
        <v>3403</v>
      </c>
    </row>
    <row r="4527" spans="1:4">
      <c r="A4527" s="16">
        <v>5010100010</v>
      </c>
      <c r="B4527" s="16">
        <v>54659</v>
      </c>
      <c r="C4527" s="16" t="s">
        <v>3406</v>
      </c>
      <c r="D4527" s="16" t="s">
        <v>3407</v>
      </c>
    </row>
    <row r="4528" spans="1:4">
      <c r="A4528" s="16">
        <v>2750010000</v>
      </c>
      <c r="B4528" s="16">
        <v>0</v>
      </c>
      <c r="C4528" s="16" t="s">
        <v>3419</v>
      </c>
      <c r="D4528" s="16" t="s">
        <v>3403</v>
      </c>
    </row>
    <row r="4529" spans="1:4">
      <c r="A4529" s="16">
        <v>6104000000</v>
      </c>
      <c r="B4529" s="16">
        <v>0</v>
      </c>
      <c r="C4529" s="16" t="s">
        <v>3416</v>
      </c>
      <c r="D4529" s="16" t="s">
        <v>3417</v>
      </c>
    </row>
    <row r="4530" spans="1:4">
      <c r="A4530" s="16">
        <v>6700400000</v>
      </c>
      <c r="B4530" s="16">
        <v>0</v>
      </c>
      <c r="C4530" s="16" t="s">
        <v>3404</v>
      </c>
      <c r="D4530" s="16" t="s">
        <v>3405</v>
      </c>
    </row>
    <row r="4531" spans="1:4">
      <c r="A4531" s="16">
        <v>2500000000</v>
      </c>
      <c r="B4531" s="16">
        <v>0</v>
      </c>
      <c r="C4531" s="16" t="s">
        <v>3412</v>
      </c>
      <c r="D4531" s="16" t="s">
        <v>3403</v>
      </c>
    </row>
    <row r="4532" spans="1:4">
      <c r="A4532" s="16">
        <v>6032000000</v>
      </c>
      <c r="B4532" s="16">
        <v>0</v>
      </c>
      <c r="C4532" s="16" t="s">
        <v>3429</v>
      </c>
      <c r="D4532" s="16" t="s">
        <v>3430</v>
      </c>
    </row>
    <row r="4533" spans="1:4">
      <c r="A4533" s="16">
        <v>5010100000</v>
      </c>
      <c r="B4533" s="16">
        <v>-1641461</v>
      </c>
      <c r="C4533" s="16" t="s">
        <v>3406</v>
      </c>
      <c r="D4533" s="16" t="s">
        <v>3407</v>
      </c>
    </row>
    <row r="4534" spans="1:4">
      <c r="A4534" s="16">
        <v>6610000000</v>
      </c>
      <c r="B4534" s="16">
        <v>0</v>
      </c>
      <c r="C4534" s="16" t="s">
        <v>3413</v>
      </c>
      <c r="D4534" s="16" t="s">
        <v>3418</v>
      </c>
    </row>
    <row r="4535" spans="1:4">
      <c r="A4535" s="16">
        <v>6700500000</v>
      </c>
      <c r="B4535" s="16">
        <v>0</v>
      </c>
      <c r="C4535" s="16" t="s">
        <v>3404</v>
      </c>
      <c r="D4535" s="16" t="s">
        <v>3405</v>
      </c>
    </row>
    <row r="4536" spans="1:4">
      <c r="A4536" s="16">
        <v>5052000000</v>
      </c>
      <c r="B4536" s="16">
        <v>-2015</v>
      </c>
      <c r="C4536" s="16" t="s">
        <v>3406</v>
      </c>
      <c r="D4536" s="16" t="s">
        <v>3422</v>
      </c>
    </row>
    <row r="4537" spans="1:4">
      <c r="A4537" s="16">
        <v>4203000000</v>
      </c>
      <c r="B4537" s="16">
        <v>0</v>
      </c>
      <c r="C4537" s="16" t="s">
        <v>3408</v>
      </c>
      <c r="D4537" s="16" t="s">
        <v>3403</v>
      </c>
    </row>
    <row r="4538" spans="1:4">
      <c r="A4538" s="16">
        <v>6700600000</v>
      </c>
      <c r="B4538" s="16">
        <v>0</v>
      </c>
      <c r="C4538" s="16" t="s">
        <v>3404</v>
      </c>
      <c r="D4538" s="16" t="s">
        <v>3409</v>
      </c>
    </row>
    <row r="4539" spans="1:4">
      <c r="A4539" s="16">
        <v>2500000000</v>
      </c>
      <c r="B4539" s="16">
        <v>0</v>
      </c>
      <c r="C4539" s="16" t="s">
        <v>3412</v>
      </c>
      <c r="D4539" s="16" t="s">
        <v>3403</v>
      </c>
    </row>
    <row r="4540" spans="1:4">
      <c r="A4540" s="16">
        <v>3710000000</v>
      </c>
      <c r="B4540" s="16">
        <v>-54659</v>
      </c>
      <c r="C4540" s="16" t="s">
        <v>3402</v>
      </c>
      <c r="D4540" s="16" t="s">
        <v>3403</v>
      </c>
    </row>
    <row r="4541" spans="1:4">
      <c r="A4541" s="16">
        <v>2500000000</v>
      </c>
      <c r="B4541" s="16">
        <v>0</v>
      </c>
      <c r="C4541" s="16" t="s">
        <v>3412</v>
      </c>
      <c r="D4541" s="16" t="s">
        <v>3403</v>
      </c>
    </row>
    <row r="4542" spans="1:4">
      <c r="A4542" s="16">
        <v>6610100100</v>
      </c>
      <c r="B4542" s="16">
        <v>0</v>
      </c>
      <c r="C4542" s="16" t="s">
        <v>3413</v>
      </c>
      <c r="D4542" s="16" t="s">
        <v>3414</v>
      </c>
    </row>
    <row r="4543" spans="1:4">
      <c r="A4543" s="16">
        <v>3103000000</v>
      </c>
      <c r="B4543" s="16">
        <v>0</v>
      </c>
      <c r="C4543" s="16" t="s">
        <v>3402</v>
      </c>
      <c r="D4543" s="16" t="s">
        <v>3403</v>
      </c>
    </row>
    <row r="4544" spans="1:4">
      <c r="A4544" s="16">
        <v>5010100000</v>
      </c>
      <c r="B4544" s="16">
        <v>0</v>
      </c>
      <c r="C4544" s="16" t="s">
        <v>3406</v>
      </c>
      <c r="D4544" s="16" t="s">
        <v>3407</v>
      </c>
    </row>
    <row r="4545" spans="1:4">
      <c r="A4545" s="16">
        <v>2203000010</v>
      </c>
      <c r="B4545" s="16">
        <v>950536</v>
      </c>
      <c r="C4545" s="16" t="s">
        <v>3415</v>
      </c>
      <c r="D4545" s="16" t="s">
        <v>3403</v>
      </c>
    </row>
    <row r="4546" spans="1:4">
      <c r="A4546" s="16">
        <v>2750010000</v>
      </c>
      <c r="B4546" s="16">
        <v>0</v>
      </c>
      <c r="C4546" s="16" t="s">
        <v>3419</v>
      </c>
      <c r="D4546" s="16" t="s">
        <v>3403</v>
      </c>
    </row>
    <row r="4547" spans="1:4">
      <c r="A4547" s="16">
        <v>6700600000</v>
      </c>
      <c r="B4547" s="16">
        <v>0</v>
      </c>
      <c r="C4547" s="16" t="s">
        <v>3404</v>
      </c>
      <c r="D4547" s="16" t="s">
        <v>3409</v>
      </c>
    </row>
    <row r="4548" spans="1:4">
      <c r="A4548" s="16">
        <v>6060010000</v>
      </c>
      <c r="B4548" s="16">
        <v>490568</v>
      </c>
      <c r="C4548" s="16" t="s">
        <v>3420</v>
      </c>
      <c r="D4548" s="16" t="s">
        <v>3421</v>
      </c>
    </row>
    <row r="4549" spans="1:4">
      <c r="A4549" s="16">
        <v>5010100010</v>
      </c>
      <c r="B4549" s="16">
        <v>3084</v>
      </c>
      <c r="C4549" s="16" t="s">
        <v>3406</v>
      </c>
      <c r="D4549" s="16" t="s">
        <v>3407</v>
      </c>
    </row>
    <row r="4550" spans="1:4">
      <c r="A4550" s="16">
        <v>6610000000</v>
      </c>
      <c r="B4550" s="16">
        <v>0</v>
      </c>
      <c r="C4550" s="16" t="s">
        <v>3413</v>
      </c>
      <c r="D4550" s="16" t="s">
        <v>3418</v>
      </c>
    </row>
    <row r="4551" spans="1:4">
      <c r="A4551" s="16">
        <v>4203000000</v>
      </c>
      <c r="B4551" s="16">
        <v>0</v>
      </c>
      <c r="C4551" s="16" t="s">
        <v>3408</v>
      </c>
      <c r="D4551" s="16" t="s">
        <v>3403</v>
      </c>
    </row>
    <row r="4552" spans="1:4">
      <c r="A4552" s="16">
        <v>6700400000</v>
      </c>
      <c r="B4552" s="16">
        <v>0</v>
      </c>
      <c r="C4552" s="16" t="s">
        <v>3404</v>
      </c>
      <c r="D4552" s="16" t="s">
        <v>3405</v>
      </c>
    </row>
    <row r="4553" spans="1:4">
      <c r="A4553" s="16">
        <v>5010000000</v>
      </c>
      <c r="B4553" s="16">
        <v>0</v>
      </c>
      <c r="C4553" s="16" t="s">
        <v>3406</v>
      </c>
      <c r="D4553" s="16" t="s">
        <v>3411</v>
      </c>
    </row>
    <row r="4554" spans="1:4">
      <c r="A4554" s="16">
        <v>5050000000</v>
      </c>
      <c r="B4554" s="16">
        <v>0</v>
      </c>
      <c r="C4554" s="16" t="s">
        <v>3406</v>
      </c>
      <c r="D4554" s="16" t="s">
        <v>3422</v>
      </c>
    </row>
    <row r="4555" spans="1:4">
      <c r="A4555" s="16">
        <v>5010100000</v>
      </c>
      <c r="B4555" s="16">
        <v>0</v>
      </c>
      <c r="C4555" s="16" t="s">
        <v>3406</v>
      </c>
      <c r="D4555" s="16" t="s">
        <v>3407</v>
      </c>
    </row>
    <row r="4556" spans="1:4">
      <c r="A4556" s="16">
        <v>6700700000</v>
      </c>
      <c r="B4556" s="16">
        <v>0</v>
      </c>
      <c r="C4556" s="16" t="s">
        <v>3404</v>
      </c>
      <c r="D4556" s="16" t="s">
        <v>3409</v>
      </c>
    </row>
    <row r="4557" spans="1:4">
      <c r="A4557" s="16">
        <v>2201000030</v>
      </c>
      <c r="B4557" s="16">
        <v>0</v>
      </c>
      <c r="C4557" s="16" t="s">
        <v>3415</v>
      </c>
      <c r="D4557" s="16" t="s">
        <v>3403</v>
      </c>
    </row>
    <row r="4558" spans="1:4">
      <c r="A4558" s="16">
        <v>6610100000</v>
      </c>
      <c r="B4558" s="16">
        <v>0</v>
      </c>
      <c r="C4558" s="16" t="s">
        <v>3413</v>
      </c>
      <c r="D4558" s="16" t="s">
        <v>3414</v>
      </c>
    </row>
    <row r="4559" spans="1:4">
      <c r="A4559" s="16">
        <v>4612000000</v>
      </c>
      <c r="B4559" s="16">
        <v>-950536</v>
      </c>
      <c r="C4559" s="16" t="s">
        <v>3428</v>
      </c>
      <c r="D4559" s="16" t="s">
        <v>3403</v>
      </c>
    </row>
    <row r="4560" spans="1:4">
      <c r="A4560" s="16">
        <v>6610000100</v>
      </c>
      <c r="B4560" s="16">
        <v>0</v>
      </c>
      <c r="C4560" s="16" t="s">
        <v>3413</v>
      </c>
      <c r="D4560" s="16" t="s">
        <v>3418</v>
      </c>
    </row>
    <row r="4561" spans="1:4">
      <c r="A4561" s="16">
        <v>2201400000</v>
      </c>
      <c r="B4561" s="16">
        <v>0</v>
      </c>
      <c r="C4561" s="16" t="s">
        <v>3415</v>
      </c>
      <c r="D4561" s="16" t="s">
        <v>3403</v>
      </c>
    </row>
    <row r="4562" spans="1:4">
      <c r="A4562" s="16">
        <v>6700400000</v>
      </c>
      <c r="B4562" s="16">
        <v>0</v>
      </c>
      <c r="C4562" s="16" t="s">
        <v>3404</v>
      </c>
      <c r="D4562" s="16" t="s">
        <v>3405</v>
      </c>
    </row>
    <row r="4563" spans="1:4">
      <c r="A4563" s="16">
        <v>5052000000</v>
      </c>
      <c r="B4563" s="16">
        <v>-490568</v>
      </c>
      <c r="C4563" s="16" t="s">
        <v>3406</v>
      </c>
      <c r="D4563" s="16" t="s">
        <v>3422</v>
      </c>
    </row>
    <row r="4564" spans="1:4">
      <c r="A4564" s="16">
        <v>3710000000</v>
      </c>
      <c r="B4564" s="16">
        <v>-3084</v>
      </c>
      <c r="C4564" s="16" t="s">
        <v>3402</v>
      </c>
      <c r="D4564" s="16" t="s">
        <v>3403</v>
      </c>
    </row>
    <row r="4565" spans="1:4">
      <c r="A4565" s="16">
        <v>4203000000</v>
      </c>
      <c r="B4565" s="16">
        <v>0</v>
      </c>
      <c r="C4565" s="16" t="s">
        <v>3408</v>
      </c>
      <c r="D4565" s="16" t="s">
        <v>3403</v>
      </c>
    </row>
    <row r="4566" spans="1:4">
      <c r="A4566" s="16">
        <v>6100000020</v>
      </c>
      <c r="B4566" s="16">
        <v>24047</v>
      </c>
      <c r="C4566" s="16" t="s">
        <v>3416</v>
      </c>
      <c r="D4566" s="16" t="s">
        <v>3417</v>
      </c>
    </row>
    <row r="4567" spans="1:4">
      <c r="A4567" s="16">
        <v>6700700000</v>
      </c>
      <c r="B4567" s="16">
        <v>0</v>
      </c>
      <c r="C4567" s="16" t="s">
        <v>3404</v>
      </c>
      <c r="D4567" s="16" t="s">
        <v>3409</v>
      </c>
    </row>
    <row r="4568" spans="1:4">
      <c r="A4568" s="16">
        <v>6610000000</v>
      </c>
      <c r="B4568" s="16">
        <v>0</v>
      </c>
      <c r="C4568" s="16" t="s">
        <v>3413</v>
      </c>
      <c r="D4568" s="16" t="s">
        <v>3418</v>
      </c>
    </row>
    <row r="4569" spans="1:4">
      <c r="A4569" s="16">
        <v>3800000000</v>
      </c>
      <c r="B4569" s="16">
        <v>0</v>
      </c>
      <c r="C4569" s="16" t="s">
        <v>3402</v>
      </c>
      <c r="D4569" s="16" t="s">
        <v>3403</v>
      </c>
    </row>
    <row r="4570" spans="1:4">
      <c r="A4570" s="16">
        <v>6104000000</v>
      </c>
      <c r="B4570" s="16">
        <v>-195796</v>
      </c>
      <c r="C4570" s="16" t="s">
        <v>3427</v>
      </c>
      <c r="D4570" s="16" t="s">
        <v>3417</v>
      </c>
    </row>
    <row r="4571" spans="1:4">
      <c r="A4571" s="16">
        <v>6700500000</v>
      </c>
      <c r="B4571" s="16">
        <v>0</v>
      </c>
      <c r="C4571" s="16" t="s">
        <v>3404</v>
      </c>
      <c r="D4571" s="16" t="s">
        <v>3405</v>
      </c>
    </row>
    <row r="4572" spans="1:4">
      <c r="A4572" s="16">
        <v>2201000000</v>
      </c>
      <c r="B4572" s="16">
        <v>0</v>
      </c>
      <c r="C4572" s="16" t="s">
        <v>3415</v>
      </c>
      <c r="D4572" s="16" t="s">
        <v>3403</v>
      </c>
    </row>
    <row r="4573" spans="1:4">
      <c r="A4573" s="16">
        <v>6700200000</v>
      </c>
      <c r="B4573" s="16">
        <v>0</v>
      </c>
      <c r="C4573" s="16" t="s">
        <v>3404</v>
      </c>
      <c r="D4573" s="16" t="s">
        <v>3409</v>
      </c>
    </row>
    <row r="4574" spans="1:4">
      <c r="A4574" s="16">
        <v>4203000000</v>
      </c>
      <c r="B4574" s="16">
        <v>0</v>
      </c>
      <c r="C4574" s="16" t="s">
        <v>3408</v>
      </c>
      <c r="D4574" s="16" t="s">
        <v>3403</v>
      </c>
    </row>
    <row r="4575" spans="1:4">
      <c r="A4575" s="16">
        <v>6700700000</v>
      </c>
      <c r="B4575" s="16">
        <v>0</v>
      </c>
      <c r="C4575" s="16" t="s">
        <v>3404</v>
      </c>
      <c r="D4575" s="16" t="s">
        <v>3409</v>
      </c>
    </row>
    <row r="4576" spans="1:4">
      <c r="A4576" s="16">
        <v>3102000000</v>
      </c>
      <c r="B4576" s="16">
        <v>0</v>
      </c>
      <c r="C4576" s="16" t="s">
        <v>3424</v>
      </c>
      <c r="D4576" s="16" t="s">
        <v>3403</v>
      </c>
    </row>
    <row r="4577" spans="1:4">
      <c r="A4577" s="16">
        <v>3810000000</v>
      </c>
      <c r="B4577" s="16">
        <v>-24047</v>
      </c>
      <c r="C4577" s="16" t="s">
        <v>3402</v>
      </c>
      <c r="D4577" s="16" t="s">
        <v>3403</v>
      </c>
    </row>
    <row r="4578" spans="1:4">
      <c r="A4578" s="16">
        <v>6700500000</v>
      </c>
      <c r="B4578" s="16">
        <v>0</v>
      </c>
      <c r="C4578" s="16" t="s">
        <v>3404</v>
      </c>
      <c r="D4578" s="16" t="s">
        <v>3405</v>
      </c>
    </row>
    <row r="4579" spans="1:4">
      <c r="A4579" s="16">
        <v>5010100010</v>
      </c>
      <c r="B4579" s="16">
        <v>0</v>
      </c>
      <c r="C4579" s="16" t="s">
        <v>3406</v>
      </c>
      <c r="D4579" s="16" t="s">
        <v>3407</v>
      </c>
    </row>
    <row r="4580" spans="1:4">
      <c r="A4580" s="16">
        <v>4203000000</v>
      </c>
      <c r="B4580" s="16">
        <v>0</v>
      </c>
      <c r="C4580" s="16" t="s">
        <v>3408</v>
      </c>
      <c r="D4580" s="16" t="s">
        <v>3403</v>
      </c>
    </row>
    <row r="4581" spans="1:4">
      <c r="A4581" s="16">
        <v>4611000000</v>
      </c>
      <c r="B4581" s="16">
        <v>33407326</v>
      </c>
      <c r="C4581" s="16" t="s">
        <v>3428</v>
      </c>
      <c r="D4581" s="16" t="s">
        <v>3403</v>
      </c>
    </row>
    <row r="4582" spans="1:4">
      <c r="A4582" s="16">
        <v>3103000000</v>
      </c>
      <c r="B4582" s="16">
        <v>195796</v>
      </c>
      <c r="C4582" s="16" t="s">
        <v>3402</v>
      </c>
      <c r="D4582" s="16" t="s">
        <v>3403</v>
      </c>
    </row>
    <row r="4583" spans="1:4">
      <c r="A4583" s="16">
        <v>2500000000</v>
      </c>
      <c r="B4583" s="16">
        <v>0</v>
      </c>
      <c r="C4583" s="16" t="s">
        <v>3412</v>
      </c>
      <c r="D4583" s="16" t="s">
        <v>3403</v>
      </c>
    </row>
    <row r="4584" spans="1:4">
      <c r="A4584" s="16">
        <v>6700200000</v>
      </c>
      <c r="B4584" s="16">
        <v>0</v>
      </c>
      <c r="C4584" s="16" t="s">
        <v>3404</v>
      </c>
      <c r="D4584" s="16" t="s">
        <v>3409</v>
      </c>
    </row>
    <row r="4585" spans="1:4">
      <c r="A4585" s="16">
        <v>6700200000</v>
      </c>
      <c r="B4585" s="16">
        <v>0</v>
      </c>
      <c r="C4585" s="16" t="s">
        <v>3404</v>
      </c>
      <c r="D4585" s="16" t="s">
        <v>3409</v>
      </c>
    </row>
    <row r="4586" spans="1:4">
      <c r="A4586" s="16">
        <v>3102000000</v>
      </c>
      <c r="B4586" s="16">
        <v>0</v>
      </c>
      <c r="C4586" s="16" t="s">
        <v>3424</v>
      </c>
      <c r="D4586" s="16" t="s">
        <v>3403</v>
      </c>
    </row>
    <row r="4587" spans="1:4">
      <c r="A4587" s="16">
        <v>6700200000</v>
      </c>
      <c r="B4587" s="16">
        <v>0</v>
      </c>
      <c r="C4587" s="16" t="s">
        <v>3404</v>
      </c>
      <c r="D4587" s="16" t="s">
        <v>3409</v>
      </c>
    </row>
    <row r="4588" spans="1:4">
      <c r="A4588" s="16">
        <v>6030000000</v>
      </c>
      <c r="B4588" s="16">
        <v>0</v>
      </c>
      <c r="C4588" s="16" t="s">
        <v>3420</v>
      </c>
      <c r="D4588" s="16" t="s">
        <v>3423</v>
      </c>
    </row>
    <row r="4589" spans="1:4">
      <c r="A4589" s="16">
        <v>6102000000</v>
      </c>
      <c r="B4589" s="16">
        <v>0</v>
      </c>
      <c r="C4589" s="16" t="s">
        <v>3425</v>
      </c>
      <c r="D4589" s="16" t="s">
        <v>3426</v>
      </c>
    </row>
    <row r="4590" spans="1:4">
      <c r="A4590" s="16">
        <v>3710000000</v>
      </c>
      <c r="B4590" s="16">
        <v>0</v>
      </c>
      <c r="C4590" s="16" t="s">
        <v>3402</v>
      </c>
      <c r="D4590" s="16" t="s">
        <v>3403</v>
      </c>
    </row>
    <row r="4591" spans="1:4">
      <c r="A4591" s="16">
        <v>2201000000</v>
      </c>
      <c r="B4591" s="16">
        <v>5436630</v>
      </c>
      <c r="C4591" s="16" t="s">
        <v>3415</v>
      </c>
      <c r="D4591" s="16" t="s">
        <v>3403</v>
      </c>
    </row>
    <row r="4592" spans="1:4">
      <c r="A4592" s="16">
        <v>3800000010</v>
      </c>
      <c r="B4592" s="16">
        <v>-33407326</v>
      </c>
      <c r="C4592" s="16" t="s">
        <v>3402</v>
      </c>
      <c r="D4592" s="16" t="s">
        <v>3403</v>
      </c>
    </row>
    <row r="4593" spans="1:4">
      <c r="A4593" s="16">
        <v>5010000010</v>
      </c>
      <c r="B4593" s="16">
        <v>0</v>
      </c>
      <c r="C4593" s="16" t="s">
        <v>3406</v>
      </c>
      <c r="D4593" s="16" t="s">
        <v>3411</v>
      </c>
    </row>
    <row r="4594" spans="1:4">
      <c r="A4594" s="16">
        <v>6100000000</v>
      </c>
      <c r="B4594" s="16">
        <v>0</v>
      </c>
      <c r="C4594" s="16" t="s">
        <v>3416</v>
      </c>
      <c r="D4594" s="16" t="s">
        <v>3417</v>
      </c>
    </row>
    <row r="4595" spans="1:4">
      <c r="A4595" s="16">
        <v>5010100000</v>
      </c>
      <c r="B4595" s="16">
        <v>0</v>
      </c>
      <c r="C4595" s="16" t="s">
        <v>3406</v>
      </c>
      <c r="D4595" s="16" t="s">
        <v>3407</v>
      </c>
    </row>
    <row r="4596" spans="1:4">
      <c r="A4596" s="16">
        <v>6700000000</v>
      </c>
      <c r="B4596" s="16">
        <v>0</v>
      </c>
      <c r="C4596" s="16" t="s">
        <v>3404</v>
      </c>
      <c r="D4596" s="16" t="s">
        <v>3405</v>
      </c>
    </row>
    <row r="4597" spans="1:4">
      <c r="A4597" s="16">
        <v>6102000000</v>
      </c>
      <c r="B4597" s="16">
        <v>0</v>
      </c>
      <c r="C4597" s="16" t="s">
        <v>3425</v>
      </c>
      <c r="D4597" s="16" t="s">
        <v>3426</v>
      </c>
    </row>
    <row r="4598" spans="1:4">
      <c r="A4598" s="16">
        <v>6700000000</v>
      </c>
      <c r="B4598" s="16">
        <v>0</v>
      </c>
      <c r="C4598" s="16" t="s">
        <v>3404</v>
      </c>
      <c r="D4598" s="16" t="s">
        <v>3405</v>
      </c>
    </row>
    <row r="4599" spans="1:4">
      <c r="A4599" s="16">
        <v>6100000000</v>
      </c>
      <c r="B4599" s="16">
        <v>18236534</v>
      </c>
      <c r="C4599" s="16" t="s">
        <v>3416</v>
      </c>
      <c r="D4599" s="16" t="s">
        <v>3417</v>
      </c>
    </row>
    <row r="4600" spans="1:4">
      <c r="A4600" s="16">
        <v>3030000000</v>
      </c>
      <c r="B4600" s="16">
        <v>0</v>
      </c>
      <c r="C4600" s="16" t="s">
        <v>3402</v>
      </c>
      <c r="D4600" s="16" t="s">
        <v>3403</v>
      </c>
    </row>
    <row r="4601" spans="1:4">
      <c r="A4601" s="16">
        <v>6700200000</v>
      </c>
      <c r="B4601" s="16">
        <v>-5436630</v>
      </c>
      <c r="C4601" s="16" t="s">
        <v>3404</v>
      </c>
      <c r="D4601" s="16" t="s">
        <v>3409</v>
      </c>
    </row>
    <row r="4602" spans="1:4">
      <c r="A4602" s="16">
        <v>3710000000</v>
      </c>
      <c r="B4602" s="16">
        <v>0</v>
      </c>
      <c r="C4602" s="16" t="s">
        <v>3402</v>
      </c>
      <c r="D4602" s="16" t="s">
        <v>3403</v>
      </c>
    </row>
    <row r="4603" spans="1:4">
      <c r="A4603" s="16">
        <v>2750010000</v>
      </c>
      <c r="B4603" s="16">
        <v>0</v>
      </c>
      <c r="C4603" s="16" t="s">
        <v>3419</v>
      </c>
      <c r="D4603" s="16" t="s">
        <v>3403</v>
      </c>
    </row>
    <row r="4604" spans="1:4">
      <c r="A4604" s="16">
        <v>3100000000</v>
      </c>
      <c r="B4604" s="16">
        <v>0</v>
      </c>
      <c r="C4604" s="16" t="s">
        <v>3402</v>
      </c>
      <c r="D4604" s="16" t="s">
        <v>3403</v>
      </c>
    </row>
    <row r="4605" spans="1:4">
      <c r="A4605" s="16">
        <v>2500000000</v>
      </c>
      <c r="B4605" s="16">
        <v>0</v>
      </c>
      <c r="C4605" s="16" t="s">
        <v>3412</v>
      </c>
      <c r="D4605" s="16" t="s">
        <v>3403</v>
      </c>
    </row>
    <row r="4606" spans="1:4">
      <c r="A4606" s="16">
        <v>3100000000</v>
      </c>
      <c r="B4606" s="16">
        <v>-18236534</v>
      </c>
      <c r="C4606" s="16" t="s">
        <v>3402</v>
      </c>
      <c r="D4606" s="16" t="s">
        <v>3403</v>
      </c>
    </row>
    <row r="4607" spans="1:4">
      <c r="A4607" s="16">
        <v>6610100000</v>
      </c>
      <c r="B4607" s="16">
        <v>14064549</v>
      </c>
      <c r="C4607" s="16" t="s">
        <v>3413</v>
      </c>
      <c r="D4607" s="16" t="s">
        <v>3414</v>
      </c>
    </row>
    <row r="4608" spans="1:4">
      <c r="A4608" s="16">
        <v>6700700000</v>
      </c>
      <c r="B4608" s="16">
        <v>0</v>
      </c>
      <c r="C4608" s="16" t="s">
        <v>3404</v>
      </c>
      <c r="D4608" s="16" t="s">
        <v>3409</v>
      </c>
    </row>
    <row r="4609" spans="1:4">
      <c r="A4609" s="16">
        <v>6700200000</v>
      </c>
      <c r="B4609" s="16">
        <v>1120271786</v>
      </c>
      <c r="C4609" s="16" t="s">
        <v>3404</v>
      </c>
      <c r="D4609" s="16" t="s">
        <v>3409</v>
      </c>
    </row>
    <row r="4610" spans="1:4">
      <c r="A4610" s="16">
        <v>6150000000</v>
      </c>
      <c r="B4610" s="16">
        <v>0</v>
      </c>
      <c r="C4610" s="16" t="s">
        <v>3416</v>
      </c>
      <c r="D4610" s="16" t="s">
        <v>3417</v>
      </c>
    </row>
    <row r="4611" spans="1:4">
      <c r="A4611" s="16">
        <v>6700200000</v>
      </c>
      <c r="B4611" s="16">
        <v>0</v>
      </c>
      <c r="C4611" s="16" t="s">
        <v>3404</v>
      </c>
      <c r="D4611" s="16" t="s">
        <v>3409</v>
      </c>
    </row>
    <row r="4612" spans="1:4">
      <c r="A4612" s="16">
        <v>6700700000</v>
      </c>
      <c r="B4612" s="16">
        <v>0</v>
      </c>
      <c r="C4612" s="16" t="s">
        <v>3404</v>
      </c>
      <c r="D4612" s="16" t="s">
        <v>3409</v>
      </c>
    </row>
    <row r="4613" spans="1:4">
      <c r="A4613" s="16">
        <v>6700600000</v>
      </c>
      <c r="B4613" s="16">
        <v>0</v>
      </c>
      <c r="C4613" s="16" t="s">
        <v>3404</v>
      </c>
      <c r="D4613" s="16" t="s">
        <v>3409</v>
      </c>
    </row>
    <row r="4614" spans="1:4">
      <c r="A4614" s="16">
        <v>6610100100</v>
      </c>
      <c r="B4614" s="16">
        <v>0</v>
      </c>
      <c r="C4614" s="16" t="s">
        <v>3413</v>
      </c>
      <c r="D4614" s="16" t="s">
        <v>3414</v>
      </c>
    </row>
    <row r="4615" spans="1:4">
      <c r="A4615" s="16">
        <v>3102000000</v>
      </c>
      <c r="B4615" s="16">
        <v>0</v>
      </c>
      <c r="C4615" s="16" t="s">
        <v>3424</v>
      </c>
      <c r="D4615" s="16" t="s">
        <v>3403</v>
      </c>
    </row>
    <row r="4616" spans="1:4">
      <c r="A4616" s="16">
        <v>2201000000</v>
      </c>
      <c r="B4616" s="16">
        <v>10080633478</v>
      </c>
      <c r="C4616" s="16" t="s">
        <v>3415</v>
      </c>
      <c r="D4616" s="16" t="s">
        <v>3403</v>
      </c>
    </row>
    <row r="4617" spans="1:4">
      <c r="A4617" s="16">
        <v>6700200000</v>
      </c>
      <c r="B4617" s="16">
        <v>0</v>
      </c>
      <c r="C4617" s="16" t="s">
        <v>3404</v>
      </c>
      <c r="D4617" s="16" t="s">
        <v>3409</v>
      </c>
    </row>
    <row r="4618" spans="1:4">
      <c r="A4618" s="16">
        <v>5010000000</v>
      </c>
      <c r="B4618" s="16">
        <v>0</v>
      </c>
      <c r="C4618" s="16" t="s">
        <v>3406</v>
      </c>
      <c r="D4618" s="16" t="s">
        <v>3411</v>
      </c>
    </row>
    <row r="4619" spans="1:4">
      <c r="A4619" s="16">
        <v>4203000000</v>
      </c>
      <c r="B4619" s="16">
        <v>-14064549</v>
      </c>
      <c r="C4619" s="16" t="s">
        <v>3408</v>
      </c>
      <c r="D4619" s="16" t="s">
        <v>3403</v>
      </c>
    </row>
    <row r="4620" spans="1:4">
      <c r="A4620" s="16">
        <v>3032000000</v>
      </c>
      <c r="B4620" s="16">
        <v>0</v>
      </c>
      <c r="C4620" s="16" t="s">
        <v>3424</v>
      </c>
      <c r="D4620" s="16" t="s">
        <v>3403</v>
      </c>
    </row>
    <row r="4621" spans="1:4">
      <c r="A4621" s="16">
        <v>6700500000</v>
      </c>
      <c r="B4621" s="16">
        <v>0</v>
      </c>
      <c r="C4621" s="16" t="s">
        <v>3404</v>
      </c>
      <c r="D4621" s="16" t="s">
        <v>3405</v>
      </c>
    </row>
    <row r="4622" spans="1:4">
      <c r="A4622" s="16">
        <v>6610000000</v>
      </c>
      <c r="B4622" s="16">
        <v>0</v>
      </c>
      <c r="C4622" s="16" t="s">
        <v>3413</v>
      </c>
      <c r="D4622" s="16" t="s">
        <v>3418</v>
      </c>
    </row>
    <row r="4623" spans="1:4">
      <c r="A4623" s="16">
        <v>6700000000</v>
      </c>
      <c r="B4623" s="16">
        <v>-1120271786</v>
      </c>
      <c r="C4623" s="16" t="s">
        <v>3404</v>
      </c>
      <c r="D4623" s="16" t="s">
        <v>3405</v>
      </c>
    </row>
    <row r="4624" spans="1:4">
      <c r="A4624" s="16">
        <v>3510000000</v>
      </c>
      <c r="B4624" s="16">
        <v>0</v>
      </c>
      <c r="C4624" s="16" t="s">
        <v>3402</v>
      </c>
      <c r="D4624" s="16" t="s">
        <v>3403</v>
      </c>
    </row>
    <row r="4625" spans="1:4">
      <c r="A4625" s="16">
        <v>6700000000</v>
      </c>
      <c r="B4625" s="16">
        <v>0</v>
      </c>
      <c r="C4625" s="16" t="s">
        <v>3404</v>
      </c>
      <c r="D4625" s="16" t="s">
        <v>3405</v>
      </c>
    </row>
    <row r="4626" spans="1:4">
      <c r="A4626" s="16">
        <v>6700500000</v>
      </c>
      <c r="B4626" s="16">
        <v>0</v>
      </c>
      <c r="C4626" s="16" t="s">
        <v>3404</v>
      </c>
      <c r="D4626" s="16" t="s">
        <v>3405</v>
      </c>
    </row>
    <row r="4627" spans="1:4">
      <c r="A4627" s="16">
        <v>5050000000</v>
      </c>
      <c r="B4627" s="16">
        <v>0</v>
      </c>
      <c r="C4627" s="16" t="s">
        <v>3406</v>
      </c>
      <c r="D4627" s="16" t="s">
        <v>3422</v>
      </c>
    </row>
    <row r="4628" spans="1:4">
      <c r="A4628" s="16">
        <v>6610100000</v>
      </c>
      <c r="B4628" s="16">
        <v>0</v>
      </c>
      <c r="C4628" s="16" t="s">
        <v>3413</v>
      </c>
      <c r="D4628" s="16" t="s">
        <v>3414</v>
      </c>
    </row>
    <row r="4629" spans="1:4">
      <c r="A4629" s="16">
        <v>6700700000</v>
      </c>
      <c r="B4629" s="16">
        <v>0</v>
      </c>
      <c r="C4629" s="16" t="s">
        <v>3404</v>
      </c>
      <c r="D4629" s="16" t="s">
        <v>3409</v>
      </c>
    </row>
    <row r="4630" spans="1:4">
      <c r="A4630" s="16">
        <v>6700400000</v>
      </c>
      <c r="B4630" s="16">
        <v>0</v>
      </c>
      <c r="C4630" s="16" t="s">
        <v>3404</v>
      </c>
      <c r="D4630" s="16" t="s">
        <v>3405</v>
      </c>
    </row>
    <row r="4631" spans="1:4">
      <c r="A4631" s="16">
        <v>6102000000</v>
      </c>
      <c r="B4631" s="16">
        <v>0</v>
      </c>
      <c r="C4631" s="16" t="s">
        <v>3425</v>
      </c>
      <c r="D4631" s="16" t="s">
        <v>3426</v>
      </c>
    </row>
    <row r="4632" spans="1:4">
      <c r="A4632" s="16">
        <v>6700200000</v>
      </c>
      <c r="B4632" s="16">
        <v>-10080633478</v>
      </c>
      <c r="C4632" s="16" t="s">
        <v>3404</v>
      </c>
      <c r="D4632" s="16" t="s">
        <v>3409</v>
      </c>
    </row>
    <row r="4633" spans="1:4">
      <c r="A4633" s="16">
        <v>6700200000</v>
      </c>
      <c r="B4633" s="16">
        <v>0</v>
      </c>
      <c r="C4633" s="16" t="s">
        <v>3404</v>
      </c>
      <c r="D4633" s="16" t="s">
        <v>3409</v>
      </c>
    </row>
    <row r="4634" spans="1:4">
      <c r="A4634" s="16">
        <v>3102000000</v>
      </c>
      <c r="B4634" s="16">
        <v>0</v>
      </c>
      <c r="C4634" s="16" t="s">
        <v>3424</v>
      </c>
      <c r="D4634" s="16" t="s">
        <v>3403</v>
      </c>
    </row>
    <row r="4635" spans="1:4">
      <c r="A4635" s="16">
        <v>6700100000</v>
      </c>
      <c r="B4635" s="16">
        <v>0</v>
      </c>
      <c r="C4635" s="16" t="s">
        <v>3404</v>
      </c>
      <c r="D4635" s="16" t="s">
        <v>3410</v>
      </c>
    </row>
    <row r="4636" spans="1:4">
      <c r="A4636" s="16">
        <v>6100000000</v>
      </c>
      <c r="B4636" s="16">
        <v>0</v>
      </c>
      <c r="C4636" s="16" t="s">
        <v>3416</v>
      </c>
      <c r="D4636" s="16" t="s">
        <v>3417</v>
      </c>
    </row>
    <row r="4637" spans="1:4">
      <c r="A4637" s="16">
        <v>3032000000</v>
      </c>
      <c r="B4637" s="16">
        <v>0</v>
      </c>
      <c r="C4637" s="16" t="s">
        <v>3424</v>
      </c>
      <c r="D4637" s="16" t="s">
        <v>3403</v>
      </c>
    </row>
    <row r="4638" spans="1:4">
      <c r="A4638" s="16">
        <v>6104000000</v>
      </c>
      <c r="B4638" s="16">
        <v>0</v>
      </c>
      <c r="C4638" s="16" t="s">
        <v>3416</v>
      </c>
      <c r="D4638" s="16" t="s">
        <v>3417</v>
      </c>
    </row>
    <row r="4639" spans="1:4">
      <c r="A4639" s="16">
        <v>6032000000</v>
      </c>
      <c r="B4639" s="16">
        <v>0</v>
      </c>
      <c r="C4639" s="16" t="s">
        <v>3429</v>
      </c>
      <c r="D4639" s="16" t="s">
        <v>3430</v>
      </c>
    </row>
    <row r="4640" spans="1:4">
      <c r="A4640" s="16">
        <v>6610100000</v>
      </c>
      <c r="B4640" s="16">
        <v>1034956</v>
      </c>
      <c r="C4640" s="16" t="s">
        <v>3413</v>
      </c>
      <c r="D4640" s="16" t="s">
        <v>3414</v>
      </c>
    </row>
    <row r="4641" spans="1:4">
      <c r="A4641" s="16">
        <v>4203000000</v>
      </c>
      <c r="B4641" s="16">
        <v>0</v>
      </c>
      <c r="C4641" s="16" t="s">
        <v>3408</v>
      </c>
      <c r="D4641" s="16" t="s">
        <v>3403</v>
      </c>
    </row>
    <row r="4642" spans="1:4">
      <c r="A4642" s="16">
        <v>6700700000</v>
      </c>
      <c r="B4642" s="16">
        <v>0</v>
      </c>
      <c r="C4642" s="16" t="s">
        <v>3404</v>
      </c>
      <c r="D4642" s="16" t="s">
        <v>3409</v>
      </c>
    </row>
    <row r="4643" spans="1:4">
      <c r="A4643" s="16">
        <v>5050010000</v>
      </c>
      <c r="B4643" s="16">
        <v>0</v>
      </c>
      <c r="C4643" s="16" t="s">
        <v>3406</v>
      </c>
      <c r="D4643" s="16" t="s">
        <v>3422</v>
      </c>
    </row>
    <row r="4644" spans="1:4">
      <c r="A4644" s="16">
        <v>3800000000</v>
      </c>
      <c r="B4644" s="16">
        <v>0</v>
      </c>
      <c r="C4644" s="16" t="s">
        <v>3402</v>
      </c>
      <c r="D4644" s="16" t="s">
        <v>3403</v>
      </c>
    </row>
    <row r="4645" spans="1:4">
      <c r="A4645" s="16">
        <v>4203000000</v>
      </c>
      <c r="B4645" s="16">
        <v>0</v>
      </c>
      <c r="C4645" s="16" t="s">
        <v>3408</v>
      </c>
      <c r="D4645" s="16" t="s">
        <v>3403</v>
      </c>
    </row>
    <row r="4646" spans="1:4">
      <c r="A4646" s="16">
        <v>6700500000</v>
      </c>
      <c r="B4646" s="16">
        <v>0</v>
      </c>
      <c r="C4646" s="16" t="s">
        <v>3404</v>
      </c>
      <c r="D4646" s="16" t="s">
        <v>3405</v>
      </c>
    </row>
    <row r="4647" spans="1:4">
      <c r="A4647" s="16">
        <v>2500000000</v>
      </c>
      <c r="B4647" s="16">
        <v>0</v>
      </c>
      <c r="C4647" s="16" t="s">
        <v>3412</v>
      </c>
      <c r="D4647" s="16" t="s">
        <v>3403</v>
      </c>
    </row>
    <row r="4648" spans="1:4">
      <c r="A4648" s="16">
        <v>2500000000</v>
      </c>
      <c r="B4648" s="16">
        <v>0</v>
      </c>
      <c r="C4648" s="16" t="s">
        <v>3412</v>
      </c>
      <c r="D4648" s="16" t="s">
        <v>3403</v>
      </c>
    </row>
    <row r="4649" spans="1:4">
      <c r="A4649" s="16">
        <v>6700200000</v>
      </c>
      <c r="B4649" s="16">
        <v>15173770</v>
      </c>
      <c r="C4649" s="16" t="s">
        <v>3404</v>
      </c>
      <c r="D4649" s="16" t="s">
        <v>3409</v>
      </c>
    </row>
    <row r="4650" spans="1:4">
      <c r="A4650" s="16">
        <v>2201200030</v>
      </c>
      <c r="B4650" s="16">
        <v>0</v>
      </c>
      <c r="C4650" s="16" t="s">
        <v>3415</v>
      </c>
      <c r="D4650" s="16" t="s">
        <v>3403</v>
      </c>
    </row>
    <row r="4651" spans="1:4">
      <c r="A4651" s="16">
        <v>6700700000</v>
      </c>
      <c r="B4651" s="16">
        <v>4689148</v>
      </c>
      <c r="C4651" s="16" t="s">
        <v>3404</v>
      </c>
      <c r="D4651" s="16" t="s">
        <v>3409</v>
      </c>
    </row>
    <row r="4652" spans="1:4">
      <c r="A4652" s="16">
        <v>6700200000</v>
      </c>
      <c r="B4652" s="16">
        <v>0</v>
      </c>
      <c r="C4652" s="16" t="s">
        <v>3404</v>
      </c>
      <c r="D4652" s="16" t="s">
        <v>3409</v>
      </c>
    </row>
    <row r="4653" spans="1:4">
      <c r="A4653" s="16">
        <v>3102000000</v>
      </c>
      <c r="B4653" s="16">
        <v>0</v>
      </c>
      <c r="C4653" s="16" t="s">
        <v>3424</v>
      </c>
      <c r="D4653" s="16" t="s">
        <v>3403</v>
      </c>
    </row>
    <row r="4654" spans="1:4">
      <c r="A4654" s="16">
        <v>6610000000</v>
      </c>
      <c r="B4654" s="16">
        <v>0</v>
      </c>
      <c r="C4654" s="16" t="s">
        <v>3413</v>
      </c>
      <c r="D4654" s="16" t="s">
        <v>3418</v>
      </c>
    </row>
    <row r="4655" spans="1:4">
      <c r="A4655" s="16">
        <v>6102000000</v>
      </c>
      <c r="B4655" s="16">
        <v>0</v>
      </c>
      <c r="C4655" s="16" t="s">
        <v>3425</v>
      </c>
      <c r="D4655" s="16" t="s">
        <v>3426</v>
      </c>
    </row>
    <row r="4656" spans="1:4">
      <c r="A4656" s="16">
        <v>3100000000</v>
      </c>
      <c r="B4656" s="16">
        <v>0</v>
      </c>
      <c r="C4656" s="16" t="s">
        <v>3402</v>
      </c>
      <c r="D4656" s="16" t="s">
        <v>3403</v>
      </c>
    </row>
    <row r="4657" spans="1:4">
      <c r="A4657" s="16">
        <v>6030000000</v>
      </c>
      <c r="B4657" s="16">
        <v>0</v>
      </c>
      <c r="C4657" s="16" t="s">
        <v>3420</v>
      </c>
      <c r="D4657" s="16" t="s">
        <v>3423</v>
      </c>
    </row>
    <row r="4658" spans="1:4">
      <c r="A4658" s="16">
        <v>6032000000</v>
      </c>
      <c r="B4658" s="16">
        <v>0</v>
      </c>
      <c r="C4658" s="16" t="s">
        <v>3429</v>
      </c>
      <c r="D4658" s="16" t="s">
        <v>3430</v>
      </c>
    </row>
    <row r="4659" spans="1:4">
      <c r="A4659" s="16">
        <v>3103000000</v>
      </c>
      <c r="B4659" s="16">
        <v>0</v>
      </c>
      <c r="C4659" s="16" t="s">
        <v>3402</v>
      </c>
      <c r="D4659" s="16" t="s">
        <v>3403</v>
      </c>
    </row>
    <row r="4660" spans="1:4">
      <c r="A4660" s="16">
        <v>3102000000</v>
      </c>
      <c r="B4660" s="16">
        <v>0</v>
      </c>
      <c r="C4660" s="16" t="s">
        <v>3424</v>
      </c>
      <c r="D4660" s="16" t="s">
        <v>3403</v>
      </c>
    </row>
    <row r="4661" spans="1:4">
      <c r="A4661" s="16">
        <v>2201000000</v>
      </c>
      <c r="B4661" s="16">
        <v>0</v>
      </c>
      <c r="C4661" s="16" t="s">
        <v>3415</v>
      </c>
      <c r="D4661" s="16" t="s">
        <v>3403</v>
      </c>
    </row>
    <row r="4662" spans="1:4">
      <c r="A4662" s="16">
        <v>2203000000</v>
      </c>
      <c r="B4662" s="16">
        <v>0</v>
      </c>
      <c r="C4662" s="16" t="s">
        <v>3415</v>
      </c>
      <c r="D4662" s="16" t="s">
        <v>3403</v>
      </c>
    </row>
    <row r="4663" spans="1:4">
      <c r="A4663" s="16">
        <v>4203000000</v>
      </c>
      <c r="B4663" s="16">
        <v>-1034956</v>
      </c>
      <c r="C4663" s="16" t="s">
        <v>3408</v>
      </c>
      <c r="D4663" s="16" t="s">
        <v>3403</v>
      </c>
    </row>
    <row r="4664" spans="1:4">
      <c r="A4664" s="16">
        <v>2500000000</v>
      </c>
      <c r="B4664" s="16">
        <v>1022368</v>
      </c>
      <c r="C4664" s="16" t="s">
        <v>3412</v>
      </c>
      <c r="D4664" s="16" t="s">
        <v>3403</v>
      </c>
    </row>
    <row r="4665" spans="1:4">
      <c r="A4665" s="16">
        <v>3102000000</v>
      </c>
      <c r="B4665" s="16">
        <v>0</v>
      </c>
      <c r="C4665" s="16" t="s">
        <v>3424</v>
      </c>
      <c r="D4665" s="16" t="s">
        <v>3403</v>
      </c>
    </row>
    <row r="4666" spans="1:4">
      <c r="A4666" s="16">
        <v>6700500000</v>
      </c>
      <c r="B4666" s="16">
        <v>0</v>
      </c>
      <c r="C4666" s="16" t="s">
        <v>3404</v>
      </c>
      <c r="D4666" s="16" t="s">
        <v>3405</v>
      </c>
    </row>
    <row r="4667" spans="1:4">
      <c r="A4667" s="16">
        <v>5050000000</v>
      </c>
      <c r="B4667" s="16">
        <v>0</v>
      </c>
      <c r="C4667" s="16" t="s">
        <v>3406</v>
      </c>
      <c r="D4667" s="16" t="s">
        <v>3422</v>
      </c>
    </row>
    <row r="4668" spans="1:4">
      <c r="A4668" s="16">
        <v>6700700000</v>
      </c>
      <c r="B4668" s="16">
        <v>0</v>
      </c>
      <c r="C4668" s="16" t="s">
        <v>3404</v>
      </c>
      <c r="D4668" s="16" t="s">
        <v>3409</v>
      </c>
    </row>
    <row r="4669" spans="1:4">
      <c r="A4669" s="16">
        <v>6700200000</v>
      </c>
      <c r="B4669" s="16">
        <v>0</v>
      </c>
      <c r="C4669" s="16" t="s">
        <v>3404</v>
      </c>
      <c r="D4669" s="16" t="s">
        <v>3409</v>
      </c>
    </row>
    <row r="4670" spans="1:4">
      <c r="A4670" s="16">
        <v>6060010000</v>
      </c>
      <c r="B4670" s="16">
        <v>0</v>
      </c>
      <c r="C4670" s="16" t="s">
        <v>3420</v>
      </c>
      <c r="D4670" s="16" t="s">
        <v>3421</v>
      </c>
    </row>
    <row r="4671" spans="1:4">
      <c r="A4671" s="16">
        <v>5010100000</v>
      </c>
      <c r="B4671" s="16">
        <v>0</v>
      </c>
      <c r="C4671" s="16" t="s">
        <v>3406</v>
      </c>
      <c r="D4671" s="16" t="s">
        <v>3407</v>
      </c>
    </row>
    <row r="4672" spans="1:4">
      <c r="A4672" s="16">
        <v>6700600000</v>
      </c>
      <c r="B4672" s="16">
        <v>0</v>
      </c>
      <c r="C4672" s="16" t="s">
        <v>3404</v>
      </c>
      <c r="D4672" s="16" t="s">
        <v>3409</v>
      </c>
    </row>
    <row r="4673" spans="1:4">
      <c r="A4673" s="16">
        <v>6104000000</v>
      </c>
      <c r="B4673" s="16">
        <v>0</v>
      </c>
      <c r="C4673" s="16" t="s">
        <v>3427</v>
      </c>
      <c r="D4673" s="16" t="s">
        <v>3417</v>
      </c>
    </row>
    <row r="4674" spans="1:4">
      <c r="A4674" s="16">
        <v>5010000000</v>
      </c>
      <c r="B4674" s="16">
        <v>0</v>
      </c>
      <c r="C4674" s="16" t="s">
        <v>3406</v>
      </c>
      <c r="D4674" s="16" t="s">
        <v>3411</v>
      </c>
    </row>
    <row r="4675" spans="1:4">
      <c r="A4675" s="16">
        <v>6700000000</v>
      </c>
      <c r="B4675" s="16">
        <v>-15173770</v>
      </c>
      <c r="C4675" s="16" t="s">
        <v>3404</v>
      </c>
      <c r="D4675" s="16" t="s">
        <v>3405</v>
      </c>
    </row>
    <row r="4676" spans="1:4">
      <c r="A4676" s="16">
        <v>6700500000</v>
      </c>
      <c r="B4676" s="16">
        <v>-4689148</v>
      </c>
      <c r="C4676" s="16" t="s">
        <v>3404</v>
      </c>
      <c r="D4676" s="16" t="s">
        <v>3405</v>
      </c>
    </row>
    <row r="4677" spans="1:4">
      <c r="A4677" s="16">
        <v>6700100000</v>
      </c>
      <c r="B4677" s="16">
        <v>0</v>
      </c>
      <c r="C4677" s="16" t="s">
        <v>3404</v>
      </c>
      <c r="D4677" s="16" t="s">
        <v>3410</v>
      </c>
    </row>
    <row r="4678" spans="1:4">
      <c r="A4678" s="16">
        <v>6102000000</v>
      </c>
      <c r="B4678" s="16">
        <v>0</v>
      </c>
      <c r="C4678" s="16" t="s">
        <v>3425</v>
      </c>
      <c r="D4678" s="16" t="s">
        <v>3426</v>
      </c>
    </row>
    <row r="4679" spans="1:4">
      <c r="A4679" s="16">
        <v>6700200000</v>
      </c>
      <c r="B4679" s="16">
        <v>0</v>
      </c>
      <c r="C4679" s="16" t="s">
        <v>3404</v>
      </c>
      <c r="D4679" s="16" t="s">
        <v>3409</v>
      </c>
    </row>
    <row r="4680" spans="1:4">
      <c r="A4680" s="16">
        <v>4203000000</v>
      </c>
      <c r="B4680" s="16">
        <v>0</v>
      </c>
      <c r="C4680" s="16" t="s">
        <v>3408</v>
      </c>
      <c r="D4680" s="16" t="s">
        <v>3403</v>
      </c>
    </row>
    <row r="4681" spans="1:4">
      <c r="A4681" s="16">
        <v>3030000000</v>
      </c>
      <c r="B4681" s="16">
        <v>0</v>
      </c>
      <c r="C4681" s="16" t="s">
        <v>3402</v>
      </c>
      <c r="D4681" s="16" t="s">
        <v>3403</v>
      </c>
    </row>
    <row r="4682" spans="1:4">
      <c r="A4682" s="16">
        <v>6102000000</v>
      </c>
      <c r="B4682" s="16">
        <v>0</v>
      </c>
      <c r="C4682" s="16" t="s">
        <v>3425</v>
      </c>
      <c r="D4682" s="16" t="s">
        <v>3426</v>
      </c>
    </row>
    <row r="4683" spans="1:4">
      <c r="A4683" s="16">
        <v>2500000000</v>
      </c>
      <c r="B4683" s="16">
        <v>14510</v>
      </c>
      <c r="C4683" s="16" t="s">
        <v>3412</v>
      </c>
      <c r="D4683" s="16" t="s">
        <v>3403</v>
      </c>
    </row>
    <row r="4684" spans="1:4">
      <c r="A4684" s="16">
        <v>6700200000</v>
      </c>
      <c r="B4684" s="16">
        <v>0</v>
      </c>
      <c r="C4684" s="16" t="s">
        <v>3404</v>
      </c>
      <c r="D4684" s="16" t="s">
        <v>3409</v>
      </c>
    </row>
    <row r="4685" spans="1:4">
      <c r="A4685" s="16">
        <v>6060110000</v>
      </c>
      <c r="B4685" s="16">
        <v>0</v>
      </c>
      <c r="C4685" s="16" t="s">
        <v>3420</v>
      </c>
      <c r="D4685" s="16" t="s">
        <v>3421</v>
      </c>
    </row>
    <row r="4686" spans="1:4">
      <c r="A4686" s="16">
        <v>5010000000</v>
      </c>
      <c r="B4686" s="16">
        <v>-1022368</v>
      </c>
      <c r="C4686" s="16" t="s">
        <v>3406</v>
      </c>
      <c r="D4686" s="16" t="s">
        <v>3411</v>
      </c>
    </row>
    <row r="4687" spans="1:4">
      <c r="A4687" s="16">
        <v>6102000000</v>
      </c>
      <c r="B4687" s="16">
        <v>0</v>
      </c>
      <c r="C4687" s="16" t="s">
        <v>3425</v>
      </c>
      <c r="D4687" s="16" t="s">
        <v>3426</v>
      </c>
    </row>
    <row r="4688" spans="1:4">
      <c r="A4688" s="16">
        <v>5052010000</v>
      </c>
      <c r="B4688" s="16">
        <v>0</v>
      </c>
      <c r="C4688" s="16" t="s">
        <v>3406</v>
      </c>
      <c r="D4688" s="16" t="s">
        <v>3422</v>
      </c>
    </row>
    <row r="4689" spans="1:4">
      <c r="A4689" s="16">
        <v>6700500000</v>
      </c>
      <c r="B4689" s="16">
        <v>0</v>
      </c>
      <c r="C4689" s="16" t="s">
        <v>3404</v>
      </c>
      <c r="D4689" s="16" t="s">
        <v>3405</v>
      </c>
    </row>
    <row r="4690" spans="1:4">
      <c r="A4690" s="16">
        <v>6700100000</v>
      </c>
      <c r="B4690" s="16">
        <v>0</v>
      </c>
      <c r="C4690" s="16" t="s">
        <v>3404</v>
      </c>
      <c r="D4690" s="16" t="s">
        <v>3410</v>
      </c>
    </row>
    <row r="4691" spans="1:4">
      <c r="A4691" s="16">
        <v>5052000000</v>
      </c>
      <c r="B4691" s="16">
        <v>0</v>
      </c>
      <c r="C4691" s="16" t="s">
        <v>3406</v>
      </c>
      <c r="D4691" s="16" t="s">
        <v>3422</v>
      </c>
    </row>
    <row r="4692" spans="1:4">
      <c r="A4692" s="16">
        <v>6610100000</v>
      </c>
      <c r="B4692" s="16">
        <v>0</v>
      </c>
      <c r="C4692" s="16" t="s">
        <v>3413</v>
      </c>
      <c r="D4692" s="16" t="s">
        <v>3414</v>
      </c>
    </row>
    <row r="4693" spans="1:4">
      <c r="A4693" s="16">
        <v>6700700000</v>
      </c>
      <c r="B4693" s="16">
        <v>0</v>
      </c>
      <c r="C4693" s="16" t="s">
        <v>3404</v>
      </c>
      <c r="D4693" s="16" t="s">
        <v>3409</v>
      </c>
    </row>
    <row r="4694" spans="1:4">
      <c r="A4694" s="16">
        <v>6700400000</v>
      </c>
      <c r="B4694" s="16">
        <v>0</v>
      </c>
      <c r="C4694" s="16" t="s">
        <v>3404</v>
      </c>
      <c r="D4694" s="16" t="s">
        <v>3405</v>
      </c>
    </row>
    <row r="4695" spans="1:4">
      <c r="A4695" s="16">
        <v>3103000000</v>
      </c>
      <c r="B4695" s="16">
        <v>0</v>
      </c>
      <c r="C4695" s="16" t="s">
        <v>3402</v>
      </c>
      <c r="D4695" s="16" t="s">
        <v>3403</v>
      </c>
    </row>
    <row r="4696" spans="1:4">
      <c r="A4696" s="16">
        <v>6700000000</v>
      </c>
      <c r="B4696" s="16">
        <v>0</v>
      </c>
      <c r="C4696" s="16" t="s">
        <v>3404</v>
      </c>
      <c r="D4696" s="16" t="s">
        <v>3405</v>
      </c>
    </row>
    <row r="4697" spans="1:4">
      <c r="A4697" s="16">
        <v>2500000000</v>
      </c>
      <c r="B4697" s="16">
        <v>0</v>
      </c>
      <c r="C4697" s="16" t="s">
        <v>3412</v>
      </c>
      <c r="D4697" s="16" t="s">
        <v>3403</v>
      </c>
    </row>
    <row r="4698" spans="1:4">
      <c r="A4698" s="16">
        <v>2201000000</v>
      </c>
      <c r="B4698" s="16">
        <v>0</v>
      </c>
      <c r="C4698" s="16" t="s">
        <v>3415</v>
      </c>
      <c r="D4698" s="16" t="s">
        <v>3403</v>
      </c>
    </row>
    <row r="4699" spans="1:4">
      <c r="A4699" s="16">
        <v>6700200000</v>
      </c>
      <c r="B4699" s="16">
        <v>0</v>
      </c>
      <c r="C4699" s="16" t="s">
        <v>3404</v>
      </c>
      <c r="D4699" s="16" t="s">
        <v>3409</v>
      </c>
    </row>
    <row r="4700" spans="1:4">
      <c r="A4700" s="16">
        <v>5010100000</v>
      </c>
      <c r="B4700" s="16">
        <v>-14510</v>
      </c>
      <c r="C4700" s="16" t="s">
        <v>3406</v>
      </c>
      <c r="D4700" s="16" t="s">
        <v>3407</v>
      </c>
    </row>
    <row r="4701" spans="1:4">
      <c r="A4701" s="16">
        <v>5052000000</v>
      </c>
      <c r="B4701" s="16">
        <v>0</v>
      </c>
      <c r="C4701" s="16" t="s">
        <v>3406</v>
      </c>
      <c r="D4701" s="16" t="s">
        <v>3422</v>
      </c>
    </row>
    <row r="4702" spans="1:4">
      <c r="A4702" s="16">
        <v>6700200000</v>
      </c>
      <c r="B4702" s="16">
        <v>0</v>
      </c>
      <c r="C4702" s="16" t="s">
        <v>3404</v>
      </c>
      <c r="D4702" s="16" t="s">
        <v>3409</v>
      </c>
    </row>
    <row r="4703" spans="1:4">
      <c r="A4703" s="16">
        <v>4203000000</v>
      </c>
      <c r="B4703" s="16">
        <v>0</v>
      </c>
      <c r="C4703" s="16" t="s">
        <v>3408</v>
      </c>
      <c r="D4703" s="16" t="s">
        <v>3403</v>
      </c>
    </row>
    <row r="4704" spans="1:4">
      <c r="A4704" s="16">
        <v>6700500000</v>
      </c>
      <c r="B4704" s="16">
        <v>0</v>
      </c>
      <c r="C4704" s="16" t="s">
        <v>3404</v>
      </c>
      <c r="D4704" s="16" t="s">
        <v>3405</v>
      </c>
    </row>
    <row r="4705" spans="1:4">
      <c r="A4705" s="16">
        <v>6610000000</v>
      </c>
      <c r="B4705" s="16">
        <v>0</v>
      </c>
      <c r="C4705" s="16" t="s">
        <v>3413</v>
      </c>
      <c r="D4705" s="16" t="s">
        <v>3418</v>
      </c>
    </row>
    <row r="4706" spans="1:4">
      <c r="A4706" s="16">
        <v>5010000000</v>
      </c>
      <c r="B4706" s="16">
        <v>0</v>
      </c>
      <c r="C4706" s="16" t="s">
        <v>3406</v>
      </c>
      <c r="D4706" s="16" t="s">
        <v>3411</v>
      </c>
    </row>
    <row r="4707" spans="1:4">
      <c r="A4707" s="16">
        <v>6700200000</v>
      </c>
      <c r="B4707" s="16">
        <v>0</v>
      </c>
      <c r="C4707" s="16" t="s">
        <v>3404</v>
      </c>
      <c r="D4707" s="16" t="s">
        <v>3409</v>
      </c>
    </row>
    <row r="4708" spans="1:4">
      <c r="A4708" s="16">
        <v>6700000000</v>
      </c>
      <c r="B4708" s="16">
        <v>0</v>
      </c>
      <c r="C4708" s="16" t="s">
        <v>3404</v>
      </c>
      <c r="D4708" s="16" t="s">
        <v>3405</v>
      </c>
    </row>
    <row r="4709" spans="1:4">
      <c r="A4709" s="16">
        <v>6160000000</v>
      </c>
      <c r="B4709" s="16">
        <v>0</v>
      </c>
      <c r="C4709" s="16" t="s">
        <v>3416</v>
      </c>
      <c r="D4709" s="16" t="s">
        <v>3417</v>
      </c>
    </row>
    <row r="4710" spans="1:4">
      <c r="A4710" s="16">
        <v>6100000000</v>
      </c>
      <c r="B4710" s="16">
        <v>8738</v>
      </c>
      <c r="C4710" s="16" t="s">
        <v>3416</v>
      </c>
      <c r="D4710" s="16" t="s">
        <v>3417</v>
      </c>
    </row>
    <row r="4711" spans="1:4">
      <c r="A4711" s="16">
        <v>2750010000</v>
      </c>
      <c r="B4711" s="16">
        <v>0</v>
      </c>
      <c r="C4711" s="16" t="s">
        <v>3419</v>
      </c>
      <c r="D4711" s="16" t="s">
        <v>3403</v>
      </c>
    </row>
    <row r="4712" spans="1:4">
      <c r="A4712" s="16">
        <v>5010100010</v>
      </c>
      <c r="B4712" s="16">
        <v>0</v>
      </c>
      <c r="C4712" s="16" t="s">
        <v>3406</v>
      </c>
      <c r="D4712" s="16" t="s">
        <v>3407</v>
      </c>
    </row>
    <row r="4713" spans="1:4">
      <c r="A4713" s="16">
        <v>2201000000</v>
      </c>
      <c r="B4713" s="16">
        <v>0</v>
      </c>
      <c r="C4713" s="16" t="s">
        <v>3415</v>
      </c>
      <c r="D4713" s="16" t="s">
        <v>3403</v>
      </c>
    </row>
    <row r="4714" spans="1:4">
      <c r="A4714" s="16">
        <v>6030000000</v>
      </c>
      <c r="B4714" s="16">
        <v>0</v>
      </c>
      <c r="C4714" s="16" t="s">
        <v>3420</v>
      </c>
      <c r="D4714" s="16" t="s">
        <v>3423</v>
      </c>
    </row>
    <row r="4715" spans="1:4">
      <c r="A4715" s="16">
        <v>6700200000</v>
      </c>
      <c r="B4715" s="16">
        <v>0</v>
      </c>
      <c r="C4715" s="16" t="s">
        <v>3404</v>
      </c>
      <c r="D4715" s="16" t="s">
        <v>3409</v>
      </c>
    </row>
    <row r="4716" spans="1:4">
      <c r="A4716" s="16">
        <v>6700000000</v>
      </c>
      <c r="B4716" s="16">
        <v>0</v>
      </c>
      <c r="C4716" s="16" t="s">
        <v>3404</v>
      </c>
      <c r="D4716" s="16" t="s">
        <v>3405</v>
      </c>
    </row>
    <row r="4717" spans="1:4">
      <c r="A4717" s="16">
        <v>6700200000</v>
      </c>
      <c r="B4717" s="16">
        <v>0</v>
      </c>
      <c r="C4717" s="16" t="s">
        <v>3404</v>
      </c>
      <c r="D4717" s="16" t="s">
        <v>3409</v>
      </c>
    </row>
    <row r="4718" spans="1:4">
      <c r="A4718" s="16">
        <v>4203000000</v>
      </c>
      <c r="B4718" s="16">
        <v>0</v>
      </c>
      <c r="C4718" s="16" t="s">
        <v>3408</v>
      </c>
      <c r="D4718" s="16" t="s">
        <v>3403</v>
      </c>
    </row>
    <row r="4719" spans="1:4">
      <c r="A4719" s="16">
        <v>6100000000</v>
      </c>
      <c r="B4719" s="16">
        <v>0</v>
      </c>
      <c r="C4719" s="16" t="s">
        <v>3416</v>
      </c>
      <c r="D4719" s="16" t="s">
        <v>3417</v>
      </c>
    </row>
    <row r="4720" spans="1:4">
      <c r="A4720" s="16">
        <v>3032000000</v>
      </c>
      <c r="B4720" s="16">
        <v>0</v>
      </c>
      <c r="C4720" s="16" t="s">
        <v>3424</v>
      </c>
      <c r="D4720" s="16" t="s">
        <v>3403</v>
      </c>
    </row>
    <row r="4721" spans="1:4">
      <c r="A4721" s="16">
        <v>6610000000</v>
      </c>
      <c r="B4721" s="16">
        <v>0</v>
      </c>
      <c r="C4721" s="16" t="s">
        <v>3413</v>
      </c>
      <c r="D4721" s="16" t="s">
        <v>3418</v>
      </c>
    </row>
    <row r="4722" spans="1:4">
      <c r="A4722" s="16">
        <v>6610000000</v>
      </c>
      <c r="B4722" s="16">
        <v>0</v>
      </c>
      <c r="C4722" s="16" t="s">
        <v>3413</v>
      </c>
      <c r="D4722" s="16" t="s">
        <v>3418</v>
      </c>
    </row>
    <row r="4723" spans="1:4">
      <c r="A4723" s="16">
        <v>6104001000</v>
      </c>
      <c r="B4723" s="16">
        <v>0</v>
      </c>
      <c r="C4723" s="16" t="s">
        <v>3416</v>
      </c>
      <c r="D4723" s="16" t="s">
        <v>3417</v>
      </c>
    </row>
    <row r="4724" spans="1:4">
      <c r="A4724" s="16">
        <v>3102000000</v>
      </c>
      <c r="B4724" s="16">
        <v>0</v>
      </c>
      <c r="C4724" s="16" t="s">
        <v>3424</v>
      </c>
      <c r="D4724" s="16" t="s">
        <v>3403</v>
      </c>
    </row>
    <row r="4725" spans="1:4">
      <c r="A4725" s="16">
        <v>4010000000</v>
      </c>
      <c r="B4725" s="16">
        <v>0</v>
      </c>
      <c r="C4725" s="16" t="s">
        <v>3431</v>
      </c>
      <c r="D4725" s="16" t="s">
        <v>3403</v>
      </c>
    </row>
    <row r="4726" spans="1:4">
      <c r="A4726" s="16">
        <v>6030000000</v>
      </c>
      <c r="B4726" s="16">
        <v>0</v>
      </c>
      <c r="C4726" s="16" t="s">
        <v>3420</v>
      </c>
      <c r="D4726" s="16" t="s">
        <v>3423</v>
      </c>
    </row>
    <row r="4727" spans="1:4">
      <c r="A4727" s="16">
        <v>3100000000</v>
      </c>
      <c r="B4727" s="16">
        <v>-8738</v>
      </c>
      <c r="C4727" s="16" t="s">
        <v>3402</v>
      </c>
      <c r="D4727" s="16" t="s">
        <v>3403</v>
      </c>
    </row>
    <row r="4728" spans="1:4">
      <c r="A4728" s="16">
        <v>6610000100</v>
      </c>
      <c r="B4728" s="16">
        <v>0</v>
      </c>
      <c r="C4728" s="16" t="s">
        <v>3413</v>
      </c>
      <c r="D4728" s="16" t="s">
        <v>3418</v>
      </c>
    </row>
    <row r="4729" spans="1:4">
      <c r="A4729" s="16">
        <v>3710000000</v>
      </c>
      <c r="B4729" s="16">
        <v>0</v>
      </c>
      <c r="C4729" s="16" t="s">
        <v>3402</v>
      </c>
      <c r="D4729" s="16" t="s">
        <v>3403</v>
      </c>
    </row>
    <row r="4730" spans="1:4">
      <c r="A4730" s="16">
        <v>6700200000</v>
      </c>
      <c r="B4730" s="16">
        <v>0</v>
      </c>
      <c r="C4730" s="16" t="s">
        <v>3404</v>
      </c>
      <c r="D4730" s="16" t="s">
        <v>3409</v>
      </c>
    </row>
    <row r="4731" spans="1:4">
      <c r="A4731" s="16">
        <v>6104000000</v>
      </c>
      <c r="B4731" s="16">
        <v>0</v>
      </c>
      <c r="C4731" s="16" t="s">
        <v>3416</v>
      </c>
      <c r="D4731" s="16" t="s">
        <v>3417</v>
      </c>
    </row>
    <row r="4732" spans="1:4">
      <c r="A4732" s="16">
        <v>6102000000</v>
      </c>
      <c r="B4732" s="16">
        <v>0</v>
      </c>
      <c r="C4732" s="16" t="s">
        <v>3425</v>
      </c>
      <c r="D4732" s="16" t="s">
        <v>3426</v>
      </c>
    </row>
    <row r="4733" spans="1:4">
      <c r="A4733" s="16">
        <v>6610000000</v>
      </c>
      <c r="B4733" s="16">
        <v>0</v>
      </c>
      <c r="C4733" s="16" t="s">
        <v>3413</v>
      </c>
      <c r="D4733" s="16" t="s">
        <v>3418</v>
      </c>
    </row>
    <row r="4734" spans="1:4">
      <c r="A4734" s="16">
        <v>4203000000</v>
      </c>
      <c r="B4734" s="16">
        <v>0</v>
      </c>
      <c r="C4734" s="16" t="s">
        <v>3408</v>
      </c>
      <c r="D4734" s="16" t="s">
        <v>3403</v>
      </c>
    </row>
    <row r="4735" spans="1:4">
      <c r="A4735" s="16">
        <v>2500000000</v>
      </c>
      <c r="B4735" s="16">
        <v>0</v>
      </c>
      <c r="C4735" s="16" t="s">
        <v>3412</v>
      </c>
      <c r="D4735" s="16" t="s">
        <v>3403</v>
      </c>
    </row>
    <row r="4736" spans="1:4">
      <c r="A4736" s="16">
        <v>5010100000</v>
      </c>
      <c r="B4736" s="16">
        <v>0</v>
      </c>
      <c r="C4736" s="16" t="s">
        <v>3406</v>
      </c>
      <c r="D4736" s="16" t="s">
        <v>3407</v>
      </c>
    </row>
    <row r="4737" spans="1:4">
      <c r="A4737" s="16">
        <v>2500000000</v>
      </c>
      <c r="B4737" s="16">
        <v>0</v>
      </c>
      <c r="C4737" s="16" t="s">
        <v>3412</v>
      </c>
      <c r="D4737" s="16" t="s">
        <v>3403</v>
      </c>
    </row>
    <row r="4738" spans="1:4">
      <c r="A4738" s="16">
        <v>5010000000</v>
      </c>
      <c r="B4738" s="16">
        <v>0</v>
      </c>
      <c r="C4738" s="16" t="s">
        <v>3406</v>
      </c>
      <c r="D4738" s="16" t="s">
        <v>3411</v>
      </c>
    </row>
    <row r="4739" spans="1:4">
      <c r="A4739" s="16">
        <v>6700200000</v>
      </c>
      <c r="B4739" s="16">
        <v>0</v>
      </c>
      <c r="C4739" s="16" t="s">
        <v>3404</v>
      </c>
      <c r="D4739" s="16" t="s">
        <v>3409</v>
      </c>
    </row>
    <row r="4740" spans="1:4">
      <c r="A4740" s="16">
        <v>6700000000</v>
      </c>
      <c r="B4740" s="16">
        <v>0</v>
      </c>
      <c r="C4740" s="16" t="s">
        <v>3404</v>
      </c>
      <c r="D4740" s="16" t="s">
        <v>3405</v>
      </c>
    </row>
    <row r="4741" spans="1:4">
      <c r="A4741" s="16">
        <v>2500000000</v>
      </c>
      <c r="B4741" s="16">
        <v>0</v>
      </c>
      <c r="C4741" s="16" t="s">
        <v>3412</v>
      </c>
      <c r="D4741" s="16" t="s">
        <v>3403</v>
      </c>
    </row>
    <row r="4742" spans="1:4">
      <c r="A4742" s="16">
        <v>5010000000</v>
      </c>
      <c r="B4742" s="16">
        <v>0</v>
      </c>
      <c r="C4742" s="16" t="s">
        <v>3406</v>
      </c>
      <c r="D4742" s="16" t="s">
        <v>3411</v>
      </c>
    </row>
    <row r="4743" spans="1:4">
      <c r="A4743" s="16">
        <v>6700200000</v>
      </c>
      <c r="B4743" s="16">
        <v>0</v>
      </c>
      <c r="C4743" s="16" t="s">
        <v>3404</v>
      </c>
      <c r="D4743" s="16" t="s">
        <v>3409</v>
      </c>
    </row>
    <row r="4744" spans="1:4">
      <c r="A4744" s="16">
        <v>2201200030</v>
      </c>
      <c r="B4744" s="16">
        <v>0</v>
      </c>
      <c r="C4744" s="16" t="s">
        <v>3415</v>
      </c>
      <c r="D4744" s="16" t="s">
        <v>3403</v>
      </c>
    </row>
    <row r="4745" spans="1:4">
      <c r="A4745" s="16">
        <v>3102000000</v>
      </c>
      <c r="B4745" s="16">
        <v>0</v>
      </c>
      <c r="C4745" s="16" t="s">
        <v>3424</v>
      </c>
      <c r="D4745" s="16" t="s">
        <v>3403</v>
      </c>
    </row>
    <row r="4746" spans="1:4">
      <c r="A4746" s="16">
        <v>6102000000</v>
      </c>
      <c r="B4746" s="16">
        <v>0</v>
      </c>
      <c r="C4746" s="16" t="s">
        <v>3425</v>
      </c>
      <c r="D4746" s="16" t="s">
        <v>3426</v>
      </c>
    </row>
    <row r="4747" spans="1:4">
      <c r="A4747" s="16">
        <v>6700200000</v>
      </c>
      <c r="B4747" s="16">
        <v>0</v>
      </c>
      <c r="C4747" s="16" t="s">
        <v>3404</v>
      </c>
      <c r="D4747" s="16" t="s">
        <v>3409</v>
      </c>
    </row>
    <row r="4748" spans="1:4">
      <c r="A4748" s="16">
        <v>6700100000</v>
      </c>
      <c r="B4748" s="16">
        <v>0</v>
      </c>
      <c r="C4748" s="16" t="s">
        <v>3404</v>
      </c>
      <c r="D4748" s="16" t="s">
        <v>3410</v>
      </c>
    </row>
    <row r="4749" spans="1:4">
      <c r="A4749" s="16">
        <v>2203000000</v>
      </c>
      <c r="B4749" s="16">
        <v>0</v>
      </c>
      <c r="C4749" s="16" t="s">
        <v>3415</v>
      </c>
      <c r="D4749" s="16" t="s">
        <v>3403</v>
      </c>
    </row>
    <row r="4750" spans="1:4">
      <c r="A4750" s="16">
        <v>6060110000</v>
      </c>
      <c r="B4750" s="16">
        <v>0</v>
      </c>
      <c r="C4750" s="16" t="s">
        <v>3420</v>
      </c>
      <c r="D4750" s="16" t="s">
        <v>3421</v>
      </c>
    </row>
    <row r="4751" spans="1:4">
      <c r="A4751" s="16">
        <v>2500000000</v>
      </c>
      <c r="B4751" s="16">
        <v>0</v>
      </c>
      <c r="C4751" s="16" t="s">
        <v>3412</v>
      </c>
      <c r="D4751" s="16" t="s">
        <v>3403</v>
      </c>
    </row>
    <row r="4752" spans="1:4">
      <c r="A4752" s="16">
        <v>5010100000</v>
      </c>
      <c r="B4752" s="16">
        <v>0</v>
      </c>
      <c r="C4752" s="16" t="s">
        <v>3406</v>
      </c>
      <c r="D4752" s="16" t="s">
        <v>3407</v>
      </c>
    </row>
    <row r="4753" spans="1:4">
      <c r="A4753" s="16">
        <v>2750010000</v>
      </c>
      <c r="B4753" s="16">
        <v>0</v>
      </c>
      <c r="C4753" s="16" t="s">
        <v>3419</v>
      </c>
      <c r="D4753" s="16" t="s">
        <v>3403</v>
      </c>
    </row>
    <row r="4754" spans="1:4">
      <c r="A4754" s="16">
        <v>6610000100</v>
      </c>
      <c r="B4754" s="16">
        <v>0</v>
      </c>
      <c r="C4754" s="16" t="s">
        <v>3413</v>
      </c>
      <c r="D4754" s="16" t="s">
        <v>3418</v>
      </c>
    </row>
    <row r="4755" spans="1:4">
      <c r="A4755" s="16">
        <v>6030000000</v>
      </c>
      <c r="B4755" s="16">
        <v>0</v>
      </c>
      <c r="C4755" s="16" t="s">
        <v>3420</v>
      </c>
      <c r="D4755" s="16" t="s">
        <v>3423</v>
      </c>
    </row>
    <row r="4756" spans="1:4">
      <c r="A4756" s="16">
        <v>3030000000</v>
      </c>
      <c r="B4756" s="16">
        <v>0</v>
      </c>
      <c r="C4756" s="16" t="s">
        <v>3402</v>
      </c>
      <c r="D4756" s="16" t="s">
        <v>3403</v>
      </c>
    </row>
    <row r="4757" spans="1:4">
      <c r="A4757" s="16">
        <v>3102000000</v>
      </c>
      <c r="B4757" s="16">
        <v>-188351</v>
      </c>
      <c r="C4757" s="16" t="s">
        <v>3424</v>
      </c>
      <c r="D4757" s="16" t="s">
        <v>3403</v>
      </c>
    </row>
    <row r="4758" spans="1:4">
      <c r="A4758" s="16">
        <v>6102000000</v>
      </c>
      <c r="B4758" s="16">
        <v>188351</v>
      </c>
      <c r="C4758" s="16" t="s">
        <v>3425</v>
      </c>
      <c r="D4758" s="16" t="s">
        <v>3426</v>
      </c>
    </row>
    <row r="4759" spans="1:4">
      <c r="A4759" s="16">
        <v>5010000010</v>
      </c>
      <c r="B4759" s="16">
        <v>0</v>
      </c>
      <c r="C4759" s="16" t="s">
        <v>3406</v>
      </c>
      <c r="D4759" s="16" t="s">
        <v>3411</v>
      </c>
    </row>
    <row r="4760" spans="1:4">
      <c r="A4760" s="16">
        <v>3710000000</v>
      </c>
      <c r="B4760" s="16">
        <v>0</v>
      </c>
      <c r="C4760" s="16" t="s">
        <v>3402</v>
      </c>
      <c r="D4760" s="16" t="s">
        <v>3403</v>
      </c>
    </row>
    <row r="4761" spans="1:4">
      <c r="A4761" s="16">
        <v>6700600000</v>
      </c>
      <c r="B4761" s="16">
        <v>0</v>
      </c>
      <c r="C4761" s="16" t="s">
        <v>3404</v>
      </c>
      <c r="D4761" s="16" t="s">
        <v>3409</v>
      </c>
    </row>
    <row r="4762" spans="1:4">
      <c r="A4762" s="16">
        <v>6700400000</v>
      </c>
      <c r="B4762" s="16">
        <v>0</v>
      </c>
      <c r="C4762" s="16" t="s">
        <v>3404</v>
      </c>
      <c r="D4762" s="16" t="s">
        <v>3405</v>
      </c>
    </row>
    <row r="4763" spans="1:4">
      <c r="A4763" s="16">
        <v>6700600000</v>
      </c>
      <c r="B4763" s="16">
        <v>0</v>
      </c>
      <c r="C4763" s="16" t="s">
        <v>3404</v>
      </c>
      <c r="D4763" s="16" t="s">
        <v>3409</v>
      </c>
    </row>
    <row r="4764" spans="1:4">
      <c r="A4764" s="16">
        <v>6700400000</v>
      </c>
      <c r="B4764" s="16">
        <v>0</v>
      </c>
      <c r="C4764" s="16" t="s">
        <v>3404</v>
      </c>
      <c r="D4764" s="16" t="s">
        <v>3405</v>
      </c>
    </row>
    <row r="4765" spans="1:4">
      <c r="A4765" s="16">
        <v>6104000000</v>
      </c>
      <c r="B4765" s="16">
        <v>0</v>
      </c>
      <c r="C4765" s="16" t="s">
        <v>3427</v>
      </c>
      <c r="D4765" s="16" t="s">
        <v>3417</v>
      </c>
    </row>
    <row r="4766" spans="1:4">
      <c r="A4766" s="16">
        <v>3103000000</v>
      </c>
      <c r="B4766" s="16">
        <v>0</v>
      </c>
      <c r="C4766" s="16" t="s">
        <v>3402</v>
      </c>
      <c r="D4766" s="16" t="s">
        <v>3403</v>
      </c>
    </row>
    <row r="4767" spans="1:4">
      <c r="A4767" s="16">
        <v>2500000000</v>
      </c>
      <c r="B4767" s="16">
        <v>0</v>
      </c>
      <c r="C4767" s="16" t="s">
        <v>3412</v>
      </c>
      <c r="D4767" s="16" t="s">
        <v>3403</v>
      </c>
    </row>
    <row r="4768" spans="1:4">
      <c r="A4768" s="16">
        <v>5010100000</v>
      </c>
      <c r="B4768" s="16">
        <v>0</v>
      </c>
      <c r="C4768" s="16" t="s">
        <v>3406</v>
      </c>
      <c r="D4768" s="16" t="s">
        <v>3407</v>
      </c>
    </row>
    <row r="4769" spans="1:4">
      <c r="A4769" s="16">
        <v>6700200000</v>
      </c>
      <c r="B4769" s="16">
        <v>0</v>
      </c>
      <c r="C4769" s="16" t="s">
        <v>3404</v>
      </c>
      <c r="D4769" s="16" t="s">
        <v>3409</v>
      </c>
    </row>
    <row r="4770" spans="1:4">
      <c r="A4770" s="16">
        <v>6700000000</v>
      </c>
      <c r="B4770" s="16">
        <v>0</v>
      </c>
      <c r="C4770" s="16" t="s">
        <v>3404</v>
      </c>
      <c r="D4770" s="16" t="s">
        <v>3405</v>
      </c>
    </row>
    <row r="4771" spans="1:4">
      <c r="A4771" s="16">
        <v>2500000000</v>
      </c>
      <c r="B4771" s="16">
        <v>4833557</v>
      </c>
      <c r="C4771" s="16" t="s">
        <v>3412</v>
      </c>
      <c r="D4771" s="16" t="s">
        <v>3403</v>
      </c>
    </row>
    <row r="4772" spans="1:4">
      <c r="A4772" s="16">
        <v>5010100000</v>
      </c>
      <c r="B4772" s="16">
        <v>-4833557</v>
      </c>
      <c r="C4772" s="16" t="s">
        <v>3406</v>
      </c>
      <c r="D4772" s="16" t="s">
        <v>3407</v>
      </c>
    </row>
    <row r="4773" spans="1:4">
      <c r="A4773" s="16">
        <v>5010100010</v>
      </c>
      <c r="B4773" s="16">
        <v>0</v>
      </c>
      <c r="C4773" s="16" t="s">
        <v>3406</v>
      </c>
      <c r="D4773" s="16" t="s">
        <v>3407</v>
      </c>
    </row>
    <row r="4774" spans="1:4">
      <c r="A4774" s="16">
        <v>3710000000</v>
      </c>
      <c r="B4774" s="16">
        <v>0</v>
      </c>
      <c r="C4774" s="16" t="s">
        <v>3402</v>
      </c>
      <c r="D4774" s="16" t="s">
        <v>3403</v>
      </c>
    </row>
    <row r="4775" spans="1:4">
      <c r="A4775" s="16">
        <v>2201000030</v>
      </c>
      <c r="B4775" s="16">
        <v>54438</v>
      </c>
      <c r="C4775" s="16" t="s">
        <v>3415</v>
      </c>
      <c r="D4775" s="16" t="s">
        <v>3403</v>
      </c>
    </row>
    <row r="4776" spans="1:4">
      <c r="A4776" s="16">
        <v>6700200000</v>
      </c>
      <c r="B4776" s="16">
        <v>-54438</v>
      </c>
      <c r="C4776" s="16" t="s">
        <v>3404</v>
      </c>
      <c r="D4776" s="16" t="s">
        <v>3409</v>
      </c>
    </row>
    <row r="4777" spans="1:4">
      <c r="A4777" s="16">
        <v>6700700000</v>
      </c>
      <c r="B4777" s="16">
        <v>0</v>
      </c>
      <c r="C4777" s="16" t="s">
        <v>3404</v>
      </c>
      <c r="D4777" s="16" t="s">
        <v>3409</v>
      </c>
    </row>
    <row r="4778" spans="1:4">
      <c r="A4778" s="16">
        <v>6700500000</v>
      </c>
      <c r="B4778" s="16">
        <v>0</v>
      </c>
      <c r="C4778" s="16" t="s">
        <v>3404</v>
      </c>
      <c r="D4778" s="16" t="s">
        <v>3405</v>
      </c>
    </row>
    <row r="4779" spans="1:4">
      <c r="A4779" s="16">
        <v>2750010000</v>
      </c>
      <c r="B4779" s="16">
        <v>0</v>
      </c>
      <c r="C4779" s="16" t="s">
        <v>3419</v>
      </c>
      <c r="D4779" s="16" t="s">
        <v>3403</v>
      </c>
    </row>
    <row r="4780" spans="1:4">
      <c r="A4780" s="16">
        <v>6610000100</v>
      </c>
      <c r="B4780" s="16">
        <v>0</v>
      </c>
      <c r="C4780" s="16" t="s">
        <v>3413</v>
      </c>
      <c r="D4780" s="16" t="s">
        <v>3418</v>
      </c>
    </row>
    <row r="4781" spans="1:4">
      <c r="A4781" s="16">
        <v>6610000000</v>
      </c>
      <c r="B4781" s="16">
        <v>0</v>
      </c>
      <c r="C4781" s="16" t="s">
        <v>3413</v>
      </c>
      <c r="D4781" s="16" t="s">
        <v>3418</v>
      </c>
    </row>
    <row r="4782" spans="1:4">
      <c r="A4782" s="16">
        <v>4203000000</v>
      </c>
      <c r="B4782" s="16">
        <v>0</v>
      </c>
      <c r="C4782" s="16" t="s">
        <v>3408</v>
      </c>
      <c r="D4782" s="16" t="s">
        <v>3403</v>
      </c>
    </row>
    <row r="4783" spans="1:4">
      <c r="A4783" s="16">
        <v>6700200000</v>
      </c>
      <c r="B4783" s="16">
        <v>0</v>
      </c>
      <c r="C4783" s="16" t="s">
        <v>3404</v>
      </c>
      <c r="D4783" s="16" t="s">
        <v>3409</v>
      </c>
    </row>
    <row r="4784" spans="1:4">
      <c r="A4784" s="16">
        <v>6700000000</v>
      </c>
      <c r="B4784" s="16">
        <v>0</v>
      </c>
      <c r="C4784" s="16" t="s">
        <v>3404</v>
      </c>
      <c r="D4784" s="16" t="s">
        <v>3405</v>
      </c>
    </row>
    <row r="4785" spans="1:4">
      <c r="A4785" s="16">
        <v>3032000000</v>
      </c>
      <c r="B4785" s="16">
        <v>57652</v>
      </c>
      <c r="C4785" s="16" t="s">
        <v>3424</v>
      </c>
      <c r="D4785" s="16" t="s">
        <v>3403</v>
      </c>
    </row>
    <row r="4786" spans="1:4">
      <c r="A4786" s="16">
        <v>6032000000</v>
      </c>
      <c r="B4786" s="16">
        <v>-57652</v>
      </c>
      <c r="C4786" s="16" t="s">
        <v>3429</v>
      </c>
      <c r="D4786" s="16" t="s">
        <v>3430</v>
      </c>
    </row>
    <row r="4787" spans="1:4">
      <c r="A4787" s="16">
        <v>2500000000</v>
      </c>
      <c r="B4787" s="16">
        <v>0</v>
      </c>
      <c r="C4787" s="16" t="s">
        <v>3412</v>
      </c>
      <c r="D4787" s="16" t="s">
        <v>3403</v>
      </c>
    </row>
    <row r="4788" spans="1:4">
      <c r="A4788" s="16">
        <v>5010100000</v>
      </c>
      <c r="B4788" s="16">
        <v>0</v>
      </c>
      <c r="C4788" s="16" t="s">
        <v>3406</v>
      </c>
      <c r="D4788" s="16" t="s">
        <v>3407</v>
      </c>
    </row>
    <row r="4789" spans="1:4">
      <c r="A4789" s="16">
        <v>6104000000</v>
      </c>
      <c r="B4789" s="16">
        <v>0</v>
      </c>
      <c r="C4789" s="16" t="s">
        <v>3416</v>
      </c>
      <c r="D4789" s="16" t="s">
        <v>3417</v>
      </c>
    </row>
    <row r="4790" spans="1:4">
      <c r="A4790" s="16">
        <v>3103000000</v>
      </c>
      <c r="B4790" s="16">
        <v>0</v>
      </c>
      <c r="C4790" s="16" t="s">
        <v>3402</v>
      </c>
      <c r="D4790" s="16" t="s">
        <v>3403</v>
      </c>
    </row>
    <row r="4791" spans="1:4">
      <c r="A4791" s="16">
        <v>2500000000</v>
      </c>
      <c r="B4791" s="16">
        <v>83751</v>
      </c>
      <c r="C4791" s="16" t="s">
        <v>3412</v>
      </c>
      <c r="D4791" s="16" t="s">
        <v>3403</v>
      </c>
    </row>
    <row r="4792" spans="1:4">
      <c r="A4792" s="16">
        <v>5010000000</v>
      </c>
      <c r="B4792" s="16">
        <v>-83751</v>
      </c>
      <c r="C4792" s="16" t="s">
        <v>3406</v>
      </c>
      <c r="D4792" s="16" t="s">
        <v>3411</v>
      </c>
    </row>
    <row r="4793" spans="1:4">
      <c r="A4793" s="16">
        <v>2750010000</v>
      </c>
      <c r="B4793" s="16">
        <v>0</v>
      </c>
      <c r="C4793" s="16" t="s">
        <v>3419</v>
      </c>
      <c r="D4793" s="16" t="s">
        <v>3403</v>
      </c>
    </row>
    <row r="4794" spans="1:4">
      <c r="A4794" s="16">
        <v>6610000100</v>
      </c>
      <c r="B4794" s="16">
        <v>0</v>
      </c>
      <c r="C4794" s="16" t="s">
        <v>3413</v>
      </c>
      <c r="D4794" s="16" t="s">
        <v>3418</v>
      </c>
    </row>
    <row r="4795" spans="1:4">
      <c r="A4795" s="16">
        <v>5010100010</v>
      </c>
      <c r="B4795" s="16">
        <v>0</v>
      </c>
      <c r="C4795" s="16" t="s">
        <v>3406</v>
      </c>
      <c r="D4795" s="16" t="s">
        <v>3407</v>
      </c>
    </row>
    <row r="4796" spans="1:4">
      <c r="A4796" s="16">
        <v>3710000000</v>
      </c>
      <c r="B4796" s="16">
        <v>0</v>
      </c>
      <c r="C4796" s="16" t="s">
        <v>3402</v>
      </c>
      <c r="D4796" s="16" t="s">
        <v>3403</v>
      </c>
    </row>
    <row r="4797" spans="1:4">
      <c r="A4797" s="16">
        <v>6610000000</v>
      </c>
      <c r="B4797" s="16">
        <v>0</v>
      </c>
      <c r="C4797" s="16" t="s">
        <v>3413</v>
      </c>
      <c r="D4797" s="16" t="s">
        <v>3418</v>
      </c>
    </row>
    <row r="4798" spans="1:4">
      <c r="A4798" s="16">
        <v>4203000000</v>
      </c>
      <c r="B4798" s="16">
        <v>0</v>
      </c>
      <c r="C4798" s="16" t="s">
        <v>3408</v>
      </c>
      <c r="D4798" s="16" t="s">
        <v>3403</v>
      </c>
    </row>
    <row r="4799" spans="1:4">
      <c r="A4799" s="16">
        <v>6700200000</v>
      </c>
      <c r="B4799" s="16">
        <v>0</v>
      </c>
      <c r="C4799" s="16" t="s">
        <v>3404</v>
      </c>
      <c r="D4799" s="16" t="s">
        <v>3409</v>
      </c>
    </row>
    <row r="4800" spans="1:4">
      <c r="A4800" s="16">
        <v>6700000000</v>
      </c>
      <c r="B4800" s="16">
        <v>0</v>
      </c>
      <c r="C4800" s="16" t="s">
        <v>3404</v>
      </c>
      <c r="D4800" s="16" t="s">
        <v>3405</v>
      </c>
    </row>
    <row r="4801" spans="1:4">
      <c r="A4801" s="16">
        <v>5050010000</v>
      </c>
      <c r="B4801" s="16">
        <v>0</v>
      </c>
      <c r="C4801" s="16" t="s">
        <v>3406</v>
      </c>
      <c r="D4801" s="16" t="s">
        <v>3422</v>
      </c>
    </row>
    <row r="4802" spans="1:4">
      <c r="A4802" s="16">
        <v>5050000000</v>
      </c>
      <c r="B4802" s="16">
        <v>0</v>
      </c>
      <c r="C4802" s="16" t="s">
        <v>3406</v>
      </c>
      <c r="D4802" s="16" t="s">
        <v>3422</v>
      </c>
    </row>
    <row r="4803" spans="1:4">
      <c r="A4803" s="16">
        <v>2201000000</v>
      </c>
      <c r="B4803" s="16">
        <v>0</v>
      </c>
      <c r="C4803" s="16" t="s">
        <v>3415</v>
      </c>
      <c r="D4803" s="16" t="s">
        <v>3403</v>
      </c>
    </row>
    <row r="4804" spans="1:4">
      <c r="A4804" s="16">
        <v>6700200000</v>
      </c>
      <c r="B4804" s="16">
        <v>0</v>
      </c>
      <c r="C4804" s="16" t="s">
        <v>3404</v>
      </c>
      <c r="D4804" s="16" t="s">
        <v>3409</v>
      </c>
    </row>
    <row r="4805" spans="1:4">
      <c r="A4805" s="16">
        <v>5010000010</v>
      </c>
      <c r="B4805" s="16">
        <v>0</v>
      </c>
      <c r="C4805" s="16" t="s">
        <v>3406</v>
      </c>
      <c r="D4805" s="16" t="s">
        <v>3411</v>
      </c>
    </row>
    <row r="4806" spans="1:4">
      <c r="A4806" s="16">
        <v>3710000000</v>
      </c>
      <c r="B4806" s="16">
        <v>0</v>
      </c>
      <c r="C4806" s="16" t="s">
        <v>3402</v>
      </c>
      <c r="D4806" s="16" t="s">
        <v>3403</v>
      </c>
    </row>
    <row r="4807" spans="1:4">
      <c r="A4807" s="16">
        <v>6610000000</v>
      </c>
      <c r="B4807" s="16">
        <v>0</v>
      </c>
      <c r="C4807" s="16" t="s">
        <v>3413</v>
      </c>
      <c r="D4807" s="16" t="s">
        <v>3418</v>
      </c>
    </row>
    <row r="4808" spans="1:4">
      <c r="A4808" s="16">
        <v>4203000000</v>
      </c>
      <c r="B4808" s="16">
        <v>0</v>
      </c>
      <c r="C4808" s="16" t="s">
        <v>3408</v>
      </c>
      <c r="D4808" s="16" t="s">
        <v>3403</v>
      </c>
    </row>
    <row r="4809" spans="1:4">
      <c r="A4809" s="16">
        <v>6700200000</v>
      </c>
      <c r="B4809" s="16">
        <v>0</v>
      </c>
      <c r="C4809" s="16" t="s">
        <v>3404</v>
      </c>
      <c r="D4809" s="16" t="s">
        <v>3409</v>
      </c>
    </row>
    <row r="4810" spans="1:4">
      <c r="A4810" s="16">
        <v>6700100000</v>
      </c>
      <c r="B4810" s="16">
        <v>0</v>
      </c>
      <c r="C4810" s="16" t="s">
        <v>3404</v>
      </c>
      <c r="D4810" s="16" t="s">
        <v>3410</v>
      </c>
    </row>
    <row r="4811" spans="1:4">
      <c r="A4811" s="16">
        <v>6100000000</v>
      </c>
      <c r="B4811" s="16">
        <v>35250574</v>
      </c>
      <c r="C4811" s="16" t="s">
        <v>3416</v>
      </c>
      <c r="D4811" s="16" t="s">
        <v>3417</v>
      </c>
    </row>
    <row r="4812" spans="1:4">
      <c r="A4812" s="16">
        <v>3100000000</v>
      </c>
      <c r="B4812" s="16">
        <v>-35250574</v>
      </c>
      <c r="C4812" s="16" t="s">
        <v>3402</v>
      </c>
      <c r="D4812" s="16" t="s">
        <v>3403</v>
      </c>
    </row>
    <row r="4813" spans="1:4">
      <c r="A4813" s="16">
        <v>6700600000</v>
      </c>
      <c r="B4813" s="16">
        <v>0</v>
      </c>
      <c r="C4813" s="16" t="s">
        <v>3404</v>
      </c>
      <c r="D4813" s="16" t="s">
        <v>3409</v>
      </c>
    </row>
    <row r="4814" spans="1:4">
      <c r="A4814" s="16">
        <v>6700400000</v>
      </c>
      <c r="B4814" s="16">
        <v>0</v>
      </c>
      <c r="C4814" s="16" t="s">
        <v>3404</v>
      </c>
      <c r="D4814" s="16" t="s">
        <v>3405</v>
      </c>
    </row>
    <row r="4815" spans="1:4">
      <c r="A4815" s="16">
        <v>6150000000</v>
      </c>
      <c r="B4815" s="16">
        <v>0</v>
      </c>
      <c r="C4815" s="16" t="s">
        <v>3416</v>
      </c>
      <c r="D4815" s="16" t="s">
        <v>3417</v>
      </c>
    </row>
    <row r="4816" spans="1:4">
      <c r="A4816" s="16">
        <v>3510000000</v>
      </c>
      <c r="B4816" s="16">
        <v>0</v>
      </c>
      <c r="C4816" s="16" t="s">
        <v>3402</v>
      </c>
      <c r="D4816" s="16" t="s">
        <v>3403</v>
      </c>
    </row>
    <row r="4817" spans="1:4">
      <c r="A4817" s="16">
        <v>6700200000</v>
      </c>
      <c r="B4817" s="16">
        <v>0</v>
      </c>
      <c r="C4817" s="16" t="s">
        <v>3404</v>
      </c>
      <c r="D4817" s="16" t="s">
        <v>3409</v>
      </c>
    </row>
    <row r="4818" spans="1:4">
      <c r="A4818" s="16">
        <v>6700000000</v>
      </c>
      <c r="B4818" s="16">
        <v>0</v>
      </c>
      <c r="C4818" s="16" t="s">
        <v>3404</v>
      </c>
      <c r="D4818" s="16" t="s">
        <v>3405</v>
      </c>
    </row>
    <row r="4819" spans="1:4">
      <c r="A4819" s="16">
        <v>6700700000</v>
      </c>
      <c r="B4819" s="16">
        <v>0</v>
      </c>
      <c r="C4819" s="16" t="s">
        <v>3404</v>
      </c>
      <c r="D4819" s="16" t="s">
        <v>3409</v>
      </c>
    </row>
    <row r="4820" spans="1:4">
      <c r="A4820" s="16">
        <v>6700500000</v>
      </c>
      <c r="B4820" s="16">
        <v>0</v>
      </c>
      <c r="C4820" s="16" t="s">
        <v>3404</v>
      </c>
      <c r="D4820" s="16" t="s">
        <v>3405</v>
      </c>
    </row>
    <row r="4821" spans="1:4">
      <c r="A4821" s="16">
        <v>6100000000</v>
      </c>
      <c r="B4821" s="16">
        <v>0</v>
      </c>
      <c r="C4821" s="16" t="s">
        <v>3427</v>
      </c>
      <c r="D4821" s="16" t="s">
        <v>3417</v>
      </c>
    </row>
    <row r="4822" spans="1:4">
      <c r="A4822" s="16">
        <v>3100000000</v>
      </c>
      <c r="B4822" s="16">
        <v>0</v>
      </c>
      <c r="C4822" s="16" t="s">
        <v>3402</v>
      </c>
      <c r="D4822" s="16" t="s">
        <v>3403</v>
      </c>
    </row>
    <row r="4823" spans="1:4">
      <c r="A4823" s="16">
        <v>6700600000</v>
      </c>
      <c r="B4823" s="16">
        <v>0</v>
      </c>
      <c r="C4823" s="16" t="s">
        <v>3404</v>
      </c>
      <c r="D4823" s="16" t="s">
        <v>3409</v>
      </c>
    </row>
    <row r="4824" spans="1:4">
      <c r="A4824" s="16">
        <v>6700400000</v>
      </c>
      <c r="B4824" s="16">
        <v>0</v>
      </c>
      <c r="C4824" s="16" t="s">
        <v>3404</v>
      </c>
      <c r="D4824" s="16" t="s">
        <v>3405</v>
      </c>
    </row>
    <row r="4825" spans="1:4">
      <c r="A4825" s="16">
        <v>6700200000</v>
      </c>
      <c r="B4825" s="16">
        <v>0</v>
      </c>
      <c r="C4825" s="16" t="s">
        <v>3404</v>
      </c>
      <c r="D4825" s="16" t="s">
        <v>3409</v>
      </c>
    </row>
    <row r="4826" spans="1:4">
      <c r="A4826" s="16">
        <v>6700000000</v>
      </c>
      <c r="B4826" s="16">
        <v>0</v>
      </c>
      <c r="C4826" s="16" t="s">
        <v>3404</v>
      </c>
      <c r="D4826" s="16" t="s">
        <v>3405</v>
      </c>
    </row>
    <row r="4827" spans="1:4">
      <c r="A4827" s="16">
        <v>6150000000</v>
      </c>
      <c r="B4827" s="16">
        <v>0</v>
      </c>
      <c r="C4827" s="16" t="s">
        <v>3416</v>
      </c>
      <c r="D4827" s="16" t="s">
        <v>3417</v>
      </c>
    </row>
    <row r="4828" spans="1:4">
      <c r="A4828" s="16">
        <v>3510000000</v>
      </c>
      <c r="B4828" s="16">
        <v>0</v>
      </c>
      <c r="C4828" s="16" t="s">
        <v>3402</v>
      </c>
      <c r="D4828" s="16" t="s">
        <v>3403</v>
      </c>
    </row>
    <row r="4829" spans="1:4">
      <c r="A4829" s="16">
        <v>2500000000</v>
      </c>
      <c r="B4829" s="16">
        <v>0</v>
      </c>
      <c r="C4829" s="16" t="s">
        <v>3412</v>
      </c>
      <c r="D4829" s="16" t="s">
        <v>3403</v>
      </c>
    </row>
    <row r="4830" spans="1:4">
      <c r="A4830" s="16">
        <v>5010000000</v>
      </c>
      <c r="B4830" s="16">
        <v>0</v>
      </c>
      <c r="C4830" s="16" t="s">
        <v>3406</v>
      </c>
      <c r="D4830" s="16" t="s">
        <v>3411</v>
      </c>
    </row>
    <row r="4831" spans="1:4">
      <c r="A4831" s="16">
        <v>6700700000</v>
      </c>
      <c r="B4831" s="16">
        <v>0</v>
      </c>
      <c r="C4831" s="16" t="s">
        <v>3404</v>
      </c>
      <c r="D4831" s="16" t="s">
        <v>3409</v>
      </c>
    </row>
    <row r="4832" spans="1:4">
      <c r="A4832" s="16">
        <v>6700500000</v>
      </c>
      <c r="B4832" s="16">
        <v>0</v>
      </c>
      <c r="C4832" s="16" t="s">
        <v>3404</v>
      </c>
      <c r="D4832" s="16" t="s">
        <v>3405</v>
      </c>
    </row>
    <row r="4833" spans="1:4">
      <c r="A4833" s="16">
        <v>6610000000</v>
      </c>
      <c r="B4833" s="16">
        <v>0</v>
      </c>
      <c r="C4833" s="16" t="s">
        <v>3413</v>
      </c>
      <c r="D4833" s="16" t="s">
        <v>3418</v>
      </c>
    </row>
    <row r="4834" spans="1:4">
      <c r="A4834" s="16">
        <v>4203000000</v>
      </c>
      <c r="B4834" s="16">
        <v>0</v>
      </c>
      <c r="C4834" s="16" t="s">
        <v>3408</v>
      </c>
      <c r="D4834" s="16" t="s">
        <v>3403</v>
      </c>
    </row>
    <row r="4835" spans="1:4">
      <c r="A4835" s="16">
        <v>6610000000</v>
      </c>
      <c r="B4835" s="16">
        <v>0</v>
      </c>
      <c r="C4835" s="16" t="s">
        <v>3413</v>
      </c>
      <c r="D4835" s="16" t="s">
        <v>3418</v>
      </c>
    </row>
    <row r="4836" spans="1:4">
      <c r="A4836" s="16">
        <v>4203000000</v>
      </c>
      <c r="B4836" s="16">
        <v>0</v>
      </c>
      <c r="C4836" s="16" t="s">
        <v>3408</v>
      </c>
      <c r="D4836" s="16" t="s">
        <v>3403</v>
      </c>
    </row>
    <row r="4837" spans="1:4">
      <c r="A4837" s="16">
        <v>3102000000</v>
      </c>
      <c r="B4837" s="16">
        <v>0</v>
      </c>
      <c r="C4837" s="16" t="s">
        <v>3424</v>
      </c>
      <c r="D4837" s="16" t="s">
        <v>3403</v>
      </c>
    </row>
    <row r="4838" spans="1:4">
      <c r="A4838" s="16">
        <v>6102000000</v>
      </c>
      <c r="B4838" s="16">
        <v>0</v>
      </c>
      <c r="C4838" s="16" t="s">
        <v>3425</v>
      </c>
      <c r="D4838" s="16" t="s">
        <v>3426</v>
      </c>
    </row>
    <row r="4839" spans="1:4">
      <c r="A4839" s="16">
        <v>6030000000</v>
      </c>
      <c r="B4839" s="16">
        <v>0</v>
      </c>
      <c r="C4839" s="16" t="s">
        <v>3420</v>
      </c>
      <c r="D4839" s="16" t="s">
        <v>3423</v>
      </c>
    </row>
    <row r="4840" spans="1:4">
      <c r="A4840" s="16">
        <v>3030000000</v>
      </c>
      <c r="B4840" s="16">
        <v>0</v>
      </c>
      <c r="C4840" s="16" t="s">
        <v>3402</v>
      </c>
      <c r="D4840" s="16" t="s">
        <v>3403</v>
      </c>
    </row>
    <row r="4841" spans="1:4">
      <c r="A4841" s="16">
        <v>6700200000</v>
      </c>
      <c r="B4841" s="16">
        <v>0</v>
      </c>
      <c r="C4841" s="16" t="s">
        <v>3404</v>
      </c>
      <c r="D4841" s="16" t="s">
        <v>3409</v>
      </c>
    </row>
    <row r="4842" spans="1:4">
      <c r="A4842" s="16">
        <v>6700100000</v>
      </c>
      <c r="B4842" s="16">
        <v>0</v>
      </c>
      <c r="C4842" s="16" t="s">
        <v>3404</v>
      </c>
      <c r="D4842" s="16" t="s">
        <v>3410</v>
      </c>
    </row>
    <row r="4843" spans="1:4">
      <c r="A4843" s="16">
        <v>6700700000</v>
      </c>
      <c r="B4843" s="16">
        <v>0</v>
      </c>
      <c r="C4843" s="16" t="s">
        <v>3404</v>
      </c>
      <c r="D4843" s="16" t="s">
        <v>3409</v>
      </c>
    </row>
    <row r="4844" spans="1:4">
      <c r="A4844" s="16">
        <v>6700500000</v>
      </c>
      <c r="B4844" s="16">
        <v>0</v>
      </c>
      <c r="C4844" s="16" t="s">
        <v>3404</v>
      </c>
      <c r="D4844" s="16" t="s">
        <v>3405</v>
      </c>
    </row>
    <row r="4845" spans="1:4">
      <c r="A4845" s="16">
        <v>6700200000</v>
      </c>
      <c r="B4845" s="16">
        <v>0</v>
      </c>
      <c r="C4845" s="16" t="s">
        <v>3404</v>
      </c>
      <c r="D4845" s="16" t="s">
        <v>3409</v>
      </c>
    </row>
    <row r="4846" spans="1:4">
      <c r="A4846" s="16">
        <v>6700100000</v>
      </c>
      <c r="B4846" s="16">
        <v>0</v>
      </c>
      <c r="C4846" s="16" t="s">
        <v>3404</v>
      </c>
      <c r="D4846" s="16" t="s">
        <v>3410</v>
      </c>
    </row>
    <row r="4847" spans="1:4">
      <c r="A4847" s="16">
        <v>2201000000</v>
      </c>
      <c r="B4847" s="16">
        <v>0</v>
      </c>
      <c r="C4847" s="16" t="s">
        <v>3415</v>
      </c>
      <c r="D4847" s="16" t="s">
        <v>3403</v>
      </c>
    </row>
    <row r="4848" spans="1:4">
      <c r="A4848" s="16">
        <v>6700200000</v>
      </c>
      <c r="B4848" s="16">
        <v>0</v>
      </c>
      <c r="C4848" s="16" t="s">
        <v>3404</v>
      </c>
      <c r="D4848" s="16" t="s">
        <v>3409</v>
      </c>
    </row>
    <row r="4849" spans="1:4">
      <c r="A4849" s="16">
        <v>2750010000</v>
      </c>
      <c r="B4849" s="16">
        <v>0</v>
      </c>
      <c r="C4849" s="16" t="s">
        <v>3419</v>
      </c>
      <c r="D4849" s="16" t="s">
        <v>3403</v>
      </c>
    </row>
    <row r="4850" spans="1:4">
      <c r="A4850" s="16">
        <v>6610100100</v>
      </c>
      <c r="B4850" s="16">
        <v>0</v>
      </c>
      <c r="C4850" s="16" t="s">
        <v>3413</v>
      </c>
      <c r="D4850" s="16" t="s">
        <v>3414</v>
      </c>
    </row>
    <row r="4851" spans="1:4">
      <c r="A4851" s="16">
        <v>5010000010</v>
      </c>
      <c r="B4851" s="16">
        <v>0</v>
      </c>
      <c r="C4851" s="16" t="s">
        <v>3406</v>
      </c>
      <c r="D4851" s="16" t="s">
        <v>3411</v>
      </c>
    </row>
    <row r="4852" spans="1:4">
      <c r="A4852" s="16">
        <v>3710000000</v>
      </c>
      <c r="B4852" s="16">
        <v>0</v>
      </c>
      <c r="C4852" s="16" t="s">
        <v>3402</v>
      </c>
      <c r="D4852" s="16" t="s">
        <v>3403</v>
      </c>
    </row>
    <row r="4853" spans="1:4">
      <c r="A4853" s="16">
        <v>2201000010</v>
      </c>
      <c r="B4853" s="16">
        <v>27259891</v>
      </c>
      <c r="C4853" s="16" t="s">
        <v>3415</v>
      </c>
      <c r="D4853" s="16" t="s">
        <v>3403</v>
      </c>
    </row>
    <row r="4854" spans="1:4">
      <c r="A4854" s="16">
        <v>4610000000</v>
      </c>
      <c r="B4854" s="16">
        <v>-27259891</v>
      </c>
      <c r="C4854" s="16" t="s">
        <v>3428</v>
      </c>
      <c r="D4854" s="16" t="s">
        <v>3403</v>
      </c>
    </row>
    <row r="4855" spans="1:4">
      <c r="A4855" s="16">
        <v>6700600000</v>
      </c>
      <c r="B4855" s="16">
        <v>0</v>
      </c>
      <c r="C4855" s="16" t="s">
        <v>3404</v>
      </c>
      <c r="D4855" s="16" t="s">
        <v>3409</v>
      </c>
    </row>
    <row r="4856" spans="1:4">
      <c r="A4856" s="16">
        <v>6700400000</v>
      </c>
      <c r="B4856" s="16">
        <v>0</v>
      </c>
      <c r="C4856" s="16" t="s">
        <v>3404</v>
      </c>
      <c r="D4856" s="16" t="s">
        <v>3405</v>
      </c>
    </row>
    <row r="4857" spans="1:4">
      <c r="A4857" s="16">
        <v>2500000000</v>
      </c>
      <c r="B4857" s="16">
        <v>0</v>
      </c>
      <c r="C4857" s="16" t="s">
        <v>3412</v>
      </c>
      <c r="D4857" s="16" t="s">
        <v>3403</v>
      </c>
    </row>
    <row r="4858" spans="1:4">
      <c r="A4858" s="16">
        <v>5010100000</v>
      </c>
      <c r="B4858" s="16">
        <v>0</v>
      </c>
      <c r="C4858" s="16" t="s">
        <v>3406</v>
      </c>
      <c r="D4858" s="16" t="s">
        <v>3407</v>
      </c>
    </row>
    <row r="4859" spans="1:4">
      <c r="A4859" s="16">
        <v>6700700000</v>
      </c>
      <c r="B4859" s="16">
        <v>0</v>
      </c>
      <c r="C4859" s="16" t="s">
        <v>3404</v>
      </c>
      <c r="D4859" s="16" t="s">
        <v>3409</v>
      </c>
    </row>
    <row r="4860" spans="1:4">
      <c r="A4860" s="16">
        <v>6700500000</v>
      </c>
      <c r="B4860" s="16">
        <v>0</v>
      </c>
      <c r="C4860" s="16" t="s">
        <v>3404</v>
      </c>
      <c r="D4860" s="16" t="s">
        <v>3405</v>
      </c>
    </row>
    <row r="4861" spans="1:4">
      <c r="A4861" s="16">
        <v>6100000000</v>
      </c>
      <c r="B4861" s="16">
        <v>0</v>
      </c>
      <c r="C4861" s="16" t="s">
        <v>3416</v>
      </c>
      <c r="D4861" s="16" t="s">
        <v>3417</v>
      </c>
    </row>
    <row r="4862" spans="1:4">
      <c r="A4862" s="16">
        <v>4010100000</v>
      </c>
      <c r="B4862" s="16">
        <v>0</v>
      </c>
      <c r="C4862" s="16" t="s">
        <v>3431</v>
      </c>
      <c r="D4862" s="16" t="s">
        <v>3403</v>
      </c>
    </row>
    <row r="4863" spans="1:4">
      <c r="A4863" s="16">
        <v>5050000000</v>
      </c>
      <c r="B4863" s="16">
        <v>0</v>
      </c>
      <c r="C4863" s="16" t="s">
        <v>3406</v>
      </c>
      <c r="D4863" s="16" t="s">
        <v>3422</v>
      </c>
    </row>
    <row r="4864" spans="1:4">
      <c r="A4864" s="16">
        <v>3800000000</v>
      </c>
      <c r="B4864" s="16">
        <v>0</v>
      </c>
      <c r="C4864" s="16" t="s">
        <v>3402</v>
      </c>
      <c r="D4864" s="16" t="s">
        <v>3403</v>
      </c>
    </row>
    <row r="4865" spans="1:4">
      <c r="A4865" s="16">
        <v>5010000010</v>
      </c>
      <c r="B4865" s="16">
        <v>0</v>
      </c>
      <c r="C4865" s="16" t="s">
        <v>3406</v>
      </c>
      <c r="D4865" s="16" t="s">
        <v>3411</v>
      </c>
    </row>
    <row r="4866" spans="1:4">
      <c r="A4866" s="16">
        <v>3710000000</v>
      </c>
      <c r="B4866" s="16">
        <v>0</v>
      </c>
      <c r="C4866" s="16" t="s">
        <v>3402</v>
      </c>
      <c r="D4866" s="16" t="s">
        <v>3403</v>
      </c>
    </row>
    <row r="4867" spans="1:4">
      <c r="A4867" s="16">
        <v>6610000000</v>
      </c>
      <c r="B4867" s="16">
        <v>0</v>
      </c>
      <c r="C4867" s="16" t="s">
        <v>3413</v>
      </c>
      <c r="D4867" s="16" t="s">
        <v>3418</v>
      </c>
    </row>
    <row r="4868" spans="1:4">
      <c r="A4868" s="16">
        <v>4203000000</v>
      </c>
      <c r="B4868" s="16">
        <v>0</v>
      </c>
      <c r="C4868" s="16" t="s">
        <v>3408</v>
      </c>
      <c r="D4868" s="16" t="s">
        <v>3403</v>
      </c>
    </row>
    <row r="4869" spans="1:4">
      <c r="A4869" s="16">
        <v>6030000000</v>
      </c>
      <c r="B4869" s="16">
        <v>0</v>
      </c>
      <c r="C4869" s="16" t="s">
        <v>3420</v>
      </c>
      <c r="D4869" s="16" t="s">
        <v>3423</v>
      </c>
    </row>
    <row r="4870" spans="1:4">
      <c r="A4870" s="16">
        <v>3030000000</v>
      </c>
      <c r="B4870" s="16">
        <v>0</v>
      </c>
      <c r="C4870" s="16" t="s">
        <v>3402</v>
      </c>
      <c r="D4870" s="16" t="s">
        <v>3403</v>
      </c>
    </row>
    <row r="4871" spans="1:4">
      <c r="A4871" s="16">
        <v>6700200000</v>
      </c>
      <c r="B4871" s="16">
        <v>0</v>
      </c>
      <c r="C4871" s="16" t="s">
        <v>3404</v>
      </c>
      <c r="D4871" s="16" t="s">
        <v>3409</v>
      </c>
    </row>
    <row r="4872" spans="1:4">
      <c r="A4872" s="16">
        <v>6700000000</v>
      </c>
      <c r="B4872" s="16">
        <v>0</v>
      </c>
      <c r="C4872" s="16" t="s">
        <v>3404</v>
      </c>
      <c r="D4872" s="16" t="s">
        <v>3405</v>
      </c>
    </row>
    <row r="4873" spans="1:4">
      <c r="A4873" s="16">
        <v>6700600000</v>
      </c>
      <c r="B4873" s="16">
        <v>0</v>
      </c>
      <c r="C4873" s="16" t="s">
        <v>3404</v>
      </c>
      <c r="D4873" s="16" t="s">
        <v>3409</v>
      </c>
    </row>
    <row r="4874" spans="1:4">
      <c r="A4874" s="16">
        <v>6700400000</v>
      </c>
      <c r="B4874" s="16">
        <v>0</v>
      </c>
      <c r="C4874" s="16" t="s">
        <v>3404</v>
      </c>
      <c r="D4874" s="16" t="s">
        <v>3405</v>
      </c>
    </row>
    <row r="4875" spans="1:4">
      <c r="A4875" s="16">
        <v>6060010000</v>
      </c>
      <c r="B4875" s="16">
        <v>0</v>
      </c>
      <c r="C4875" s="16" t="s">
        <v>3420</v>
      </c>
      <c r="D4875" s="16" t="s">
        <v>3421</v>
      </c>
    </row>
    <row r="4876" spans="1:4">
      <c r="A4876" s="16">
        <v>5052000000</v>
      </c>
      <c r="B4876" s="16">
        <v>0</v>
      </c>
      <c r="C4876" s="16" t="s">
        <v>3406</v>
      </c>
      <c r="D4876" s="16" t="s">
        <v>3422</v>
      </c>
    </row>
    <row r="4877" spans="1:4">
      <c r="A4877" s="16">
        <v>3032000000</v>
      </c>
      <c r="B4877" s="16">
        <v>0</v>
      </c>
      <c r="C4877" s="16" t="s">
        <v>3424</v>
      </c>
      <c r="D4877" s="16" t="s">
        <v>3403</v>
      </c>
    </row>
    <row r="4878" spans="1:4">
      <c r="A4878" s="16">
        <v>6032000000</v>
      </c>
      <c r="B4878" s="16">
        <v>0</v>
      </c>
      <c r="C4878" s="16" t="s">
        <v>3429</v>
      </c>
      <c r="D4878" s="16" t="s">
        <v>3430</v>
      </c>
    </row>
    <row r="4879" spans="1:4">
      <c r="A4879" s="16">
        <v>6610000000</v>
      </c>
      <c r="B4879" s="16">
        <v>0</v>
      </c>
      <c r="C4879" s="16" t="s">
        <v>3413</v>
      </c>
      <c r="D4879" s="16" t="s">
        <v>3418</v>
      </c>
    </row>
    <row r="4880" spans="1:4">
      <c r="A4880" s="16">
        <v>4203000000</v>
      </c>
      <c r="B4880" s="16">
        <v>0</v>
      </c>
      <c r="C4880" s="16" t="s">
        <v>3408</v>
      </c>
      <c r="D4880" s="16" t="s">
        <v>3403</v>
      </c>
    </row>
    <row r="4881" spans="1:4">
      <c r="A4881" s="16">
        <v>5050000000</v>
      </c>
      <c r="B4881" s="16">
        <v>0</v>
      </c>
      <c r="C4881" s="16" t="s">
        <v>3406</v>
      </c>
      <c r="D4881" s="16" t="s">
        <v>3422</v>
      </c>
    </row>
    <row r="4882" spans="1:4">
      <c r="A4882" s="16">
        <v>3800000000</v>
      </c>
      <c r="B4882" s="16">
        <v>0</v>
      </c>
      <c r="C4882" s="16" t="s">
        <v>3402</v>
      </c>
      <c r="D4882" s="16" t="s">
        <v>3403</v>
      </c>
    </row>
    <row r="4883" spans="1:4">
      <c r="A4883" s="16">
        <v>2750010000</v>
      </c>
      <c r="B4883" s="16">
        <v>0</v>
      </c>
      <c r="C4883" s="16" t="s">
        <v>3419</v>
      </c>
      <c r="D4883" s="16" t="s">
        <v>3403</v>
      </c>
    </row>
    <row r="4884" spans="1:4">
      <c r="A4884" s="16">
        <v>6610000100</v>
      </c>
      <c r="B4884" s="16">
        <v>0</v>
      </c>
      <c r="C4884" s="16" t="s">
        <v>3413</v>
      </c>
      <c r="D4884" s="16" t="s">
        <v>3418</v>
      </c>
    </row>
    <row r="4885" spans="1:4">
      <c r="A4885" s="16">
        <v>2500000000</v>
      </c>
      <c r="B4885" s="16">
        <v>0</v>
      </c>
      <c r="C4885" s="16" t="s">
        <v>3412</v>
      </c>
      <c r="D4885" s="16" t="s">
        <v>3403</v>
      </c>
    </row>
    <row r="4886" spans="1:4">
      <c r="A4886" s="16">
        <v>5010100000</v>
      </c>
      <c r="B4886" s="16">
        <v>0</v>
      </c>
      <c r="C4886" s="16" t="s">
        <v>3406</v>
      </c>
      <c r="D4886" s="16" t="s">
        <v>3407</v>
      </c>
    </row>
    <row r="4887" spans="1:4">
      <c r="A4887" s="16">
        <v>6610100000</v>
      </c>
      <c r="B4887" s="16">
        <v>0</v>
      </c>
      <c r="C4887" s="16" t="s">
        <v>3413</v>
      </c>
      <c r="D4887" s="16" t="s">
        <v>3414</v>
      </c>
    </row>
    <row r="4888" spans="1:4">
      <c r="A4888" s="16">
        <v>4203000000</v>
      </c>
      <c r="B4888" s="16">
        <v>0</v>
      </c>
      <c r="C4888" s="16" t="s">
        <v>3408</v>
      </c>
      <c r="D4888" s="16" t="s">
        <v>3403</v>
      </c>
    </row>
    <row r="4889" spans="1:4">
      <c r="A4889" s="16">
        <v>6100000000</v>
      </c>
      <c r="B4889" s="16">
        <v>0</v>
      </c>
      <c r="C4889" s="16" t="s">
        <v>3416</v>
      </c>
      <c r="D4889" s="16" t="s">
        <v>3417</v>
      </c>
    </row>
    <row r="4890" spans="1:4">
      <c r="A4890" s="16">
        <v>3100000000</v>
      </c>
      <c r="B4890" s="16">
        <v>0</v>
      </c>
      <c r="C4890" s="16" t="s">
        <v>3402</v>
      </c>
      <c r="D4890" s="16" t="s">
        <v>3403</v>
      </c>
    </row>
    <row r="4891" spans="1:4">
      <c r="A4891" s="16">
        <v>5010100010</v>
      </c>
      <c r="B4891" s="16">
        <v>0</v>
      </c>
      <c r="C4891" s="16" t="s">
        <v>3406</v>
      </c>
      <c r="D4891" s="16" t="s">
        <v>3407</v>
      </c>
    </row>
    <row r="4892" spans="1:4">
      <c r="A4892" s="16">
        <v>3710000000</v>
      </c>
      <c r="B4892" s="16">
        <v>0</v>
      </c>
      <c r="C4892" s="16" t="s">
        <v>3402</v>
      </c>
      <c r="D4892" s="16" t="s">
        <v>3403</v>
      </c>
    </row>
    <row r="4893" spans="1:4">
      <c r="A4893" s="16">
        <v>6610000000</v>
      </c>
      <c r="B4893" s="16">
        <v>0</v>
      </c>
      <c r="C4893" s="16" t="s">
        <v>3413</v>
      </c>
      <c r="D4893" s="16" t="s">
        <v>3418</v>
      </c>
    </row>
    <row r="4894" spans="1:4">
      <c r="A4894" s="16">
        <v>4203000000</v>
      </c>
      <c r="B4894" s="16">
        <v>0</v>
      </c>
      <c r="C4894" s="16" t="s">
        <v>3408</v>
      </c>
      <c r="D4894" s="16" t="s">
        <v>3403</v>
      </c>
    </row>
    <row r="4895" spans="1:4">
      <c r="A4895" s="16">
        <v>2201000000</v>
      </c>
      <c r="B4895" s="16">
        <v>0</v>
      </c>
      <c r="C4895" s="16" t="s">
        <v>3415</v>
      </c>
      <c r="D4895" s="16" t="s">
        <v>3403</v>
      </c>
    </row>
    <row r="4896" spans="1:4">
      <c r="A4896" s="16">
        <v>6700200000</v>
      </c>
      <c r="B4896" s="16">
        <v>0</v>
      </c>
      <c r="C4896" s="16" t="s">
        <v>3404</v>
      </c>
      <c r="D4896" s="16" t="s">
        <v>3409</v>
      </c>
    </row>
    <row r="4897" spans="1:4">
      <c r="A4897" s="16">
        <v>5050010000</v>
      </c>
      <c r="B4897" s="16">
        <v>0</v>
      </c>
      <c r="C4897" s="16" t="s">
        <v>3406</v>
      </c>
      <c r="D4897" s="16" t="s">
        <v>3422</v>
      </c>
    </row>
    <row r="4898" spans="1:4">
      <c r="A4898" s="16">
        <v>5050000000</v>
      </c>
      <c r="B4898" s="16">
        <v>0</v>
      </c>
      <c r="C4898" s="16" t="s">
        <v>3406</v>
      </c>
      <c r="D4898" s="16" t="s">
        <v>3422</v>
      </c>
    </row>
    <row r="4899" spans="1:4">
      <c r="A4899" s="16">
        <v>6700200000</v>
      </c>
      <c r="B4899" s="16">
        <v>0</v>
      </c>
      <c r="C4899" s="16" t="s">
        <v>3404</v>
      </c>
      <c r="D4899" s="16" t="s">
        <v>3409</v>
      </c>
    </row>
    <row r="4900" spans="1:4">
      <c r="A4900" s="16">
        <v>6700100000</v>
      </c>
      <c r="B4900" s="16">
        <v>0</v>
      </c>
      <c r="C4900" s="16" t="s">
        <v>3404</v>
      </c>
      <c r="D4900" s="16" t="s">
        <v>3410</v>
      </c>
    </row>
    <row r="4901" spans="1:4">
      <c r="A4901" s="16">
        <v>6100000000</v>
      </c>
      <c r="B4901" s="16">
        <v>16727511</v>
      </c>
      <c r="C4901" s="16" t="s">
        <v>3427</v>
      </c>
      <c r="D4901" s="16" t="s">
        <v>3417</v>
      </c>
    </row>
    <row r="4902" spans="1:4">
      <c r="A4902" s="16">
        <v>3100000000</v>
      </c>
      <c r="B4902" s="16">
        <v>-16727511</v>
      </c>
      <c r="C4902" s="16" t="s">
        <v>3402</v>
      </c>
      <c r="D4902" s="16" t="s">
        <v>3403</v>
      </c>
    </row>
    <row r="4903" spans="1:4">
      <c r="A4903" s="16">
        <v>2500000000</v>
      </c>
      <c r="B4903" s="16">
        <v>0</v>
      </c>
      <c r="C4903" s="16" t="s">
        <v>3412</v>
      </c>
      <c r="D4903" s="16" t="s">
        <v>3403</v>
      </c>
    </row>
    <row r="4904" spans="1:4">
      <c r="A4904" s="16">
        <v>5010100000</v>
      </c>
      <c r="B4904" s="16">
        <v>0</v>
      </c>
      <c r="C4904" s="16" t="s">
        <v>3406</v>
      </c>
      <c r="D4904" s="16" t="s">
        <v>3407</v>
      </c>
    </row>
    <row r="4905" spans="1:4">
      <c r="A4905" s="16">
        <v>2500000000</v>
      </c>
      <c r="B4905" s="16">
        <v>10788</v>
      </c>
      <c r="C4905" s="16" t="s">
        <v>3412</v>
      </c>
      <c r="D4905" s="16" t="s">
        <v>3403</v>
      </c>
    </row>
    <row r="4906" spans="1:4">
      <c r="A4906" s="16">
        <v>5010000000</v>
      </c>
      <c r="B4906" s="16">
        <v>-10788</v>
      </c>
      <c r="C4906" s="16" t="s">
        <v>3406</v>
      </c>
      <c r="D4906" s="16" t="s">
        <v>3411</v>
      </c>
    </row>
    <row r="4907" spans="1:4">
      <c r="A4907" s="16">
        <v>6700600000</v>
      </c>
      <c r="B4907" s="16">
        <v>0</v>
      </c>
      <c r="C4907" s="16" t="s">
        <v>3404</v>
      </c>
      <c r="D4907" s="16" t="s">
        <v>3409</v>
      </c>
    </row>
    <row r="4908" spans="1:4">
      <c r="A4908" s="16">
        <v>6700400000</v>
      </c>
      <c r="B4908" s="16">
        <v>0</v>
      </c>
      <c r="C4908" s="16" t="s">
        <v>3404</v>
      </c>
      <c r="D4908" s="16" t="s">
        <v>3405</v>
      </c>
    </row>
    <row r="4909" spans="1:4">
      <c r="A4909" s="16">
        <v>6610100000</v>
      </c>
      <c r="B4909" s="16">
        <v>0</v>
      </c>
      <c r="C4909" s="16" t="s">
        <v>3413</v>
      </c>
      <c r="D4909" s="16" t="s">
        <v>3414</v>
      </c>
    </row>
    <row r="4910" spans="1:4">
      <c r="A4910" s="16">
        <v>4203000000</v>
      </c>
      <c r="B4910" s="16">
        <v>0</v>
      </c>
      <c r="C4910" s="16" t="s">
        <v>3408</v>
      </c>
      <c r="D4910" s="16" t="s">
        <v>3403</v>
      </c>
    </row>
    <row r="4911" spans="1:4">
      <c r="A4911" s="16">
        <v>6104001000</v>
      </c>
      <c r="B4911" s="16">
        <v>0</v>
      </c>
      <c r="C4911" s="16" t="s">
        <v>3416</v>
      </c>
      <c r="D4911" s="16" t="s">
        <v>3417</v>
      </c>
    </row>
    <row r="4912" spans="1:4">
      <c r="A4912" s="16">
        <v>3103001000</v>
      </c>
      <c r="B4912" s="16">
        <v>0</v>
      </c>
      <c r="C4912" s="16" t="s">
        <v>3402</v>
      </c>
      <c r="D4912" s="16" t="s">
        <v>3403</v>
      </c>
    </row>
    <row r="4913" spans="1:4">
      <c r="A4913" s="16">
        <v>5052010000</v>
      </c>
      <c r="B4913" s="16">
        <v>0</v>
      </c>
      <c r="C4913" s="16" t="s">
        <v>3406</v>
      </c>
      <c r="D4913" s="16" t="s">
        <v>3422</v>
      </c>
    </row>
    <row r="4914" spans="1:4">
      <c r="A4914" s="16">
        <v>5052000000</v>
      </c>
      <c r="B4914" s="16">
        <v>0</v>
      </c>
      <c r="C4914" s="16" t="s">
        <v>3406</v>
      </c>
      <c r="D4914" s="16" t="s">
        <v>3422</v>
      </c>
    </row>
    <row r="4915" spans="1:4">
      <c r="A4915" s="16">
        <v>2500000000</v>
      </c>
      <c r="B4915" s="16">
        <v>0</v>
      </c>
      <c r="C4915" s="16" t="s">
        <v>3412</v>
      </c>
      <c r="D4915" s="16" t="s">
        <v>3403</v>
      </c>
    </row>
    <row r="4916" spans="1:4">
      <c r="A4916" s="16">
        <v>5010000000</v>
      </c>
      <c r="B4916" s="16">
        <v>0</v>
      </c>
      <c r="C4916" s="16" t="s">
        <v>3406</v>
      </c>
      <c r="D4916" s="16" t="s">
        <v>3411</v>
      </c>
    </row>
    <row r="4917" spans="1:4">
      <c r="A4917" s="16">
        <v>2203000010</v>
      </c>
      <c r="B4917" s="16">
        <v>0</v>
      </c>
      <c r="C4917" s="16" t="s">
        <v>3415</v>
      </c>
      <c r="D4917" s="16" t="s">
        <v>3403</v>
      </c>
    </row>
    <row r="4918" spans="1:4">
      <c r="A4918" s="16">
        <v>4612000000</v>
      </c>
      <c r="B4918" s="16">
        <v>0</v>
      </c>
      <c r="C4918" s="16" t="s">
        <v>3428</v>
      </c>
      <c r="D4918" s="16" t="s">
        <v>3403</v>
      </c>
    </row>
    <row r="4919" spans="1:4">
      <c r="A4919" s="16">
        <v>6100000000</v>
      </c>
      <c r="B4919" s="16">
        <v>64249605</v>
      </c>
      <c r="C4919" s="16" t="s">
        <v>3416</v>
      </c>
      <c r="D4919" s="16" t="s">
        <v>3417</v>
      </c>
    </row>
    <row r="4920" spans="1:4">
      <c r="A4920" s="16">
        <v>3100000000</v>
      </c>
      <c r="B4920" s="16">
        <v>-64249605</v>
      </c>
      <c r="C4920" s="16" t="s">
        <v>3402</v>
      </c>
      <c r="D4920" s="16" t="s">
        <v>3403</v>
      </c>
    </row>
    <row r="4921" spans="1:4">
      <c r="A4921" s="16">
        <v>6610000000</v>
      </c>
      <c r="B4921" s="16">
        <v>263</v>
      </c>
      <c r="C4921" s="16" t="s">
        <v>3413</v>
      </c>
      <c r="D4921" s="16" t="s">
        <v>3418</v>
      </c>
    </row>
    <row r="4922" spans="1:4">
      <c r="A4922" s="16">
        <v>4203000000</v>
      </c>
      <c r="B4922" s="16">
        <v>-263</v>
      </c>
      <c r="C4922" s="16" t="s">
        <v>3408</v>
      </c>
      <c r="D4922" s="16" t="s">
        <v>3403</v>
      </c>
    </row>
    <row r="4923" spans="1:4">
      <c r="A4923" s="16">
        <v>5010100010</v>
      </c>
      <c r="B4923" s="16">
        <v>0</v>
      </c>
      <c r="C4923" s="16" t="s">
        <v>3406</v>
      </c>
      <c r="D4923" s="16" t="s">
        <v>3407</v>
      </c>
    </row>
    <row r="4924" spans="1:4">
      <c r="A4924" s="16">
        <v>3710000000</v>
      </c>
      <c r="B4924" s="16">
        <v>0</v>
      </c>
      <c r="C4924" s="16" t="s">
        <v>3402</v>
      </c>
      <c r="D4924" s="16" t="s">
        <v>3403</v>
      </c>
    </row>
    <row r="4925" spans="1:4">
      <c r="A4925" s="16">
        <v>2201000000</v>
      </c>
      <c r="B4925" s="16">
        <v>0</v>
      </c>
      <c r="C4925" s="16" t="s">
        <v>3415</v>
      </c>
      <c r="D4925" s="16" t="s">
        <v>3403</v>
      </c>
    </row>
    <row r="4926" spans="1:4">
      <c r="A4926" s="16">
        <v>6700200000</v>
      </c>
      <c r="B4926" s="16">
        <v>0</v>
      </c>
      <c r="C4926" s="16" t="s">
        <v>3404</v>
      </c>
      <c r="D4926" s="16" t="s">
        <v>3409</v>
      </c>
    </row>
    <row r="4927" spans="1:4">
      <c r="A4927" s="16">
        <v>2201000000</v>
      </c>
      <c r="B4927" s="16">
        <v>0</v>
      </c>
      <c r="C4927" s="16" t="s">
        <v>3415</v>
      </c>
      <c r="D4927" s="16" t="s">
        <v>3403</v>
      </c>
    </row>
    <row r="4928" spans="1:4">
      <c r="A4928" s="16">
        <v>6700200000</v>
      </c>
      <c r="B4928" s="16">
        <v>0</v>
      </c>
      <c r="C4928" s="16" t="s">
        <v>3404</v>
      </c>
      <c r="D4928" s="16" t="s">
        <v>3409</v>
      </c>
    </row>
    <row r="4929" spans="1:4">
      <c r="A4929" s="16">
        <v>2500000000</v>
      </c>
      <c r="B4929" s="16">
        <v>0</v>
      </c>
      <c r="C4929" s="16" t="s">
        <v>3412</v>
      </c>
      <c r="D4929" s="16" t="s">
        <v>3403</v>
      </c>
    </row>
    <row r="4930" spans="1:4">
      <c r="A4930" s="16">
        <v>5010000000</v>
      </c>
      <c r="B4930" s="16">
        <v>0</v>
      </c>
      <c r="C4930" s="16" t="s">
        <v>3406</v>
      </c>
      <c r="D4930" s="16" t="s">
        <v>3411</v>
      </c>
    </row>
    <row r="4931" spans="1:4">
      <c r="A4931" s="16">
        <v>6700200000</v>
      </c>
      <c r="B4931" s="16">
        <v>0</v>
      </c>
      <c r="C4931" s="16" t="s">
        <v>3404</v>
      </c>
      <c r="D4931" s="16" t="s">
        <v>3409</v>
      </c>
    </row>
    <row r="4932" spans="1:4">
      <c r="A4932" s="16">
        <v>6700000000</v>
      </c>
      <c r="B4932" s="16">
        <v>0</v>
      </c>
      <c r="C4932" s="16" t="s">
        <v>3404</v>
      </c>
      <c r="D4932" s="16" t="s">
        <v>3405</v>
      </c>
    </row>
    <row r="4933" spans="1:4">
      <c r="A4933" s="16">
        <v>6700200000</v>
      </c>
      <c r="B4933" s="16">
        <v>0</v>
      </c>
      <c r="C4933" s="16" t="s">
        <v>3404</v>
      </c>
      <c r="D4933" s="16" t="s">
        <v>3409</v>
      </c>
    </row>
    <row r="4934" spans="1:4">
      <c r="A4934" s="16">
        <v>6700000000</v>
      </c>
      <c r="B4934" s="16">
        <v>0</v>
      </c>
      <c r="C4934" s="16" t="s">
        <v>3404</v>
      </c>
      <c r="D4934" s="16" t="s">
        <v>3405</v>
      </c>
    </row>
    <row r="4935" spans="1:4">
      <c r="A4935" s="16">
        <v>5010000010</v>
      </c>
      <c r="B4935" s="16">
        <v>0</v>
      </c>
      <c r="C4935" s="16" t="s">
        <v>3406</v>
      </c>
      <c r="D4935" s="16" t="s">
        <v>3411</v>
      </c>
    </row>
    <row r="4936" spans="1:4">
      <c r="A4936" s="16">
        <v>3710000000</v>
      </c>
      <c r="B4936" s="16">
        <v>0</v>
      </c>
      <c r="C4936" s="16" t="s">
        <v>3402</v>
      </c>
      <c r="D4936" s="16" t="s">
        <v>3403</v>
      </c>
    </row>
    <row r="4937" spans="1:4">
      <c r="A4937" s="16">
        <v>2750010000</v>
      </c>
      <c r="B4937" s="16">
        <v>0</v>
      </c>
      <c r="C4937" s="16" t="s">
        <v>3419</v>
      </c>
      <c r="D4937" s="16" t="s">
        <v>3403</v>
      </c>
    </row>
    <row r="4938" spans="1:4">
      <c r="A4938" s="16">
        <v>6610100100</v>
      </c>
      <c r="B4938" s="16">
        <v>0</v>
      </c>
      <c r="C4938" s="16" t="s">
        <v>3413</v>
      </c>
      <c r="D4938" s="16" t="s">
        <v>3414</v>
      </c>
    </row>
    <row r="4939" spans="1:4">
      <c r="A4939" s="16">
        <v>6100000000</v>
      </c>
      <c r="B4939" s="16">
        <v>0</v>
      </c>
      <c r="C4939" s="16" t="s">
        <v>3416</v>
      </c>
      <c r="D4939" s="16" t="s">
        <v>3417</v>
      </c>
    </row>
    <row r="4940" spans="1:4">
      <c r="A4940" s="16">
        <v>3100000000</v>
      </c>
      <c r="B4940" s="16">
        <v>0</v>
      </c>
      <c r="C4940" s="16" t="s">
        <v>3402</v>
      </c>
      <c r="D4940" s="16" t="s">
        <v>3403</v>
      </c>
    </row>
    <row r="4941" spans="1:4">
      <c r="A4941" s="16">
        <v>2201000000</v>
      </c>
      <c r="B4941" s="16">
        <v>-5387508</v>
      </c>
      <c r="C4941" s="16" t="s">
        <v>3415</v>
      </c>
      <c r="D4941" s="16" t="s">
        <v>3403</v>
      </c>
    </row>
    <row r="4942" spans="1:4">
      <c r="A4942" s="16">
        <v>6700200000</v>
      </c>
      <c r="B4942" s="16">
        <v>5387508</v>
      </c>
      <c r="C4942" s="16" t="s">
        <v>3404</v>
      </c>
      <c r="D4942" s="16" t="s">
        <v>3409</v>
      </c>
    </row>
    <row r="4943" spans="1:4">
      <c r="A4943" s="16">
        <v>3032000000</v>
      </c>
      <c r="B4943" s="16">
        <v>0</v>
      </c>
      <c r="C4943" s="16" t="s">
        <v>3424</v>
      </c>
      <c r="D4943" s="16" t="s">
        <v>3403</v>
      </c>
    </row>
    <row r="4944" spans="1:4">
      <c r="A4944" s="16">
        <v>6032000000</v>
      </c>
      <c r="B4944" s="16">
        <v>0</v>
      </c>
      <c r="C4944" s="16" t="s">
        <v>3429</v>
      </c>
      <c r="D4944" s="16" t="s">
        <v>3430</v>
      </c>
    </row>
    <row r="4945" spans="1:4">
      <c r="A4945" s="16">
        <v>6700700000</v>
      </c>
      <c r="B4945" s="16">
        <v>0</v>
      </c>
      <c r="C4945" s="16" t="s">
        <v>3404</v>
      </c>
      <c r="D4945" s="16" t="s">
        <v>3409</v>
      </c>
    </row>
    <row r="4946" spans="1:4">
      <c r="A4946" s="16">
        <v>6700500000</v>
      </c>
      <c r="B4946" s="16">
        <v>0</v>
      </c>
      <c r="C4946" s="16" t="s">
        <v>3404</v>
      </c>
      <c r="D4946" s="16" t="s">
        <v>3405</v>
      </c>
    </row>
    <row r="4947" spans="1:4">
      <c r="A4947" s="16">
        <v>2750010000</v>
      </c>
      <c r="B4947" s="16">
        <v>0</v>
      </c>
      <c r="C4947" s="16" t="s">
        <v>3419</v>
      </c>
      <c r="D4947" s="16" t="s">
        <v>3403</v>
      </c>
    </row>
    <row r="4948" spans="1:4">
      <c r="A4948" s="16">
        <v>3030000000</v>
      </c>
      <c r="B4948" s="16">
        <v>0</v>
      </c>
      <c r="C4948" s="16" t="s">
        <v>3402</v>
      </c>
      <c r="D4948" s="16" t="s">
        <v>3403</v>
      </c>
    </row>
    <row r="4949" spans="1:4">
      <c r="A4949" s="16">
        <v>6700000000</v>
      </c>
      <c r="B4949" s="16">
        <v>0</v>
      </c>
      <c r="C4949" s="16" t="s">
        <v>3404</v>
      </c>
      <c r="D4949" s="16" t="s">
        <v>3405</v>
      </c>
    </row>
    <row r="4950" spans="1:4">
      <c r="A4950" s="16">
        <v>2750010000</v>
      </c>
      <c r="B4950" s="16">
        <v>0</v>
      </c>
      <c r="C4950" s="16" t="s">
        <v>3419</v>
      </c>
      <c r="D4950" s="16" t="s">
        <v>3403</v>
      </c>
    </row>
    <row r="4951" spans="1:4">
      <c r="A4951" s="16">
        <v>2201200030</v>
      </c>
      <c r="B4951" s="16">
        <v>0</v>
      </c>
      <c r="C4951" s="16" t="s">
        <v>3415</v>
      </c>
      <c r="D4951" s="16" t="s">
        <v>3403</v>
      </c>
    </row>
    <row r="4952" spans="1:4">
      <c r="A4952" s="16">
        <v>3100000000</v>
      </c>
      <c r="B4952" s="16">
        <v>0</v>
      </c>
      <c r="C4952" s="16" t="s">
        <v>3402</v>
      </c>
      <c r="D4952" s="16" t="s">
        <v>3403</v>
      </c>
    </row>
    <row r="4953" spans="1:4">
      <c r="A4953" s="16">
        <v>6032000000</v>
      </c>
      <c r="B4953" s="16">
        <v>0</v>
      </c>
      <c r="C4953" s="16" t="s">
        <v>3429</v>
      </c>
      <c r="D4953" s="16" t="s">
        <v>3430</v>
      </c>
    </row>
    <row r="4954" spans="1:4">
      <c r="A4954" s="16">
        <v>6700200000</v>
      </c>
      <c r="B4954" s="16">
        <v>0</v>
      </c>
      <c r="C4954" s="16" t="s">
        <v>3404</v>
      </c>
      <c r="D4954" s="16" t="s">
        <v>3409</v>
      </c>
    </row>
    <row r="4955" spans="1:4">
      <c r="A4955" s="16">
        <v>4203000000</v>
      </c>
      <c r="B4955" s="16">
        <v>0</v>
      </c>
      <c r="C4955" s="16" t="s">
        <v>3408</v>
      </c>
      <c r="D4955" s="16" t="s">
        <v>3403</v>
      </c>
    </row>
    <row r="4956" spans="1:4">
      <c r="A4956" s="16">
        <v>6104001000</v>
      </c>
      <c r="B4956" s="16">
        <v>0</v>
      </c>
      <c r="C4956" s="16" t="s">
        <v>3416</v>
      </c>
      <c r="D4956" s="16" t="s">
        <v>3417</v>
      </c>
    </row>
    <row r="4957" spans="1:4">
      <c r="A4957" s="16">
        <v>6104000000</v>
      </c>
      <c r="B4957" s="16">
        <v>0</v>
      </c>
      <c r="C4957" s="16" t="s">
        <v>3427</v>
      </c>
      <c r="D4957" s="16" t="s">
        <v>3417</v>
      </c>
    </row>
    <row r="4958" spans="1:4">
      <c r="A4958" s="16">
        <v>2500000000</v>
      </c>
      <c r="B4958" s="16">
        <v>0</v>
      </c>
      <c r="C4958" s="16" t="s">
        <v>3412</v>
      </c>
      <c r="D4958" s="16" t="s">
        <v>3403</v>
      </c>
    </row>
    <row r="4959" spans="1:4">
      <c r="A4959" s="16">
        <v>4203000000</v>
      </c>
      <c r="B4959" s="16">
        <v>0</v>
      </c>
      <c r="C4959" s="16" t="s">
        <v>3408</v>
      </c>
      <c r="D4959" s="16" t="s">
        <v>3403</v>
      </c>
    </row>
    <row r="4960" spans="1:4">
      <c r="A4960" s="16">
        <v>6610000000</v>
      </c>
      <c r="B4960" s="16">
        <v>0</v>
      </c>
      <c r="C4960" s="16" t="s">
        <v>3413</v>
      </c>
      <c r="D4960" s="16" t="s">
        <v>3418</v>
      </c>
    </row>
    <row r="4961" spans="1:4">
      <c r="A4961" s="16">
        <v>3103001000</v>
      </c>
      <c r="B4961" s="16">
        <v>0</v>
      </c>
      <c r="C4961" s="16" t="s">
        <v>3402</v>
      </c>
      <c r="D4961" s="16" t="s">
        <v>3403</v>
      </c>
    </row>
    <row r="4962" spans="1:4">
      <c r="A4962" s="16">
        <v>6102000000</v>
      </c>
      <c r="B4962" s="16">
        <v>0</v>
      </c>
      <c r="C4962" s="16" t="s">
        <v>3425</v>
      </c>
      <c r="D4962" s="16" t="s">
        <v>3426</v>
      </c>
    </row>
    <row r="4963" spans="1:4">
      <c r="A4963" s="16">
        <v>6700700000</v>
      </c>
      <c r="B4963" s="16">
        <v>0</v>
      </c>
      <c r="C4963" s="16" t="s">
        <v>3404</v>
      </c>
      <c r="D4963" s="16" t="s">
        <v>3409</v>
      </c>
    </row>
    <row r="4964" spans="1:4">
      <c r="A4964" s="16">
        <v>3030000000</v>
      </c>
      <c r="B4964" s="16">
        <v>0</v>
      </c>
      <c r="C4964" s="16" t="s">
        <v>3402</v>
      </c>
      <c r="D4964" s="16" t="s">
        <v>3403</v>
      </c>
    </row>
    <row r="4965" spans="1:4">
      <c r="A4965" s="16">
        <v>3103000000</v>
      </c>
      <c r="B4965" s="16">
        <v>0</v>
      </c>
      <c r="C4965" s="16" t="s">
        <v>3402</v>
      </c>
      <c r="D4965" s="16" t="s">
        <v>3403</v>
      </c>
    </row>
    <row r="4966" spans="1:4">
      <c r="A4966" s="16">
        <v>3102000000</v>
      </c>
      <c r="B4966" s="16">
        <v>0</v>
      </c>
      <c r="C4966" s="16" t="s">
        <v>3424</v>
      </c>
      <c r="D4966" s="16" t="s">
        <v>3403</v>
      </c>
    </row>
    <row r="4967" spans="1:4">
      <c r="A4967" s="16">
        <v>6610100100</v>
      </c>
      <c r="B4967" s="16">
        <v>0</v>
      </c>
      <c r="C4967" s="16" t="s">
        <v>3413</v>
      </c>
      <c r="D4967" s="16" t="s">
        <v>3414</v>
      </c>
    </row>
    <row r="4968" spans="1:4">
      <c r="A4968" s="16">
        <v>6700200000</v>
      </c>
      <c r="B4968" s="16">
        <v>0</v>
      </c>
      <c r="C4968" s="16" t="s">
        <v>3404</v>
      </c>
      <c r="D4968" s="16" t="s">
        <v>3409</v>
      </c>
    </row>
    <row r="4969" spans="1:4">
      <c r="A4969" s="16">
        <v>6610000100</v>
      </c>
      <c r="B4969" s="16">
        <v>0</v>
      </c>
      <c r="C4969" s="16" t="s">
        <v>3413</v>
      </c>
      <c r="D4969" s="16" t="s">
        <v>3418</v>
      </c>
    </row>
    <row r="4970" spans="1:4">
      <c r="A4970" s="16">
        <v>6700600000</v>
      </c>
      <c r="B4970" s="16">
        <v>0</v>
      </c>
      <c r="C4970" s="16" t="s">
        <v>3404</v>
      </c>
      <c r="D4970" s="16" t="s">
        <v>3409</v>
      </c>
    </row>
    <row r="4971" spans="1:4">
      <c r="A4971" s="16">
        <v>6100000000</v>
      </c>
      <c r="B4971" s="16">
        <v>0</v>
      </c>
      <c r="C4971" s="16" t="s">
        <v>3416</v>
      </c>
      <c r="D4971" s="16" t="s">
        <v>3417</v>
      </c>
    </row>
    <row r="4972" spans="1:4">
      <c r="A4972" s="16">
        <v>2203000000</v>
      </c>
      <c r="B4972" s="16">
        <v>0</v>
      </c>
      <c r="C4972" s="16" t="s">
        <v>3415</v>
      </c>
      <c r="D4972" s="16" t="s">
        <v>3403</v>
      </c>
    </row>
    <row r="4973" spans="1:4">
      <c r="A4973" s="16">
        <v>6700100000</v>
      </c>
      <c r="B4973" s="16">
        <v>0</v>
      </c>
      <c r="C4973" s="16" t="s">
        <v>3404</v>
      </c>
      <c r="D4973" s="16" t="s">
        <v>3410</v>
      </c>
    </row>
    <row r="4974" spans="1:4">
      <c r="A4974" s="16">
        <v>3103001000</v>
      </c>
      <c r="B4974" s="16">
        <v>0</v>
      </c>
      <c r="C4974" s="16" t="s">
        <v>3402</v>
      </c>
      <c r="D4974" s="16" t="s">
        <v>3403</v>
      </c>
    </row>
    <row r="4975" spans="1:4">
      <c r="A4975" s="16">
        <v>3103000000</v>
      </c>
      <c r="B4975" s="16">
        <v>0</v>
      </c>
      <c r="C4975" s="16" t="s">
        <v>3402</v>
      </c>
      <c r="D4975" s="16" t="s">
        <v>3403</v>
      </c>
    </row>
    <row r="4976" spans="1:4">
      <c r="A4976" s="16">
        <v>5010000000</v>
      </c>
      <c r="B4976" s="16">
        <v>0</v>
      </c>
      <c r="C4976" s="16" t="s">
        <v>3406</v>
      </c>
      <c r="D4976" s="16" t="s">
        <v>3411</v>
      </c>
    </row>
    <row r="4977" spans="1:4">
      <c r="A4977" s="16">
        <v>4203000000</v>
      </c>
      <c r="B4977" s="16">
        <v>0</v>
      </c>
      <c r="C4977" s="16" t="s">
        <v>3408</v>
      </c>
      <c r="D4977" s="16" t="s">
        <v>3403</v>
      </c>
    </row>
    <row r="4978" spans="1:4">
      <c r="A4978" s="16">
        <v>6700500000</v>
      </c>
      <c r="B4978" s="16">
        <v>0</v>
      </c>
      <c r="C4978" s="16" t="s">
        <v>3404</v>
      </c>
      <c r="D4978" s="16" t="s">
        <v>3405</v>
      </c>
    </row>
    <row r="4979" spans="1:4">
      <c r="A4979" s="16">
        <v>2500000000</v>
      </c>
      <c r="B4979" s="16">
        <v>0</v>
      </c>
      <c r="C4979" s="16" t="s">
        <v>3412</v>
      </c>
      <c r="D4979" s="16" t="s">
        <v>3403</v>
      </c>
    </row>
    <row r="4980" spans="1:4">
      <c r="A4980" s="16">
        <v>6102000000</v>
      </c>
      <c r="B4980" s="16">
        <v>0</v>
      </c>
      <c r="C4980" s="16" t="s">
        <v>3425</v>
      </c>
      <c r="D4980" s="16" t="s">
        <v>3426</v>
      </c>
    </row>
    <row r="4981" spans="1:4">
      <c r="A4981" s="16">
        <v>5050010000</v>
      </c>
      <c r="B4981" s="16">
        <v>0</v>
      </c>
      <c r="C4981" s="16" t="s">
        <v>3406</v>
      </c>
      <c r="D4981" s="16" t="s">
        <v>3422</v>
      </c>
    </row>
    <row r="4982" spans="1:4">
      <c r="A4982" s="16">
        <v>5010000010</v>
      </c>
      <c r="B4982" s="16">
        <v>0</v>
      </c>
      <c r="C4982" s="16" t="s">
        <v>3406</v>
      </c>
      <c r="D4982" s="16" t="s">
        <v>3411</v>
      </c>
    </row>
    <row r="4983" spans="1:4">
      <c r="A4983" s="16">
        <v>2500000000</v>
      </c>
      <c r="B4983" s="16">
        <v>0</v>
      </c>
      <c r="C4983" s="16" t="s">
        <v>3412</v>
      </c>
      <c r="D4983" s="16" t="s">
        <v>3403</v>
      </c>
    </row>
    <row r="4984" spans="1:4">
      <c r="A4984" s="16">
        <v>6700100000</v>
      </c>
      <c r="B4984" s="16">
        <v>0</v>
      </c>
      <c r="C4984" s="16" t="s">
        <v>3404</v>
      </c>
      <c r="D4984" s="16" t="s">
        <v>3410</v>
      </c>
    </row>
    <row r="4985" spans="1:4">
      <c r="A4985" s="16">
        <v>2500000000</v>
      </c>
      <c r="B4985" s="16">
        <v>0</v>
      </c>
      <c r="C4985" s="16" t="s">
        <v>3412</v>
      </c>
      <c r="D4985" s="16" t="s">
        <v>3403</v>
      </c>
    </row>
    <row r="4986" spans="1:4">
      <c r="A4986" s="16">
        <v>6700400000</v>
      </c>
      <c r="B4986" s="16">
        <v>0</v>
      </c>
      <c r="C4986" s="16" t="s">
        <v>3404</v>
      </c>
      <c r="D4986" s="16" t="s">
        <v>3405</v>
      </c>
    </row>
    <row r="4987" spans="1:4">
      <c r="A4987" s="16">
        <v>6700700000</v>
      </c>
      <c r="B4987" s="16">
        <v>0</v>
      </c>
      <c r="C4987" s="16" t="s">
        <v>3404</v>
      </c>
      <c r="D4987" s="16" t="s">
        <v>3409</v>
      </c>
    </row>
    <row r="4988" spans="1:4">
      <c r="A4988" s="16">
        <v>3100000000</v>
      </c>
      <c r="B4988" s="16">
        <v>0</v>
      </c>
      <c r="C4988" s="16" t="s">
        <v>3402</v>
      </c>
      <c r="D4988" s="16" t="s">
        <v>3403</v>
      </c>
    </row>
    <row r="4989" spans="1:4">
      <c r="A4989" s="16">
        <v>6060110000</v>
      </c>
      <c r="B4989" s="16">
        <v>0</v>
      </c>
      <c r="C4989" s="16" t="s">
        <v>3420</v>
      </c>
      <c r="D4989" s="16" t="s">
        <v>3421</v>
      </c>
    </row>
    <row r="4990" spans="1:4">
      <c r="A4990" s="16">
        <v>6700200000</v>
      </c>
      <c r="B4990" s="16">
        <v>0</v>
      </c>
      <c r="C4990" s="16" t="s">
        <v>3404</v>
      </c>
      <c r="D4990" s="16" t="s">
        <v>3409</v>
      </c>
    </row>
    <row r="4991" spans="1:4">
      <c r="A4991" s="16">
        <v>5010100000</v>
      </c>
      <c r="B4991" s="16">
        <v>0</v>
      </c>
      <c r="C4991" s="16" t="s">
        <v>3406</v>
      </c>
      <c r="D4991" s="16" t="s">
        <v>3407</v>
      </c>
    </row>
    <row r="4992" spans="1:4">
      <c r="A4992" s="16">
        <v>5050000000</v>
      </c>
      <c r="B4992" s="16">
        <v>0</v>
      </c>
      <c r="C4992" s="16" t="s">
        <v>3406</v>
      </c>
      <c r="D4992" s="16" t="s">
        <v>3422</v>
      </c>
    </row>
    <row r="4993" spans="1:4">
      <c r="A4993" s="16">
        <v>2203000000</v>
      </c>
      <c r="B4993" s="16">
        <v>0</v>
      </c>
      <c r="C4993" s="16" t="s">
        <v>3415</v>
      </c>
      <c r="D4993" s="16" t="s">
        <v>3403</v>
      </c>
    </row>
    <row r="4994" spans="1:4">
      <c r="A4994" s="16">
        <v>3710000000</v>
      </c>
      <c r="B4994" s="16">
        <v>0</v>
      </c>
      <c r="C4994" s="16" t="s">
        <v>3402</v>
      </c>
      <c r="D4994" s="16" t="s">
        <v>3403</v>
      </c>
    </row>
    <row r="4995" spans="1:4">
      <c r="A4995" s="16">
        <v>5010100000</v>
      </c>
      <c r="B4995" s="16">
        <v>0</v>
      </c>
      <c r="C4995" s="16" t="s">
        <v>3406</v>
      </c>
      <c r="D4995" s="16" t="s">
        <v>3407</v>
      </c>
    </row>
    <row r="4996" spans="1:4">
      <c r="A4996" s="16">
        <v>2750010000</v>
      </c>
      <c r="B4996" s="16">
        <v>0</v>
      </c>
      <c r="C4996" s="16" t="s">
        <v>3419</v>
      </c>
      <c r="D4996" s="16" t="s">
        <v>3403</v>
      </c>
    </row>
    <row r="4997" spans="1:4">
      <c r="A4997" s="16">
        <v>5010000000</v>
      </c>
      <c r="B4997" s="16">
        <v>0</v>
      </c>
      <c r="C4997" s="16" t="s">
        <v>3406</v>
      </c>
      <c r="D4997" s="16" t="s">
        <v>3411</v>
      </c>
    </row>
    <row r="4998" spans="1:4">
      <c r="A4998" s="16">
        <v>6700700000</v>
      </c>
      <c r="B4998" s="16">
        <v>0</v>
      </c>
      <c r="C4998" s="16" t="s">
        <v>3404</v>
      </c>
      <c r="D4998" s="16" t="s">
        <v>3409</v>
      </c>
    </row>
    <row r="4999" spans="1:4">
      <c r="A4999" s="16">
        <v>6700500000</v>
      </c>
      <c r="B4999" s="16">
        <v>0</v>
      </c>
      <c r="C4999" s="16" t="s">
        <v>3404</v>
      </c>
      <c r="D4999" s="16" t="s">
        <v>3405</v>
      </c>
    </row>
    <row r="5000" spans="1:4">
      <c r="A5000" s="16">
        <v>2201000000</v>
      </c>
      <c r="B5000" s="16">
        <v>0</v>
      </c>
      <c r="C5000" s="16" t="s">
        <v>3415</v>
      </c>
      <c r="D5000" s="16" t="s">
        <v>3403</v>
      </c>
    </row>
    <row r="5001" spans="1:4">
      <c r="A5001" s="16">
        <v>6610000000</v>
      </c>
      <c r="B5001" s="16">
        <v>0</v>
      </c>
      <c r="C5001" s="16" t="s">
        <v>3413</v>
      </c>
      <c r="D5001" s="16" t="s">
        <v>3418</v>
      </c>
    </row>
    <row r="5002" spans="1:4">
      <c r="A5002" s="16">
        <v>5010000010</v>
      </c>
      <c r="B5002" s="16">
        <v>0</v>
      </c>
      <c r="C5002" s="16" t="s">
        <v>3406</v>
      </c>
      <c r="D5002" s="16" t="s">
        <v>3411</v>
      </c>
    </row>
    <row r="5003" spans="1:4">
      <c r="A5003" s="16">
        <v>6700600000</v>
      </c>
      <c r="B5003" s="16">
        <v>0</v>
      </c>
      <c r="C5003" s="16" t="s">
        <v>3404</v>
      </c>
      <c r="D5003" s="16" t="s">
        <v>3409</v>
      </c>
    </row>
    <row r="5004" spans="1:4">
      <c r="A5004" s="16">
        <v>6104000000</v>
      </c>
      <c r="B5004" s="16">
        <v>0</v>
      </c>
      <c r="C5004" s="16" t="s">
        <v>3427</v>
      </c>
      <c r="D5004" s="16" t="s">
        <v>3417</v>
      </c>
    </row>
    <row r="5005" spans="1:4">
      <c r="A5005" s="16">
        <v>6030000000</v>
      </c>
      <c r="B5005" s="16">
        <v>0</v>
      </c>
      <c r="C5005" s="16" t="s">
        <v>3420</v>
      </c>
      <c r="D5005" s="16" t="s">
        <v>3423</v>
      </c>
    </row>
    <row r="5006" spans="1:4">
      <c r="A5006" s="16">
        <v>6700100000</v>
      </c>
      <c r="B5006" s="16">
        <v>0</v>
      </c>
      <c r="C5006" s="16" t="s">
        <v>3404</v>
      </c>
      <c r="D5006" s="16" t="s">
        <v>3410</v>
      </c>
    </row>
    <row r="5007" spans="1:4">
      <c r="A5007" s="16">
        <v>6060110000</v>
      </c>
      <c r="B5007" s="16">
        <v>0</v>
      </c>
      <c r="C5007" s="16" t="s">
        <v>3420</v>
      </c>
      <c r="D5007" s="16" t="s">
        <v>3421</v>
      </c>
    </row>
    <row r="5008" spans="1:4">
      <c r="A5008" s="16">
        <v>6700700000</v>
      </c>
      <c r="B5008" s="16">
        <v>0</v>
      </c>
      <c r="C5008" s="16" t="s">
        <v>3404</v>
      </c>
      <c r="D5008" s="16" t="s">
        <v>3409</v>
      </c>
    </row>
    <row r="5009" spans="1:4">
      <c r="A5009" s="16">
        <v>5010100010</v>
      </c>
      <c r="B5009" s="16">
        <v>0</v>
      </c>
      <c r="C5009" s="16" t="s">
        <v>3406</v>
      </c>
      <c r="D5009" s="16" t="s">
        <v>3407</v>
      </c>
    </row>
    <row r="5010" spans="1:4">
      <c r="A5010" s="16">
        <v>6610000100</v>
      </c>
      <c r="B5010" s="16">
        <v>0</v>
      </c>
      <c r="C5010" s="16" t="s">
        <v>3413</v>
      </c>
      <c r="D5010" s="16" t="s">
        <v>3418</v>
      </c>
    </row>
    <row r="5011" spans="1:4">
      <c r="A5011" s="16">
        <v>5052010000</v>
      </c>
      <c r="B5011" s="16">
        <v>0</v>
      </c>
      <c r="C5011" s="16" t="s">
        <v>3406</v>
      </c>
      <c r="D5011" s="16" t="s">
        <v>3422</v>
      </c>
    </row>
    <row r="5012" spans="1:4">
      <c r="A5012" s="16">
        <v>2500000000</v>
      </c>
      <c r="B5012" s="16">
        <v>0</v>
      </c>
      <c r="C5012" s="16" t="s">
        <v>3412</v>
      </c>
      <c r="D5012" s="16" t="s">
        <v>3403</v>
      </c>
    </row>
    <row r="5013" spans="1:4">
      <c r="A5013" s="16">
        <v>6700500000</v>
      </c>
      <c r="B5013" s="16">
        <v>0</v>
      </c>
      <c r="C5013" s="16" t="s">
        <v>3404</v>
      </c>
      <c r="D5013" s="16" t="s">
        <v>3405</v>
      </c>
    </row>
    <row r="5014" spans="1:4">
      <c r="A5014" s="16">
        <v>6700200000</v>
      </c>
      <c r="B5014" s="16">
        <v>0</v>
      </c>
      <c r="C5014" s="16" t="s">
        <v>3404</v>
      </c>
      <c r="D5014" s="16" t="s">
        <v>3409</v>
      </c>
    </row>
    <row r="5015" spans="1:4">
      <c r="A5015" s="16">
        <v>4203000000</v>
      </c>
      <c r="B5015" s="16">
        <v>0</v>
      </c>
      <c r="C5015" s="16" t="s">
        <v>3408</v>
      </c>
      <c r="D5015" s="16" t="s">
        <v>3403</v>
      </c>
    </row>
    <row r="5016" spans="1:4">
      <c r="A5016" s="16">
        <v>6700600000</v>
      </c>
      <c r="B5016" s="16">
        <v>0</v>
      </c>
      <c r="C5016" s="16" t="s">
        <v>3404</v>
      </c>
      <c r="D5016" s="16" t="s">
        <v>3409</v>
      </c>
    </row>
    <row r="5017" spans="1:4">
      <c r="A5017" s="16">
        <v>6100000020</v>
      </c>
      <c r="B5017" s="16">
        <v>0</v>
      </c>
      <c r="C5017" s="16" t="s">
        <v>3416</v>
      </c>
      <c r="D5017" s="16" t="s">
        <v>3417</v>
      </c>
    </row>
    <row r="5018" spans="1:4">
      <c r="A5018" s="16">
        <v>3710000000</v>
      </c>
      <c r="B5018" s="16">
        <v>0</v>
      </c>
      <c r="C5018" s="16" t="s">
        <v>3402</v>
      </c>
      <c r="D5018" s="16" t="s">
        <v>3403</v>
      </c>
    </row>
    <row r="5019" spans="1:4">
      <c r="A5019" s="16">
        <v>6700400000</v>
      </c>
      <c r="B5019" s="16">
        <v>0</v>
      </c>
      <c r="C5019" s="16" t="s">
        <v>3404</v>
      </c>
      <c r="D5019" s="16" t="s">
        <v>3405</v>
      </c>
    </row>
    <row r="5020" spans="1:4">
      <c r="A5020" s="16">
        <v>3103000000</v>
      </c>
      <c r="B5020" s="16">
        <v>0</v>
      </c>
      <c r="C5020" s="16" t="s">
        <v>3402</v>
      </c>
      <c r="D5020" s="16" t="s">
        <v>3403</v>
      </c>
    </row>
    <row r="5021" spans="1:4">
      <c r="A5021" s="16">
        <v>3030000000</v>
      </c>
      <c r="B5021" s="16">
        <v>0</v>
      </c>
      <c r="C5021" s="16" t="s">
        <v>3402</v>
      </c>
      <c r="D5021" s="16" t="s">
        <v>3403</v>
      </c>
    </row>
    <row r="5022" spans="1:4">
      <c r="A5022" s="16">
        <v>5052010000</v>
      </c>
      <c r="B5022" s="16">
        <v>0</v>
      </c>
      <c r="C5022" s="16" t="s">
        <v>3406</v>
      </c>
      <c r="D5022" s="16" t="s">
        <v>3422</v>
      </c>
    </row>
    <row r="5023" spans="1:4">
      <c r="A5023" s="16">
        <v>6700500000</v>
      </c>
      <c r="B5023" s="16">
        <v>0</v>
      </c>
      <c r="C5023" s="16" t="s">
        <v>3404</v>
      </c>
      <c r="D5023" s="16" t="s">
        <v>3405</v>
      </c>
    </row>
    <row r="5024" spans="1:4">
      <c r="A5024" s="16">
        <v>3710000000</v>
      </c>
      <c r="B5024" s="16">
        <v>0</v>
      </c>
      <c r="C5024" s="16" t="s">
        <v>3402</v>
      </c>
      <c r="D5024" s="16" t="s">
        <v>3403</v>
      </c>
    </row>
    <row r="5025" spans="1:4">
      <c r="A5025" s="16">
        <v>5052000000</v>
      </c>
      <c r="B5025" s="16">
        <v>0</v>
      </c>
      <c r="C5025" s="16" t="s">
        <v>3406</v>
      </c>
      <c r="D5025" s="16" t="s">
        <v>3422</v>
      </c>
    </row>
    <row r="5026" spans="1:4">
      <c r="A5026" s="16">
        <v>5010100000</v>
      </c>
      <c r="B5026" s="16">
        <v>0</v>
      </c>
      <c r="C5026" s="16" t="s">
        <v>3406</v>
      </c>
      <c r="D5026" s="16" t="s">
        <v>3407</v>
      </c>
    </row>
    <row r="5027" spans="1:4">
      <c r="A5027" s="16">
        <v>2500000000</v>
      </c>
      <c r="B5027" s="16">
        <v>5018738</v>
      </c>
      <c r="C5027" s="16" t="s">
        <v>3412</v>
      </c>
      <c r="D5027" s="16" t="s">
        <v>3403</v>
      </c>
    </row>
    <row r="5028" spans="1:4">
      <c r="A5028" s="16">
        <v>6700200000</v>
      </c>
      <c r="B5028" s="16">
        <v>0</v>
      </c>
      <c r="C5028" s="16" t="s">
        <v>3404</v>
      </c>
      <c r="D5028" s="16" t="s">
        <v>3409</v>
      </c>
    </row>
    <row r="5029" spans="1:4">
      <c r="A5029" s="16">
        <v>6700400000</v>
      </c>
      <c r="B5029" s="16">
        <v>0</v>
      </c>
      <c r="C5029" s="16" t="s">
        <v>3404</v>
      </c>
      <c r="D5029" s="16" t="s">
        <v>3405</v>
      </c>
    </row>
    <row r="5030" spans="1:4">
      <c r="A5030" s="16">
        <v>3810000000</v>
      </c>
      <c r="B5030" s="16">
        <v>0</v>
      </c>
      <c r="C5030" s="16" t="s">
        <v>3402</v>
      </c>
      <c r="D5030" s="16" t="s">
        <v>3403</v>
      </c>
    </row>
    <row r="5031" spans="1:4">
      <c r="A5031" s="16">
        <v>6610100000</v>
      </c>
      <c r="B5031" s="16">
        <v>0</v>
      </c>
      <c r="C5031" s="16" t="s">
        <v>3413</v>
      </c>
      <c r="D5031" s="16" t="s">
        <v>3414</v>
      </c>
    </row>
    <row r="5032" spans="1:4">
      <c r="A5032" s="16">
        <v>6700200000</v>
      </c>
      <c r="B5032" s="16">
        <v>0</v>
      </c>
      <c r="C5032" s="16" t="s">
        <v>3404</v>
      </c>
      <c r="D5032" s="16" t="s">
        <v>3409</v>
      </c>
    </row>
    <row r="5033" spans="1:4">
      <c r="A5033" s="16">
        <v>2750010000</v>
      </c>
      <c r="B5033" s="16">
        <v>0</v>
      </c>
      <c r="C5033" s="16" t="s">
        <v>3419</v>
      </c>
      <c r="D5033" s="16" t="s">
        <v>3403</v>
      </c>
    </row>
    <row r="5034" spans="1:4">
      <c r="A5034" s="16">
        <v>6700200000</v>
      </c>
      <c r="B5034" s="16">
        <v>0</v>
      </c>
      <c r="C5034" s="16" t="s">
        <v>3404</v>
      </c>
      <c r="D5034" s="16" t="s">
        <v>3409</v>
      </c>
    </row>
    <row r="5035" spans="1:4">
      <c r="A5035" s="16">
        <v>6700200000</v>
      </c>
      <c r="B5035" s="16">
        <v>0</v>
      </c>
      <c r="C5035" s="16" t="s">
        <v>3404</v>
      </c>
      <c r="D5035" s="16" t="s">
        <v>3409</v>
      </c>
    </row>
    <row r="5036" spans="1:4">
      <c r="A5036" s="16">
        <v>2203000010</v>
      </c>
      <c r="B5036" s="16">
        <v>0</v>
      </c>
      <c r="C5036" s="16" t="s">
        <v>3415</v>
      </c>
      <c r="D5036" s="16" t="s">
        <v>3403</v>
      </c>
    </row>
    <row r="5037" spans="1:4">
      <c r="A5037" s="16">
        <v>6700700000</v>
      </c>
      <c r="B5037" s="16">
        <v>0</v>
      </c>
      <c r="C5037" s="16" t="s">
        <v>3404</v>
      </c>
      <c r="D5037" s="16" t="s">
        <v>3409</v>
      </c>
    </row>
    <row r="5038" spans="1:4">
      <c r="A5038" s="16">
        <v>5052000000</v>
      </c>
      <c r="B5038" s="16">
        <v>0</v>
      </c>
      <c r="C5038" s="16" t="s">
        <v>3406</v>
      </c>
      <c r="D5038" s="16" t="s">
        <v>3422</v>
      </c>
    </row>
    <row r="5039" spans="1:4">
      <c r="A5039" s="16">
        <v>3102000000</v>
      </c>
      <c r="B5039" s="16">
        <v>0</v>
      </c>
      <c r="C5039" s="16" t="s">
        <v>3424</v>
      </c>
      <c r="D5039" s="16" t="s">
        <v>3403</v>
      </c>
    </row>
    <row r="5040" spans="1:4">
      <c r="A5040" s="16">
        <v>5010100000</v>
      </c>
      <c r="B5040" s="16">
        <v>-5018738</v>
      </c>
      <c r="C5040" s="16" t="s">
        <v>3406</v>
      </c>
      <c r="D5040" s="16" t="s">
        <v>3407</v>
      </c>
    </row>
    <row r="5041" spans="1:4">
      <c r="A5041" s="16">
        <v>2500000000</v>
      </c>
      <c r="B5041" s="16">
        <v>0</v>
      </c>
      <c r="C5041" s="16" t="s">
        <v>3412</v>
      </c>
      <c r="D5041" s="16" t="s">
        <v>3403</v>
      </c>
    </row>
    <row r="5042" spans="1:4">
      <c r="A5042" s="16">
        <v>6700100000</v>
      </c>
      <c r="B5042" s="16">
        <v>0</v>
      </c>
      <c r="C5042" s="16" t="s">
        <v>3404</v>
      </c>
      <c r="D5042" s="16" t="s">
        <v>3410</v>
      </c>
    </row>
    <row r="5043" spans="1:4">
      <c r="A5043" s="16">
        <v>2500000000</v>
      </c>
      <c r="B5043" s="16">
        <v>0</v>
      </c>
      <c r="C5043" s="16" t="s">
        <v>3412</v>
      </c>
      <c r="D5043" s="16" t="s">
        <v>3403</v>
      </c>
    </row>
    <row r="5044" spans="1:4">
      <c r="A5044" s="16">
        <v>4203000000</v>
      </c>
      <c r="B5044" s="16">
        <v>0</v>
      </c>
      <c r="C5044" s="16" t="s">
        <v>3408</v>
      </c>
      <c r="D5044" s="16" t="s">
        <v>3403</v>
      </c>
    </row>
    <row r="5045" spans="1:4">
      <c r="A5045" s="16">
        <v>2201200030</v>
      </c>
      <c r="B5045" s="16">
        <v>0</v>
      </c>
      <c r="C5045" s="16" t="s">
        <v>3415</v>
      </c>
      <c r="D5045" s="16" t="s">
        <v>3403</v>
      </c>
    </row>
    <row r="5046" spans="1:4">
      <c r="A5046" s="16">
        <v>6700700000</v>
      </c>
      <c r="B5046" s="16">
        <v>0</v>
      </c>
      <c r="C5046" s="16" t="s">
        <v>3404</v>
      </c>
      <c r="D5046" s="16" t="s">
        <v>3409</v>
      </c>
    </row>
    <row r="5047" spans="1:4">
      <c r="A5047" s="16">
        <v>6610000100</v>
      </c>
      <c r="B5047" s="16">
        <v>0</v>
      </c>
      <c r="C5047" s="16" t="s">
        <v>3413</v>
      </c>
      <c r="D5047" s="16" t="s">
        <v>3418</v>
      </c>
    </row>
    <row r="5048" spans="1:4">
      <c r="A5048" s="16">
        <v>2500000000</v>
      </c>
      <c r="B5048" s="16">
        <v>0</v>
      </c>
      <c r="C5048" s="16" t="s">
        <v>3412</v>
      </c>
      <c r="D5048" s="16" t="s">
        <v>3403</v>
      </c>
    </row>
    <row r="5049" spans="1:4">
      <c r="A5049" s="16">
        <v>6700000000</v>
      </c>
      <c r="B5049" s="16">
        <v>0</v>
      </c>
      <c r="C5049" s="16" t="s">
        <v>3404</v>
      </c>
      <c r="D5049" s="16" t="s">
        <v>3405</v>
      </c>
    </row>
    <row r="5050" spans="1:4">
      <c r="A5050" s="16">
        <v>6700000000</v>
      </c>
      <c r="B5050" s="16">
        <v>0</v>
      </c>
      <c r="C5050" s="16" t="s">
        <v>3404</v>
      </c>
      <c r="D5050" s="16" t="s">
        <v>3405</v>
      </c>
    </row>
    <row r="5051" spans="1:4">
      <c r="A5051" s="16">
        <v>5010000010</v>
      </c>
      <c r="B5051" s="16">
        <v>0</v>
      </c>
      <c r="C5051" s="16" t="s">
        <v>3406</v>
      </c>
      <c r="D5051" s="16" t="s">
        <v>3411</v>
      </c>
    </row>
    <row r="5052" spans="1:4">
      <c r="A5052" s="16">
        <v>4612000000</v>
      </c>
      <c r="B5052" s="16">
        <v>0</v>
      </c>
      <c r="C5052" s="16" t="s">
        <v>3428</v>
      </c>
      <c r="D5052" s="16" t="s">
        <v>3403</v>
      </c>
    </row>
    <row r="5053" spans="1:4">
      <c r="A5053" s="16">
        <v>6700500000</v>
      </c>
      <c r="B5053" s="16">
        <v>0</v>
      </c>
      <c r="C5053" s="16" t="s">
        <v>3404</v>
      </c>
      <c r="D5053" s="16" t="s">
        <v>3405</v>
      </c>
    </row>
    <row r="5054" spans="1:4">
      <c r="A5054" s="16">
        <v>6102000000</v>
      </c>
      <c r="B5054" s="16">
        <v>0</v>
      </c>
      <c r="C5054" s="16" t="s">
        <v>3425</v>
      </c>
      <c r="D5054" s="16" t="s">
        <v>3426</v>
      </c>
    </row>
    <row r="5055" spans="1:4">
      <c r="A5055" s="16">
        <v>5010000000</v>
      </c>
      <c r="B5055" s="16">
        <v>0</v>
      </c>
      <c r="C5055" s="16" t="s">
        <v>3406</v>
      </c>
      <c r="D5055" s="16" t="s">
        <v>3411</v>
      </c>
    </row>
    <row r="5056" spans="1:4">
      <c r="A5056" s="16">
        <v>5010000000</v>
      </c>
      <c r="B5056" s="16">
        <v>0</v>
      </c>
      <c r="C5056" s="16" t="s">
        <v>3406</v>
      </c>
      <c r="D5056" s="16" t="s">
        <v>3411</v>
      </c>
    </row>
    <row r="5057" spans="1:4">
      <c r="A5057" s="16">
        <v>6700500000</v>
      </c>
      <c r="B5057" s="16">
        <v>0</v>
      </c>
      <c r="C5057" s="16" t="s">
        <v>3404</v>
      </c>
      <c r="D5057" s="16" t="s">
        <v>3405</v>
      </c>
    </row>
    <row r="5058" spans="1:4">
      <c r="A5058" s="16">
        <v>6104000000</v>
      </c>
      <c r="B5058" s="16">
        <v>0</v>
      </c>
      <c r="C5058" s="16" t="s">
        <v>3416</v>
      </c>
      <c r="D5058" s="16" t="s">
        <v>3417</v>
      </c>
    </row>
    <row r="5059" spans="1:4">
      <c r="A5059" s="16">
        <v>5010000000</v>
      </c>
      <c r="B5059" s="16">
        <v>0</v>
      </c>
      <c r="C5059" s="16" t="s">
        <v>3406</v>
      </c>
      <c r="D5059" s="16" t="s">
        <v>3411</v>
      </c>
    </row>
    <row r="5060" spans="1:4">
      <c r="A5060" s="16">
        <v>6700200000</v>
      </c>
      <c r="B5060" s="16">
        <v>0</v>
      </c>
      <c r="C5060" s="16" t="s">
        <v>3404</v>
      </c>
      <c r="D5060" s="16" t="s">
        <v>3409</v>
      </c>
    </row>
    <row r="5061" spans="1:4">
      <c r="A5061" s="16">
        <v>3710000000</v>
      </c>
      <c r="B5061" s="16">
        <v>0</v>
      </c>
      <c r="C5061" s="16" t="s">
        <v>3402</v>
      </c>
      <c r="D5061" s="16" t="s">
        <v>3403</v>
      </c>
    </row>
    <row r="5062" spans="1:4">
      <c r="A5062" s="16">
        <v>6700700000</v>
      </c>
      <c r="B5062" s="16">
        <v>0</v>
      </c>
      <c r="C5062" s="16" t="s">
        <v>3404</v>
      </c>
      <c r="D5062" s="16" t="s">
        <v>3409</v>
      </c>
    </row>
    <row r="5063" spans="1:4">
      <c r="A5063" s="16">
        <v>6610000000</v>
      </c>
      <c r="B5063" s="16">
        <v>0</v>
      </c>
      <c r="C5063" s="16" t="s">
        <v>3413</v>
      </c>
      <c r="D5063" s="16" t="s">
        <v>3418</v>
      </c>
    </row>
    <row r="5064" spans="1:4">
      <c r="A5064" s="16">
        <v>5050010000</v>
      </c>
      <c r="B5064" s="16">
        <v>0</v>
      </c>
      <c r="C5064" s="16" t="s">
        <v>3406</v>
      </c>
      <c r="D5064" s="16" t="s">
        <v>3422</v>
      </c>
    </row>
    <row r="5065" spans="1:4">
      <c r="A5065" s="16">
        <v>2201400000</v>
      </c>
      <c r="B5065" s="16">
        <v>-9923</v>
      </c>
      <c r="C5065" s="16" t="s">
        <v>3415</v>
      </c>
      <c r="D5065" s="16" t="s">
        <v>3403</v>
      </c>
    </row>
    <row r="5066" spans="1:4">
      <c r="A5066" s="16">
        <v>6100000000</v>
      </c>
      <c r="B5066" s="16">
        <v>27205582</v>
      </c>
      <c r="C5066" s="16" t="s">
        <v>3427</v>
      </c>
      <c r="D5066" s="16" t="s">
        <v>3417</v>
      </c>
    </row>
    <row r="5067" spans="1:4">
      <c r="A5067" s="16">
        <v>6100000000</v>
      </c>
      <c r="B5067" s="16">
        <v>0</v>
      </c>
      <c r="C5067" s="16" t="s">
        <v>3427</v>
      </c>
      <c r="D5067" s="16" t="s">
        <v>3417</v>
      </c>
    </row>
    <row r="5068" spans="1:4">
      <c r="A5068" s="16">
        <v>6700200000</v>
      </c>
      <c r="B5068" s="16">
        <v>0</v>
      </c>
      <c r="C5068" s="16" t="s">
        <v>3404</v>
      </c>
      <c r="D5068" s="16" t="s">
        <v>3409</v>
      </c>
    </row>
    <row r="5069" spans="1:4">
      <c r="A5069" s="16">
        <v>2750010000</v>
      </c>
      <c r="B5069" s="16">
        <v>0</v>
      </c>
      <c r="C5069" s="16" t="s">
        <v>3419</v>
      </c>
      <c r="D5069" s="16" t="s">
        <v>3403</v>
      </c>
    </row>
    <row r="5070" spans="1:4">
      <c r="A5070" s="16">
        <v>6104001000</v>
      </c>
      <c r="B5070" s="16">
        <v>0</v>
      </c>
      <c r="C5070" s="16" t="s">
        <v>3416</v>
      </c>
      <c r="D5070" s="16" t="s">
        <v>3417</v>
      </c>
    </row>
    <row r="5071" spans="1:4">
      <c r="A5071" s="16">
        <v>6700600000</v>
      </c>
      <c r="B5071" s="16">
        <v>0</v>
      </c>
      <c r="C5071" s="16" t="s">
        <v>3404</v>
      </c>
      <c r="D5071" s="16" t="s">
        <v>3409</v>
      </c>
    </row>
    <row r="5072" spans="1:4">
      <c r="A5072" s="16">
        <v>2201000000</v>
      </c>
      <c r="B5072" s="16">
        <v>0</v>
      </c>
      <c r="C5072" s="16" t="s">
        <v>3415</v>
      </c>
      <c r="D5072" s="16" t="s">
        <v>3403</v>
      </c>
    </row>
    <row r="5073" spans="1:4">
      <c r="A5073" s="16">
        <v>3103000000</v>
      </c>
      <c r="B5073" s="16">
        <v>0</v>
      </c>
      <c r="C5073" s="16" t="s">
        <v>3402</v>
      </c>
      <c r="D5073" s="16" t="s">
        <v>3403</v>
      </c>
    </row>
    <row r="5074" spans="1:4">
      <c r="A5074" s="16">
        <v>6100000020</v>
      </c>
      <c r="B5074" s="16">
        <v>21734</v>
      </c>
      <c r="C5074" s="16" t="s">
        <v>3416</v>
      </c>
      <c r="D5074" s="16" t="s">
        <v>3417</v>
      </c>
    </row>
    <row r="5075" spans="1:4">
      <c r="A5075" s="16">
        <v>2201000000</v>
      </c>
      <c r="B5075" s="16">
        <v>0</v>
      </c>
      <c r="C5075" s="16" t="s">
        <v>3415</v>
      </c>
      <c r="D5075" s="16" t="s">
        <v>3403</v>
      </c>
    </row>
    <row r="5076" spans="1:4">
      <c r="A5076" s="16">
        <v>5010000010</v>
      </c>
      <c r="B5076" s="16">
        <v>0</v>
      </c>
      <c r="C5076" s="16" t="s">
        <v>3406</v>
      </c>
      <c r="D5076" s="16" t="s">
        <v>3411</v>
      </c>
    </row>
    <row r="5077" spans="1:4">
      <c r="A5077" s="16">
        <v>6104001000</v>
      </c>
      <c r="B5077" s="16">
        <v>0</v>
      </c>
      <c r="C5077" s="16" t="s">
        <v>3427</v>
      </c>
      <c r="D5077" s="16" t="s">
        <v>3417</v>
      </c>
    </row>
    <row r="5078" spans="1:4">
      <c r="A5078" s="16">
        <v>6700000000</v>
      </c>
      <c r="B5078" s="16">
        <v>0</v>
      </c>
      <c r="C5078" s="16" t="s">
        <v>3404</v>
      </c>
      <c r="D5078" s="16" t="s">
        <v>3405</v>
      </c>
    </row>
    <row r="5079" spans="1:4">
      <c r="A5079" s="16">
        <v>6700600000</v>
      </c>
      <c r="B5079" s="16">
        <v>0</v>
      </c>
      <c r="C5079" s="16" t="s">
        <v>3404</v>
      </c>
      <c r="D5079" s="16" t="s">
        <v>3409</v>
      </c>
    </row>
    <row r="5080" spans="1:4">
      <c r="A5080" s="16">
        <v>6700500000</v>
      </c>
      <c r="B5080" s="16">
        <v>0</v>
      </c>
      <c r="C5080" s="16" t="s">
        <v>3404</v>
      </c>
      <c r="D5080" s="16" t="s">
        <v>3405</v>
      </c>
    </row>
    <row r="5081" spans="1:4">
      <c r="A5081" s="16">
        <v>4203000000</v>
      </c>
      <c r="B5081" s="16">
        <v>0</v>
      </c>
      <c r="C5081" s="16" t="s">
        <v>3408</v>
      </c>
      <c r="D5081" s="16" t="s">
        <v>3403</v>
      </c>
    </row>
    <row r="5082" spans="1:4">
      <c r="A5082" s="16">
        <v>5050000000</v>
      </c>
      <c r="B5082" s="16">
        <v>0</v>
      </c>
      <c r="C5082" s="16" t="s">
        <v>3406</v>
      </c>
      <c r="D5082" s="16" t="s">
        <v>3422</v>
      </c>
    </row>
    <row r="5083" spans="1:4">
      <c r="A5083" s="16">
        <v>2500000000</v>
      </c>
      <c r="B5083" s="16">
        <v>0</v>
      </c>
      <c r="C5083" s="16" t="s">
        <v>3412</v>
      </c>
      <c r="D5083" s="16" t="s">
        <v>3403</v>
      </c>
    </row>
    <row r="5084" spans="1:4">
      <c r="A5084" s="16">
        <v>6700200000</v>
      </c>
      <c r="B5084" s="16">
        <v>44935249</v>
      </c>
      <c r="C5084" s="16" t="s">
        <v>3404</v>
      </c>
      <c r="D5084" s="16" t="s">
        <v>3409</v>
      </c>
    </row>
    <row r="5085" spans="1:4">
      <c r="A5085" s="16">
        <v>6700700000</v>
      </c>
      <c r="B5085" s="16">
        <v>9923</v>
      </c>
      <c r="C5085" s="16" t="s">
        <v>3404</v>
      </c>
      <c r="D5085" s="16" t="s">
        <v>3409</v>
      </c>
    </row>
    <row r="5086" spans="1:4">
      <c r="A5086" s="16">
        <v>3100000000</v>
      </c>
      <c r="B5086" s="16">
        <v>-27205582</v>
      </c>
      <c r="C5086" s="16" t="s">
        <v>3402</v>
      </c>
      <c r="D5086" s="16" t="s">
        <v>3403</v>
      </c>
    </row>
    <row r="5087" spans="1:4">
      <c r="A5087" s="16">
        <v>3100000000</v>
      </c>
      <c r="B5087" s="16">
        <v>0</v>
      </c>
      <c r="C5087" s="16" t="s">
        <v>3402</v>
      </c>
      <c r="D5087" s="16" t="s">
        <v>3403</v>
      </c>
    </row>
    <row r="5088" spans="1:4">
      <c r="A5088" s="16">
        <v>6700100000</v>
      </c>
      <c r="B5088" s="16">
        <v>0</v>
      </c>
      <c r="C5088" s="16" t="s">
        <v>3404</v>
      </c>
      <c r="D5088" s="16" t="s">
        <v>3410</v>
      </c>
    </row>
    <row r="5089" spans="1:4">
      <c r="A5089" s="16">
        <v>6610100100</v>
      </c>
      <c r="B5089" s="16">
        <v>0</v>
      </c>
      <c r="C5089" s="16" t="s">
        <v>3413</v>
      </c>
      <c r="D5089" s="16" t="s">
        <v>3414</v>
      </c>
    </row>
    <row r="5090" spans="1:4">
      <c r="A5090" s="16">
        <v>3103001000</v>
      </c>
      <c r="B5090" s="16">
        <v>0</v>
      </c>
      <c r="C5090" s="16" t="s">
        <v>3402</v>
      </c>
      <c r="D5090" s="16" t="s">
        <v>3403</v>
      </c>
    </row>
    <row r="5091" spans="1:4">
      <c r="A5091" s="16">
        <v>6610000000</v>
      </c>
      <c r="B5091" s="16">
        <v>0</v>
      </c>
      <c r="C5091" s="16" t="s">
        <v>3413</v>
      </c>
      <c r="D5091" s="16" t="s">
        <v>3418</v>
      </c>
    </row>
    <row r="5092" spans="1:4">
      <c r="A5092" s="16">
        <v>6700600000</v>
      </c>
      <c r="B5092" s="16">
        <v>0</v>
      </c>
      <c r="C5092" s="16" t="s">
        <v>3404</v>
      </c>
      <c r="D5092" s="16" t="s">
        <v>3409</v>
      </c>
    </row>
    <row r="5093" spans="1:4">
      <c r="A5093" s="16">
        <v>6100000020</v>
      </c>
      <c r="B5093" s="16">
        <v>0</v>
      </c>
      <c r="C5093" s="16" t="s">
        <v>3416</v>
      </c>
      <c r="D5093" s="16" t="s">
        <v>3417</v>
      </c>
    </row>
    <row r="5094" spans="1:4">
      <c r="A5094" s="16">
        <v>6700400000</v>
      </c>
      <c r="B5094" s="16">
        <v>0</v>
      </c>
      <c r="C5094" s="16" t="s">
        <v>3404</v>
      </c>
      <c r="D5094" s="16" t="s">
        <v>3405</v>
      </c>
    </row>
    <row r="5095" spans="1:4">
      <c r="A5095" s="16">
        <v>6700200000</v>
      </c>
      <c r="B5095" s="16">
        <v>0</v>
      </c>
      <c r="C5095" s="16" t="s">
        <v>3404</v>
      </c>
      <c r="D5095" s="16" t="s">
        <v>3409</v>
      </c>
    </row>
    <row r="5096" spans="1:4">
      <c r="A5096" s="16">
        <v>3810000000</v>
      </c>
      <c r="B5096" s="16">
        <v>-21734</v>
      </c>
      <c r="C5096" s="16" t="s">
        <v>3402</v>
      </c>
      <c r="D5096" s="16" t="s">
        <v>3403</v>
      </c>
    </row>
    <row r="5097" spans="1:4">
      <c r="A5097" s="16">
        <v>6700200000</v>
      </c>
      <c r="B5097" s="16">
        <v>0</v>
      </c>
      <c r="C5097" s="16" t="s">
        <v>3404</v>
      </c>
      <c r="D5097" s="16" t="s">
        <v>3409</v>
      </c>
    </row>
    <row r="5098" spans="1:4">
      <c r="A5098" s="16">
        <v>3710000000</v>
      </c>
      <c r="B5098" s="16">
        <v>0</v>
      </c>
      <c r="C5098" s="16" t="s">
        <v>3402</v>
      </c>
      <c r="D5098" s="16" t="s">
        <v>3403</v>
      </c>
    </row>
    <row r="5099" spans="1:4">
      <c r="A5099" s="16">
        <v>3103001000</v>
      </c>
      <c r="B5099" s="16">
        <v>0</v>
      </c>
      <c r="C5099" s="16" t="s">
        <v>3402</v>
      </c>
      <c r="D5099" s="16" t="s">
        <v>3403</v>
      </c>
    </row>
    <row r="5100" spans="1:4">
      <c r="A5100" s="16">
        <v>2500000000</v>
      </c>
      <c r="B5100" s="16">
        <v>0</v>
      </c>
      <c r="C5100" s="16" t="s">
        <v>3412</v>
      </c>
      <c r="D5100" s="16" t="s">
        <v>3403</v>
      </c>
    </row>
    <row r="5101" spans="1:4">
      <c r="A5101" s="16">
        <v>5052010000</v>
      </c>
      <c r="B5101" s="16">
        <v>0</v>
      </c>
      <c r="C5101" s="16" t="s">
        <v>3406</v>
      </c>
      <c r="D5101" s="16" t="s">
        <v>3422</v>
      </c>
    </row>
    <row r="5102" spans="1:4">
      <c r="A5102" s="16">
        <v>6700400000</v>
      </c>
      <c r="B5102" s="16">
        <v>0</v>
      </c>
      <c r="C5102" s="16" t="s">
        <v>3404</v>
      </c>
      <c r="D5102" s="16" t="s">
        <v>3405</v>
      </c>
    </row>
    <row r="5103" spans="1:4">
      <c r="A5103" s="16">
        <v>6100000000</v>
      </c>
      <c r="B5103" s="16">
        <v>3016244083</v>
      </c>
      <c r="C5103" s="16" t="s">
        <v>3416</v>
      </c>
      <c r="D5103" s="16" t="s">
        <v>3417</v>
      </c>
    </row>
    <row r="5104" spans="1:4">
      <c r="A5104" s="16">
        <v>3102000000</v>
      </c>
      <c r="B5104" s="16">
        <v>0</v>
      </c>
      <c r="C5104" s="16" t="s">
        <v>3424</v>
      </c>
      <c r="D5104" s="16" t="s">
        <v>3403</v>
      </c>
    </row>
    <row r="5105" spans="1:4">
      <c r="A5105" s="16">
        <v>2500000000</v>
      </c>
      <c r="B5105" s="16">
        <v>25295</v>
      </c>
      <c r="C5105" s="16" t="s">
        <v>3412</v>
      </c>
      <c r="D5105" s="16" t="s">
        <v>3403</v>
      </c>
    </row>
    <row r="5106" spans="1:4">
      <c r="A5106" s="16">
        <v>5010100000</v>
      </c>
      <c r="B5106" s="16">
        <v>0</v>
      </c>
      <c r="C5106" s="16" t="s">
        <v>3406</v>
      </c>
      <c r="D5106" s="16" t="s">
        <v>3407</v>
      </c>
    </row>
    <row r="5107" spans="1:4">
      <c r="A5107" s="16">
        <v>6700700000</v>
      </c>
      <c r="B5107" s="16">
        <v>0</v>
      </c>
      <c r="C5107" s="16" t="s">
        <v>3404</v>
      </c>
      <c r="D5107" s="16" t="s">
        <v>3409</v>
      </c>
    </row>
    <row r="5108" spans="1:4">
      <c r="A5108" s="16">
        <v>6700000000</v>
      </c>
      <c r="B5108" s="16">
        <v>-44935249</v>
      </c>
      <c r="C5108" s="16" t="s">
        <v>3404</v>
      </c>
      <c r="D5108" s="16" t="s">
        <v>3405</v>
      </c>
    </row>
    <row r="5109" spans="1:4">
      <c r="A5109" s="16">
        <v>6610100000</v>
      </c>
      <c r="B5109" s="16">
        <v>0</v>
      </c>
      <c r="C5109" s="16" t="s">
        <v>3413</v>
      </c>
      <c r="D5109" s="16" t="s">
        <v>3414</v>
      </c>
    </row>
    <row r="5110" spans="1:4">
      <c r="A5110" s="16">
        <v>6700200000</v>
      </c>
      <c r="B5110" s="16">
        <v>0</v>
      </c>
      <c r="C5110" s="16" t="s">
        <v>3404</v>
      </c>
      <c r="D5110" s="16" t="s">
        <v>3409</v>
      </c>
    </row>
    <row r="5111" spans="1:4">
      <c r="A5111" s="16">
        <v>3102000000</v>
      </c>
      <c r="B5111" s="16">
        <v>0</v>
      </c>
      <c r="C5111" s="16" t="s">
        <v>3424</v>
      </c>
      <c r="D5111" s="16" t="s">
        <v>3403</v>
      </c>
    </row>
    <row r="5112" spans="1:4">
      <c r="A5112" s="16">
        <v>4203000000</v>
      </c>
      <c r="B5112" s="16">
        <v>0</v>
      </c>
      <c r="C5112" s="16" t="s">
        <v>3408</v>
      </c>
      <c r="D5112" s="16" t="s">
        <v>3403</v>
      </c>
    </row>
    <row r="5113" spans="1:4">
      <c r="A5113" s="16">
        <v>2201000000</v>
      </c>
      <c r="B5113" s="16">
        <v>492030</v>
      </c>
      <c r="C5113" s="16" t="s">
        <v>3415</v>
      </c>
      <c r="D5113" s="16" t="s">
        <v>3403</v>
      </c>
    </row>
    <row r="5114" spans="1:4">
      <c r="A5114" s="16">
        <v>6700200000</v>
      </c>
      <c r="B5114" s="16">
        <v>0</v>
      </c>
      <c r="C5114" s="16" t="s">
        <v>3404</v>
      </c>
      <c r="D5114" s="16" t="s">
        <v>3409</v>
      </c>
    </row>
    <row r="5115" spans="1:4">
      <c r="A5115" s="16">
        <v>6700400000</v>
      </c>
      <c r="B5115" s="16">
        <v>0</v>
      </c>
      <c r="C5115" s="16" t="s">
        <v>3404</v>
      </c>
      <c r="D5115" s="16" t="s">
        <v>3405</v>
      </c>
    </row>
    <row r="5116" spans="1:4">
      <c r="A5116" s="16">
        <v>3810000000</v>
      </c>
      <c r="B5116" s="16">
        <v>0</v>
      </c>
      <c r="C5116" s="16" t="s">
        <v>3402</v>
      </c>
      <c r="D5116" s="16" t="s">
        <v>3403</v>
      </c>
    </row>
    <row r="5117" spans="1:4">
      <c r="A5117" s="16">
        <v>6030000000</v>
      </c>
      <c r="B5117" s="16">
        <v>0</v>
      </c>
      <c r="C5117" s="16" t="s">
        <v>3420</v>
      </c>
      <c r="D5117" s="16" t="s">
        <v>3423</v>
      </c>
    </row>
    <row r="5118" spans="1:4">
      <c r="A5118" s="16">
        <v>2750010000</v>
      </c>
      <c r="B5118" s="16">
        <v>0</v>
      </c>
      <c r="C5118" s="16" t="s">
        <v>3419</v>
      </c>
      <c r="D5118" s="16" t="s">
        <v>3403</v>
      </c>
    </row>
    <row r="5119" spans="1:4">
      <c r="A5119" s="16">
        <v>3102000000</v>
      </c>
      <c r="B5119" s="16">
        <v>0</v>
      </c>
      <c r="C5119" s="16" t="s">
        <v>3424</v>
      </c>
      <c r="D5119" s="16" t="s">
        <v>3403</v>
      </c>
    </row>
    <row r="5120" spans="1:4">
      <c r="A5120" s="16">
        <v>5010000000</v>
      </c>
      <c r="B5120" s="16">
        <v>0</v>
      </c>
      <c r="C5120" s="16" t="s">
        <v>3406</v>
      </c>
      <c r="D5120" s="16" t="s">
        <v>3411</v>
      </c>
    </row>
    <row r="5121" spans="1:4">
      <c r="A5121" s="16">
        <v>5052000000</v>
      </c>
      <c r="B5121" s="16">
        <v>0</v>
      </c>
      <c r="C5121" s="16" t="s">
        <v>3406</v>
      </c>
      <c r="D5121" s="16" t="s">
        <v>3422</v>
      </c>
    </row>
    <row r="5122" spans="1:4">
      <c r="A5122" s="16">
        <v>4010100000</v>
      </c>
      <c r="B5122" s="16">
        <v>-3016244083</v>
      </c>
      <c r="C5122" s="16" t="s">
        <v>3431</v>
      </c>
      <c r="D5122" s="16" t="s">
        <v>3403</v>
      </c>
    </row>
    <row r="5123" spans="1:4">
      <c r="A5123" s="16">
        <v>6104000000</v>
      </c>
      <c r="B5123" s="16">
        <v>0</v>
      </c>
      <c r="C5123" s="16" t="s">
        <v>3416</v>
      </c>
      <c r="D5123" s="16" t="s">
        <v>3417</v>
      </c>
    </row>
    <row r="5124" spans="1:4">
      <c r="A5124" s="16">
        <v>6700600000</v>
      </c>
      <c r="B5124" s="16">
        <v>0</v>
      </c>
      <c r="C5124" s="16" t="s">
        <v>3404</v>
      </c>
      <c r="D5124" s="16" t="s">
        <v>3409</v>
      </c>
    </row>
    <row r="5125" spans="1:4">
      <c r="A5125" s="16">
        <v>6102000000</v>
      </c>
      <c r="B5125" s="16">
        <v>0</v>
      </c>
      <c r="C5125" s="16" t="s">
        <v>3425</v>
      </c>
      <c r="D5125" s="16" t="s">
        <v>3426</v>
      </c>
    </row>
    <row r="5126" spans="1:4">
      <c r="A5126" s="16">
        <v>5010100000</v>
      </c>
      <c r="B5126" s="16">
        <v>-25295</v>
      </c>
      <c r="C5126" s="16" t="s">
        <v>3406</v>
      </c>
      <c r="D5126" s="16" t="s">
        <v>3407</v>
      </c>
    </row>
    <row r="5127" spans="1:4">
      <c r="A5127" s="16">
        <v>2500000000</v>
      </c>
      <c r="B5127" s="16">
        <v>0</v>
      </c>
      <c r="C5127" s="16" t="s">
        <v>3412</v>
      </c>
      <c r="D5127" s="16" t="s">
        <v>3403</v>
      </c>
    </row>
    <row r="5128" spans="1:4">
      <c r="A5128" s="16">
        <v>6700500000</v>
      </c>
      <c r="B5128" s="16">
        <v>0</v>
      </c>
      <c r="C5128" s="16" t="s">
        <v>3404</v>
      </c>
      <c r="D5128" s="16" t="s">
        <v>3405</v>
      </c>
    </row>
    <row r="5129" spans="1:4">
      <c r="A5129" s="16">
        <v>4203000000</v>
      </c>
      <c r="B5129" s="16">
        <v>0</v>
      </c>
      <c r="C5129" s="16" t="s">
        <v>3408</v>
      </c>
      <c r="D5129" s="16" t="s">
        <v>3403</v>
      </c>
    </row>
    <row r="5130" spans="1:4">
      <c r="A5130" s="16">
        <v>2201200030</v>
      </c>
      <c r="B5130" s="16">
        <v>0</v>
      </c>
      <c r="C5130" s="16" t="s">
        <v>3415</v>
      </c>
      <c r="D5130" s="16" t="s">
        <v>3403</v>
      </c>
    </row>
    <row r="5131" spans="1:4">
      <c r="A5131" s="16">
        <v>2203000000</v>
      </c>
      <c r="B5131" s="16">
        <v>0</v>
      </c>
      <c r="C5131" s="16" t="s">
        <v>3415</v>
      </c>
      <c r="D5131" s="16" t="s">
        <v>3403</v>
      </c>
    </row>
    <row r="5132" spans="1:4">
      <c r="A5132" s="16">
        <v>6102000000</v>
      </c>
      <c r="B5132" s="16">
        <v>0</v>
      </c>
      <c r="C5132" s="16" t="s">
        <v>3425</v>
      </c>
      <c r="D5132" s="16" t="s">
        <v>3426</v>
      </c>
    </row>
    <row r="5133" spans="1:4">
      <c r="A5133" s="16">
        <v>6100000000</v>
      </c>
      <c r="B5133" s="16">
        <v>43427297199</v>
      </c>
      <c r="C5133" s="16" t="s">
        <v>3416</v>
      </c>
      <c r="D5133" s="16" t="s">
        <v>3417</v>
      </c>
    </row>
    <row r="5134" spans="1:4">
      <c r="A5134" s="16">
        <v>6700200000</v>
      </c>
      <c r="B5134" s="16">
        <v>-492030</v>
      </c>
      <c r="C5134" s="16" t="s">
        <v>3404</v>
      </c>
      <c r="D5134" s="16" t="s">
        <v>3409</v>
      </c>
    </row>
    <row r="5135" spans="1:4">
      <c r="A5135" s="16">
        <v>6700000000</v>
      </c>
      <c r="B5135" s="16">
        <v>0</v>
      </c>
      <c r="C5135" s="16" t="s">
        <v>3404</v>
      </c>
      <c r="D5135" s="16" t="s">
        <v>3405</v>
      </c>
    </row>
    <row r="5136" spans="1:4">
      <c r="A5136" s="16">
        <v>6610100000</v>
      </c>
      <c r="B5136" s="16">
        <v>0</v>
      </c>
      <c r="C5136" s="16" t="s">
        <v>3413</v>
      </c>
      <c r="D5136" s="16" t="s">
        <v>3414</v>
      </c>
    </row>
    <row r="5137" spans="1:4">
      <c r="A5137" s="16">
        <v>6700200000</v>
      </c>
      <c r="B5137" s="16">
        <v>176881722</v>
      </c>
      <c r="C5137" s="16" t="s">
        <v>3404</v>
      </c>
      <c r="D5137" s="16" t="s">
        <v>3409</v>
      </c>
    </row>
    <row r="5138" spans="1:4">
      <c r="A5138" s="16">
        <v>3102000000</v>
      </c>
      <c r="B5138" s="16">
        <v>0</v>
      </c>
      <c r="C5138" s="16" t="s">
        <v>3424</v>
      </c>
      <c r="D5138" s="16" t="s">
        <v>3403</v>
      </c>
    </row>
    <row r="5139" spans="1:4">
      <c r="A5139" s="16">
        <v>6700200000</v>
      </c>
      <c r="B5139" s="16">
        <v>0</v>
      </c>
      <c r="C5139" s="16" t="s">
        <v>3404</v>
      </c>
      <c r="D5139" s="16" t="s">
        <v>3409</v>
      </c>
    </row>
    <row r="5140" spans="1:4">
      <c r="A5140" s="16">
        <v>3030000000</v>
      </c>
      <c r="B5140" s="16">
        <v>0</v>
      </c>
      <c r="C5140" s="16" t="s">
        <v>3402</v>
      </c>
      <c r="D5140" s="16" t="s">
        <v>3403</v>
      </c>
    </row>
    <row r="5141" spans="1:4">
      <c r="A5141" s="16">
        <v>6700200000</v>
      </c>
      <c r="B5141" s="16">
        <v>0</v>
      </c>
      <c r="C5141" s="16" t="s">
        <v>3404</v>
      </c>
      <c r="D5141" s="16" t="s">
        <v>3409</v>
      </c>
    </row>
    <row r="5142" spans="1:4">
      <c r="A5142" s="16">
        <v>6610000100</v>
      </c>
      <c r="B5142" s="16">
        <v>0</v>
      </c>
      <c r="C5142" s="16" t="s">
        <v>3413</v>
      </c>
      <c r="D5142" s="16" t="s">
        <v>3418</v>
      </c>
    </row>
    <row r="5143" spans="1:4">
      <c r="A5143" s="16">
        <v>6102000000</v>
      </c>
      <c r="B5143" s="16">
        <v>0</v>
      </c>
      <c r="C5143" s="16" t="s">
        <v>3425</v>
      </c>
      <c r="D5143" s="16" t="s">
        <v>3426</v>
      </c>
    </row>
    <row r="5144" spans="1:4">
      <c r="A5144" s="16">
        <v>5050000000</v>
      </c>
      <c r="B5144" s="16">
        <v>0</v>
      </c>
      <c r="C5144" s="16" t="s">
        <v>3406</v>
      </c>
      <c r="D5144" s="16" t="s">
        <v>3422</v>
      </c>
    </row>
    <row r="5145" spans="1:4">
      <c r="A5145" s="16">
        <v>6700700000</v>
      </c>
      <c r="B5145" s="16">
        <v>0</v>
      </c>
      <c r="C5145" s="16" t="s">
        <v>3404</v>
      </c>
      <c r="D5145" s="16" t="s">
        <v>3409</v>
      </c>
    </row>
    <row r="5146" spans="1:4">
      <c r="A5146" s="16">
        <v>6100000000</v>
      </c>
      <c r="B5146" s="16">
        <v>6243783</v>
      </c>
      <c r="C5146" s="16" t="s">
        <v>3427</v>
      </c>
      <c r="D5146" s="16" t="s">
        <v>3417</v>
      </c>
    </row>
    <row r="5147" spans="1:4">
      <c r="A5147" s="16">
        <v>6104001000</v>
      </c>
      <c r="B5147" s="16">
        <v>0</v>
      </c>
      <c r="C5147" s="16" t="s">
        <v>3416</v>
      </c>
      <c r="D5147" s="16" t="s">
        <v>3417</v>
      </c>
    </row>
    <row r="5148" spans="1:4">
      <c r="A5148" s="16">
        <v>3032000000</v>
      </c>
      <c r="B5148" s="16">
        <v>0</v>
      </c>
      <c r="C5148" s="16" t="s">
        <v>3424</v>
      </c>
      <c r="D5148" s="16" t="s">
        <v>3403</v>
      </c>
    </row>
    <row r="5149" spans="1:4">
      <c r="A5149" s="16">
        <v>3103000000</v>
      </c>
      <c r="B5149" s="16">
        <v>0</v>
      </c>
      <c r="C5149" s="16" t="s">
        <v>3402</v>
      </c>
      <c r="D5149" s="16" t="s">
        <v>3403</v>
      </c>
    </row>
    <row r="5150" spans="1:4">
      <c r="A5150" s="16">
        <v>6700400000</v>
      </c>
      <c r="B5150" s="16">
        <v>0</v>
      </c>
      <c r="C5150" s="16" t="s">
        <v>3404</v>
      </c>
      <c r="D5150" s="16" t="s">
        <v>3405</v>
      </c>
    </row>
    <row r="5151" spans="1:4">
      <c r="A5151" s="16">
        <v>2500000000</v>
      </c>
      <c r="B5151" s="16">
        <v>0</v>
      </c>
      <c r="C5151" s="16" t="s">
        <v>3412</v>
      </c>
      <c r="D5151" s="16" t="s">
        <v>3403</v>
      </c>
    </row>
    <row r="5152" spans="1:4">
      <c r="A5152" s="16">
        <v>5050010000</v>
      </c>
      <c r="B5152" s="16">
        <v>0</v>
      </c>
      <c r="C5152" s="16" t="s">
        <v>3406</v>
      </c>
      <c r="D5152" s="16" t="s">
        <v>3422</v>
      </c>
    </row>
    <row r="5153" spans="1:4">
      <c r="A5153" s="16">
        <v>3102000000</v>
      </c>
      <c r="B5153" s="16">
        <v>0</v>
      </c>
      <c r="C5153" s="16" t="s">
        <v>3424</v>
      </c>
      <c r="D5153" s="16" t="s">
        <v>3403</v>
      </c>
    </row>
    <row r="5154" spans="1:4">
      <c r="A5154" s="16">
        <v>5010000000</v>
      </c>
      <c r="B5154" s="16">
        <v>0</v>
      </c>
      <c r="C5154" s="16" t="s">
        <v>3406</v>
      </c>
      <c r="D5154" s="16" t="s">
        <v>3411</v>
      </c>
    </row>
    <row r="5155" spans="1:4">
      <c r="A5155" s="16">
        <v>6100000000</v>
      </c>
      <c r="B5155" s="16">
        <v>0</v>
      </c>
      <c r="C5155" s="16" t="s">
        <v>3427</v>
      </c>
      <c r="D5155" s="16" t="s">
        <v>3417</v>
      </c>
    </row>
    <row r="5156" spans="1:4">
      <c r="A5156" s="16">
        <v>2203000010</v>
      </c>
      <c r="B5156" s="16">
        <v>0</v>
      </c>
      <c r="C5156" s="16" t="s">
        <v>3415</v>
      </c>
      <c r="D5156" s="16" t="s">
        <v>3403</v>
      </c>
    </row>
    <row r="5157" spans="1:4">
      <c r="A5157" s="16">
        <v>6060110000</v>
      </c>
      <c r="B5157" s="16">
        <v>0</v>
      </c>
      <c r="C5157" s="16" t="s">
        <v>3420</v>
      </c>
      <c r="D5157" s="16" t="s">
        <v>3421</v>
      </c>
    </row>
    <row r="5158" spans="1:4">
      <c r="A5158" s="16">
        <v>3102000000</v>
      </c>
      <c r="B5158" s="16">
        <v>0</v>
      </c>
      <c r="C5158" s="16" t="s">
        <v>3424</v>
      </c>
      <c r="D5158" s="16" t="s">
        <v>3403</v>
      </c>
    </row>
    <row r="5159" spans="1:4">
      <c r="A5159" s="16">
        <v>3100000000</v>
      </c>
      <c r="B5159" s="16">
        <v>-43427297199</v>
      </c>
      <c r="C5159" s="16" t="s">
        <v>3402</v>
      </c>
      <c r="D5159" s="16" t="s">
        <v>3403</v>
      </c>
    </row>
    <row r="5160" spans="1:4">
      <c r="A5160" s="16">
        <v>6700200000</v>
      </c>
      <c r="B5160" s="16">
        <v>0</v>
      </c>
      <c r="C5160" s="16" t="s">
        <v>3404</v>
      </c>
      <c r="D5160" s="16" t="s">
        <v>3409</v>
      </c>
    </row>
    <row r="5161" spans="1:4">
      <c r="A5161" s="16">
        <v>4203000000</v>
      </c>
      <c r="B5161" s="16">
        <v>0</v>
      </c>
      <c r="C5161" s="16" t="s">
        <v>3408</v>
      </c>
      <c r="D5161" s="16" t="s">
        <v>3403</v>
      </c>
    </row>
    <row r="5162" spans="1:4">
      <c r="A5162" s="16">
        <v>6100000020</v>
      </c>
      <c r="B5162" s="16">
        <v>0</v>
      </c>
      <c r="C5162" s="16" t="s">
        <v>3416</v>
      </c>
      <c r="D5162" s="16" t="s">
        <v>3417</v>
      </c>
    </row>
    <row r="5163" spans="1:4">
      <c r="A5163" s="16">
        <v>3810000000</v>
      </c>
      <c r="B5163" s="16">
        <v>0</v>
      </c>
      <c r="C5163" s="16" t="s">
        <v>3402</v>
      </c>
      <c r="D5163" s="16" t="s">
        <v>3403</v>
      </c>
    </row>
    <row r="5164" spans="1:4">
      <c r="A5164" s="16">
        <v>6030000000</v>
      </c>
      <c r="B5164" s="16">
        <v>0</v>
      </c>
      <c r="C5164" s="16" t="s">
        <v>3420</v>
      </c>
      <c r="D5164" s="16" t="s">
        <v>3423</v>
      </c>
    </row>
    <row r="5165" spans="1:4">
      <c r="A5165" s="16">
        <v>3030000000</v>
      </c>
      <c r="B5165" s="16">
        <v>0</v>
      </c>
      <c r="C5165" s="16" t="s">
        <v>3402</v>
      </c>
      <c r="D5165" s="16" t="s">
        <v>3403</v>
      </c>
    </row>
    <row r="5166" spans="1:4">
      <c r="A5166" s="16">
        <v>6700200000</v>
      </c>
      <c r="B5166" s="16">
        <v>0</v>
      </c>
      <c r="C5166" s="16" t="s">
        <v>3404</v>
      </c>
      <c r="D5166" s="16" t="s">
        <v>3409</v>
      </c>
    </row>
    <row r="5167" spans="1:4">
      <c r="A5167" s="16">
        <v>6700000000</v>
      </c>
      <c r="B5167" s="16">
        <v>0</v>
      </c>
      <c r="C5167" s="16" t="s">
        <v>3404</v>
      </c>
      <c r="D5167" s="16" t="s">
        <v>3405</v>
      </c>
    </row>
    <row r="5168" spans="1:4">
      <c r="A5168" s="16">
        <v>2500000000</v>
      </c>
      <c r="B5168" s="16">
        <v>614189</v>
      </c>
      <c r="C5168" s="16" t="s">
        <v>3412</v>
      </c>
      <c r="D5168" s="16" t="s">
        <v>3403</v>
      </c>
    </row>
    <row r="5169" spans="1:4">
      <c r="A5169" s="16">
        <v>5010100000</v>
      </c>
      <c r="B5169" s="16">
        <v>-614189</v>
      </c>
      <c r="C5169" s="16" t="s">
        <v>3406</v>
      </c>
      <c r="D5169" s="16" t="s">
        <v>3407</v>
      </c>
    </row>
    <row r="5170" spans="1:4">
      <c r="A5170" s="16">
        <v>3102000000</v>
      </c>
      <c r="B5170" s="16">
        <v>0</v>
      </c>
      <c r="C5170" s="16" t="s">
        <v>3424</v>
      </c>
      <c r="D5170" s="16" t="s">
        <v>3403</v>
      </c>
    </row>
    <row r="5171" spans="1:4">
      <c r="A5171" s="16">
        <v>6102000000</v>
      </c>
      <c r="B5171" s="16">
        <v>0</v>
      </c>
      <c r="C5171" s="16" t="s">
        <v>3425</v>
      </c>
      <c r="D5171" s="16" t="s">
        <v>3426</v>
      </c>
    </row>
    <row r="5172" spans="1:4">
      <c r="A5172" s="16">
        <v>3032000000</v>
      </c>
      <c r="B5172" s="16">
        <v>0</v>
      </c>
      <c r="C5172" s="16" t="s">
        <v>3424</v>
      </c>
      <c r="D5172" s="16" t="s">
        <v>3403</v>
      </c>
    </row>
    <row r="5173" spans="1:4">
      <c r="A5173" s="16">
        <v>6032000000</v>
      </c>
      <c r="B5173" s="16">
        <v>0</v>
      </c>
      <c r="C5173" s="16" t="s">
        <v>3429</v>
      </c>
      <c r="D5173" s="16" t="s">
        <v>3430</v>
      </c>
    </row>
    <row r="5174" spans="1:4">
      <c r="A5174" s="16">
        <v>6700700000</v>
      </c>
      <c r="B5174" s="16">
        <v>0</v>
      </c>
      <c r="C5174" s="16" t="s">
        <v>3404</v>
      </c>
      <c r="D5174" s="16" t="s">
        <v>3409</v>
      </c>
    </row>
    <row r="5175" spans="1:4">
      <c r="A5175" s="16">
        <v>6700500000</v>
      </c>
      <c r="B5175" s="16">
        <v>0</v>
      </c>
      <c r="C5175" s="16" t="s">
        <v>3404</v>
      </c>
      <c r="D5175" s="16" t="s">
        <v>3405</v>
      </c>
    </row>
    <row r="5176" spans="1:4">
      <c r="A5176" s="16">
        <v>6100000000</v>
      </c>
      <c r="B5176" s="16">
        <v>30770</v>
      </c>
      <c r="C5176" s="16" t="s">
        <v>3416</v>
      </c>
      <c r="D5176" s="16" t="s">
        <v>3417</v>
      </c>
    </row>
    <row r="5177" spans="1:4">
      <c r="A5177" s="16">
        <v>3100000000</v>
      </c>
      <c r="B5177" s="16">
        <v>-30770</v>
      </c>
      <c r="C5177" s="16" t="s">
        <v>3402</v>
      </c>
      <c r="D5177" s="16" t="s">
        <v>3403</v>
      </c>
    </row>
    <row r="5178" spans="1:4">
      <c r="A5178" s="16">
        <v>2201000030</v>
      </c>
      <c r="B5178" s="16">
        <v>5436</v>
      </c>
      <c r="C5178" s="16" t="s">
        <v>3415</v>
      </c>
      <c r="D5178" s="16" t="s">
        <v>3403</v>
      </c>
    </row>
    <row r="5179" spans="1:4">
      <c r="A5179" s="16">
        <v>6700200000</v>
      </c>
      <c r="B5179" s="16">
        <v>-5436</v>
      </c>
      <c r="C5179" s="16" t="s">
        <v>3404</v>
      </c>
      <c r="D5179" s="16" t="s">
        <v>3409</v>
      </c>
    </row>
    <row r="5180" spans="1:4">
      <c r="A5180" s="16">
        <v>3102000000</v>
      </c>
      <c r="B5180" s="16">
        <v>0</v>
      </c>
      <c r="C5180" s="16" t="s">
        <v>3424</v>
      </c>
      <c r="D5180" s="16" t="s">
        <v>3403</v>
      </c>
    </row>
    <row r="5181" spans="1:4">
      <c r="A5181" s="16">
        <v>6102000000</v>
      </c>
      <c r="B5181" s="16">
        <v>0</v>
      </c>
      <c r="C5181" s="16" t="s">
        <v>3425</v>
      </c>
      <c r="D5181" s="16" t="s">
        <v>3426</v>
      </c>
    </row>
    <row r="5182" spans="1:4">
      <c r="A5182" s="16">
        <v>2201000000</v>
      </c>
      <c r="B5182" s="16">
        <v>0</v>
      </c>
      <c r="C5182" s="16" t="s">
        <v>3415</v>
      </c>
      <c r="D5182" s="16" t="s">
        <v>3403</v>
      </c>
    </row>
    <row r="5183" spans="1:4">
      <c r="A5183" s="16">
        <v>6700200000</v>
      </c>
      <c r="B5183" s="16">
        <v>0</v>
      </c>
      <c r="C5183" s="16" t="s">
        <v>3404</v>
      </c>
      <c r="D5183" s="16" t="s">
        <v>3409</v>
      </c>
    </row>
    <row r="5184" spans="1:4">
      <c r="A5184" s="16">
        <v>3032000000</v>
      </c>
      <c r="B5184" s="16">
        <v>731912</v>
      </c>
      <c r="C5184" s="16" t="s">
        <v>3424</v>
      </c>
      <c r="D5184" s="16" t="s">
        <v>3403</v>
      </c>
    </row>
    <row r="5185" spans="1:4">
      <c r="A5185" s="16">
        <v>6032000000</v>
      </c>
      <c r="B5185" s="16">
        <v>-731912</v>
      </c>
      <c r="C5185" s="16" t="s">
        <v>3429</v>
      </c>
      <c r="D5185" s="16" t="s">
        <v>3430</v>
      </c>
    </row>
    <row r="5186" spans="1:4">
      <c r="A5186" s="16">
        <v>6700200000</v>
      </c>
      <c r="B5186" s="16">
        <v>0</v>
      </c>
      <c r="C5186" s="16" t="s">
        <v>3404</v>
      </c>
      <c r="D5186" s="16" t="s">
        <v>3409</v>
      </c>
    </row>
    <row r="5187" spans="1:4">
      <c r="A5187" s="16">
        <v>6700000000</v>
      </c>
      <c r="B5187" s="16">
        <v>0</v>
      </c>
      <c r="C5187" s="16" t="s">
        <v>3404</v>
      </c>
      <c r="D5187" s="16" t="s">
        <v>3405</v>
      </c>
    </row>
    <row r="5188" spans="1:4">
      <c r="A5188" s="16">
        <v>6700700000</v>
      </c>
      <c r="B5188" s="16">
        <v>0</v>
      </c>
      <c r="C5188" s="16" t="s">
        <v>3404</v>
      </c>
      <c r="D5188" s="16" t="s">
        <v>3409</v>
      </c>
    </row>
    <row r="5189" spans="1:4">
      <c r="A5189" s="16">
        <v>6700500000</v>
      </c>
      <c r="B5189" s="16">
        <v>0</v>
      </c>
      <c r="C5189" s="16" t="s">
        <v>3404</v>
      </c>
      <c r="D5189" s="16" t="s">
        <v>3405</v>
      </c>
    </row>
    <row r="5190" spans="1:4">
      <c r="A5190" s="16">
        <v>2500000000</v>
      </c>
      <c r="B5190" s="16">
        <v>0</v>
      </c>
      <c r="C5190" s="16" t="s">
        <v>3412</v>
      </c>
      <c r="D5190" s="16" t="s">
        <v>3403</v>
      </c>
    </row>
    <row r="5191" spans="1:4">
      <c r="A5191" s="16">
        <v>5010000000</v>
      </c>
      <c r="B5191" s="16">
        <v>0</v>
      </c>
      <c r="C5191" s="16" t="s">
        <v>3406</v>
      </c>
      <c r="D5191" s="16" t="s">
        <v>3411</v>
      </c>
    </row>
    <row r="5192" spans="1:4">
      <c r="A5192" s="16">
        <v>6700200000</v>
      </c>
      <c r="B5192" s="16">
        <v>0</v>
      </c>
      <c r="C5192" s="16" t="s">
        <v>3404</v>
      </c>
      <c r="D5192" s="16" t="s">
        <v>3409</v>
      </c>
    </row>
    <row r="5193" spans="1:4">
      <c r="A5193" s="16">
        <v>6700000000</v>
      </c>
      <c r="B5193" s="16">
        <v>0</v>
      </c>
      <c r="C5193" s="16" t="s">
        <v>3404</v>
      </c>
      <c r="D5193" s="16" t="s">
        <v>3405</v>
      </c>
    </row>
    <row r="5194" spans="1:4">
      <c r="A5194" s="16">
        <v>5010100010</v>
      </c>
      <c r="B5194" s="16">
        <v>123</v>
      </c>
      <c r="C5194" s="16" t="s">
        <v>3406</v>
      </c>
      <c r="D5194" s="16" t="s">
        <v>3407</v>
      </c>
    </row>
    <row r="5195" spans="1:4">
      <c r="A5195" s="16">
        <v>3710000000</v>
      </c>
      <c r="B5195" s="16">
        <v>-123</v>
      </c>
      <c r="C5195" s="16" t="s">
        <v>3402</v>
      </c>
      <c r="D5195" s="16" t="s">
        <v>3403</v>
      </c>
    </row>
    <row r="5196" spans="1:4">
      <c r="A5196" s="16">
        <v>2750010000</v>
      </c>
      <c r="B5196" s="16">
        <v>59</v>
      </c>
      <c r="C5196" s="16" t="s">
        <v>3419</v>
      </c>
      <c r="D5196" s="16" t="s">
        <v>3403</v>
      </c>
    </row>
    <row r="5197" spans="1:4">
      <c r="A5197" s="16">
        <v>6610100100</v>
      </c>
      <c r="B5197" s="16">
        <v>-59</v>
      </c>
      <c r="C5197" s="16" t="s">
        <v>3413</v>
      </c>
      <c r="D5197" s="16" t="s">
        <v>3414</v>
      </c>
    </row>
    <row r="5198" spans="1:4">
      <c r="A5198" s="16">
        <v>2500000000</v>
      </c>
      <c r="B5198" s="16">
        <v>0</v>
      </c>
      <c r="C5198" s="16" t="s">
        <v>3412</v>
      </c>
      <c r="D5198" s="16" t="s">
        <v>3403</v>
      </c>
    </row>
    <row r="5199" spans="1:4">
      <c r="A5199" s="16">
        <v>5010100000</v>
      </c>
      <c r="B5199" s="16">
        <v>0</v>
      </c>
      <c r="C5199" s="16" t="s">
        <v>3406</v>
      </c>
      <c r="D5199" s="16" t="s">
        <v>3407</v>
      </c>
    </row>
    <row r="5200" spans="1:4">
      <c r="A5200" s="16">
        <v>6700600000</v>
      </c>
      <c r="B5200" s="16">
        <v>0</v>
      </c>
      <c r="C5200" s="16" t="s">
        <v>3404</v>
      </c>
      <c r="D5200" s="16" t="s">
        <v>3409</v>
      </c>
    </row>
    <row r="5201" spans="1:4">
      <c r="A5201" s="16">
        <v>6700400000</v>
      </c>
      <c r="B5201" s="16">
        <v>0</v>
      </c>
      <c r="C5201" s="16" t="s">
        <v>3404</v>
      </c>
      <c r="D5201" s="16" t="s">
        <v>3405</v>
      </c>
    </row>
    <row r="5202" spans="1:4">
      <c r="A5202" s="16">
        <v>6104000000</v>
      </c>
      <c r="B5202" s="16">
        <v>0</v>
      </c>
      <c r="C5202" s="16" t="s">
        <v>3416</v>
      </c>
      <c r="D5202" s="16" t="s">
        <v>3417</v>
      </c>
    </row>
    <row r="5203" spans="1:4">
      <c r="A5203" s="16">
        <v>3103000000</v>
      </c>
      <c r="B5203" s="16">
        <v>0</v>
      </c>
      <c r="C5203" s="16" t="s">
        <v>3402</v>
      </c>
      <c r="D5203" s="16" t="s">
        <v>3403</v>
      </c>
    </row>
    <row r="5204" spans="1:4">
      <c r="A5204" s="16">
        <v>6700200000</v>
      </c>
      <c r="B5204" s="16">
        <v>0</v>
      </c>
      <c r="C5204" s="16" t="s">
        <v>3404</v>
      </c>
      <c r="D5204" s="16" t="s">
        <v>3409</v>
      </c>
    </row>
    <row r="5205" spans="1:4">
      <c r="A5205" s="16">
        <v>6700100000</v>
      </c>
      <c r="B5205" s="16">
        <v>0</v>
      </c>
      <c r="C5205" s="16" t="s">
        <v>3404</v>
      </c>
      <c r="D5205" s="16" t="s">
        <v>3410</v>
      </c>
    </row>
    <row r="5206" spans="1:4">
      <c r="A5206" s="16">
        <v>6610100000</v>
      </c>
      <c r="B5206" s="16">
        <v>0</v>
      </c>
      <c r="C5206" s="16" t="s">
        <v>3413</v>
      </c>
      <c r="D5206" s="16" t="s">
        <v>3414</v>
      </c>
    </row>
    <row r="5207" spans="1:4">
      <c r="A5207" s="16">
        <v>4203000000</v>
      </c>
      <c r="B5207" s="16">
        <v>0</v>
      </c>
      <c r="C5207" s="16" t="s">
        <v>3408</v>
      </c>
      <c r="D5207" s="16" t="s">
        <v>3403</v>
      </c>
    </row>
    <row r="5208" spans="1:4">
      <c r="A5208" s="16">
        <v>2203000000</v>
      </c>
      <c r="B5208" s="16">
        <v>0</v>
      </c>
      <c r="C5208" s="16" t="s">
        <v>3415</v>
      </c>
      <c r="D5208" s="16" t="s">
        <v>3403</v>
      </c>
    </row>
    <row r="5209" spans="1:4">
      <c r="A5209" s="16">
        <v>6060110000</v>
      </c>
      <c r="B5209" s="16">
        <v>0</v>
      </c>
      <c r="C5209" s="16" t="s">
        <v>3420</v>
      </c>
      <c r="D5209" s="16" t="s">
        <v>3421</v>
      </c>
    </row>
    <row r="5210" spans="1:4">
      <c r="A5210" s="16">
        <v>6700200000</v>
      </c>
      <c r="B5210" s="16">
        <v>0</v>
      </c>
      <c r="C5210" s="16" t="s">
        <v>3404</v>
      </c>
      <c r="D5210" s="16" t="s">
        <v>3409</v>
      </c>
    </row>
    <row r="5211" spans="1:4">
      <c r="A5211" s="16">
        <v>6700100000</v>
      </c>
      <c r="B5211" s="16">
        <v>0</v>
      </c>
      <c r="C5211" s="16" t="s">
        <v>3404</v>
      </c>
      <c r="D5211" s="16" t="s">
        <v>3410</v>
      </c>
    </row>
    <row r="5212" spans="1:4">
      <c r="A5212" s="16">
        <v>6700700000</v>
      </c>
      <c r="B5212" s="16">
        <v>0</v>
      </c>
      <c r="C5212" s="16" t="s">
        <v>3404</v>
      </c>
      <c r="D5212" s="16" t="s">
        <v>3409</v>
      </c>
    </row>
    <row r="5213" spans="1:4">
      <c r="A5213" s="16">
        <v>6700500000</v>
      </c>
      <c r="B5213" s="16">
        <v>0</v>
      </c>
      <c r="C5213" s="16" t="s">
        <v>3404</v>
      </c>
      <c r="D5213" s="16" t="s">
        <v>3405</v>
      </c>
    </row>
    <row r="5214" spans="1:4">
      <c r="A5214" s="16">
        <v>2201300000</v>
      </c>
      <c r="B5214" s="16">
        <v>-3608</v>
      </c>
      <c r="C5214" s="16" t="s">
        <v>3415</v>
      </c>
      <c r="D5214" s="16" t="s">
        <v>3403</v>
      </c>
    </row>
    <row r="5215" spans="1:4">
      <c r="A5215" s="16">
        <v>6700600000</v>
      </c>
      <c r="B5215" s="16">
        <v>3608</v>
      </c>
      <c r="C5215" s="16" t="s">
        <v>3404</v>
      </c>
      <c r="D5215" s="16" t="s">
        <v>3409</v>
      </c>
    </row>
    <row r="5216" spans="1:4">
      <c r="A5216" s="16">
        <v>6700600000</v>
      </c>
      <c r="B5216" s="16">
        <v>0</v>
      </c>
      <c r="C5216" s="16" t="s">
        <v>3404</v>
      </c>
      <c r="D5216" s="16" t="s">
        <v>3409</v>
      </c>
    </row>
    <row r="5217" spans="1:4">
      <c r="A5217" s="16">
        <v>6700400000</v>
      </c>
      <c r="B5217" s="16">
        <v>0</v>
      </c>
      <c r="C5217" s="16" t="s">
        <v>3404</v>
      </c>
      <c r="D5217" s="16" t="s">
        <v>3405</v>
      </c>
    </row>
    <row r="5218" spans="1:4">
      <c r="A5218" s="16">
        <v>6104000000</v>
      </c>
      <c r="B5218" s="16">
        <v>0</v>
      </c>
      <c r="C5218" s="16" t="s">
        <v>3427</v>
      </c>
      <c r="D5218" s="16" t="s">
        <v>3417</v>
      </c>
    </row>
    <row r="5219" spans="1:4">
      <c r="A5219" s="16">
        <v>3103000000</v>
      </c>
      <c r="B5219" s="16">
        <v>0</v>
      </c>
      <c r="C5219" s="16" t="s">
        <v>3402</v>
      </c>
      <c r="D5219" s="16" t="s">
        <v>3403</v>
      </c>
    </row>
    <row r="5220" spans="1:4">
      <c r="A5220" s="16">
        <v>6100000000</v>
      </c>
      <c r="B5220" s="16">
        <v>0</v>
      </c>
      <c r="C5220" s="16" t="s">
        <v>3427</v>
      </c>
      <c r="D5220" s="16" t="s">
        <v>3417</v>
      </c>
    </row>
    <row r="5221" spans="1:4">
      <c r="A5221" s="16">
        <v>3100000000</v>
      </c>
      <c r="B5221" s="16">
        <v>0</v>
      </c>
      <c r="C5221" s="16" t="s">
        <v>3402</v>
      </c>
      <c r="D5221" s="16" t="s">
        <v>3403</v>
      </c>
    </row>
    <row r="5222" spans="1:4">
      <c r="A5222" s="16">
        <v>6700600000</v>
      </c>
      <c r="B5222" s="16">
        <v>0</v>
      </c>
      <c r="C5222" s="16" t="s">
        <v>3404</v>
      </c>
      <c r="D5222" s="16" t="s">
        <v>3409</v>
      </c>
    </row>
    <row r="5223" spans="1:4">
      <c r="A5223" s="16">
        <v>6700400000</v>
      </c>
      <c r="B5223" s="16">
        <v>0</v>
      </c>
      <c r="C5223" s="16" t="s">
        <v>3404</v>
      </c>
      <c r="D5223" s="16" t="s">
        <v>3405</v>
      </c>
    </row>
    <row r="5224" spans="1:4">
      <c r="A5224" s="16">
        <v>2500000000</v>
      </c>
      <c r="B5224" s="16">
        <v>24023364</v>
      </c>
      <c r="C5224" s="16" t="s">
        <v>3412</v>
      </c>
      <c r="D5224" s="16" t="s">
        <v>3403</v>
      </c>
    </row>
    <row r="5225" spans="1:4">
      <c r="A5225" s="16">
        <v>5010100000</v>
      </c>
      <c r="B5225" s="16">
        <v>-24023364</v>
      </c>
      <c r="C5225" s="16" t="s">
        <v>3406</v>
      </c>
      <c r="D5225" s="16" t="s">
        <v>3407</v>
      </c>
    </row>
    <row r="5226" spans="1:4">
      <c r="A5226" s="16">
        <v>5052010000</v>
      </c>
      <c r="B5226" s="16">
        <v>0</v>
      </c>
      <c r="C5226" s="16" t="s">
        <v>3406</v>
      </c>
      <c r="D5226" s="16" t="s">
        <v>3422</v>
      </c>
    </row>
    <row r="5227" spans="1:4">
      <c r="A5227" s="16">
        <v>5052000000</v>
      </c>
      <c r="B5227" s="16">
        <v>0</v>
      </c>
      <c r="C5227" s="16" t="s">
        <v>3406</v>
      </c>
      <c r="D5227" s="16" t="s">
        <v>3422</v>
      </c>
    </row>
    <row r="5228" spans="1:4">
      <c r="A5228" s="16">
        <v>6700700000</v>
      </c>
      <c r="B5228" s="16">
        <v>0</v>
      </c>
      <c r="C5228" s="16" t="s">
        <v>3404</v>
      </c>
      <c r="D5228" s="16" t="s">
        <v>3409</v>
      </c>
    </row>
    <row r="5229" spans="1:4">
      <c r="A5229" s="16">
        <v>6700500000</v>
      </c>
      <c r="B5229" s="16">
        <v>0</v>
      </c>
      <c r="C5229" s="16" t="s">
        <v>3404</v>
      </c>
      <c r="D5229" s="16" t="s">
        <v>3405</v>
      </c>
    </row>
    <row r="5230" spans="1:4">
      <c r="A5230" s="16">
        <v>6700200000</v>
      </c>
      <c r="B5230" s="16">
        <v>0</v>
      </c>
      <c r="C5230" s="16" t="s">
        <v>3404</v>
      </c>
      <c r="D5230" s="16" t="s">
        <v>3409</v>
      </c>
    </row>
    <row r="5231" spans="1:4">
      <c r="A5231" s="16">
        <v>6700000000</v>
      </c>
      <c r="B5231" s="16">
        <v>0</v>
      </c>
      <c r="C5231" s="16" t="s">
        <v>3404</v>
      </c>
      <c r="D5231" s="16" t="s">
        <v>3405</v>
      </c>
    </row>
    <row r="5232" spans="1:4">
      <c r="A5232" s="16">
        <v>6700200000</v>
      </c>
      <c r="B5232" s="16">
        <v>0</v>
      </c>
      <c r="C5232" s="16" t="s">
        <v>3404</v>
      </c>
      <c r="D5232" s="16" t="s">
        <v>3409</v>
      </c>
    </row>
    <row r="5233" spans="1:4">
      <c r="A5233" s="16">
        <v>2201200030</v>
      </c>
      <c r="B5233" s="16">
        <v>0</v>
      </c>
      <c r="C5233" s="16" t="s">
        <v>3415</v>
      </c>
      <c r="D5233" s="16" t="s">
        <v>3403</v>
      </c>
    </row>
    <row r="5234" spans="1:4">
      <c r="A5234" s="16">
        <v>3032000000</v>
      </c>
      <c r="B5234" s="16">
        <v>0</v>
      </c>
      <c r="C5234" s="16" t="s">
        <v>3424</v>
      </c>
      <c r="D5234" s="16" t="s">
        <v>3403</v>
      </c>
    </row>
    <row r="5235" spans="1:4">
      <c r="A5235" s="16">
        <v>6032000000</v>
      </c>
      <c r="B5235" s="16">
        <v>0</v>
      </c>
      <c r="C5235" s="16" t="s">
        <v>3429</v>
      </c>
      <c r="D5235" s="16" t="s">
        <v>3430</v>
      </c>
    </row>
    <row r="5236" spans="1:4">
      <c r="A5236" s="16">
        <v>6610100000</v>
      </c>
      <c r="B5236" s="16">
        <v>2760327</v>
      </c>
      <c r="C5236" s="16" t="s">
        <v>3413</v>
      </c>
      <c r="D5236" s="16" t="s">
        <v>3414</v>
      </c>
    </row>
    <row r="5237" spans="1:4">
      <c r="A5237" s="16">
        <v>4203000000</v>
      </c>
      <c r="B5237" s="16">
        <v>-2760327</v>
      </c>
      <c r="C5237" s="16" t="s">
        <v>3408</v>
      </c>
      <c r="D5237" s="16" t="s">
        <v>3403</v>
      </c>
    </row>
    <row r="5238" spans="1:4">
      <c r="A5238" s="16">
        <v>6610000000</v>
      </c>
      <c r="B5238" s="16">
        <v>0</v>
      </c>
      <c r="C5238" s="16" t="s">
        <v>3413</v>
      </c>
      <c r="D5238" s="16" t="s">
        <v>3418</v>
      </c>
    </row>
    <row r="5239" spans="1:4">
      <c r="A5239" s="16">
        <v>4203000000</v>
      </c>
      <c r="B5239" s="16">
        <v>0</v>
      </c>
      <c r="C5239" s="16" t="s">
        <v>3408</v>
      </c>
      <c r="D5239" s="16" t="s">
        <v>3403</v>
      </c>
    </row>
    <row r="5240" spans="1:4">
      <c r="A5240" s="16">
        <v>6610100000</v>
      </c>
      <c r="B5240" s="16">
        <v>0</v>
      </c>
      <c r="C5240" s="16" t="s">
        <v>3413</v>
      </c>
      <c r="D5240" s="16" t="s">
        <v>3414</v>
      </c>
    </row>
    <row r="5241" spans="1:4">
      <c r="A5241" s="16">
        <v>4203000000</v>
      </c>
      <c r="B5241" s="16">
        <v>0</v>
      </c>
      <c r="C5241" s="16" t="s">
        <v>3408</v>
      </c>
      <c r="D5241" s="16" t="s">
        <v>3403</v>
      </c>
    </row>
    <row r="5242" spans="1:4">
      <c r="A5242" s="16">
        <v>6700200000</v>
      </c>
      <c r="B5242" s="16">
        <v>0</v>
      </c>
      <c r="C5242" s="16" t="s">
        <v>3404</v>
      </c>
      <c r="D5242" s="16" t="s">
        <v>3409</v>
      </c>
    </row>
    <row r="5243" spans="1:4">
      <c r="A5243" s="16">
        <v>6700000000</v>
      </c>
      <c r="B5243" s="16">
        <v>0</v>
      </c>
      <c r="C5243" s="16" t="s">
        <v>3404</v>
      </c>
      <c r="D5243" s="16" t="s">
        <v>3405</v>
      </c>
    </row>
    <row r="5244" spans="1:4">
      <c r="A5244" s="16">
        <v>6100000000</v>
      </c>
      <c r="B5244" s="16">
        <v>0</v>
      </c>
      <c r="C5244" s="16" t="s">
        <v>3427</v>
      </c>
      <c r="D5244" s="16" t="s">
        <v>3417</v>
      </c>
    </row>
    <row r="5245" spans="1:4">
      <c r="A5245" s="16">
        <v>3100000000</v>
      </c>
      <c r="B5245" s="16">
        <v>0</v>
      </c>
      <c r="C5245" s="16" t="s">
        <v>3402</v>
      </c>
      <c r="D5245" s="16" t="s">
        <v>3403</v>
      </c>
    </row>
    <row r="5246" spans="1:4">
      <c r="A5246" s="16">
        <v>6104000000</v>
      </c>
      <c r="B5246" s="16">
        <v>0</v>
      </c>
      <c r="C5246" s="16" t="s">
        <v>3416</v>
      </c>
      <c r="D5246" s="16" t="s">
        <v>3417</v>
      </c>
    </row>
    <row r="5247" spans="1:4">
      <c r="A5247" s="16">
        <v>3103000000</v>
      </c>
      <c r="B5247" s="16">
        <v>0</v>
      </c>
      <c r="C5247" s="16" t="s">
        <v>3402</v>
      </c>
      <c r="D5247" s="16" t="s">
        <v>3403</v>
      </c>
    </row>
    <row r="5248" spans="1:4">
      <c r="A5248" s="16">
        <v>6610100000</v>
      </c>
      <c r="B5248" s="16">
        <v>1425134</v>
      </c>
      <c r="C5248" s="16" t="s">
        <v>3413</v>
      </c>
      <c r="D5248" s="16" t="s">
        <v>3414</v>
      </c>
    </row>
    <row r="5249" spans="1:4">
      <c r="A5249" s="16">
        <v>4203000000</v>
      </c>
      <c r="B5249" s="16">
        <v>-1425134</v>
      </c>
      <c r="C5249" s="16" t="s">
        <v>3408</v>
      </c>
      <c r="D5249" s="16" t="s">
        <v>3403</v>
      </c>
    </row>
    <row r="5250" spans="1:4">
      <c r="A5250" s="16">
        <v>6700600000</v>
      </c>
      <c r="B5250" s="16">
        <v>0</v>
      </c>
      <c r="C5250" s="16" t="s">
        <v>3404</v>
      </c>
      <c r="D5250" s="16" t="s">
        <v>3409</v>
      </c>
    </row>
    <row r="5251" spans="1:4">
      <c r="A5251" s="16">
        <v>6700400000</v>
      </c>
      <c r="B5251" s="16">
        <v>0</v>
      </c>
      <c r="C5251" s="16" t="s">
        <v>3404</v>
      </c>
      <c r="D5251" s="16" t="s">
        <v>3405</v>
      </c>
    </row>
    <row r="5252" spans="1:4">
      <c r="A5252" s="16">
        <v>2500000000</v>
      </c>
      <c r="B5252" s="16">
        <v>0</v>
      </c>
      <c r="C5252" s="16" t="s">
        <v>3412</v>
      </c>
      <c r="D5252" s="16" t="s">
        <v>3403</v>
      </c>
    </row>
    <row r="5253" spans="1:4">
      <c r="A5253" s="16">
        <v>5010100000</v>
      </c>
      <c r="B5253" s="16">
        <v>0</v>
      </c>
      <c r="C5253" s="16" t="s">
        <v>3406</v>
      </c>
      <c r="D5253" s="16" t="s">
        <v>3407</v>
      </c>
    </row>
    <row r="5254" spans="1:4">
      <c r="A5254" s="16">
        <v>6700200000</v>
      </c>
      <c r="B5254" s="16">
        <v>0</v>
      </c>
      <c r="C5254" s="16" t="s">
        <v>3404</v>
      </c>
      <c r="D5254" s="16" t="s">
        <v>3409</v>
      </c>
    </row>
    <row r="5255" spans="1:4">
      <c r="A5255" s="16">
        <v>6700000000</v>
      </c>
      <c r="B5255" s="16">
        <v>0</v>
      </c>
      <c r="C5255" s="16" t="s">
        <v>3404</v>
      </c>
      <c r="D5255" s="16" t="s">
        <v>3405</v>
      </c>
    </row>
    <row r="5256" spans="1:4">
      <c r="A5256" s="16">
        <v>2500000000</v>
      </c>
      <c r="B5256" s="16">
        <v>2497</v>
      </c>
      <c r="C5256" s="16" t="s">
        <v>3412</v>
      </c>
      <c r="D5256" s="16" t="s">
        <v>3403</v>
      </c>
    </row>
    <row r="5257" spans="1:4">
      <c r="A5257" s="16">
        <v>5010100000</v>
      </c>
      <c r="B5257" s="16">
        <v>-2497</v>
      </c>
      <c r="C5257" s="16" t="s">
        <v>3406</v>
      </c>
      <c r="D5257" s="16" t="s">
        <v>3407</v>
      </c>
    </row>
    <row r="5258" spans="1:4">
      <c r="A5258" s="16">
        <v>6100000000</v>
      </c>
      <c r="B5258" s="16">
        <v>7435</v>
      </c>
      <c r="C5258" s="16" t="s">
        <v>3416</v>
      </c>
      <c r="D5258" s="16" t="s">
        <v>3417</v>
      </c>
    </row>
    <row r="5259" spans="1:4">
      <c r="A5259" s="16">
        <v>3100000000</v>
      </c>
      <c r="B5259" s="16">
        <v>-7435</v>
      </c>
      <c r="C5259" s="16" t="s">
        <v>3402</v>
      </c>
      <c r="D5259" s="16" t="s">
        <v>3403</v>
      </c>
    </row>
    <row r="5260" spans="1:4">
      <c r="A5260" s="16">
        <v>6100000020</v>
      </c>
      <c r="B5260" s="16">
        <v>0</v>
      </c>
      <c r="C5260" s="16" t="s">
        <v>3416</v>
      </c>
      <c r="D5260" s="16" t="s">
        <v>3417</v>
      </c>
    </row>
    <row r="5261" spans="1:4">
      <c r="A5261" s="16">
        <v>3810000000</v>
      </c>
      <c r="B5261" s="16">
        <v>0</v>
      </c>
      <c r="C5261" s="16" t="s">
        <v>3402</v>
      </c>
      <c r="D5261" s="16" t="s">
        <v>3403</v>
      </c>
    </row>
    <row r="5262" spans="1:4">
      <c r="A5262" s="16">
        <v>4611000000</v>
      </c>
      <c r="B5262" s="16">
        <v>0</v>
      </c>
      <c r="C5262" s="16" t="s">
        <v>3428</v>
      </c>
      <c r="D5262" s="16" t="s">
        <v>3403</v>
      </c>
    </row>
    <row r="5263" spans="1:4">
      <c r="A5263" s="16">
        <v>3800000010</v>
      </c>
      <c r="B5263" s="16">
        <v>0</v>
      </c>
      <c r="C5263" s="16" t="s">
        <v>3402</v>
      </c>
      <c r="D5263" s="16" t="s">
        <v>3403</v>
      </c>
    </row>
    <row r="5264" spans="1:4">
      <c r="A5264" s="16">
        <v>2500000000</v>
      </c>
      <c r="B5264" s="16">
        <v>0</v>
      </c>
      <c r="C5264" s="16" t="s">
        <v>3412</v>
      </c>
      <c r="D5264" s="16" t="s">
        <v>3403</v>
      </c>
    </row>
    <row r="5265" spans="1:4">
      <c r="A5265" s="16">
        <v>5010000000</v>
      </c>
      <c r="B5265" s="16">
        <v>0</v>
      </c>
      <c r="C5265" s="16" t="s">
        <v>3406</v>
      </c>
      <c r="D5265" s="16" t="s">
        <v>3411</v>
      </c>
    </row>
    <row r="5266" spans="1:4">
      <c r="A5266" s="16">
        <v>6060010000</v>
      </c>
      <c r="B5266" s="16">
        <v>0</v>
      </c>
      <c r="C5266" s="16" t="s">
        <v>3420</v>
      </c>
      <c r="D5266" s="16" t="s">
        <v>3421</v>
      </c>
    </row>
    <row r="5267" spans="1:4">
      <c r="A5267" s="16">
        <v>5052000000</v>
      </c>
      <c r="B5267" s="16">
        <v>0</v>
      </c>
      <c r="C5267" s="16" t="s">
        <v>3406</v>
      </c>
      <c r="D5267" s="16" t="s">
        <v>3422</v>
      </c>
    </row>
    <row r="5268" spans="1:4">
      <c r="A5268" s="16">
        <v>6700700000</v>
      </c>
      <c r="B5268" s="16">
        <v>0</v>
      </c>
      <c r="C5268" s="16" t="s">
        <v>3404</v>
      </c>
      <c r="D5268" s="16" t="s">
        <v>3409</v>
      </c>
    </row>
    <row r="5269" spans="1:4">
      <c r="A5269" s="16">
        <v>6700500000</v>
      </c>
      <c r="B5269" s="16">
        <v>0</v>
      </c>
      <c r="C5269" s="16" t="s">
        <v>3404</v>
      </c>
      <c r="D5269" s="16" t="s">
        <v>3405</v>
      </c>
    </row>
    <row r="5270" spans="1:4">
      <c r="A5270" s="16">
        <v>2201000030</v>
      </c>
      <c r="B5270" s="16">
        <v>0</v>
      </c>
      <c r="C5270" s="16" t="s">
        <v>3415</v>
      </c>
      <c r="D5270" s="16" t="s">
        <v>3403</v>
      </c>
    </row>
    <row r="5271" spans="1:4">
      <c r="A5271" s="16">
        <v>6700200000</v>
      </c>
      <c r="B5271" s="16">
        <v>0</v>
      </c>
      <c r="C5271" s="16" t="s">
        <v>3404</v>
      </c>
      <c r="D5271" s="16" t="s">
        <v>3409</v>
      </c>
    </row>
    <row r="5272" spans="1:4">
      <c r="A5272" s="16">
        <v>6150000000</v>
      </c>
      <c r="B5272" s="16">
        <v>0</v>
      </c>
      <c r="C5272" s="16" t="s">
        <v>3416</v>
      </c>
      <c r="D5272" s="16" t="s">
        <v>3417</v>
      </c>
    </row>
    <row r="5273" spans="1:4">
      <c r="A5273" s="16">
        <v>3510000000</v>
      </c>
      <c r="B5273" s="16">
        <v>0</v>
      </c>
      <c r="C5273" s="16" t="s">
        <v>3402</v>
      </c>
      <c r="D5273" s="16" t="s">
        <v>3403</v>
      </c>
    </row>
    <row r="5274" spans="1:4">
      <c r="A5274" s="16">
        <v>6610000000</v>
      </c>
      <c r="B5274" s="16">
        <v>0</v>
      </c>
      <c r="C5274" s="16" t="s">
        <v>3413</v>
      </c>
      <c r="D5274" s="16" t="s">
        <v>3418</v>
      </c>
    </row>
    <row r="5275" spans="1:4">
      <c r="A5275" s="16">
        <v>4203000000</v>
      </c>
      <c r="B5275" s="16">
        <v>0</v>
      </c>
      <c r="C5275" s="16" t="s">
        <v>3408</v>
      </c>
      <c r="D5275" s="16" t="s">
        <v>3403</v>
      </c>
    </row>
    <row r="5276" spans="1:4">
      <c r="A5276" s="16">
        <v>6700600000</v>
      </c>
      <c r="B5276" s="16">
        <v>0</v>
      </c>
      <c r="C5276" s="16" t="s">
        <v>3404</v>
      </c>
      <c r="D5276" s="16" t="s">
        <v>3409</v>
      </c>
    </row>
    <row r="5277" spans="1:4">
      <c r="A5277" s="16">
        <v>6700400000</v>
      </c>
      <c r="B5277" s="16">
        <v>0</v>
      </c>
      <c r="C5277" s="16" t="s">
        <v>3404</v>
      </c>
      <c r="D5277" s="16" t="s">
        <v>3405</v>
      </c>
    </row>
    <row r="5278" spans="1:4">
      <c r="A5278" s="16">
        <v>6700700000</v>
      </c>
      <c r="B5278" s="16">
        <v>0</v>
      </c>
      <c r="C5278" s="16" t="s">
        <v>3404</v>
      </c>
      <c r="D5278" s="16" t="s">
        <v>3409</v>
      </c>
    </row>
    <row r="5279" spans="1:4">
      <c r="A5279" s="16">
        <v>6700500000</v>
      </c>
      <c r="B5279" s="16">
        <v>0</v>
      </c>
      <c r="C5279" s="16" t="s">
        <v>3404</v>
      </c>
      <c r="D5279" s="16" t="s">
        <v>3405</v>
      </c>
    </row>
    <row r="5280" spans="1:4">
      <c r="A5280" s="16">
        <v>6700200000</v>
      </c>
      <c r="B5280" s="16">
        <v>0</v>
      </c>
      <c r="C5280" s="16" t="s">
        <v>3404</v>
      </c>
      <c r="D5280" s="16" t="s">
        <v>3409</v>
      </c>
    </row>
    <row r="5281" spans="1:4">
      <c r="A5281" s="16">
        <v>6700100000</v>
      </c>
      <c r="B5281" s="16">
        <v>0</v>
      </c>
      <c r="C5281" s="16" t="s">
        <v>3404</v>
      </c>
      <c r="D5281" s="16" t="s">
        <v>3410</v>
      </c>
    </row>
    <row r="5282" spans="1:4">
      <c r="A5282" s="16">
        <v>6700200000</v>
      </c>
      <c r="B5282" s="16">
        <v>0</v>
      </c>
      <c r="C5282" s="16" t="s">
        <v>3404</v>
      </c>
      <c r="D5282" s="16" t="s">
        <v>3409</v>
      </c>
    </row>
    <row r="5283" spans="1:4">
      <c r="A5283" s="16">
        <v>6700000000</v>
      </c>
      <c r="B5283" s="16">
        <v>0</v>
      </c>
      <c r="C5283" s="16" t="s">
        <v>3404</v>
      </c>
      <c r="D5283" s="16" t="s">
        <v>3405</v>
      </c>
    </row>
    <row r="5284" spans="1:4">
      <c r="A5284" s="16">
        <v>3102000000</v>
      </c>
      <c r="B5284" s="16">
        <v>0</v>
      </c>
      <c r="C5284" s="16" t="s">
        <v>3424</v>
      </c>
      <c r="D5284" s="16" t="s">
        <v>3403</v>
      </c>
    </row>
    <row r="5285" spans="1:4">
      <c r="A5285" s="16">
        <v>6102000000</v>
      </c>
      <c r="B5285" s="16">
        <v>0</v>
      </c>
      <c r="C5285" s="16" t="s">
        <v>3425</v>
      </c>
      <c r="D5285" s="16" t="s">
        <v>3426</v>
      </c>
    </row>
    <row r="5286" spans="1:4">
      <c r="A5286" s="16">
        <v>2750010000</v>
      </c>
      <c r="B5286" s="16">
        <v>0</v>
      </c>
      <c r="C5286" s="16" t="s">
        <v>3419</v>
      </c>
      <c r="D5286" s="16" t="s">
        <v>3403</v>
      </c>
    </row>
    <row r="5287" spans="1:4">
      <c r="A5287" s="16">
        <v>6610000100</v>
      </c>
      <c r="B5287" s="16">
        <v>0</v>
      </c>
      <c r="C5287" s="16" t="s">
        <v>3413</v>
      </c>
      <c r="D5287" s="16" t="s">
        <v>3418</v>
      </c>
    </row>
    <row r="5288" spans="1:4">
      <c r="A5288" s="16">
        <v>5010100010</v>
      </c>
      <c r="B5288" s="16">
        <v>0</v>
      </c>
      <c r="C5288" s="16" t="s">
        <v>3406</v>
      </c>
      <c r="D5288" s="16" t="s">
        <v>3407</v>
      </c>
    </row>
    <row r="5289" spans="1:4">
      <c r="A5289" s="16">
        <v>3710000000</v>
      </c>
      <c r="B5289" s="16">
        <v>0</v>
      </c>
      <c r="C5289" s="16" t="s">
        <v>3402</v>
      </c>
      <c r="D5289" s="16" t="s">
        <v>3403</v>
      </c>
    </row>
    <row r="5290" spans="1:4">
      <c r="A5290" s="16">
        <v>6104000000</v>
      </c>
      <c r="B5290" s="16">
        <v>0</v>
      </c>
      <c r="C5290" s="16" t="s">
        <v>3416</v>
      </c>
      <c r="D5290" s="16" t="s">
        <v>3417</v>
      </c>
    </row>
    <row r="5291" spans="1:4">
      <c r="A5291" s="16">
        <v>3103000000</v>
      </c>
      <c r="B5291" s="16">
        <v>0</v>
      </c>
      <c r="C5291" s="16" t="s">
        <v>3402</v>
      </c>
      <c r="D5291" s="16" t="s">
        <v>3403</v>
      </c>
    </row>
    <row r="5292" spans="1:4">
      <c r="A5292" s="16">
        <v>6700200000</v>
      </c>
      <c r="B5292" s="16">
        <v>0</v>
      </c>
      <c r="C5292" s="16" t="s">
        <v>3404</v>
      </c>
      <c r="D5292" s="16" t="s">
        <v>3409</v>
      </c>
    </row>
    <row r="5293" spans="1:4">
      <c r="A5293" s="16">
        <v>6700000000</v>
      </c>
      <c r="B5293" s="16">
        <v>0</v>
      </c>
      <c r="C5293" s="16" t="s">
        <v>3404</v>
      </c>
      <c r="D5293" s="16" t="s">
        <v>3405</v>
      </c>
    </row>
    <row r="5294" spans="1:4">
      <c r="A5294" s="16">
        <v>2750010000</v>
      </c>
      <c r="B5294" s="16">
        <v>0</v>
      </c>
      <c r="C5294" s="16" t="s">
        <v>3419</v>
      </c>
      <c r="D5294" s="16" t="s">
        <v>3403</v>
      </c>
    </row>
    <row r="5295" spans="1:4">
      <c r="A5295" s="16">
        <v>6610100100</v>
      </c>
      <c r="B5295" s="16">
        <v>0</v>
      </c>
      <c r="C5295" s="16" t="s">
        <v>3413</v>
      </c>
      <c r="D5295" s="16" t="s">
        <v>3414</v>
      </c>
    </row>
    <row r="5296" spans="1:4">
      <c r="A5296" s="16">
        <v>2500000000</v>
      </c>
      <c r="B5296" s="16">
        <v>0</v>
      </c>
      <c r="C5296" s="16" t="s">
        <v>3412</v>
      </c>
      <c r="D5296" s="16" t="s">
        <v>3403</v>
      </c>
    </row>
    <row r="5297" spans="1:4">
      <c r="A5297" s="16">
        <v>5010100000</v>
      </c>
      <c r="B5297" s="16">
        <v>0</v>
      </c>
      <c r="C5297" s="16" t="s">
        <v>3406</v>
      </c>
      <c r="D5297" s="16" t="s">
        <v>3407</v>
      </c>
    </row>
    <row r="5298" spans="1:4">
      <c r="A5298" s="16">
        <v>2500000000</v>
      </c>
      <c r="B5298" s="16">
        <v>0</v>
      </c>
      <c r="C5298" s="16" t="s">
        <v>3412</v>
      </c>
      <c r="D5298" s="16" t="s">
        <v>3403</v>
      </c>
    </row>
    <row r="5299" spans="1:4">
      <c r="A5299" s="16">
        <v>5010000000</v>
      </c>
      <c r="B5299" s="16">
        <v>0</v>
      </c>
      <c r="C5299" s="16" t="s">
        <v>3406</v>
      </c>
      <c r="D5299" s="16" t="s">
        <v>3411</v>
      </c>
    </row>
    <row r="5300" spans="1:4">
      <c r="A5300" s="16">
        <v>6610000000</v>
      </c>
      <c r="B5300" s="16">
        <v>0</v>
      </c>
      <c r="C5300" s="16" t="s">
        <v>3413</v>
      </c>
      <c r="D5300" s="16" t="s">
        <v>3418</v>
      </c>
    </row>
    <row r="5301" spans="1:4">
      <c r="A5301" s="16">
        <v>4203000000</v>
      </c>
      <c r="B5301" s="16">
        <v>0</v>
      </c>
      <c r="C5301" s="16" t="s">
        <v>3408</v>
      </c>
      <c r="D5301" s="16" t="s">
        <v>3403</v>
      </c>
    </row>
    <row r="5302" spans="1:4">
      <c r="A5302" s="16">
        <v>6104001000</v>
      </c>
      <c r="B5302" s="16">
        <v>0</v>
      </c>
      <c r="C5302" s="16" t="s">
        <v>3416</v>
      </c>
      <c r="D5302" s="16" t="s">
        <v>3417</v>
      </c>
    </row>
    <row r="5303" spans="1:4">
      <c r="A5303" s="16">
        <v>3103001000</v>
      </c>
      <c r="B5303" s="16">
        <v>0</v>
      </c>
      <c r="C5303" s="16" t="s">
        <v>3402</v>
      </c>
      <c r="D5303" s="16" t="s">
        <v>3403</v>
      </c>
    </row>
    <row r="5304" spans="1:4">
      <c r="A5304" s="16">
        <v>6700200000</v>
      </c>
      <c r="B5304" s="16">
        <v>0</v>
      </c>
      <c r="C5304" s="16" t="s">
        <v>3404</v>
      </c>
      <c r="D5304" s="16" t="s">
        <v>3409</v>
      </c>
    </row>
    <row r="5305" spans="1:4">
      <c r="A5305" s="16">
        <v>6700100000</v>
      </c>
      <c r="B5305" s="16">
        <v>0</v>
      </c>
      <c r="C5305" s="16" t="s">
        <v>3404</v>
      </c>
      <c r="D5305" s="16" t="s">
        <v>3410</v>
      </c>
    </row>
    <row r="5306" spans="1:4">
      <c r="A5306" s="16">
        <v>6700600000</v>
      </c>
      <c r="B5306" s="16">
        <v>0</v>
      </c>
      <c r="C5306" s="16" t="s">
        <v>3404</v>
      </c>
      <c r="D5306" s="16" t="s">
        <v>3409</v>
      </c>
    </row>
    <row r="5307" spans="1:4">
      <c r="A5307" s="16">
        <v>6700400000</v>
      </c>
      <c r="B5307" s="16">
        <v>0</v>
      </c>
      <c r="C5307" s="16" t="s">
        <v>3404</v>
      </c>
      <c r="D5307" s="16" t="s">
        <v>3405</v>
      </c>
    </row>
    <row r="5308" spans="1:4">
      <c r="A5308" s="16">
        <v>2201000030</v>
      </c>
      <c r="B5308" s="16">
        <v>0</v>
      </c>
      <c r="C5308" s="16" t="s">
        <v>3415</v>
      </c>
      <c r="D5308" s="16" t="s">
        <v>3403</v>
      </c>
    </row>
    <row r="5309" spans="1:4">
      <c r="A5309" s="16">
        <v>6700200000</v>
      </c>
      <c r="B5309" s="16">
        <v>0</v>
      </c>
      <c r="C5309" s="16" t="s">
        <v>3404</v>
      </c>
      <c r="D5309" s="16" t="s">
        <v>3409</v>
      </c>
    </row>
    <row r="5310" spans="1:4">
      <c r="A5310" s="16">
        <v>6610100000</v>
      </c>
      <c r="B5310" s="16">
        <v>113350</v>
      </c>
      <c r="C5310" s="16" t="s">
        <v>3413</v>
      </c>
      <c r="D5310" s="16" t="s">
        <v>3414</v>
      </c>
    </row>
    <row r="5311" spans="1:4">
      <c r="A5311" s="16">
        <v>4203000000</v>
      </c>
      <c r="B5311" s="16">
        <v>-113350</v>
      </c>
      <c r="C5311" s="16" t="s">
        <v>3408</v>
      </c>
      <c r="D5311" s="16" t="s">
        <v>3403</v>
      </c>
    </row>
    <row r="5312" spans="1:4">
      <c r="A5312" s="16">
        <v>6060010000</v>
      </c>
      <c r="B5312" s="16">
        <v>0</v>
      </c>
      <c r="C5312" s="16" t="s">
        <v>3420</v>
      </c>
      <c r="D5312" s="16" t="s">
        <v>3421</v>
      </c>
    </row>
    <row r="5313" spans="1:4">
      <c r="A5313" s="16">
        <v>5052000000</v>
      </c>
      <c r="B5313" s="16">
        <v>0</v>
      </c>
      <c r="C5313" s="16" t="s">
        <v>3406</v>
      </c>
      <c r="D5313" s="16" t="s">
        <v>3422</v>
      </c>
    </row>
    <row r="5314" spans="1:4">
      <c r="A5314" s="16">
        <v>6100000000</v>
      </c>
      <c r="B5314" s="16">
        <v>0</v>
      </c>
      <c r="C5314" s="16" t="s">
        <v>3416</v>
      </c>
      <c r="D5314" s="16" t="s">
        <v>3417</v>
      </c>
    </row>
    <row r="5315" spans="1:4">
      <c r="A5315" s="16">
        <v>3100000000</v>
      </c>
      <c r="B5315" s="16">
        <v>0</v>
      </c>
      <c r="C5315" s="16" t="s">
        <v>3402</v>
      </c>
      <c r="D5315" s="16" t="s">
        <v>3403</v>
      </c>
    </row>
    <row r="5316" spans="1:4">
      <c r="A5316" s="16">
        <v>6030000000</v>
      </c>
      <c r="B5316" s="16">
        <v>0</v>
      </c>
      <c r="C5316" s="16" t="s">
        <v>3420</v>
      </c>
      <c r="D5316" s="16" t="s">
        <v>3423</v>
      </c>
    </row>
    <row r="5317" spans="1:4">
      <c r="A5317" s="16">
        <v>3030000000</v>
      </c>
      <c r="B5317" s="16">
        <v>0</v>
      </c>
      <c r="C5317" s="16" t="s">
        <v>3402</v>
      </c>
      <c r="D5317" s="16" t="s">
        <v>3403</v>
      </c>
    </row>
    <row r="5318" spans="1:4">
      <c r="A5318" s="16">
        <v>2201000000</v>
      </c>
      <c r="B5318" s="16">
        <v>0</v>
      </c>
      <c r="C5318" s="16" t="s">
        <v>3415</v>
      </c>
      <c r="D5318" s="16" t="s">
        <v>3403</v>
      </c>
    </row>
    <row r="5319" spans="1:4">
      <c r="A5319" s="16">
        <v>6700200000</v>
      </c>
      <c r="B5319" s="16">
        <v>0</v>
      </c>
      <c r="C5319" s="16" t="s">
        <v>3404</v>
      </c>
      <c r="D5319" s="16" t="s">
        <v>3409</v>
      </c>
    </row>
    <row r="5320" spans="1:4">
      <c r="A5320" s="16">
        <v>2750010000</v>
      </c>
      <c r="B5320" s="16">
        <v>0</v>
      </c>
      <c r="C5320" s="16" t="s">
        <v>3419</v>
      </c>
      <c r="D5320" s="16" t="s">
        <v>3403</v>
      </c>
    </row>
    <row r="5321" spans="1:4">
      <c r="A5321" s="16">
        <v>6610000100</v>
      </c>
      <c r="B5321" s="16">
        <v>0</v>
      </c>
      <c r="C5321" s="16" t="s">
        <v>3413</v>
      </c>
      <c r="D5321" s="16" t="s">
        <v>3418</v>
      </c>
    </row>
    <row r="5322" spans="1:4">
      <c r="A5322" s="16">
        <v>6100000020</v>
      </c>
      <c r="B5322" s="16">
        <v>0</v>
      </c>
      <c r="C5322" s="16" t="s">
        <v>3416</v>
      </c>
      <c r="D5322" s="16" t="s">
        <v>3417</v>
      </c>
    </row>
    <row r="5323" spans="1:4">
      <c r="A5323" s="16">
        <v>3810000000</v>
      </c>
      <c r="B5323" s="16">
        <v>0</v>
      </c>
      <c r="C5323" s="16" t="s">
        <v>3402</v>
      </c>
      <c r="D5323" s="16" t="s">
        <v>3403</v>
      </c>
    </row>
    <row r="5324" spans="1:4">
      <c r="A5324" s="16">
        <v>6610000000</v>
      </c>
      <c r="B5324" s="16">
        <v>15372</v>
      </c>
      <c r="C5324" s="16" t="s">
        <v>3413</v>
      </c>
      <c r="D5324" s="16" t="s">
        <v>3418</v>
      </c>
    </row>
    <row r="5325" spans="1:4">
      <c r="A5325" s="16">
        <v>4203000000</v>
      </c>
      <c r="B5325" s="16">
        <v>-15372</v>
      </c>
      <c r="C5325" s="16" t="s">
        <v>3408</v>
      </c>
      <c r="D5325" s="16" t="s">
        <v>3403</v>
      </c>
    </row>
    <row r="5326" spans="1:4">
      <c r="A5326" s="16">
        <v>6700600000</v>
      </c>
      <c r="B5326" s="16">
        <v>0</v>
      </c>
      <c r="C5326" s="16" t="s">
        <v>3404</v>
      </c>
      <c r="D5326" s="16" t="s">
        <v>3409</v>
      </c>
    </row>
    <row r="5327" spans="1:4">
      <c r="A5327" s="16">
        <v>6700400000</v>
      </c>
      <c r="B5327" s="16">
        <v>0</v>
      </c>
      <c r="C5327" s="16" t="s">
        <v>3404</v>
      </c>
      <c r="D5327" s="16" t="s">
        <v>3405</v>
      </c>
    </row>
    <row r="5328" spans="1:4">
      <c r="A5328" s="16">
        <v>6700200000</v>
      </c>
      <c r="B5328" s="16">
        <v>0</v>
      </c>
      <c r="C5328" s="16" t="s">
        <v>3404</v>
      </c>
      <c r="D5328" s="16" t="s">
        <v>3409</v>
      </c>
    </row>
    <row r="5329" spans="1:4">
      <c r="A5329" s="16">
        <v>6700100000</v>
      </c>
      <c r="B5329" s="16">
        <v>0</v>
      </c>
      <c r="C5329" s="16" t="s">
        <v>3404</v>
      </c>
      <c r="D5329" s="16" t="s">
        <v>3410</v>
      </c>
    </row>
    <row r="5330" spans="1:4">
      <c r="A5330" s="16">
        <v>6030000000</v>
      </c>
      <c r="B5330" s="16">
        <v>25803</v>
      </c>
      <c r="C5330" s="16" t="s">
        <v>3420</v>
      </c>
      <c r="D5330" s="16" t="s">
        <v>3423</v>
      </c>
    </row>
    <row r="5331" spans="1:4">
      <c r="A5331" s="16">
        <v>3030000000</v>
      </c>
      <c r="B5331" s="16">
        <v>-25803</v>
      </c>
      <c r="C5331" s="16" t="s">
        <v>3402</v>
      </c>
      <c r="D5331" s="16" t="s">
        <v>3403</v>
      </c>
    </row>
    <row r="5332" spans="1:4">
      <c r="A5332" s="16">
        <v>6700700000</v>
      </c>
      <c r="B5332" s="16">
        <v>0</v>
      </c>
      <c r="C5332" s="16" t="s">
        <v>3404</v>
      </c>
      <c r="D5332" s="16" t="s">
        <v>3409</v>
      </c>
    </row>
    <row r="5333" spans="1:4">
      <c r="A5333" s="16">
        <v>6700500000</v>
      </c>
      <c r="B5333" s="16">
        <v>0</v>
      </c>
      <c r="C5333" s="16" t="s">
        <v>3404</v>
      </c>
      <c r="D5333" s="16" t="s">
        <v>3405</v>
      </c>
    </row>
    <row r="5334" spans="1:4">
      <c r="A5334" s="16">
        <v>5010000010</v>
      </c>
      <c r="B5334" s="16">
        <v>0</v>
      </c>
      <c r="C5334" s="16" t="s">
        <v>3406</v>
      </c>
      <c r="D5334" s="16" t="s">
        <v>3411</v>
      </c>
    </row>
    <row r="5335" spans="1:4">
      <c r="A5335" s="16">
        <v>3710000000</v>
      </c>
      <c r="B5335" s="16">
        <v>0</v>
      </c>
      <c r="C5335" s="16" t="s">
        <v>3402</v>
      </c>
      <c r="D5335" s="16" t="s">
        <v>3403</v>
      </c>
    </row>
    <row r="5336" spans="1:4">
      <c r="A5336" s="16">
        <v>2750010000</v>
      </c>
      <c r="B5336" s="16">
        <v>0</v>
      </c>
      <c r="C5336" s="16" t="s">
        <v>3419</v>
      </c>
      <c r="D5336" s="16" t="s">
        <v>3403</v>
      </c>
    </row>
    <row r="5337" spans="1:4">
      <c r="A5337" s="16">
        <v>6610000100</v>
      </c>
      <c r="B5337" s="16">
        <v>0</v>
      </c>
      <c r="C5337" s="16" t="s">
        <v>3413</v>
      </c>
      <c r="D5337" s="16" t="s">
        <v>3418</v>
      </c>
    </row>
    <row r="5338" spans="1:4">
      <c r="A5338" s="16">
        <v>6700700000</v>
      </c>
      <c r="B5338" s="16">
        <v>0</v>
      </c>
      <c r="C5338" s="16" t="s">
        <v>3404</v>
      </c>
      <c r="D5338" s="16" t="s">
        <v>3409</v>
      </c>
    </row>
    <row r="5339" spans="1:4">
      <c r="A5339" s="16">
        <v>6700500000</v>
      </c>
      <c r="B5339" s="16">
        <v>0</v>
      </c>
      <c r="C5339" s="16" t="s">
        <v>3404</v>
      </c>
      <c r="D5339" s="16" t="s">
        <v>3405</v>
      </c>
    </row>
    <row r="5340" spans="1:4">
      <c r="A5340" s="16">
        <v>6700600000</v>
      </c>
      <c r="B5340" s="16">
        <v>0</v>
      </c>
      <c r="C5340" s="16" t="s">
        <v>3404</v>
      </c>
      <c r="D5340" s="16" t="s">
        <v>3409</v>
      </c>
    </row>
    <row r="5341" spans="1:4">
      <c r="A5341" s="16">
        <v>6700400000</v>
      </c>
      <c r="B5341" s="16">
        <v>0</v>
      </c>
      <c r="C5341" s="16" t="s">
        <v>3404</v>
      </c>
      <c r="D5341" s="16" t="s">
        <v>3405</v>
      </c>
    </row>
    <row r="5342" spans="1:4">
      <c r="A5342" s="16">
        <v>3102000000</v>
      </c>
      <c r="B5342" s="16">
        <v>0</v>
      </c>
      <c r="C5342" s="16" t="s">
        <v>3424</v>
      </c>
      <c r="D5342" s="16" t="s">
        <v>3403</v>
      </c>
    </row>
    <row r="5343" spans="1:4">
      <c r="A5343" s="16">
        <v>6102000000</v>
      </c>
      <c r="B5343" s="16">
        <v>0</v>
      </c>
      <c r="C5343" s="16" t="s">
        <v>3425</v>
      </c>
      <c r="D5343" s="16" t="s">
        <v>3426</v>
      </c>
    </row>
    <row r="5344" spans="1:4">
      <c r="A5344" s="16">
        <v>2201000030</v>
      </c>
      <c r="B5344" s="16">
        <v>0</v>
      </c>
      <c r="C5344" s="16" t="s">
        <v>3415</v>
      </c>
      <c r="D5344" s="16" t="s">
        <v>3403</v>
      </c>
    </row>
    <row r="5345" spans="1:4">
      <c r="A5345" s="16">
        <v>6700200000</v>
      </c>
      <c r="B5345" s="16">
        <v>0</v>
      </c>
      <c r="C5345" s="16" t="s">
        <v>3404</v>
      </c>
      <c r="D5345" s="16" t="s">
        <v>3409</v>
      </c>
    </row>
    <row r="5346" spans="1:4">
      <c r="A5346" s="16">
        <v>4611000000</v>
      </c>
      <c r="B5346" s="16">
        <v>0</v>
      </c>
      <c r="C5346" s="16" t="s">
        <v>3428</v>
      </c>
      <c r="D5346" s="16" t="s">
        <v>3403</v>
      </c>
    </row>
    <row r="5347" spans="1:4">
      <c r="A5347" s="16">
        <v>3800000010</v>
      </c>
      <c r="B5347" s="16">
        <v>0</v>
      </c>
      <c r="C5347" s="16" t="s">
        <v>3402</v>
      </c>
      <c r="D5347" s="16" t="s">
        <v>3403</v>
      </c>
    </row>
    <row r="5348" spans="1:4">
      <c r="A5348" s="16">
        <v>6610000000</v>
      </c>
      <c r="B5348" s="16">
        <v>0</v>
      </c>
      <c r="C5348" s="16" t="s">
        <v>3413</v>
      </c>
      <c r="D5348" s="16" t="s">
        <v>3418</v>
      </c>
    </row>
    <row r="5349" spans="1:4">
      <c r="A5349" s="16">
        <v>4203000000</v>
      </c>
      <c r="B5349" s="16">
        <v>0</v>
      </c>
      <c r="C5349" s="16" t="s">
        <v>3408</v>
      </c>
      <c r="D5349" s="16" t="s">
        <v>3403</v>
      </c>
    </row>
    <row r="5350" spans="1:4">
      <c r="A5350" s="16">
        <v>6700700000</v>
      </c>
      <c r="B5350" s="16">
        <v>0</v>
      </c>
      <c r="C5350" s="16" t="s">
        <v>3404</v>
      </c>
      <c r="D5350" s="16" t="s">
        <v>3409</v>
      </c>
    </row>
    <row r="5351" spans="1:4">
      <c r="A5351" s="16">
        <v>6700500000</v>
      </c>
      <c r="B5351" s="16">
        <v>0</v>
      </c>
      <c r="C5351" s="16" t="s">
        <v>3404</v>
      </c>
      <c r="D5351" s="16" t="s">
        <v>3405</v>
      </c>
    </row>
    <row r="5352" spans="1:4">
      <c r="A5352" s="16">
        <v>2201000000</v>
      </c>
      <c r="B5352" s="16">
        <v>1275634</v>
      </c>
      <c r="C5352" s="16" t="s">
        <v>3415</v>
      </c>
      <c r="D5352" s="16" t="s">
        <v>3403</v>
      </c>
    </row>
    <row r="5353" spans="1:4">
      <c r="A5353" s="16">
        <v>6700200000</v>
      </c>
      <c r="B5353" s="16">
        <v>-1275634</v>
      </c>
      <c r="C5353" s="16" t="s">
        <v>3404</v>
      </c>
      <c r="D5353" s="16" t="s">
        <v>3409</v>
      </c>
    </row>
    <row r="5354" spans="1:4">
      <c r="A5354" s="16">
        <v>6700700000</v>
      </c>
      <c r="B5354" s="16">
        <v>0</v>
      </c>
      <c r="C5354" s="16" t="s">
        <v>3404</v>
      </c>
      <c r="D5354" s="16" t="s">
        <v>3409</v>
      </c>
    </row>
    <row r="5355" spans="1:4">
      <c r="A5355" s="16">
        <v>6700500000</v>
      </c>
      <c r="B5355" s="16">
        <v>0</v>
      </c>
      <c r="C5355" s="16" t="s">
        <v>3404</v>
      </c>
      <c r="D5355" s="16" t="s">
        <v>3405</v>
      </c>
    </row>
    <row r="5356" spans="1:4">
      <c r="A5356" s="16">
        <v>6100000000</v>
      </c>
      <c r="B5356" s="16">
        <v>0</v>
      </c>
      <c r="C5356" s="16" t="s">
        <v>3416</v>
      </c>
      <c r="D5356" s="16" t="s">
        <v>3417</v>
      </c>
    </row>
    <row r="5357" spans="1:4">
      <c r="A5357" s="16">
        <v>3100000000</v>
      </c>
      <c r="B5357" s="16">
        <v>0</v>
      </c>
      <c r="C5357" s="16" t="s">
        <v>3402</v>
      </c>
      <c r="D5357" s="16" t="s">
        <v>3403</v>
      </c>
    </row>
    <row r="5358" spans="1:4">
      <c r="A5358" s="16">
        <v>5010100010</v>
      </c>
      <c r="B5358" s="16">
        <v>0</v>
      </c>
      <c r="C5358" s="16" t="s">
        <v>3406</v>
      </c>
      <c r="D5358" s="16" t="s">
        <v>3407</v>
      </c>
    </row>
    <row r="5359" spans="1:4">
      <c r="A5359" s="16">
        <v>3710000000</v>
      </c>
      <c r="B5359" s="16">
        <v>0</v>
      </c>
      <c r="C5359" s="16" t="s">
        <v>3402</v>
      </c>
      <c r="D5359" s="16" t="s">
        <v>3403</v>
      </c>
    </row>
    <row r="5360" spans="1:4">
      <c r="A5360" s="16">
        <v>6100000000</v>
      </c>
      <c r="B5360" s="16">
        <v>0</v>
      </c>
      <c r="C5360" s="16" t="s">
        <v>3416</v>
      </c>
      <c r="D5360" s="16" t="s">
        <v>3417</v>
      </c>
    </row>
    <row r="5361" spans="1:4">
      <c r="A5361" s="16">
        <v>3100000000</v>
      </c>
      <c r="B5361" s="16">
        <v>0</v>
      </c>
      <c r="C5361" s="16" t="s">
        <v>3402</v>
      </c>
      <c r="D5361" s="16" t="s">
        <v>3403</v>
      </c>
    </row>
    <row r="5362" spans="1:4">
      <c r="A5362" s="16">
        <v>3102000000</v>
      </c>
      <c r="B5362" s="16">
        <v>0</v>
      </c>
      <c r="C5362" s="16" t="s">
        <v>3424</v>
      </c>
      <c r="D5362" s="16" t="s">
        <v>3403</v>
      </c>
    </row>
    <row r="5363" spans="1:4">
      <c r="A5363" s="16">
        <v>6102000000</v>
      </c>
      <c r="B5363" s="16">
        <v>0</v>
      </c>
      <c r="C5363" s="16" t="s">
        <v>3425</v>
      </c>
      <c r="D5363" s="16" t="s">
        <v>3426</v>
      </c>
    </row>
    <row r="5364" spans="1:4">
      <c r="A5364" s="16">
        <v>2500000000</v>
      </c>
      <c r="B5364" s="16">
        <v>0</v>
      </c>
      <c r="C5364" s="16" t="s">
        <v>3412</v>
      </c>
      <c r="D5364" s="16" t="s">
        <v>3403</v>
      </c>
    </row>
    <row r="5365" spans="1:4">
      <c r="A5365" s="16">
        <v>5010100000</v>
      </c>
      <c r="B5365" s="16">
        <v>0</v>
      </c>
      <c r="C5365" s="16" t="s">
        <v>3406</v>
      </c>
      <c r="D5365" s="16" t="s">
        <v>3407</v>
      </c>
    </row>
    <row r="5366" spans="1:4">
      <c r="A5366" s="16">
        <v>5050010000</v>
      </c>
      <c r="B5366" s="16">
        <v>0</v>
      </c>
      <c r="C5366" s="16" t="s">
        <v>3406</v>
      </c>
      <c r="D5366" s="16" t="s">
        <v>3422</v>
      </c>
    </row>
    <row r="5367" spans="1:4">
      <c r="A5367" s="16">
        <v>5050000000</v>
      </c>
      <c r="B5367" s="16">
        <v>0</v>
      </c>
      <c r="C5367" s="16" t="s">
        <v>3406</v>
      </c>
      <c r="D5367" s="16" t="s">
        <v>3422</v>
      </c>
    </row>
    <row r="5368" spans="1:4">
      <c r="A5368" s="16">
        <v>5010000010</v>
      </c>
      <c r="B5368" s="16">
        <v>0</v>
      </c>
      <c r="C5368" s="16" t="s">
        <v>3406</v>
      </c>
      <c r="D5368" s="16" t="s">
        <v>3411</v>
      </c>
    </row>
    <row r="5369" spans="1:4">
      <c r="A5369" s="16">
        <v>3710000000</v>
      </c>
      <c r="B5369" s="16">
        <v>0</v>
      </c>
      <c r="C5369" s="16" t="s">
        <v>3402</v>
      </c>
      <c r="D5369" s="16" t="s">
        <v>3403</v>
      </c>
    </row>
    <row r="5370" spans="1:4">
      <c r="A5370" s="16">
        <v>2750010000</v>
      </c>
      <c r="B5370" s="16">
        <v>0</v>
      </c>
      <c r="C5370" s="16" t="s">
        <v>3419</v>
      </c>
      <c r="D5370" s="16" t="s">
        <v>3403</v>
      </c>
    </row>
    <row r="5371" spans="1:4">
      <c r="A5371" s="16">
        <v>6610100100</v>
      </c>
      <c r="B5371" s="16">
        <v>0</v>
      </c>
      <c r="C5371" s="16" t="s">
        <v>3413</v>
      </c>
      <c r="D5371" s="16" t="s">
        <v>3414</v>
      </c>
    </row>
    <row r="5372" spans="1:4">
      <c r="A5372" s="16">
        <v>2203000010</v>
      </c>
      <c r="B5372" s="16">
        <v>0</v>
      </c>
      <c r="C5372" s="16" t="s">
        <v>3415</v>
      </c>
      <c r="D5372" s="16" t="s">
        <v>3403</v>
      </c>
    </row>
    <row r="5373" spans="1:4">
      <c r="A5373" s="16">
        <v>4612000000</v>
      </c>
      <c r="B5373" s="16">
        <v>0</v>
      </c>
      <c r="C5373" s="16" t="s">
        <v>3428</v>
      </c>
      <c r="D5373" s="16" t="s">
        <v>3403</v>
      </c>
    </row>
    <row r="5374" spans="1:4">
      <c r="A5374" s="16">
        <v>6104001000</v>
      </c>
      <c r="B5374" s="16">
        <v>0</v>
      </c>
      <c r="C5374" s="16" t="s">
        <v>3416</v>
      </c>
      <c r="D5374" s="16" t="s">
        <v>3417</v>
      </c>
    </row>
    <row r="5375" spans="1:4">
      <c r="A5375" s="16">
        <v>3103001000</v>
      </c>
      <c r="B5375" s="16">
        <v>0</v>
      </c>
      <c r="C5375" s="16" t="s">
        <v>3402</v>
      </c>
      <c r="D5375" s="16" t="s">
        <v>3403</v>
      </c>
    </row>
    <row r="5376" spans="1:4">
      <c r="A5376" s="16">
        <v>6700600000</v>
      </c>
      <c r="B5376" s="16">
        <v>0</v>
      </c>
      <c r="C5376" s="16" t="s">
        <v>3404</v>
      </c>
      <c r="D5376" s="16" t="s">
        <v>3409</v>
      </c>
    </row>
    <row r="5377" spans="1:4">
      <c r="A5377" s="16">
        <v>2500000000</v>
      </c>
      <c r="B5377" s="16">
        <v>0</v>
      </c>
      <c r="C5377" s="16" t="s">
        <v>3412</v>
      </c>
      <c r="D5377" s="16" t="s">
        <v>3403</v>
      </c>
    </row>
    <row r="5378" spans="1:4">
      <c r="A5378" s="16">
        <v>6700100000</v>
      </c>
      <c r="B5378" s="16">
        <v>-176881722</v>
      </c>
      <c r="C5378" s="16" t="s">
        <v>3404</v>
      </c>
      <c r="D5378" s="16" t="s">
        <v>3410</v>
      </c>
    </row>
    <row r="5379" spans="1:4">
      <c r="A5379" s="16">
        <v>6102000000</v>
      </c>
      <c r="B5379" s="16">
        <v>0</v>
      </c>
      <c r="C5379" s="16" t="s">
        <v>3425</v>
      </c>
      <c r="D5379" s="16" t="s">
        <v>3426</v>
      </c>
    </row>
    <row r="5380" spans="1:4">
      <c r="A5380" s="16">
        <v>2201200030</v>
      </c>
      <c r="B5380" s="16">
        <v>0</v>
      </c>
      <c r="C5380" s="16" t="s">
        <v>3415</v>
      </c>
      <c r="D5380" s="16" t="s">
        <v>3403</v>
      </c>
    </row>
    <row r="5381" spans="1:4">
      <c r="A5381" s="16">
        <v>6700000000</v>
      </c>
      <c r="B5381" s="16">
        <v>0</v>
      </c>
      <c r="C5381" s="16" t="s">
        <v>3404</v>
      </c>
      <c r="D5381" s="16" t="s">
        <v>3405</v>
      </c>
    </row>
    <row r="5382" spans="1:4">
      <c r="A5382" s="16">
        <v>5050000000</v>
      </c>
      <c r="B5382" s="16">
        <v>0</v>
      </c>
      <c r="C5382" s="16" t="s">
        <v>3406</v>
      </c>
      <c r="D5382" s="16" t="s">
        <v>3422</v>
      </c>
    </row>
    <row r="5383" spans="1:4">
      <c r="A5383" s="16">
        <v>2500000000</v>
      </c>
      <c r="B5383" s="16">
        <v>0</v>
      </c>
      <c r="C5383" s="16" t="s">
        <v>3412</v>
      </c>
      <c r="D5383" s="16" t="s">
        <v>3403</v>
      </c>
    </row>
    <row r="5384" spans="1:4">
      <c r="A5384" s="16">
        <v>3032000000</v>
      </c>
      <c r="B5384" s="16">
        <v>0</v>
      </c>
      <c r="C5384" s="16" t="s">
        <v>3424</v>
      </c>
      <c r="D5384" s="16" t="s">
        <v>3403</v>
      </c>
    </row>
    <row r="5385" spans="1:4">
      <c r="A5385" s="16">
        <v>3800000000</v>
      </c>
      <c r="B5385" s="16">
        <v>0</v>
      </c>
      <c r="C5385" s="16" t="s">
        <v>3402</v>
      </c>
      <c r="D5385" s="16" t="s">
        <v>3403</v>
      </c>
    </row>
    <row r="5386" spans="1:4">
      <c r="A5386" s="16">
        <v>6700200000</v>
      </c>
      <c r="B5386" s="16">
        <v>458411</v>
      </c>
      <c r="C5386" s="16" t="s">
        <v>3404</v>
      </c>
      <c r="D5386" s="16" t="s">
        <v>3409</v>
      </c>
    </row>
    <row r="5387" spans="1:4">
      <c r="A5387" s="16">
        <v>6700500000</v>
      </c>
      <c r="B5387" s="16">
        <v>0</v>
      </c>
      <c r="C5387" s="16" t="s">
        <v>3404</v>
      </c>
      <c r="D5387" s="16" t="s">
        <v>3405</v>
      </c>
    </row>
    <row r="5388" spans="1:4">
      <c r="A5388" s="16">
        <v>3100000000</v>
      </c>
      <c r="B5388" s="16">
        <v>-6243783</v>
      </c>
      <c r="C5388" s="16" t="s">
        <v>3402</v>
      </c>
      <c r="D5388" s="16" t="s">
        <v>3403</v>
      </c>
    </row>
    <row r="5389" spans="1:4">
      <c r="A5389" s="16">
        <v>6700600000</v>
      </c>
      <c r="B5389" s="16">
        <v>0</v>
      </c>
      <c r="C5389" s="16" t="s">
        <v>3404</v>
      </c>
      <c r="D5389" s="16" t="s">
        <v>3409</v>
      </c>
    </row>
    <row r="5390" spans="1:4">
      <c r="A5390" s="16">
        <v>3103001000</v>
      </c>
      <c r="B5390" s="16">
        <v>0</v>
      </c>
      <c r="C5390" s="16" t="s">
        <v>3402</v>
      </c>
      <c r="D5390" s="16" t="s">
        <v>3403</v>
      </c>
    </row>
    <row r="5391" spans="1:4">
      <c r="A5391" s="16">
        <v>6032000000</v>
      </c>
      <c r="B5391" s="16">
        <v>0</v>
      </c>
      <c r="C5391" s="16" t="s">
        <v>3429</v>
      </c>
      <c r="D5391" s="16" t="s">
        <v>3430</v>
      </c>
    </row>
    <row r="5392" spans="1:4">
      <c r="A5392" s="16">
        <v>5010000000</v>
      </c>
      <c r="B5392" s="16">
        <v>0</v>
      </c>
      <c r="C5392" s="16" t="s">
        <v>3406</v>
      </c>
      <c r="D5392" s="16" t="s">
        <v>3411</v>
      </c>
    </row>
    <row r="5393" spans="1:4">
      <c r="A5393" s="16">
        <v>5050000000</v>
      </c>
      <c r="B5393" s="16">
        <v>0</v>
      </c>
      <c r="C5393" s="16" t="s">
        <v>3406</v>
      </c>
      <c r="D5393" s="16" t="s">
        <v>3422</v>
      </c>
    </row>
    <row r="5394" spans="1:4">
      <c r="A5394" s="16">
        <v>6610000000</v>
      </c>
      <c r="B5394" s="16">
        <v>528784</v>
      </c>
      <c r="C5394" s="16" t="s">
        <v>3413</v>
      </c>
      <c r="D5394" s="16" t="s">
        <v>3418</v>
      </c>
    </row>
    <row r="5395" spans="1:4">
      <c r="A5395" s="16">
        <v>6102000000</v>
      </c>
      <c r="B5395" s="16">
        <v>0</v>
      </c>
      <c r="C5395" s="16" t="s">
        <v>3425</v>
      </c>
      <c r="D5395" s="16" t="s">
        <v>3426</v>
      </c>
    </row>
    <row r="5396" spans="1:4">
      <c r="A5396" s="16">
        <v>5010000010</v>
      </c>
      <c r="B5396" s="16">
        <v>0</v>
      </c>
      <c r="C5396" s="16" t="s">
        <v>3406</v>
      </c>
      <c r="D5396" s="16" t="s">
        <v>3411</v>
      </c>
    </row>
    <row r="5397" spans="1:4">
      <c r="A5397" s="16">
        <v>3102000000</v>
      </c>
      <c r="B5397" s="16">
        <v>0</v>
      </c>
      <c r="C5397" s="16" t="s">
        <v>3424</v>
      </c>
      <c r="D5397" s="16" t="s">
        <v>3403</v>
      </c>
    </row>
    <row r="5398" spans="1:4">
      <c r="A5398" s="16">
        <v>3100000000</v>
      </c>
      <c r="B5398" s="16">
        <v>0</v>
      </c>
      <c r="C5398" s="16" t="s">
        <v>3402</v>
      </c>
      <c r="D5398" s="16" t="s">
        <v>3403</v>
      </c>
    </row>
    <row r="5399" spans="1:4">
      <c r="A5399" s="16">
        <v>4612000000</v>
      </c>
      <c r="B5399" s="16">
        <v>0</v>
      </c>
      <c r="C5399" s="16" t="s">
        <v>3428</v>
      </c>
      <c r="D5399" s="16" t="s">
        <v>3403</v>
      </c>
    </row>
    <row r="5400" spans="1:4">
      <c r="A5400" s="16">
        <v>6102000000</v>
      </c>
      <c r="B5400" s="16">
        <v>0</v>
      </c>
      <c r="C5400" s="16" t="s">
        <v>3425</v>
      </c>
      <c r="D5400" s="16" t="s">
        <v>3426</v>
      </c>
    </row>
    <row r="5401" spans="1:4">
      <c r="A5401" s="16">
        <v>6700200000</v>
      </c>
      <c r="B5401" s="16">
        <v>0</v>
      </c>
      <c r="C5401" s="16" t="s">
        <v>3404</v>
      </c>
      <c r="D5401" s="16" t="s">
        <v>3409</v>
      </c>
    </row>
    <row r="5402" spans="1:4">
      <c r="A5402" s="16">
        <v>6700000000</v>
      </c>
      <c r="B5402" s="16">
        <v>0</v>
      </c>
      <c r="C5402" s="16" t="s">
        <v>3404</v>
      </c>
      <c r="D5402" s="16" t="s">
        <v>3405</v>
      </c>
    </row>
    <row r="5403" spans="1:4">
      <c r="A5403" s="16">
        <v>6030000000</v>
      </c>
      <c r="B5403" s="16">
        <v>66500</v>
      </c>
      <c r="C5403" s="16" t="s">
        <v>3432</v>
      </c>
      <c r="D5403" s="16" t="s">
        <v>3423</v>
      </c>
    </row>
    <row r="5404" spans="1:4">
      <c r="A5404" s="16">
        <v>6104000000</v>
      </c>
      <c r="B5404" s="16">
        <v>33066092</v>
      </c>
      <c r="C5404" s="16" t="s">
        <v>3416</v>
      </c>
      <c r="D5404" s="16" t="s">
        <v>3417</v>
      </c>
    </row>
    <row r="5405" spans="1:4">
      <c r="A5405" s="16">
        <v>5010000000</v>
      </c>
      <c r="B5405" s="16">
        <v>0</v>
      </c>
      <c r="C5405" s="16" t="s">
        <v>3406</v>
      </c>
      <c r="D5405" s="16" t="s">
        <v>3411</v>
      </c>
    </row>
    <row r="5406" spans="1:4">
      <c r="A5406" s="16">
        <v>6100000000</v>
      </c>
      <c r="B5406" s="16">
        <v>6438739</v>
      </c>
      <c r="C5406" s="16" t="s">
        <v>3416</v>
      </c>
      <c r="D5406" s="16" t="s">
        <v>3417</v>
      </c>
    </row>
    <row r="5407" spans="1:4">
      <c r="A5407" s="16">
        <v>2203000000</v>
      </c>
      <c r="B5407" s="16">
        <v>0</v>
      </c>
      <c r="C5407" s="16" t="s">
        <v>3415</v>
      </c>
      <c r="D5407" s="16" t="s">
        <v>3403</v>
      </c>
    </row>
    <row r="5408" spans="1:4">
      <c r="A5408" s="16">
        <v>6700200000</v>
      </c>
      <c r="B5408" s="16">
        <v>0</v>
      </c>
      <c r="C5408" s="16" t="s">
        <v>3404</v>
      </c>
      <c r="D5408" s="16" t="s">
        <v>3409</v>
      </c>
    </row>
    <row r="5409" spans="1:4">
      <c r="A5409" s="16">
        <v>3800000000</v>
      </c>
      <c r="B5409" s="16">
        <v>0</v>
      </c>
      <c r="C5409" s="16" t="s">
        <v>3402</v>
      </c>
      <c r="D5409" s="16" t="s">
        <v>3403</v>
      </c>
    </row>
    <row r="5410" spans="1:4">
      <c r="A5410" s="16">
        <v>5010000000</v>
      </c>
      <c r="B5410" s="16">
        <v>0</v>
      </c>
      <c r="C5410" s="16" t="s">
        <v>3406</v>
      </c>
      <c r="D5410" s="16" t="s">
        <v>3411</v>
      </c>
    </row>
    <row r="5411" spans="1:4">
      <c r="A5411" s="16">
        <v>6032000000</v>
      </c>
      <c r="B5411" s="16">
        <v>0</v>
      </c>
      <c r="C5411" s="16" t="s">
        <v>3429</v>
      </c>
      <c r="D5411" s="16" t="s">
        <v>3430</v>
      </c>
    </row>
    <row r="5412" spans="1:4">
      <c r="A5412" s="16">
        <v>2750010000</v>
      </c>
      <c r="B5412" s="16">
        <v>0</v>
      </c>
      <c r="C5412" s="16" t="s">
        <v>3419</v>
      </c>
      <c r="D5412" s="16" t="s">
        <v>3403</v>
      </c>
    </row>
    <row r="5413" spans="1:4">
      <c r="A5413" s="16">
        <v>6700000000</v>
      </c>
      <c r="B5413" s="16">
        <v>-458411</v>
      </c>
      <c r="C5413" s="16" t="s">
        <v>3404</v>
      </c>
      <c r="D5413" s="16" t="s">
        <v>3405</v>
      </c>
    </row>
    <row r="5414" spans="1:4">
      <c r="A5414" s="16">
        <v>6700400000</v>
      </c>
      <c r="B5414" s="16">
        <v>0</v>
      </c>
      <c r="C5414" s="16" t="s">
        <v>3404</v>
      </c>
      <c r="D5414" s="16" t="s">
        <v>3405</v>
      </c>
    </row>
    <row r="5415" spans="1:4">
      <c r="A5415" s="16">
        <v>4203000000</v>
      </c>
      <c r="B5415" s="16">
        <v>-528784</v>
      </c>
      <c r="C5415" s="16" t="s">
        <v>3408</v>
      </c>
      <c r="D5415" s="16" t="s">
        <v>3403</v>
      </c>
    </row>
    <row r="5416" spans="1:4">
      <c r="A5416" s="16">
        <v>6700700000</v>
      </c>
      <c r="B5416" s="16">
        <v>0</v>
      </c>
      <c r="C5416" s="16" t="s">
        <v>3404</v>
      </c>
      <c r="D5416" s="16" t="s">
        <v>3409</v>
      </c>
    </row>
    <row r="5417" spans="1:4">
      <c r="A5417" s="16">
        <v>3710000000</v>
      </c>
      <c r="B5417" s="16">
        <v>0</v>
      </c>
      <c r="C5417" s="16" t="s">
        <v>3402</v>
      </c>
      <c r="D5417" s="16" t="s">
        <v>3403</v>
      </c>
    </row>
    <row r="5418" spans="1:4">
      <c r="A5418" s="16">
        <v>6102000000</v>
      </c>
      <c r="B5418" s="16">
        <v>0</v>
      </c>
      <c r="C5418" s="16" t="s">
        <v>3425</v>
      </c>
      <c r="D5418" s="16" t="s">
        <v>3426</v>
      </c>
    </row>
    <row r="5419" spans="1:4">
      <c r="A5419" s="16">
        <v>6100000000</v>
      </c>
      <c r="B5419" s="16">
        <v>0</v>
      </c>
      <c r="C5419" s="16" t="s">
        <v>3416</v>
      </c>
      <c r="D5419" s="16" t="s">
        <v>3417</v>
      </c>
    </row>
    <row r="5420" spans="1:4">
      <c r="A5420" s="16">
        <v>2500000000</v>
      </c>
      <c r="B5420" s="16">
        <v>0</v>
      </c>
      <c r="C5420" s="16" t="s">
        <v>3412</v>
      </c>
      <c r="D5420" s="16" t="s">
        <v>3403</v>
      </c>
    </row>
    <row r="5421" spans="1:4">
      <c r="A5421" s="16">
        <v>2500000000</v>
      </c>
      <c r="B5421" s="16">
        <v>0</v>
      </c>
      <c r="C5421" s="16" t="s">
        <v>3412</v>
      </c>
      <c r="D5421" s="16" t="s">
        <v>3403</v>
      </c>
    </row>
    <row r="5422" spans="1:4">
      <c r="A5422" s="16">
        <v>6700000000</v>
      </c>
      <c r="B5422" s="16">
        <v>0</v>
      </c>
      <c r="C5422" s="16" t="s">
        <v>3404</v>
      </c>
      <c r="D5422" s="16" t="s">
        <v>3405</v>
      </c>
    </row>
    <row r="5423" spans="1:4">
      <c r="A5423" s="16">
        <v>3030000000</v>
      </c>
      <c r="B5423" s="16">
        <v>-66500</v>
      </c>
      <c r="C5423" s="16" t="s">
        <v>3402</v>
      </c>
      <c r="D5423" s="16" t="s">
        <v>3403</v>
      </c>
    </row>
    <row r="5424" spans="1:4">
      <c r="A5424" s="16">
        <v>3103000000</v>
      </c>
      <c r="B5424" s="16">
        <v>-33066092</v>
      </c>
      <c r="C5424" s="16" t="s">
        <v>3402</v>
      </c>
      <c r="D5424" s="16" t="s">
        <v>3403</v>
      </c>
    </row>
    <row r="5425" spans="1:4">
      <c r="A5425" s="16">
        <v>3100000000</v>
      </c>
      <c r="B5425" s="16">
        <v>-6438739</v>
      </c>
      <c r="C5425" s="16" t="s">
        <v>3402</v>
      </c>
      <c r="D5425" s="16" t="s">
        <v>3403</v>
      </c>
    </row>
    <row r="5426" spans="1:4">
      <c r="A5426" s="16">
        <v>6060110000</v>
      </c>
      <c r="B5426" s="16">
        <v>0</v>
      </c>
      <c r="C5426" s="16" t="s">
        <v>3420</v>
      </c>
      <c r="D5426" s="16" t="s">
        <v>3421</v>
      </c>
    </row>
    <row r="5427" spans="1:4">
      <c r="A5427" s="16">
        <v>6700100000</v>
      </c>
      <c r="B5427" s="16">
        <v>0</v>
      </c>
      <c r="C5427" s="16" t="s">
        <v>3404</v>
      </c>
      <c r="D5427" s="16" t="s">
        <v>3410</v>
      </c>
    </row>
    <row r="5428" spans="1:4">
      <c r="A5428" s="16">
        <v>6610000100</v>
      </c>
      <c r="B5428" s="16">
        <v>0</v>
      </c>
      <c r="C5428" s="16" t="s">
        <v>3413</v>
      </c>
      <c r="D5428" s="16" t="s">
        <v>3418</v>
      </c>
    </row>
    <row r="5429" spans="1:4">
      <c r="A5429" s="16">
        <v>6700200000</v>
      </c>
      <c r="B5429" s="16">
        <v>9123427</v>
      </c>
      <c r="C5429" s="16" t="s">
        <v>3404</v>
      </c>
      <c r="D5429" s="16" t="s">
        <v>3409</v>
      </c>
    </row>
    <row r="5430" spans="1:4">
      <c r="A5430" s="16">
        <v>6700500000</v>
      </c>
      <c r="B5430" s="16">
        <v>0</v>
      </c>
      <c r="C5430" s="16" t="s">
        <v>3404</v>
      </c>
      <c r="D5430" s="16" t="s">
        <v>3405</v>
      </c>
    </row>
    <row r="5431" spans="1:4">
      <c r="A5431" s="16">
        <v>6700200000</v>
      </c>
      <c r="B5431" s="16">
        <v>0</v>
      </c>
      <c r="C5431" s="16" t="s">
        <v>3404</v>
      </c>
      <c r="D5431" s="16" t="s">
        <v>3409</v>
      </c>
    </row>
    <row r="5432" spans="1:4">
      <c r="A5432" s="16">
        <v>3100000000</v>
      </c>
      <c r="B5432" s="16">
        <v>0</v>
      </c>
      <c r="C5432" s="16" t="s">
        <v>3402</v>
      </c>
      <c r="D5432" s="16" t="s">
        <v>3403</v>
      </c>
    </row>
    <row r="5433" spans="1:4">
      <c r="A5433" s="16">
        <v>5010100000</v>
      </c>
      <c r="B5433" s="16">
        <v>0</v>
      </c>
      <c r="C5433" s="16" t="s">
        <v>3406</v>
      </c>
      <c r="D5433" s="16" t="s">
        <v>3407</v>
      </c>
    </row>
    <row r="5434" spans="1:4">
      <c r="A5434" s="16">
        <v>6104001000</v>
      </c>
      <c r="B5434" s="16">
        <v>0</v>
      </c>
      <c r="C5434" s="16" t="s">
        <v>3427</v>
      </c>
      <c r="D5434" s="16" t="s">
        <v>3417</v>
      </c>
    </row>
    <row r="5435" spans="1:4">
      <c r="A5435" s="16">
        <v>6104000000</v>
      </c>
      <c r="B5435" s="16">
        <v>0</v>
      </c>
      <c r="C5435" s="16" t="s">
        <v>3416</v>
      </c>
      <c r="D5435" s="16" t="s">
        <v>3417</v>
      </c>
    </row>
    <row r="5436" spans="1:4">
      <c r="A5436" s="16">
        <v>5010100000</v>
      </c>
      <c r="B5436" s="16">
        <v>0</v>
      </c>
      <c r="C5436" s="16" t="s">
        <v>3406</v>
      </c>
      <c r="D5436" s="16" t="s">
        <v>3407</v>
      </c>
    </row>
    <row r="5437" spans="1:4">
      <c r="A5437" s="16">
        <v>6700200000</v>
      </c>
      <c r="B5437" s="16">
        <v>0</v>
      </c>
      <c r="C5437" s="16" t="s">
        <v>3404</v>
      </c>
      <c r="D5437" s="16" t="s">
        <v>3409</v>
      </c>
    </row>
    <row r="5438" spans="1:4">
      <c r="A5438" s="16">
        <v>5010100010</v>
      </c>
      <c r="B5438" s="16">
        <v>0</v>
      </c>
      <c r="C5438" s="16" t="s">
        <v>3406</v>
      </c>
      <c r="D5438" s="16" t="s">
        <v>3407</v>
      </c>
    </row>
    <row r="5439" spans="1:4">
      <c r="A5439" s="16">
        <v>6700100000</v>
      </c>
      <c r="B5439" s="16">
        <v>-9123427</v>
      </c>
      <c r="C5439" s="16" t="s">
        <v>3404</v>
      </c>
      <c r="D5439" s="16" t="s">
        <v>3410</v>
      </c>
    </row>
    <row r="5440" spans="1:4">
      <c r="A5440" s="16">
        <v>2750010000</v>
      </c>
      <c r="B5440" s="16">
        <v>0</v>
      </c>
      <c r="C5440" s="16" t="s">
        <v>3419</v>
      </c>
      <c r="D5440" s="16" t="s">
        <v>3403</v>
      </c>
    </row>
    <row r="5441" spans="1:4">
      <c r="A5441" s="16">
        <v>6030000000</v>
      </c>
      <c r="B5441" s="16">
        <v>1643091</v>
      </c>
      <c r="C5441" s="16" t="s">
        <v>3420</v>
      </c>
      <c r="D5441" s="16" t="s">
        <v>3423</v>
      </c>
    </row>
    <row r="5442" spans="1:4">
      <c r="A5442" s="16">
        <v>6700700000</v>
      </c>
      <c r="B5442" s="16">
        <v>0</v>
      </c>
      <c r="C5442" s="16" t="s">
        <v>3404</v>
      </c>
      <c r="D5442" s="16" t="s">
        <v>3409</v>
      </c>
    </row>
    <row r="5443" spans="1:4">
      <c r="A5443" s="16">
        <v>6700100000</v>
      </c>
      <c r="B5443" s="16">
        <v>0</v>
      </c>
      <c r="C5443" s="16" t="s">
        <v>3404</v>
      </c>
      <c r="D5443" s="16" t="s">
        <v>3410</v>
      </c>
    </row>
    <row r="5444" spans="1:4">
      <c r="A5444" s="16">
        <v>3103001000</v>
      </c>
      <c r="B5444" s="16">
        <v>0</v>
      </c>
      <c r="C5444" s="16" t="s">
        <v>3402</v>
      </c>
      <c r="D5444" s="16" t="s">
        <v>3403</v>
      </c>
    </row>
    <row r="5445" spans="1:4">
      <c r="A5445" s="16">
        <v>6700200000</v>
      </c>
      <c r="B5445" s="16">
        <v>0</v>
      </c>
      <c r="C5445" s="16" t="s">
        <v>3404</v>
      </c>
      <c r="D5445" s="16" t="s">
        <v>3409</v>
      </c>
    </row>
    <row r="5446" spans="1:4">
      <c r="A5446" s="16">
        <v>6150000000</v>
      </c>
      <c r="B5446" s="16">
        <v>0</v>
      </c>
      <c r="C5446" s="16" t="s">
        <v>3416</v>
      </c>
      <c r="D5446" s="16" t="s">
        <v>3417</v>
      </c>
    </row>
    <row r="5447" spans="1:4">
      <c r="A5447" s="16">
        <v>6610100000</v>
      </c>
      <c r="B5447" s="16">
        <v>182976</v>
      </c>
      <c r="C5447" s="16" t="s">
        <v>3413</v>
      </c>
      <c r="D5447" s="16" t="s">
        <v>3414</v>
      </c>
    </row>
    <row r="5448" spans="1:4">
      <c r="A5448" s="16">
        <v>3103000000</v>
      </c>
      <c r="B5448" s="16">
        <v>0</v>
      </c>
      <c r="C5448" s="16" t="s">
        <v>3402</v>
      </c>
      <c r="D5448" s="16" t="s">
        <v>3403</v>
      </c>
    </row>
    <row r="5449" spans="1:4">
      <c r="A5449" s="16">
        <v>2500000000</v>
      </c>
      <c r="B5449" s="16">
        <v>0</v>
      </c>
      <c r="C5449" s="16" t="s">
        <v>3412</v>
      </c>
      <c r="D5449" s="16" t="s">
        <v>3403</v>
      </c>
    </row>
    <row r="5450" spans="1:4">
      <c r="A5450" s="16">
        <v>6700100000</v>
      </c>
      <c r="B5450" s="16">
        <v>0</v>
      </c>
      <c r="C5450" s="16" t="s">
        <v>3404</v>
      </c>
      <c r="D5450" s="16" t="s">
        <v>3410</v>
      </c>
    </row>
    <row r="5451" spans="1:4">
      <c r="A5451" s="16">
        <v>3102000000</v>
      </c>
      <c r="B5451" s="16">
        <v>0</v>
      </c>
      <c r="C5451" s="16" t="s">
        <v>3424</v>
      </c>
      <c r="D5451" s="16" t="s">
        <v>3403</v>
      </c>
    </row>
    <row r="5452" spans="1:4">
      <c r="A5452" s="16">
        <v>3710000000</v>
      </c>
      <c r="B5452" s="16">
        <v>0</v>
      </c>
      <c r="C5452" s="16" t="s">
        <v>3402</v>
      </c>
      <c r="D5452" s="16" t="s">
        <v>3403</v>
      </c>
    </row>
    <row r="5453" spans="1:4">
      <c r="A5453" s="16">
        <v>5010000010</v>
      </c>
      <c r="B5453" s="16">
        <v>0</v>
      </c>
      <c r="C5453" s="16" t="s">
        <v>3406</v>
      </c>
      <c r="D5453" s="16" t="s">
        <v>3411</v>
      </c>
    </row>
    <row r="5454" spans="1:4">
      <c r="A5454" s="16">
        <v>2750010000</v>
      </c>
      <c r="B5454" s="16">
        <v>0</v>
      </c>
      <c r="C5454" s="16" t="s">
        <v>3419</v>
      </c>
      <c r="D5454" s="16" t="s">
        <v>3403</v>
      </c>
    </row>
    <row r="5455" spans="1:4">
      <c r="A5455" s="16">
        <v>6610100100</v>
      </c>
      <c r="B5455" s="16">
        <v>0</v>
      </c>
      <c r="C5455" s="16" t="s">
        <v>3413</v>
      </c>
      <c r="D5455" s="16" t="s">
        <v>3414</v>
      </c>
    </row>
    <row r="5456" spans="1:4">
      <c r="A5456" s="16">
        <v>6104000000</v>
      </c>
      <c r="B5456" s="16">
        <v>0</v>
      </c>
      <c r="C5456" s="16" t="s">
        <v>3416</v>
      </c>
      <c r="D5456" s="16" t="s">
        <v>3417</v>
      </c>
    </row>
    <row r="5457" spans="1:4">
      <c r="A5457" s="16">
        <v>3030000000</v>
      </c>
      <c r="B5457" s="16">
        <v>-1643091</v>
      </c>
      <c r="C5457" s="16" t="s">
        <v>3402</v>
      </c>
      <c r="D5457" s="16" t="s">
        <v>3403</v>
      </c>
    </row>
    <row r="5458" spans="1:4">
      <c r="A5458" s="16">
        <v>2500000000</v>
      </c>
      <c r="B5458" s="16">
        <v>0</v>
      </c>
      <c r="C5458" s="16" t="s">
        <v>3412</v>
      </c>
      <c r="D5458" s="16" t="s">
        <v>3403</v>
      </c>
    </row>
    <row r="5459" spans="1:4">
      <c r="A5459" s="16">
        <v>6700500000</v>
      </c>
      <c r="B5459" s="16">
        <v>0</v>
      </c>
      <c r="C5459" s="16" t="s">
        <v>3404</v>
      </c>
      <c r="D5459" s="16" t="s">
        <v>3405</v>
      </c>
    </row>
    <row r="5460" spans="1:4">
      <c r="A5460" s="16">
        <v>2201200030</v>
      </c>
      <c r="B5460" s="16">
        <v>0</v>
      </c>
      <c r="C5460" s="16" t="s">
        <v>3415</v>
      </c>
      <c r="D5460" s="16" t="s">
        <v>3403</v>
      </c>
    </row>
    <row r="5461" spans="1:4">
      <c r="A5461" s="16">
        <v>3510000000</v>
      </c>
      <c r="B5461" s="16">
        <v>0</v>
      </c>
      <c r="C5461" s="16" t="s">
        <v>3402</v>
      </c>
      <c r="D5461" s="16" t="s">
        <v>3403</v>
      </c>
    </row>
    <row r="5462" spans="1:4">
      <c r="A5462" s="16">
        <v>4203000000</v>
      </c>
      <c r="B5462" s="16">
        <v>-182976</v>
      </c>
      <c r="C5462" s="16" t="s">
        <v>3408</v>
      </c>
      <c r="D5462" s="16" t="s">
        <v>3403</v>
      </c>
    </row>
    <row r="5463" spans="1:4">
      <c r="A5463" s="16">
        <v>6700700000</v>
      </c>
      <c r="B5463" s="16">
        <v>0</v>
      </c>
      <c r="C5463" s="16" t="s">
        <v>3404</v>
      </c>
      <c r="D5463" s="16" t="s">
        <v>3409</v>
      </c>
    </row>
    <row r="5464" spans="1:4">
      <c r="A5464" s="16">
        <v>5010000000</v>
      </c>
      <c r="B5464" s="16">
        <v>0</v>
      </c>
      <c r="C5464" s="16" t="s">
        <v>3406</v>
      </c>
      <c r="D5464" s="16" t="s">
        <v>3411</v>
      </c>
    </row>
    <row r="5465" spans="1:4">
      <c r="A5465" s="16">
        <v>6610000000</v>
      </c>
      <c r="B5465" s="16">
        <v>0</v>
      </c>
      <c r="C5465" s="16" t="s">
        <v>3413</v>
      </c>
      <c r="D5465" s="16" t="s">
        <v>3418</v>
      </c>
    </row>
    <row r="5466" spans="1:4">
      <c r="A5466" s="16">
        <v>2500000000</v>
      </c>
      <c r="B5466" s="16">
        <v>252208476</v>
      </c>
      <c r="C5466" s="16" t="s">
        <v>3412</v>
      </c>
      <c r="D5466" s="16" t="s">
        <v>3403</v>
      </c>
    </row>
    <row r="5467" spans="1:4">
      <c r="A5467" s="16">
        <v>6700600000</v>
      </c>
      <c r="B5467" s="16">
        <v>0</v>
      </c>
      <c r="C5467" s="16" t="s">
        <v>3404</v>
      </c>
      <c r="D5467" s="16" t="s">
        <v>3409</v>
      </c>
    </row>
    <row r="5468" spans="1:4">
      <c r="A5468" s="16">
        <v>6610000000</v>
      </c>
      <c r="B5468" s="16">
        <v>0</v>
      </c>
      <c r="C5468" s="16" t="s">
        <v>3413</v>
      </c>
      <c r="D5468" s="16" t="s">
        <v>3418</v>
      </c>
    </row>
    <row r="5469" spans="1:4">
      <c r="A5469" s="16">
        <v>3032000000</v>
      </c>
      <c r="B5469" s="16">
        <v>0</v>
      </c>
      <c r="C5469" s="16" t="s">
        <v>3424</v>
      </c>
      <c r="D5469" s="16" t="s">
        <v>3403</v>
      </c>
    </row>
    <row r="5470" spans="1:4">
      <c r="A5470" s="16">
        <v>2203000000</v>
      </c>
      <c r="B5470" s="16">
        <v>0</v>
      </c>
      <c r="C5470" s="16" t="s">
        <v>3415</v>
      </c>
      <c r="D5470" s="16" t="s">
        <v>3403</v>
      </c>
    </row>
    <row r="5471" spans="1:4">
      <c r="A5471" s="16">
        <v>2201000000</v>
      </c>
      <c r="B5471" s="16">
        <v>0</v>
      </c>
      <c r="C5471" s="16" t="s">
        <v>3415</v>
      </c>
      <c r="D5471" s="16" t="s">
        <v>3403</v>
      </c>
    </row>
    <row r="5472" spans="1:4">
      <c r="A5472" s="16">
        <v>6102000000</v>
      </c>
      <c r="B5472" s="16">
        <v>0</v>
      </c>
      <c r="C5472" s="16" t="s">
        <v>3425</v>
      </c>
      <c r="D5472" s="16" t="s">
        <v>3426</v>
      </c>
    </row>
    <row r="5473" spans="1:4">
      <c r="A5473" s="16">
        <v>3710000000</v>
      </c>
      <c r="B5473" s="16">
        <v>0</v>
      </c>
      <c r="C5473" s="16" t="s">
        <v>3402</v>
      </c>
      <c r="D5473" s="16" t="s">
        <v>3403</v>
      </c>
    </row>
    <row r="5474" spans="1:4">
      <c r="A5474" s="16">
        <v>6610000100</v>
      </c>
      <c r="B5474" s="16">
        <v>0</v>
      </c>
      <c r="C5474" s="16" t="s">
        <v>3413</v>
      </c>
      <c r="D5474" s="16" t="s">
        <v>3418</v>
      </c>
    </row>
    <row r="5475" spans="1:4">
      <c r="A5475" s="16">
        <v>3103000000</v>
      </c>
      <c r="B5475" s="16">
        <v>0</v>
      </c>
      <c r="C5475" s="16" t="s">
        <v>3402</v>
      </c>
      <c r="D5475" s="16" t="s">
        <v>3403</v>
      </c>
    </row>
    <row r="5476" spans="1:4">
      <c r="A5476" s="16">
        <v>6104000000</v>
      </c>
      <c r="B5476" s="16">
        <v>8394955</v>
      </c>
      <c r="C5476" s="16" t="s">
        <v>3416</v>
      </c>
      <c r="D5476" s="16" t="s">
        <v>3417</v>
      </c>
    </row>
    <row r="5477" spans="1:4">
      <c r="A5477" s="16">
        <v>5010100000</v>
      </c>
      <c r="B5477" s="16">
        <v>0</v>
      </c>
      <c r="C5477" s="16" t="s">
        <v>3406</v>
      </c>
      <c r="D5477" s="16" t="s">
        <v>3407</v>
      </c>
    </row>
    <row r="5478" spans="1:4">
      <c r="A5478" s="16">
        <v>2500000000</v>
      </c>
      <c r="B5478" s="16">
        <v>0</v>
      </c>
      <c r="C5478" s="16" t="s">
        <v>3412</v>
      </c>
      <c r="D5478" s="16" t="s">
        <v>3403</v>
      </c>
    </row>
    <row r="5479" spans="1:4">
      <c r="A5479" s="16">
        <v>6700500000</v>
      </c>
      <c r="B5479" s="16">
        <v>0</v>
      </c>
      <c r="C5479" s="16" t="s">
        <v>3404</v>
      </c>
      <c r="D5479" s="16" t="s">
        <v>3405</v>
      </c>
    </row>
    <row r="5480" spans="1:4">
      <c r="A5480" s="16">
        <v>4203000000</v>
      </c>
      <c r="B5480" s="16">
        <v>0</v>
      </c>
      <c r="C5480" s="16" t="s">
        <v>3408</v>
      </c>
      <c r="D5480" s="16" t="s">
        <v>3403</v>
      </c>
    </row>
    <row r="5481" spans="1:4">
      <c r="A5481" s="16">
        <v>2750010000</v>
      </c>
      <c r="B5481" s="16">
        <v>0</v>
      </c>
      <c r="C5481" s="16" t="s">
        <v>3419</v>
      </c>
      <c r="D5481" s="16" t="s">
        <v>3403</v>
      </c>
    </row>
    <row r="5482" spans="1:4">
      <c r="A5482" s="16">
        <v>5010100000</v>
      </c>
      <c r="B5482" s="16">
        <v>-252208476</v>
      </c>
      <c r="C5482" s="16" t="s">
        <v>3406</v>
      </c>
      <c r="D5482" s="16" t="s">
        <v>3407</v>
      </c>
    </row>
    <row r="5483" spans="1:4">
      <c r="A5483" s="16">
        <v>6030000000</v>
      </c>
      <c r="B5483" s="16">
        <v>33092295</v>
      </c>
      <c r="C5483" s="16" t="s">
        <v>3420</v>
      </c>
      <c r="D5483" s="16" t="s">
        <v>3423</v>
      </c>
    </row>
    <row r="5484" spans="1:4">
      <c r="A5484" s="16">
        <v>6700400000</v>
      </c>
      <c r="B5484" s="16">
        <v>0</v>
      </c>
      <c r="C5484" s="16" t="s">
        <v>3404</v>
      </c>
      <c r="D5484" s="16" t="s">
        <v>3405</v>
      </c>
    </row>
    <row r="5485" spans="1:4">
      <c r="A5485" s="16">
        <v>4203000000</v>
      </c>
      <c r="B5485" s="16">
        <v>0</v>
      </c>
      <c r="C5485" s="16" t="s">
        <v>3408</v>
      </c>
      <c r="D5485" s="16" t="s">
        <v>3403</v>
      </c>
    </row>
    <row r="5486" spans="1:4">
      <c r="A5486" s="16">
        <v>6032000000</v>
      </c>
      <c r="B5486" s="16">
        <v>0</v>
      </c>
      <c r="C5486" s="16" t="s">
        <v>3429</v>
      </c>
      <c r="D5486" s="16" t="s">
        <v>3430</v>
      </c>
    </row>
    <row r="5487" spans="1:4">
      <c r="A5487" s="16">
        <v>2500000000</v>
      </c>
      <c r="B5487" s="16">
        <v>0</v>
      </c>
      <c r="C5487" s="16" t="s">
        <v>3412</v>
      </c>
      <c r="D5487" s="16" t="s">
        <v>3403</v>
      </c>
    </row>
    <row r="5488" spans="1:4">
      <c r="A5488" s="16">
        <v>6060110000</v>
      </c>
      <c r="B5488" s="16">
        <v>0</v>
      </c>
      <c r="C5488" s="16" t="s">
        <v>3420</v>
      </c>
      <c r="D5488" s="16" t="s">
        <v>3421</v>
      </c>
    </row>
    <row r="5489" spans="1:4">
      <c r="A5489" s="16">
        <v>6700200000</v>
      </c>
      <c r="B5489" s="16">
        <v>0</v>
      </c>
      <c r="C5489" s="16" t="s">
        <v>3404</v>
      </c>
      <c r="D5489" s="16" t="s">
        <v>3409</v>
      </c>
    </row>
    <row r="5490" spans="1:4">
      <c r="A5490" s="16">
        <v>3103000000</v>
      </c>
      <c r="B5490" s="16">
        <v>-8394955</v>
      </c>
      <c r="C5490" s="16" t="s">
        <v>3402</v>
      </c>
      <c r="D5490" s="16" t="s">
        <v>3403</v>
      </c>
    </row>
    <row r="5491" spans="1:4">
      <c r="A5491" s="16">
        <v>2500000000</v>
      </c>
      <c r="B5491" s="16">
        <v>0</v>
      </c>
      <c r="C5491" s="16" t="s">
        <v>3412</v>
      </c>
      <c r="D5491" s="16" t="s">
        <v>3403</v>
      </c>
    </row>
    <row r="5492" spans="1:4">
      <c r="A5492" s="16">
        <v>5010100000</v>
      </c>
      <c r="B5492" s="16">
        <v>0</v>
      </c>
      <c r="C5492" s="16" t="s">
        <v>3406</v>
      </c>
      <c r="D5492" s="16" t="s">
        <v>3407</v>
      </c>
    </row>
    <row r="5493" spans="1:4">
      <c r="A5493" s="16">
        <v>6030000000</v>
      </c>
      <c r="B5493" s="16">
        <v>0</v>
      </c>
      <c r="C5493" s="16" t="s">
        <v>3420</v>
      </c>
      <c r="D5493" s="16" t="s">
        <v>3423</v>
      </c>
    </row>
    <row r="5494" spans="1:4">
      <c r="A5494" s="16">
        <v>6610000100</v>
      </c>
      <c r="B5494" s="16">
        <v>0</v>
      </c>
      <c r="C5494" s="16" t="s">
        <v>3413</v>
      </c>
      <c r="D5494" s="16" t="s">
        <v>3418</v>
      </c>
    </row>
    <row r="5495" spans="1:4">
      <c r="A5495" s="16">
        <v>5010000010</v>
      </c>
      <c r="B5495" s="16">
        <v>0</v>
      </c>
      <c r="C5495" s="16" t="s">
        <v>3406</v>
      </c>
      <c r="D5495" s="16" t="s">
        <v>3411</v>
      </c>
    </row>
    <row r="5496" spans="1:4">
      <c r="A5496" s="16">
        <v>3030000000</v>
      </c>
      <c r="B5496" s="16">
        <v>-33092295</v>
      </c>
      <c r="C5496" s="16" t="s">
        <v>3402</v>
      </c>
      <c r="D5496" s="16" t="s">
        <v>3403</v>
      </c>
    </row>
    <row r="5497" spans="1:4">
      <c r="A5497" s="16">
        <v>3102000000</v>
      </c>
      <c r="B5497" s="16">
        <v>0</v>
      </c>
      <c r="C5497" s="16" t="s">
        <v>3424</v>
      </c>
      <c r="D5497" s="16" t="s">
        <v>3403</v>
      </c>
    </row>
    <row r="5498" spans="1:4">
      <c r="A5498" s="16">
        <v>5010000000</v>
      </c>
      <c r="B5498" s="16">
        <v>0</v>
      </c>
      <c r="C5498" s="16" t="s">
        <v>3406</v>
      </c>
      <c r="D5498" s="16" t="s">
        <v>3411</v>
      </c>
    </row>
    <row r="5499" spans="1:4">
      <c r="A5499" s="16">
        <v>2750010000</v>
      </c>
      <c r="B5499" s="16">
        <v>0</v>
      </c>
      <c r="C5499" s="16" t="s">
        <v>3419</v>
      </c>
      <c r="D5499" s="16" t="s">
        <v>3403</v>
      </c>
    </row>
    <row r="5500" spans="1:4">
      <c r="A5500" s="16">
        <v>5010100010</v>
      </c>
      <c r="B5500" s="16">
        <v>0</v>
      </c>
      <c r="C5500" s="16" t="s">
        <v>3406</v>
      </c>
      <c r="D5500" s="16" t="s">
        <v>3407</v>
      </c>
    </row>
    <row r="5501" spans="1:4">
      <c r="A5501" s="16">
        <v>2201000000</v>
      </c>
      <c r="B5501" s="16">
        <v>0</v>
      </c>
      <c r="C5501" s="16" t="s">
        <v>3415</v>
      </c>
      <c r="D5501" s="16" t="s">
        <v>3403</v>
      </c>
    </row>
    <row r="5502" spans="1:4">
      <c r="A5502" s="16">
        <v>6700700000</v>
      </c>
      <c r="B5502" s="16">
        <v>0</v>
      </c>
      <c r="C5502" s="16" t="s">
        <v>3404</v>
      </c>
      <c r="D5502" s="16" t="s">
        <v>3409</v>
      </c>
    </row>
    <row r="5503" spans="1:4">
      <c r="A5503" s="16">
        <v>2500000000</v>
      </c>
      <c r="B5503" s="16">
        <v>0</v>
      </c>
      <c r="C5503" s="16" t="s">
        <v>3412</v>
      </c>
      <c r="D5503" s="16" t="s">
        <v>3403</v>
      </c>
    </row>
    <row r="5504" spans="1:4">
      <c r="A5504" s="16">
        <v>6700700000</v>
      </c>
      <c r="B5504" s="16">
        <v>0</v>
      </c>
      <c r="C5504" s="16" t="s">
        <v>3404</v>
      </c>
      <c r="D5504" s="16" t="s">
        <v>3409</v>
      </c>
    </row>
    <row r="5505" spans="1:4">
      <c r="A5505" s="16">
        <v>2750010000</v>
      </c>
      <c r="B5505" s="16">
        <v>0</v>
      </c>
      <c r="C5505" s="16" t="s">
        <v>3419</v>
      </c>
      <c r="D5505" s="16" t="s">
        <v>3403</v>
      </c>
    </row>
    <row r="5506" spans="1:4">
      <c r="A5506" s="16">
        <v>6030000000</v>
      </c>
      <c r="B5506" s="16">
        <v>695187</v>
      </c>
      <c r="C5506" s="16" t="s">
        <v>3432</v>
      </c>
      <c r="D5506" s="16" t="s">
        <v>3423</v>
      </c>
    </row>
    <row r="5507" spans="1:4">
      <c r="A5507" s="16">
        <v>5010000000</v>
      </c>
      <c r="B5507" s="16">
        <v>0</v>
      </c>
      <c r="C5507" s="16" t="s">
        <v>3406</v>
      </c>
      <c r="D5507" s="16" t="s">
        <v>3411</v>
      </c>
    </row>
    <row r="5508" spans="1:4">
      <c r="A5508" s="16">
        <v>2500000000</v>
      </c>
      <c r="B5508" s="16">
        <v>0</v>
      </c>
      <c r="C5508" s="16" t="s">
        <v>3412</v>
      </c>
      <c r="D5508" s="16" t="s">
        <v>3403</v>
      </c>
    </row>
    <row r="5509" spans="1:4">
      <c r="A5509" s="16">
        <v>6610000000</v>
      </c>
      <c r="B5509" s="16">
        <v>0</v>
      </c>
      <c r="C5509" s="16" t="s">
        <v>3413</v>
      </c>
      <c r="D5509" s="16" t="s">
        <v>3418</v>
      </c>
    </row>
    <row r="5510" spans="1:4">
      <c r="A5510" s="16">
        <v>2500000000</v>
      </c>
      <c r="B5510" s="16">
        <v>0</v>
      </c>
      <c r="C5510" s="16" t="s">
        <v>3412</v>
      </c>
      <c r="D5510" s="16" t="s">
        <v>3403</v>
      </c>
    </row>
    <row r="5511" spans="1:4">
      <c r="A5511" s="16">
        <v>3030000000</v>
      </c>
      <c r="B5511" s="16">
        <v>0</v>
      </c>
      <c r="C5511" s="16" t="s">
        <v>3402</v>
      </c>
      <c r="D5511" s="16" t="s">
        <v>3403</v>
      </c>
    </row>
    <row r="5512" spans="1:4">
      <c r="A5512" s="16">
        <v>6700600000</v>
      </c>
      <c r="B5512" s="16">
        <v>0</v>
      </c>
      <c r="C5512" s="16" t="s">
        <v>3404</v>
      </c>
      <c r="D5512" s="16" t="s">
        <v>3409</v>
      </c>
    </row>
    <row r="5513" spans="1:4">
      <c r="A5513" s="16">
        <v>3710000000</v>
      </c>
      <c r="B5513" s="16">
        <v>0</v>
      </c>
      <c r="C5513" s="16" t="s">
        <v>3402</v>
      </c>
      <c r="D5513" s="16" t="s">
        <v>3403</v>
      </c>
    </row>
    <row r="5514" spans="1:4">
      <c r="A5514" s="16">
        <v>5052000000</v>
      </c>
      <c r="B5514" s="16">
        <v>0</v>
      </c>
      <c r="C5514" s="16" t="s">
        <v>3406</v>
      </c>
      <c r="D5514" s="16" t="s">
        <v>3422</v>
      </c>
    </row>
    <row r="5515" spans="1:4">
      <c r="A5515" s="16">
        <v>2500000000</v>
      </c>
      <c r="B5515" s="16">
        <v>162197</v>
      </c>
      <c r="C5515" s="16" t="s">
        <v>3412</v>
      </c>
      <c r="D5515" s="16" t="s">
        <v>3403</v>
      </c>
    </row>
    <row r="5516" spans="1:4">
      <c r="A5516" s="16">
        <v>6102000000</v>
      </c>
      <c r="B5516" s="16">
        <v>0</v>
      </c>
      <c r="C5516" s="16" t="s">
        <v>3425</v>
      </c>
      <c r="D5516" s="16" t="s">
        <v>3426</v>
      </c>
    </row>
    <row r="5517" spans="1:4">
      <c r="A5517" s="16">
        <v>3032000000</v>
      </c>
      <c r="B5517" s="16">
        <v>0</v>
      </c>
      <c r="C5517" s="16" t="s">
        <v>3424</v>
      </c>
      <c r="D5517" s="16" t="s">
        <v>3403</v>
      </c>
    </row>
    <row r="5518" spans="1:4">
      <c r="A5518" s="16">
        <v>2201000030</v>
      </c>
      <c r="B5518" s="16">
        <v>0</v>
      </c>
      <c r="C5518" s="16" t="s">
        <v>3415</v>
      </c>
      <c r="D5518" s="16" t="s">
        <v>3403</v>
      </c>
    </row>
    <row r="5519" spans="1:4">
      <c r="A5519" s="16">
        <v>6610100000</v>
      </c>
      <c r="B5519" s="16">
        <v>0</v>
      </c>
      <c r="C5519" s="16" t="s">
        <v>3413</v>
      </c>
      <c r="D5519" s="16" t="s">
        <v>3414</v>
      </c>
    </row>
    <row r="5520" spans="1:4">
      <c r="A5520" s="16">
        <v>5010000010</v>
      </c>
      <c r="B5520" s="16">
        <v>0</v>
      </c>
      <c r="C5520" s="16" t="s">
        <v>3406</v>
      </c>
      <c r="D5520" s="16" t="s">
        <v>3411</v>
      </c>
    </row>
    <row r="5521" spans="1:4">
      <c r="A5521" s="16">
        <v>6610000100</v>
      </c>
      <c r="B5521" s="16">
        <v>0</v>
      </c>
      <c r="C5521" s="16" t="s">
        <v>3413</v>
      </c>
      <c r="D5521" s="16" t="s">
        <v>3418</v>
      </c>
    </row>
    <row r="5522" spans="1:4">
      <c r="A5522" s="16">
        <v>3710000000</v>
      </c>
      <c r="B5522" s="16">
        <v>0</v>
      </c>
      <c r="C5522" s="16" t="s">
        <v>3402</v>
      </c>
      <c r="D5522" s="16" t="s">
        <v>3403</v>
      </c>
    </row>
    <row r="5523" spans="1:4">
      <c r="A5523" s="16">
        <v>6104000000</v>
      </c>
      <c r="B5523" s="16">
        <v>0</v>
      </c>
      <c r="C5523" s="16" t="s">
        <v>3416</v>
      </c>
      <c r="D5523" s="16" t="s">
        <v>3417</v>
      </c>
    </row>
    <row r="5524" spans="1:4">
      <c r="A5524" s="16">
        <v>6700200000</v>
      </c>
      <c r="B5524" s="16">
        <v>0</v>
      </c>
      <c r="C5524" s="16" t="s">
        <v>3404</v>
      </c>
      <c r="D5524" s="16" t="s">
        <v>3409</v>
      </c>
    </row>
    <row r="5525" spans="1:4">
      <c r="A5525" s="16">
        <v>6700500000</v>
      </c>
      <c r="B5525" s="16">
        <v>0</v>
      </c>
      <c r="C5525" s="16" t="s">
        <v>3404</v>
      </c>
      <c r="D5525" s="16" t="s">
        <v>3405</v>
      </c>
    </row>
    <row r="5526" spans="1:4">
      <c r="A5526" s="16">
        <v>5010000000</v>
      </c>
      <c r="B5526" s="16">
        <v>0</v>
      </c>
      <c r="C5526" s="16" t="s">
        <v>3406</v>
      </c>
      <c r="D5526" s="16" t="s">
        <v>3411</v>
      </c>
    </row>
    <row r="5527" spans="1:4">
      <c r="A5527" s="16">
        <v>6700500000</v>
      </c>
      <c r="B5527" s="16">
        <v>0</v>
      </c>
      <c r="C5527" s="16" t="s">
        <v>3404</v>
      </c>
      <c r="D5527" s="16" t="s">
        <v>3405</v>
      </c>
    </row>
    <row r="5528" spans="1:4">
      <c r="A5528" s="16">
        <v>6610100100</v>
      </c>
      <c r="B5528" s="16">
        <v>0</v>
      </c>
      <c r="C5528" s="16" t="s">
        <v>3413</v>
      </c>
      <c r="D5528" s="16" t="s">
        <v>3414</v>
      </c>
    </row>
    <row r="5529" spans="1:4">
      <c r="A5529" s="16">
        <v>3030000000</v>
      </c>
      <c r="B5529" s="16">
        <v>-695187</v>
      </c>
      <c r="C5529" s="16" t="s">
        <v>3402</v>
      </c>
      <c r="D5529" s="16" t="s">
        <v>3403</v>
      </c>
    </row>
    <row r="5530" spans="1:4">
      <c r="A5530" s="16">
        <v>5010100000</v>
      </c>
      <c r="B5530" s="16">
        <v>0</v>
      </c>
      <c r="C5530" s="16" t="s">
        <v>3406</v>
      </c>
      <c r="D5530" s="16" t="s">
        <v>3407</v>
      </c>
    </row>
    <row r="5531" spans="1:4">
      <c r="A5531" s="16">
        <v>5052010000</v>
      </c>
      <c r="B5531" s="16">
        <v>0</v>
      </c>
      <c r="C5531" s="16" t="s">
        <v>3406</v>
      </c>
      <c r="D5531" s="16" t="s">
        <v>3422</v>
      </c>
    </row>
    <row r="5532" spans="1:4">
      <c r="A5532" s="16">
        <v>4203000000</v>
      </c>
      <c r="B5532" s="16">
        <v>0</v>
      </c>
      <c r="C5532" s="16" t="s">
        <v>3408</v>
      </c>
      <c r="D5532" s="16" t="s">
        <v>3403</v>
      </c>
    </row>
    <row r="5533" spans="1:4">
      <c r="A5533" s="16">
        <v>6030000000</v>
      </c>
      <c r="B5533" s="16">
        <v>0</v>
      </c>
      <c r="C5533" s="16" t="s">
        <v>3420</v>
      </c>
      <c r="D5533" s="16" t="s">
        <v>3423</v>
      </c>
    </row>
    <row r="5534" spans="1:4">
      <c r="A5534" s="16">
        <v>5010000000</v>
      </c>
      <c r="B5534" s="16">
        <v>0</v>
      </c>
      <c r="C5534" s="16" t="s">
        <v>3406</v>
      </c>
      <c r="D5534" s="16" t="s">
        <v>3411</v>
      </c>
    </row>
    <row r="5535" spans="1:4">
      <c r="A5535" s="16">
        <v>2750010000</v>
      </c>
      <c r="B5535" s="16">
        <v>0</v>
      </c>
      <c r="C5535" s="16" t="s">
        <v>3419</v>
      </c>
      <c r="D5535" s="16" t="s">
        <v>3403</v>
      </c>
    </row>
    <row r="5536" spans="1:4">
      <c r="A5536" s="16">
        <v>6700700000</v>
      </c>
      <c r="B5536" s="16">
        <v>0</v>
      </c>
      <c r="C5536" s="16" t="s">
        <v>3404</v>
      </c>
      <c r="D5536" s="16" t="s">
        <v>3409</v>
      </c>
    </row>
    <row r="5537" spans="1:4">
      <c r="A5537" s="16">
        <v>6700400000</v>
      </c>
      <c r="B5537" s="16">
        <v>0</v>
      </c>
      <c r="C5537" s="16" t="s">
        <v>3404</v>
      </c>
      <c r="D5537" s="16" t="s">
        <v>3405</v>
      </c>
    </row>
    <row r="5538" spans="1:4">
      <c r="A5538" s="16">
        <v>2201000000</v>
      </c>
      <c r="B5538" s="16">
        <v>0</v>
      </c>
      <c r="C5538" s="16" t="s">
        <v>3415</v>
      </c>
      <c r="D5538" s="16" t="s">
        <v>3403</v>
      </c>
    </row>
    <row r="5539" spans="1:4">
      <c r="A5539" s="16">
        <v>6700200000</v>
      </c>
      <c r="B5539" s="16">
        <v>0</v>
      </c>
      <c r="C5539" s="16" t="s">
        <v>3404</v>
      </c>
      <c r="D5539" s="16" t="s">
        <v>3409</v>
      </c>
    </row>
    <row r="5540" spans="1:4">
      <c r="A5540" s="16">
        <v>4011000000</v>
      </c>
      <c r="B5540" s="16">
        <v>0</v>
      </c>
      <c r="C5540" s="16" t="s">
        <v>3431</v>
      </c>
      <c r="D5540" s="16" t="s">
        <v>3403</v>
      </c>
    </row>
    <row r="5541" spans="1:4">
      <c r="A5541" s="16">
        <v>6700200000</v>
      </c>
      <c r="B5541" s="16">
        <v>0</v>
      </c>
      <c r="C5541" s="16" t="s">
        <v>3404</v>
      </c>
      <c r="D5541" s="16" t="s">
        <v>3409</v>
      </c>
    </row>
    <row r="5542" spans="1:4">
      <c r="A5542" s="16">
        <v>5010000000</v>
      </c>
      <c r="B5542" s="16">
        <v>-162197</v>
      </c>
      <c r="C5542" s="16" t="s">
        <v>3406</v>
      </c>
      <c r="D5542" s="16" t="s">
        <v>3411</v>
      </c>
    </row>
    <row r="5543" spans="1:4">
      <c r="A5543" s="16">
        <v>6032000000</v>
      </c>
      <c r="B5543" s="16">
        <v>0</v>
      </c>
      <c r="C5543" s="16" t="s">
        <v>3429</v>
      </c>
      <c r="D5543" s="16" t="s">
        <v>3430</v>
      </c>
    </row>
    <row r="5544" spans="1:4">
      <c r="A5544" s="16">
        <v>2500000000</v>
      </c>
      <c r="B5544" s="16">
        <v>0</v>
      </c>
      <c r="C5544" s="16" t="s">
        <v>3412</v>
      </c>
      <c r="D5544" s="16" t="s">
        <v>3403</v>
      </c>
    </row>
    <row r="5545" spans="1:4">
      <c r="A5545" s="16">
        <v>6700200000</v>
      </c>
      <c r="B5545" s="16">
        <v>0</v>
      </c>
      <c r="C5545" s="16" t="s">
        <v>3404</v>
      </c>
      <c r="D5545" s="16" t="s">
        <v>3409</v>
      </c>
    </row>
    <row r="5546" spans="1:4">
      <c r="A5546" s="16">
        <v>4203000000</v>
      </c>
      <c r="B5546" s="16">
        <v>0</v>
      </c>
      <c r="C5546" s="16" t="s">
        <v>3408</v>
      </c>
      <c r="D5546" s="16" t="s">
        <v>3403</v>
      </c>
    </row>
    <row r="5547" spans="1:4">
      <c r="A5547" s="16">
        <v>2750010000</v>
      </c>
      <c r="B5547" s="16">
        <v>0</v>
      </c>
      <c r="C5547" s="16" t="s">
        <v>3419</v>
      </c>
      <c r="D5547" s="16" t="s">
        <v>3403</v>
      </c>
    </row>
    <row r="5548" spans="1:4">
      <c r="A5548" s="16">
        <v>3710000000</v>
      </c>
      <c r="B5548" s="16">
        <v>0</v>
      </c>
      <c r="C5548" s="16" t="s">
        <v>3402</v>
      </c>
      <c r="D5548" s="16" t="s">
        <v>3403</v>
      </c>
    </row>
    <row r="5549" spans="1:4">
      <c r="A5549" s="16">
        <v>3103000000</v>
      </c>
      <c r="B5549" s="16">
        <v>0</v>
      </c>
      <c r="C5549" s="16" t="s">
        <v>3402</v>
      </c>
      <c r="D5549" s="16" t="s">
        <v>3403</v>
      </c>
    </row>
    <row r="5550" spans="1:4">
      <c r="A5550" s="16">
        <v>6700600000</v>
      </c>
      <c r="B5550" s="16">
        <v>0</v>
      </c>
      <c r="C5550" s="16" t="s">
        <v>3404</v>
      </c>
      <c r="D5550" s="16" t="s">
        <v>3409</v>
      </c>
    </row>
    <row r="5551" spans="1:4">
      <c r="A5551" s="16">
        <v>6610100000</v>
      </c>
      <c r="B5551" s="16">
        <v>0</v>
      </c>
      <c r="C5551" s="16" t="s">
        <v>3413</v>
      </c>
      <c r="D5551" s="16" t="s">
        <v>3414</v>
      </c>
    </row>
    <row r="5552" spans="1:4">
      <c r="A5552" s="16">
        <v>5010000010</v>
      </c>
      <c r="B5552" s="16">
        <v>0</v>
      </c>
      <c r="C5552" s="16" t="s">
        <v>3406</v>
      </c>
      <c r="D5552" s="16" t="s">
        <v>3411</v>
      </c>
    </row>
    <row r="5553" spans="1:4">
      <c r="A5553" s="16">
        <v>5052000000</v>
      </c>
      <c r="B5553" s="16">
        <v>0</v>
      </c>
      <c r="C5553" s="16" t="s">
        <v>3406</v>
      </c>
      <c r="D5553" s="16" t="s">
        <v>3422</v>
      </c>
    </row>
    <row r="5554" spans="1:4">
      <c r="A5554" s="16">
        <v>3030000000</v>
      </c>
      <c r="B5554" s="16">
        <v>0</v>
      </c>
      <c r="C5554" s="16" t="s">
        <v>3402</v>
      </c>
      <c r="D5554" s="16" t="s">
        <v>3403</v>
      </c>
    </row>
    <row r="5555" spans="1:4">
      <c r="A5555" s="16">
        <v>6030000000</v>
      </c>
      <c r="B5555" s="16">
        <v>0</v>
      </c>
      <c r="C5555" s="16" t="s">
        <v>3420</v>
      </c>
      <c r="D5555" s="16" t="s">
        <v>3423</v>
      </c>
    </row>
    <row r="5556" spans="1:4">
      <c r="A5556" s="16">
        <v>6610000100</v>
      </c>
      <c r="B5556" s="16">
        <v>0</v>
      </c>
      <c r="C5556" s="16" t="s">
        <v>3413</v>
      </c>
      <c r="D5556" s="16" t="s">
        <v>3418</v>
      </c>
    </row>
    <row r="5557" spans="1:4">
      <c r="A5557" s="16">
        <v>6700500000</v>
      </c>
      <c r="B5557" s="16">
        <v>0</v>
      </c>
      <c r="C5557" s="16" t="s">
        <v>3404</v>
      </c>
      <c r="D5557" s="16" t="s">
        <v>3405</v>
      </c>
    </row>
    <row r="5558" spans="1:4">
      <c r="A5558" s="16">
        <v>6700200000</v>
      </c>
      <c r="B5558" s="16">
        <v>0</v>
      </c>
      <c r="C5558" s="16" t="s">
        <v>3404</v>
      </c>
      <c r="D5558" s="16" t="s">
        <v>3409</v>
      </c>
    </row>
    <row r="5559" spans="1:4">
      <c r="A5559" s="16">
        <v>6700100000</v>
      </c>
      <c r="B5559" s="16">
        <v>0</v>
      </c>
      <c r="C5559" s="16" t="s">
        <v>3404</v>
      </c>
      <c r="D5559" s="16" t="s">
        <v>3410</v>
      </c>
    </row>
    <row r="5560" spans="1:4">
      <c r="A5560" s="16">
        <v>6700100000</v>
      </c>
      <c r="B5560" s="16">
        <v>0</v>
      </c>
      <c r="C5560" s="16" t="s">
        <v>3404</v>
      </c>
      <c r="D5560" s="16" t="s">
        <v>3410</v>
      </c>
    </row>
    <row r="5561" spans="1:4">
      <c r="A5561" s="16">
        <v>5010000000</v>
      </c>
      <c r="B5561" s="16">
        <v>0</v>
      </c>
      <c r="C5561" s="16" t="s">
        <v>3406</v>
      </c>
      <c r="D5561" s="16" t="s">
        <v>3411</v>
      </c>
    </row>
    <row r="5562" spans="1:4">
      <c r="A5562" s="16">
        <v>6610100100</v>
      </c>
      <c r="B5562" s="16">
        <v>0</v>
      </c>
      <c r="C5562" s="16" t="s">
        <v>3413</v>
      </c>
      <c r="D5562" s="16" t="s">
        <v>3414</v>
      </c>
    </row>
    <row r="5563" spans="1:4">
      <c r="A5563" s="16">
        <v>6700700000</v>
      </c>
      <c r="B5563" s="16">
        <v>0</v>
      </c>
      <c r="C5563" s="16" t="s">
        <v>3404</v>
      </c>
      <c r="D5563" s="16" t="s">
        <v>3409</v>
      </c>
    </row>
    <row r="5564" spans="1:4">
      <c r="A5564" s="16">
        <v>6610000000</v>
      </c>
      <c r="B5564" s="16">
        <v>0</v>
      </c>
      <c r="C5564" s="16" t="s">
        <v>3413</v>
      </c>
      <c r="D5564" s="16" t="s">
        <v>3418</v>
      </c>
    </row>
    <row r="5565" spans="1:4">
      <c r="A5565" s="16">
        <v>6700400000</v>
      </c>
      <c r="B5565" s="16">
        <v>0</v>
      </c>
      <c r="C5565" s="16" t="s">
        <v>3404</v>
      </c>
      <c r="D5565" s="16" t="s">
        <v>3405</v>
      </c>
    </row>
    <row r="5566" spans="1:4">
      <c r="A5566" s="16">
        <v>4203000000</v>
      </c>
      <c r="B5566" s="16">
        <v>0</v>
      </c>
      <c r="C5566" s="16" t="s">
        <v>3408</v>
      </c>
      <c r="D5566" s="16" t="s">
        <v>3403</v>
      </c>
    </row>
    <row r="5567" spans="1:4">
      <c r="A5567" s="16">
        <v>3032000000</v>
      </c>
      <c r="B5567" s="16">
        <v>12</v>
      </c>
      <c r="C5567" s="16" t="s">
        <v>3424</v>
      </c>
      <c r="D5567" s="16" t="s">
        <v>3403</v>
      </c>
    </row>
    <row r="5568" spans="1:4">
      <c r="A5568" s="16">
        <v>3710000000</v>
      </c>
      <c r="B5568" s="16">
        <v>0</v>
      </c>
      <c r="C5568" s="16" t="s">
        <v>3402</v>
      </c>
      <c r="D5568" s="16" t="s">
        <v>3403</v>
      </c>
    </row>
    <row r="5569" spans="1:4">
      <c r="A5569" s="16">
        <v>3030000000</v>
      </c>
      <c r="B5569" s="16">
        <v>0</v>
      </c>
      <c r="C5569" s="16" t="s">
        <v>3402</v>
      </c>
      <c r="D5569" s="16" t="s">
        <v>3403</v>
      </c>
    </row>
    <row r="5570" spans="1:4">
      <c r="A5570" s="16">
        <v>6700200000</v>
      </c>
      <c r="B5570" s="16">
        <v>0</v>
      </c>
      <c r="C5570" s="16" t="s">
        <v>3404</v>
      </c>
      <c r="D5570" s="16" t="s">
        <v>3409</v>
      </c>
    </row>
    <row r="5571" spans="1:4">
      <c r="A5571" s="16">
        <v>6700200000</v>
      </c>
      <c r="B5571" s="16">
        <v>0</v>
      </c>
      <c r="C5571" s="16" t="s">
        <v>3404</v>
      </c>
      <c r="D5571" s="16" t="s">
        <v>3409</v>
      </c>
    </row>
    <row r="5572" spans="1:4">
      <c r="A5572" s="16">
        <v>6700200000</v>
      </c>
      <c r="B5572" s="16">
        <v>0</v>
      </c>
      <c r="C5572" s="16" t="s">
        <v>3404</v>
      </c>
      <c r="D5572" s="16" t="s">
        <v>3409</v>
      </c>
    </row>
    <row r="5573" spans="1:4">
      <c r="A5573" s="16">
        <v>6700500000</v>
      </c>
      <c r="B5573" s="16">
        <v>0</v>
      </c>
      <c r="C5573" s="16" t="s">
        <v>3404</v>
      </c>
      <c r="D5573" s="16" t="s">
        <v>3405</v>
      </c>
    </row>
    <row r="5574" spans="1:4">
      <c r="A5574" s="16">
        <v>4203000000</v>
      </c>
      <c r="B5574" s="16">
        <v>0</v>
      </c>
      <c r="C5574" s="16" t="s">
        <v>3408</v>
      </c>
      <c r="D5574" s="16" t="s">
        <v>3403</v>
      </c>
    </row>
    <row r="5575" spans="1:4">
      <c r="A5575" s="16">
        <v>6100000000</v>
      </c>
      <c r="B5575" s="16">
        <v>0</v>
      </c>
      <c r="C5575" s="16" t="s">
        <v>3427</v>
      </c>
      <c r="D5575" s="16" t="s">
        <v>3417</v>
      </c>
    </row>
    <row r="5576" spans="1:4">
      <c r="A5576" s="16">
        <v>2500000000</v>
      </c>
      <c r="B5576" s="16">
        <v>0</v>
      </c>
      <c r="C5576" s="16" t="s">
        <v>3412</v>
      </c>
      <c r="D5576" s="16" t="s">
        <v>3403</v>
      </c>
    </row>
    <row r="5577" spans="1:4">
      <c r="A5577" s="16">
        <v>6032000000</v>
      </c>
      <c r="B5577" s="16">
        <v>-12</v>
      </c>
      <c r="C5577" s="16" t="s">
        <v>3429</v>
      </c>
      <c r="D5577" s="16" t="s">
        <v>3430</v>
      </c>
    </row>
    <row r="5578" spans="1:4">
      <c r="A5578" s="16">
        <v>6700200000</v>
      </c>
      <c r="B5578" s="16">
        <v>0</v>
      </c>
      <c r="C5578" s="16" t="s">
        <v>3404</v>
      </c>
      <c r="D5578" s="16" t="s">
        <v>3409</v>
      </c>
    </row>
    <row r="5579" spans="1:4">
      <c r="A5579" s="16">
        <v>5010100010</v>
      </c>
      <c r="B5579" s="16">
        <v>0</v>
      </c>
      <c r="C5579" s="16" t="s">
        <v>3406</v>
      </c>
      <c r="D5579" s="16" t="s">
        <v>3407</v>
      </c>
    </row>
    <row r="5580" spans="1:4">
      <c r="A5580" s="16">
        <v>2201000000</v>
      </c>
      <c r="B5580" s="16">
        <v>0</v>
      </c>
      <c r="C5580" s="16" t="s">
        <v>3415</v>
      </c>
      <c r="D5580" s="16" t="s">
        <v>3403</v>
      </c>
    </row>
    <row r="5581" spans="1:4">
      <c r="A5581" s="16">
        <v>5050000000</v>
      </c>
      <c r="B5581" s="16">
        <v>0</v>
      </c>
      <c r="C5581" s="16" t="s">
        <v>3406</v>
      </c>
      <c r="D5581" s="16" t="s">
        <v>3422</v>
      </c>
    </row>
    <row r="5582" spans="1:4">
      <c r="A5582" s="16">
        <v>2500000000</v>
      </c>
      <c r="B5582" s="16">
        <v>0</v>
      </c>
      <c r="C5582" s="16" t="s">
        <v>3412</v>
      </c>
      <c r="D5582" s="16" t="s">
        <v>3403</v>
      </c>
    </row>
    <row r="5583" spans="1:4">
      <c r="A5583" s="16">
        <v>6700100000</v>
      </c>
      <c r="B5583" s="16">
        <v>0</v>
      </c>
      <c r="C5583" s="16" t="s">
        <v>3404</v>
      </c>
      <c r="D5583" s="16" t="s">
        <v>3410</v>
      </c>
    </row>
    <row r="5584" spans="1:4">
      <c r="A5584" s="16">
        <v>2201200030</v>
      </c>
      <c r="B5584" s="16">
        <v>0</v>
      </c>
      <c r="C5584" s="16" t="s">
        <v>3415</v>
      </c>
      <c r="D5584" s="16" t="s">
        <v>3403</v>
      </c>
    </row>
    <row r="5585" spans="1:4">
      <c r="A5585" s="16">
        <v>5010000010</v>
      </c>
      <c r="B5585" s="16">
        <v>0</v>
      </c>
      <c r="C5585" s="16" t="s">
        <v>3406</v>
      </c>
      <c r="D5585" s="16" t="s">
        <v>3411</v>
      </c>
    </row>
    <row r="5586" spans="1:4">
      <c r="A5586" s="16">
        <v>6700000000</v>
      </c>
      <c r="B5586" s="16">
        <v>0</v>
      </c>
      <c r="C5586" s="16" t="s">
        <v>3404</v>
      </c>
      <c r="D5586" s="16" t="s">
        <v>3405</v>
      </c>
    </row>
    <row r="5587" spans="1:4">
      <c r="A5587" s="16">
        <v>6610000000</v>
      </c>
      <c r="B5587" s="16">
        <v>229</v>
      </c>
      <c r="C5587" s="16" t="s">
        <v>3413</v>
      </c>
      <c r="D5587" s="16" t="s">
        <v>3418</v>
      </c>
    </row>
    <row r="5588" spans="1:4">
      <c r="A5588" s="16">
        <v>6700200000</v>
      </c>
      <c r="B5588" s="16">
        <v>0</v>
      </c>
      <c r="C5588" s="16" t="s">
        <v>3404</v>
      </c>
      <c r="D5588" s="16" t="s">
        <v>3409</v>
      </c>
    </row>
    <row r="5589" spans="1:4">
      <c r="A5589" s="16">
        <v>6104001000</v>
      </c>
      <c r="B5589" s="16">
        <v>0</v>
      </c>
      <c r="C5589" s="16" t="s">
        <v>3427</v>
      </c>
      <c r="D5589" s="16" t="s">
        <v>3417</v>
      </c>
    </row>
    <row r="5590" spans="1:4">
      <c r="A5590" s="16">
        <v>2500000000</v>
      </c>
      <c r="B5590" s="16">
        <v>0</v>
      </c>
      <c r="C5590" s="16" t="s">
        <v>3412</v>
      </c>
      <c r="D5590" s="16" t="s">
        <v>3403</v>
      </c>
    </row>
    <row r="5591" spans="1:4">
      <c r="A5591" s="16">
        <v>3100000000</v>
      </c>
      <c r="B5591" s="16">
        <v>0</v>
      </c>
      <c r="C5591" s="16" t="s">
        <v>3402</v>
      </c>
      <c r="D5591" s="16" t="s">
        <v>3403</v>
      </c>
    </row>
    <row r="5592" spans="1:4">
      <c r="A5592" s="16">
        <v>6700400000</v>
      </c>
      <c r="B5592" s="16">
        <v>0</v>
      </c>
      <c r="C5592" s="16" t="s">
        <v>3404</v>
      </c>
      <c r="D5592" s="16" t="s">
        <v>3405</v>
      </c>
    </row>
    <row r="5593" spans="1:4">
      <c r="A5593" s="16">
        <v>4611000000</v>
      </c>
      <c r="B5593" s="16">
        <v>0</v>
      </c>
      <c r="C5593" s="16" t="s">
        <v>3428</v>
      </c>
      <c r="D5593" s="16" t="s">
        <v>3403</v>
      </c>
    </row>
    <row r="5594" spans="1:4">
      <c r="A5594" s="16">
        <v>3800000010</v>
      </c>
      <c r="B5594" s="16">
        <v>0</v>
      </c>
      <c r="C5594" s="16" t="s">
        <v>3402</v>
      </c>
      <c r="D5594" s="16" t="s">
        <v>3403</v>
      </c>
    </row>
    <row r="5595" spans="1:4">
      <c r="A5595" s="16">
        <v>2500000000</v>
      </c>
      <c r="B5595" s="16">
        <v>0</v>
      </c>
      <c r="C5595" s="16" t="s">
        <v>3412</v>
      </c>
      <c r="D5595" s="16" t="s">
        <v>3403</v>
      </c>
    </row>
    <row r="5596" spans="1:4">
      <c r="A5596" s="16">
        <v>5010000000</v>
      </c>
      <c r="B5596" s="16">
        <v>0</v>
      </c>
      <c r="C5596" s="16" t="s">
        <v>3406</v>
      </c>
      <c r="D5596" s="16" t="s">
        <v>3411</v>
      </c>
    </row>
    <row r="5597" spans="1:4">
      <c r="A5597" s="16">
        <v>6610100000</v>
      </c>
      <c r="B5597" s="16">
        <v>8146</v>
      </c>
      <c r="C5597" s="16" t="s">
        <v>3413</v>
      </c>
      <c r="D5597" s="16" t="s">
        <v>3414</v>
      </c>
    </row>
    <row r="5598" spans="1:4">
      <c r="A5598" s="16">
        <v>4203000000</v>
      </c>
      <c r="B5598" s="16">
        <v>-8146</v>
      </c>
      <c r="C5598" s="16" t="s">
        <v>3408</v>
      </c>
      <c r="D5598" s="16" t="s">
        <v>3403</v>
      </c>
    </row>
    <row r="5599" spans="1:4">
      <c r="A5599" s="16">
        <v>2500000000</v>
      </c>
      <c r="B5599" s="16">
        <v>0</v>
      </c>
      <c r="C5599" s="16" t="s">
        <v>3412</v>
      </c>
      <c r="D5599" s="16" t="s">
        <v>3403</v>
      </c>
    </row>
    <row r="5600" spans="1:4">
      <c r="A5600" s="16">
        <v>5010000000</v>
      </c>
      <c r="B5600" s="16">
        <v>0</v>
      </c>
      <c r="C5600" s="16" t="s">
        <v>3406</v>
      </c>
      <c r="D5600" s="16" t="s">
        <v>3411</v>
      </c>
    </row>
    <row r="5601" spans="1:4">
      <c r="A5601" s="16">
        <v>6060010000</v>
      </c>
      <c r="B5601" s="16">
        <v>0</v>
      </c>
      <c r="C5601" s="16" t="s">
        <v>3420</v>
      </c>
      <c r="D5601" s="16" t="s">
        <v>3421</v>
      </c>
    </row>
    <row r="5602" spans="1:4">
      <c r="A5602" s="16">
        <v>5052000000</v>
      </c>
      <c r="B5602" s="16">
        <v>0</v>
      </c>
      <c r="C5602" s="16" t="s">
        <v>3406</v>
      </c>
      <c r="D5602" s="16" t="s">
        <v>3422</v>
      </c>
    </row>
    <row r="5603" spans="1:4">
      <c r="A5603" s="16">
        <v>5050010000</v>
      </c>
      <c r="B5603" s="16">
        <v>0</v>
      </c>
      <c r="C5603" s="16" t="s">
        <v>3406</v>
      </c>
      <c r="D5603" s="16" t="s">
        <v>3422</v>
      </c>
    </row>
    <row r="5604" spans="1:4">
      <c r="A5604" s="16">
        <v>5050000000</v>
      </c>
      <c r="B5604" s="16">
        <v>0</v>
      </c>
      <c r="C5604" s="16" t="s">
        <v>3406</v>
      </c>
      <c r="D5604" s="16" t="s">
        <v>3422</v>
      </c>
    </row>
    <row r="5605" spans="1:4">
      <c r="A5605" s="16">
        <v>6700200000</v>
      </c>
      <c r="B5605" s="16">
        <v>0</v>
      </c>
      <c r="C5605" s="16" t="s">
        <v>3404</v>
      </c>
      <c r="D5605" s="16" t="s">
        <v>3409</v>
      </c>
    </row>
    <row r="5606" spans="1:4">
      <c r="A5606" s="16">
        <v>6700000000</v>
      </c>
      <c r="B5606" s="16">
        <v>0</v>
      </c>
      <c r="C5606" s="16" t="s">
        <v>3404</v>
      </c>
      <c r="D5606" s="16" t="s">
        <v>3405</v>
      </c>
    </row>
    <row r="5607" spans="1:4">
      <c r="A5607" s="16">
        <v>5050000000</v>
      </c>
      <c r="B5607" s="16">
        <v>0</v>
      </c>
      <c r="C5607" s="16" t="s">
        <v>3406</v>
      </c>
      <c r="D5607" s="16" t="s">
        <v>3422</v>
      </c>
    </row>
    <row r="5608" spans="1:4">
      <c r="A5608" s="16">
        <v>3800000000</v>
      </c>
      <c r="B5608" s="16">
        <v>0</v>
      </c>
      <c r="C5608" s="16" t="s">
        <v>3402</v>
      </c>
      <c r="D5608" s="16" t="s">
        <v>3403</v>
      </c>
    </row>
    <row r="5609" spans="1:4">
      <c r="A5609" s="16">
        <v>3102000000</v>
      </c>
      <c r="B5609" s="16">
        <v>0</v>
      </c>
      <c r="C5609" s="16" t="s">
        <v>3424</v>
      </c>
      <c r="D5609" s="16" t="s">
        <v>3403</v>
      </c>
    </row>
    <row r="5610" spans="1:4">
      <c r="A5610" s="16">
        <v>6102000000</v>
      </c>
      <c r="B5610" s="16">
        <v>0</v>
      </c>
      <c r="C5610" s="16" t="s">
        <v>3425</v>
      </c>
      <c r="D5610" s="16" t="s">
        <v>3426</v>
      </c>
    </row>
    <row r="5611" spans="1:4">
      <c r="A5611" s="16">
        <v>2201000000</v>
      </c>
      <c r="B5611" s="16">
        <v>62402126</v>
      </c>
      <c r="C5611" s="16" t="s">
        <v>3415</v>
      </c>
      <c r="D5611" s="16" t="s">
        <v>3403</v>
      </c>
    </row>
    <row r="5612" spans="1:4">
      <c r="A5612" s="16">
        <v>6700200000</v>
      </c>
      <c r="B5612" s="16">
        <v>-62402126</v>
      </c>
      <c r="C5612" s="16" t="s">
        <v>3404</v>
      </c>
      <c r="D5612" s="16" t="s">
        <v>3409</v>
      </c>
    </row>
    <row r="5613" spans="1:4">
      <c r="A5613" s="16">
        <v>5010000010</v>
      </c>
      <c r="B5613" s="16">
        <v>0</v>
      </c>
      <c r="C5613" s="16" t="s">
        <v>3406</v>
      </c>
      <c r="D5613" s="16" t="s">
        <v>3411</v>
      </c>
    </row>
    <row r="5614" spans="1:4">
      <c r="A5614" s="16">
        <v>3710000000</v>
      </c>
      <c r="B5614" s="16">
        <v>0</v>
      </c>
      <c r="C5614" s="16" t="s">
        <v>3402</v>
      </c>
      <c r="D5614" s="16" t="s">
        <v>3403</v>
      </c>
    </row>
    <row r="5615" spans="1:4">
      <c r="A5615" s="16">
        <v>3102000000</v>
      </c>
      <c r="B5615" s="16">
        <v>0</v>
      </c>
      <c r="C5615" s="16" t="s">
        <v>3424</v>
      </c>
      <c r="D5615" s="16" t="s">
        <v>3403</v>
      </c>
    </row>
    <row r="5616" spans="1:4">
      <c r="A5616" s="16">
        <v>6102000000</v>
      </c>
      <c r="B5616" s="16">
        <v>0</v>
      </c>
      <c r="C5616" s="16" t="s">
        <v>3425</v>
      </c>
      <c r="D5616" s="16" t="s">
        <v>3426</v>
      </c>
    </row>
    <row r="5617" spans="1:4">
      <c r="A5617" s="16">
        <v>6700600000</v>
      </c>
      <c r="B5617" s="16">
        <v>0</v>
      </c>
      <c r="C5617" s="16" t="s">
        <v>3404</v>
      </c>
      <c r="D5617" s="16" t="s">
        <v>3409</v>
      </c>
    </row>
    <row r="5618" spans="1:4">
      <c r="A5618" s="16">
        <v>6700400000</v>
      </c>
      <c r="B5618" s="16">
        <v>0</v>
      </c>
      <c r="C5618" s="16" t="s">
        <v>3404</v>
      </c>
      <c r="D5618" s="16" t="s">
        <v>3405</v>
      </c>
    </row>
    <row r="5619" spans="1:4">
      <c r="A5619" s="16">
        <v>6700200000</v>
      </c>
      <c r="B5619" s="16">
        <v>0</v>
      </c>
      <c r="C5619" s="16" t="s">
        <v>3404</v>
      </c>
      <c r="D5619" s="16" t="s">
        <v>3409</v>
      </c>
    </row>
    <row r="5620" spans="1:4">
      <c r="A5620" s="16">
        <v>6700100000</v>
      </c>
      <c r="B5620" s="16">
        <v>0</v>
      </c>
      <c r="C5620" s="16" t="s">
        <v>3404</v>
      </c>
      <c r="D5620" s="16" t="s">
        <v>3410</v>
      </c>
    </row>
    <row r="5621" spans="1:4">
      <c r="A5621" s="16">
        <v>6030000000</v>
      </c>
      <c r="B5621" s="16">
        <v>0</v>
      </c>
      <c r="C5621" s="16" t="s">
        <v>3420</v>
      </c>
      <c r="D5621" s="16" t="s">
        <v>3423</v>
      </c>
    </row>
    <row r="5622" spans="1:4">
      <c r="A5622" s="16">
        <v>3030000000</v>
      </c>
      <c r="B5622" s="16">
        <v>0</v>
      </c>
      <c r="C5622" s="16" t="s">
        <v>3402</v>
      </c>
      <c r="D5622" s="16" t="s">
        <v>3403</v>
      </c>
    </row>
    <row r="5623" spans="1:4">
      <c r="A5623" s="16">
        <v>6700200000</v>
      </c>
      <c r="B5623" s="16">
        <v>0</v>
      </c>
      <c r="C5623" s="16" t="s">
        <v>3404</v>
      </c>
      <c r="D5623" s="16" t="s">
        <v>3409</v>
      </c>
    </row>
    <row r="5624" spans="1:4">
      <c r="A5624" s="16">
        <v>6700100000</v>
      </c>
      <c r="B5624" s="16">
        <v>0</v>
      </c>
      <c r="C5624" s="16" t="s">
        <v>3404</v>
      </c>
      <c r="D5624" s="16" t="s">
        <v>3410</v>
      </c>
    </row>
    <row r="5625" spans="1:4">
      <c r="A5625" s="16">
        <v>6700600000</v>
      </c>
      <c r="B5625" s="16">
        <v>0</v>
      </c>
      <c r="C5625" s="16" t="s">
        <v>3404</v>
      </c>
      <c r="D5625" s="16" t="s">
        <v>3409</v>
      </c>
    </row>
    <row r="5626" spans="1:4">
      <c r="A5626" s="16">
        <v>6700400000</v>
      </c>
      <c r="B5626" s="16">
        <v>0</v>
      </c>
      <c r="C5626" s="16" t="s">
        <v>3404</v>
      </c>
      <c r="D5626" s="16" t="s">
        <v>3405</v>
      </c>
    </row>
    <row r="5627" spans="1:4">
      <c r="A5627" s="16">
        <v>6700200000</v>
      </c>
      <c r="B5627" s="16">
        <v>0</v>
      </c>
      <c r="C5627" s="16" t="s">
        <v>3404</v>
      </c>
      <c r="D5627" s="16" t="s">
        <v>3409</v>
      </c>
    </row>
    <row r="5628" spans="1:4">
      <c r="A5628" s="16">
        <v>6700100000</v>
      </c>
      <c r="B5628" s="16">
        <v>0</v>
      </c>
      <c r="C5628" s="16" t="s">
        <v>3404</v>
      </c>
      <c r="D5628" s="16" t="s">
        <v>3410</v>
      </c>
    </row>
    <row r="5629" spans="1:4">
      <c r="A5629" s="16">
        <v>2750010000</v>
      </c>
      <c r="B5629" s="16">
        <v>0</v>
      </c>
      <c r="C5629" s="16" t="s">
        <v>3419</v>
      </c>
      <c r="D5629" s="16" t="s">
        <v>3403</v>
      </c>
    </row>
    <row r="5630" spans="1:4">
      <c r="A5630" s="16">
        <v>6610000100</v>
      </c>
      <c r="B5630" s="16">
        <v>0</v>
      </c>
      <c r="C5630" s="16" t="s">
        <v>3413</v>
      </c>
      <c r="D5630" s="16" t="s">
        <v>3418</v>
      </c>
    </row>
    <row r="5631" spans="1:4">
      <c r="A5631" s="16">
        <v>6610100000</v>
      </c>
      <c r="B5631" s="16">
        <v>591792</v>
      </c>
      <c r="C5631" s="16" t="s">
        <v>3413</v>
      </c>
      <c r="D5631" s="16" t="s">
        <v>3414</v>
      </c>
    </row>
    <row r="5632" spans="1:4">
      <c r="A5632" s="16">
        <v>4203000000</v>
      </c>
      <c r="B5632" s="16">
        <v>-591792</v>
      </c>
      <c r="C5632" s="16" t="s">
        <v>3408</v>
      </c>
      <c r="D5632" s="16" t="s">
        <v>3403</v>
      </c>
    </row>
    <row r="5633" spans="1:4">
      <c r="A5633" s="16">
        <v>2500000000</v>
      </c>
      <c r="B5633" s="16">
        <v>0</v>
      </c>
      <c r="C5633" s="16" t="s">
        <v>3412</v>
      </c>
      <c r="D5633" s="16" t="s">
        <v>3403</v>
      </c>
    </row>
    <row r="5634" spans="1:4">
      <c r="A5634" s="16">
        <v>5010000000</v>
      </c>
      <c r="B5634" s="16">
        <v>0</v>
      </c>
      <c r="C5634" s="16" t="s">
        <v>3406</v>
      </c>
      <c r="D5634" s="16" t="s">
        <v>3411</v>
      </c>
    </row>
    <row r="5635" spans="1:4">
      <c r="A5635" s="16">
        <v>6700200000</v>
      </c>
      <c r="B5635" s="16">
        <v>0</v>
      </c>
      <c r="C5635" s="16" t="s">
        <v>3404</v>
      </c>
      <c r="D5635" s="16" t="s">
        <v>3409</v>
      </c>
    </row>
    <row r="5636" spans="1:4">
      <c r="A5636" s="16">
        <v>6700000000</v>
      </c>
      <c r="B5636" s="16">
        <v>0</v>
      </c>
      <c r="C5636" s="16" t="s">
        <v>3404</v>
      </c>
      <c r="D5636" s="16" t="s">
        <v>3405</v>
      </c>
    </row>
    <row r="5637" spans="1:4">
      <c r="A5637" s="16">
        <v>6700700000</v>
      </c>
      <c r="B5637" s="16">
        <v>0</v>
      </c>
      <c r="C5637" s="16" t="s">
        <v>3404</v>
      </c>
      <c r="D5637" s="16" t="s">
        <v>3409</v>
      </c>
    </row>
    <row r="5638" spans="1:4">
      <c r="A5638" s="16">
        <v>6700500000</v>
      </c>
      <c r="B5638" s="16">
        <v>0</v>
      </c>
      <c r="C5638" s="16" t="s">
        <v>3404</v>
      </c>
      <c r="D5638" s="16" t="s">
        <v>3405</v>
      </c>
    </row>
    <row r="5639" spans="1:4">
      <c r="A5639" s="16">
        <v>6700700000</v>
      </c>
      <c r="B5639" s="16">
        <v>0</v>
      </c>
      <c r="C5639" s="16" t="s">
        <v>3404</v>
      </c>
      <c r="D5639" s="16" t="s">
        <v>3409</v>
      </c>
    </row>
    <row r="5640" spans="1:4">
      <c r="A5640" s="16">
        <v>6700500000</v>
      </c>
      <c r="B5640" s="16">
        <v>0</v>
      </c>
      <c r="C5640" s="16" t="s">
        <v>3404</v>
      </c>
      <c r="D5640" s="16" t="s">
        <v>3405</v>
      </c>
    </row>
    <row r="5641" spans="1:4">
      <c r="A5641" s="16">
        <v>6104001000</v>
      </c>
      <c r="B5641" s="16">
        <v>0</v>
      </c>
      <c r="C5641" s="16" t="s">
        <v>3427</v>
      </c>
      <c r="D5641" s="16" t="s">
        <v>3417</v>
      </c>
    </row>
    <row r="5642" spans="1:4">
      <c r="A5642" s="16">
        <v>3103001000</v>
      </c>
      <c r="B5642" s="16">
        <v>0</v>
      </c>
      <c r="C5642" s="16" t="s">
        <v>3402</v>
      </c>
      <c r="D5642" s="16" t="s">
        <v>3403</v>
      </c>
    </row>
    <row r="5643" spans="1:4">
      <c r="A5643" s="16">
        <v>2203000000</v>
      </c>
      <c r="B5643" s="16">
        <v>0</v>
      </c>
      <c r="C5643" s="16" t="s">
        <v>3415</v>
      </c>
      <c r="D5643" s="16" t="s">
        <v>3403</v>
      </c>
    </row>
    <row r="5644" spans="1:4">
      <c r="A5644" s="16">
        <v>6060110000</v>
      </c>
      <c r="B5644" s="16">
        <v>0</v>
      </c>
      <c r="C5644" s="16" t="s">
        <v>3420</v>
      </c>
      <c r="D5644" s="16" t="s">
        <v>3421</v>
      </c>
    </row>
    <row r="5645" spans="1:4">
      <c r="A5645" s="16">
        <v>2500000000</v>
      </c>
      <c r="B5645" s="16">
        <v>340</v>
      </c>
      <c r="C5645" s="16" t="s">
        <v>3412</v>
      </c>
      <c r="D5645" s="16" t="s">
        <v>3403</v>
      </c>
    </row>
    <row r="5646" spans="1:4">
      <c r="A5646" s="16">
        <v>5010000000</v>
      </c>
      <c r="B5646" s="16">
        <v>-340</v>
      </c>
      <c r="C5646" s="16" t="s">
        <v>3406</v>
      </c>
      <c r="D5646" s="16" t="s">
        <v>3411</v>
      </c>
    </row>
    <row r="5647" spans="1:4">
      <c r="A5647" s="16">
        <v>6700700000</v>
      </c>
      <c r="B5647" s="16">
        <v>0</v>
      </c>
      <c r="C5647" s="16" t="s">
        <v>3404</v>
      </c>
      <c r="D5647" s="16" t="s">
        <v>3409</v>
      </c>
    </row>
    <row r="5648" spans="1:4">
      <c r="A5648" s="16">
        <v>6700500000</v>
      </c>
      <c r="B5648" s="16">
        <v>0</v>
      </c>
      <c r="C5648" s="16" t="s">
        <v>3404</v>
      </c>
      <c r="D5648" s="16" t="s">
        <v>3405</v>
      </c>
    </row>
    <row r="5649" spans="1:4">
      <c r="A5649" s="16">
        <v>4611000000</v>
      </c>
      <c r="B5649" s="16">
        <v>0</v>
      </c>
      <c r="C5649" s="16" t="s">
        <v>3428</v>
      </c>
      <c r="D5649" s="16" t="s">
        <v>3403</v>
      </c>
    </row>
    <row r="5650" spans="1:4">
      <c r="A5650" s="16">
        <v>3800000010</v>
      </c>
      <c r="B5650" s="16">
        <v>0</v>
      </c>
      <c r="C5650" s="16" t="s">
        <v>3402</v>
      </c>
      <c r="D5650" s="16" t="s">
        <v>3403</v>
      </c>
    </row>
    <row r="5651" spans="1:4">
      <c r="A5651" s="16">
        <v>2750010000</v>
      </c>
      <c r="B5651" s="16">
        <v>1219</v>
      </c>
      <c r="C5651" s="16" t="s">
        <v>3419</v>
      </c>
      <c r="D5651" s="16" t="s">
        <v>3403</v>
      </c>
    </row>
    <row r="5652" spans="1:4">
      <c r="A5652" s="16">
        <v>6610100100</v>
      </c>
      <c r="B5652" s="16">
        <v>-1219</v>
      </c>
      <c r="C5652" s="16" t="s">
        <v>3413</v>
      </c>
      <c r="D5652" s="16" t="s">
        <v>3414</v>
      </c>
    </row>
    <row r="5653" spans="1:4">
      <c r="A5653" s="16">
        <v>6030000000</v>
      </c>
      <c r="B5653" s="16">
        <v>0</v>
      </c>
      <c r="C5653" s="16" t="s">
        <v>3420</v>
      </c>
      <c r="D5653" s="16" t="s">
        <v>3423</v>
      </c>
    </row>
    <row r="5654" spans="1:4">
      <c r="A5654" s="16">
        <v>3030000000</v>
      </c>
      <c r="B5654" s="16">
        <v>0</v>
      </c>
      <c r="C5654" s="16" t="s">
        <v>3402</v>
      </c>
      <c r="D5654" s="16" t="s">
        <v>3403</v>
      </c>
    </row>
    <row r="5655" spans="1:4">
      <c r="A5655" s="16">
        <v>6700200000</v>
      </c>
      <c r="B5655" s="16">
        <v>0</v>
      </c>
      <c r="C5655" s="16" t="s">
        <v>3404</v>
      </c>
      <c r="D5655" s="16" t="s">
        <v>3409</v>
      </c>
    </row>
    <row r="5656" spans="1:4">
      <c r="A5656" s="16">
        <v>6700000000</v>
      </c>
      <c r="B5656" s="16">
        <v>0</v>
      </c>
      <c r="C5656" s="16" t="s">
        <v>3404</v>
      </c>
      <c r="D5656" s="16" t="s">
        <v>3405</v>
      </c>
    </row>
    <row r="5657" spans="1:4">
      <c r="A5657" s="16">
        <v>6700600000</v>
      </c>
      <c r="B5657" s="16">
        <v>0</v>
      </c>
      <c r="C5657" s="16" t="s">
        <v>3404</v>
      </c>
      <c r="D5657" s="16" t="s">
        <v>3409</v>
      </c>
    </row>
    <row r="5658" spans="1:4">
      <c r="A5658" s="16">
        <v>6700400000</v>
      </c>
      <c r="B5658" s="16">
        <v>0</v>
      </c>
      <c r="C5658" s="16" t="s">
        <v>3404</v>
      </c>
      <c r="D5658" s="16" t="s">
        <v>3405</v>
      </c>
    </row>
    <row r="5659" spans="1:4">
      <c r="A5659" s="16">
        <v>6104000000</v>
      </c>
      <c r="B5659" s="16">
        <v>0</v>
      </c>
      <c r="C5659" s="16" t="s">
        <v>3427</v>
      </c>
      <c r="D5659" s="16" t="s">
        <v>3417</v>
      </c>
    </row>
    <row r="5660" spans="1:4">
      <c r="A5660" s="16">
        <v>3103000000</v>
      </c>
      <c r="B5660" s="16">
        <v>0</v>
      </c>
      <c r="C5660" s="16" t="s">
        <v>3402</v>
      </c>
      <c r="D5660" s="16" t="s">
        <v>3403</v>
      </c>
    </row>
    <row r="5661" spans="1:4">
      <c r="A5661" s="16">
        <v>6610000000</v>
      </c>
      <c r="B5661" s="16">
        <v>0</v>
      </c>
      <c r="C5661" s="16" t="s">
        <v>3413</v>
      </c>
      <c r="D5661" s="16" t="s">
        <v>3418</v>
      </c>
    </row>
    <row r="5662" spans="1:4">
      <c r="A5662" s="16">
        <v>4203000000</v>
      </c>
      <c r="B5662" s="16">
        <v>0</v>
      </c>
      <c r="C5662" s="16" t="s">
        <v>3408</v>
      </c>
      <c r="D5662" s="16" t="s">
        <v>3403</v>
      </c>
    </row>
    <row r="5663" spans="1:4">
      <c r="A5663" s="16">
        <v>2201000000</v>
      </c>
      <c r="B5663" s="16">
        <v>811543</v>
      </c>
      <c r="C5663" s="16" t="s">
        <v>3415</v>
      </c>
      <c r="D5663" s="16" t="s">
        <v>3403</v>
      </c>
    </row>
    <row r="5664" spans="1:4">
      <c r="A5664" s="16">
        <v>6700200000</v>
      </c>
      <c r="B5664" s="16">
        <v>-811543</v>
      </c>
      <c r="C5664" s="16" t="s">
        <v>3404</v>
      </c>
      <c r="D5664" s="16" t="s">
        <v>3409</v>
      </c>
    </row>
    <row r="5665" spans="1:4">
      <c r="A5665" s="16">
        <v>6100000000</v>
      </c>
      <c r="B5665" s="16">
        <v>0</v>
      </c>
      <c r="C5665" s="16" t="s">
        <v>3416</v>
      </c>
      <c r="D5665" s="16" t="s">
        <v>3417</v>
      </c>
    </row>
    <row r="5666" spans="1:4">
      <c r="A5666" s="16">
        <v>3100000000</v>
      </c>
      <c r="B5666" s="16">
        <v>0</v>
      </c>
      <c r="C5666" s="16" t="s">
        <v>3402</v>
      </c>
      <c r="D5666" s="16" t="s">
        <v>3403</v>
      </c>
    </row>
    <row r="5667" spans="1:4">
      <c r="A5667" s="16">
        <v>2750010000</v>
      </c>
      <c r="B5667" s="16">
        <v>0</v>
      </c>
      <c r="C5667" s="16" t="s">
        <v>3419</v>
      </c>
      <c r="D5667" s="16" t="s">
        <v>3403</v>
      </c>
    </row>
    <row r="5668" spans="1:4">
      <c r="A5668" s="16">
        <v>6610100100</v>
      </c>
      <c r="B5668" s="16">
        <v>0</v>
      </c>
      <c r="C5668" s="16" t="s">
        <v>3413</v>
      </c>
      <c r="D5668" s="16" t="s">
        <v>3414</v>
      </c>
    </row>
    <row r="5669" spans="1:4">
      <c r="A5669" s="16">
        <v>5052010000</v>
      </c>
      <c r="B5669" s="16">
        <v>0</v>
      </c>
      <c r="C5669" s="16" t="s">
        <v>3406</v>
      </c>
      <c r="D5669" s="16" t="s">
        <v>3422</v>
      </c>
    </row>
    <row r="5670" spans="1:4">
      <c r="A5670" s="16">
        <v>5052000000</v>
      </c>
      <c r="B5670" s="16">
        <v>0</v>
      </c>
      <c r="C5670" s="16" t="s">
        <v>3406</v>
      </c>
      <c r="D5670" s="16" t="s">
        <v>3422</v>
      </c>
    </row>
    <row r="5671" spans="1:4">
      <c r="A5671" s="16">
        <v>6700600000</v>
      </c>
      <c r="B5671" s="16">
        <v>0</v>
      </c>
      <c r="C5671" s="16" t="s">
        <v>3404</v>
      </c>
      <c r="D5671" s="16" t="s">
        <v>3409</v>
      </c>
    </row>
    <row r="5672" spans="1:4">
      <c r="A5672" s="16">
        <v>6700400000</v>
      </c>
      <c r="B5672" s="16">
        <v>0</v>
      </c>
      <c r="C5672" s="16" t="s">
        <v>3404</v>
      </c>
      <c r="D5672" s="16" t="s">
        <v>3405</v>
      </c>
    </row>
    <row r="5673" spans="1:4">
      <c r="A5673" s="16">
        <v>6610000000</v>
      </c>
      <c r="B5673" s="16">
        <v>0</v>
      </c>
      <c r="C5673" s="16" t="s">
        <v>3413</v>
      </c>
      <c r="D5673" s="16" t="s">
        <v>3418</v>
      </c>
    </row>
    <row r="5674" spans="1:4">
      <c r="A5674" s="16">
        <v>4203000000</v>
      </c>
      <c r="B5674" s="16">
        <v>0</v>
      </c>
      <c r="C5674" s="16" t="s">
        <v>3408</v>
      </c>
      <c r="D5674" s="16" t="s">
        <v>3403</v>
      </c>
    </row>
    <row r="5675" spans="1:4">
      <c r="A5675" s="16">
        <v>6100000000</v>
      </c>
      <c r="B5675" s="16">
        <v>0</v>
      </c>
      <c r="C5675" s="16" t="s">
        <v>3416</v>
      </c>
      <c r="D5675" s="16" t="s">
        <v>3417</v>
      </c>
    </row>
    <row r="5676" spans="1:4">
      <c r="A5676" s="16">
        <v>3100000000</v>
      </c>
      <c r="B5676" s="16">
        <v>0</v>
      </c>
      <c r="C5676" s="16" t="s">
        <v>3402</v>
      </c>
      <c r="D5676" s="16" t="s">
        <v>3403</v>
      </c>
    </row>
    <row r="5677" spans="1:4">
      <c r="A5677" s="16">
        <v>6100000000</v>
      </c>
      <c r="B5677" s="16">
        <v>0</v>
      </c>
      <c r="C5677" s="16" t="s">
        <v>3416</v>
      </c>
      <c r="D5677" s="16" t="s">
        <v>3417</v>
      </c>
    </row>
    <row r="5678" spans="1:4">
      <c r="A5678" s="16">
        <v>3100000000</v>
      </c>
      <c r="B5678" s="16">
        <v>0</v>
      </c>
      <c r="C5678" s="16" t="s">
        <v>3402</v>
      </c>
      <c r="D5678" s="16" t="s">
        <v>3403</v>
      </c>
    </row>
    <row r="5679" spans="1:4">
      <c r="A5679" s="16">
        <v>3102000000</v>
      </c>
      <c r="B5679" s="16">
        <v>0</v>
      </c>
      <c r="C5679" s="16" t="s">
        <v>3424</v>
      </c>
      <c r="D5679" s="16" t="s">
        <v>3403</v>
      </c>
    </row>
    <row r="5680" spans="1:4">
      <c r="A5680" s="16">
        <v>6102000000</v>
      </c>
      <c r="B5680" s="16">
        <v>0</v>
      </c>
      <c r="C5680" s="16" t="s">
        <v>3425</v>
      </c>
      <c r="D5680" s="16" t="s">
        <v>3426</v>
      </c>
    </row>
    <row r="5681" spans="1:4">
      <c r="A5681" s="16">
        <v>6700200000</v>
      </c>
      <c r="B5681" s="16">
        <v>0</v>
      </c>
      <c r="C5681" s="16" t="s">
        <v>3404</v>
      </c>
      <c r="D5681" s="16" t="s">
        <v>3409</v>
      </c>
    </row>
    <row r="5682" spans="1:4">
      <c r="A5682" s="16">
        <v>6700100000</v>
      </c>
      <c r="B5682" s="16">
        <v>0</v>
      </c>
      <c r="C5682" s="16" t="s">
        <v>3404</v>
      </c>
      <c r="D5682" s="16" t="s">
        <v>3410</v>
      </c>
    </row>
    <row r="5683" spans="1:4">
      <c r="A5683" s="16">
        <v>6700700000</v>
      </c>
      <c r="B5683" s="16">
        <v>0</v>
      </c>
      <c r="C5683" s="16" t="s">
        <v>3404</v>
      </c>
      <c r="D5683" s="16" t="s">
        <v>3409</v>
      </c>
    </row>
    <row r="5684" spans="1:4">
      <c r="A5684" s="16">
        <v>6700500000</v>
      </c>
      <c r="B5684" s="16">
        <v>0</v>
      </c>
      <c r="C5684" s="16" t="s">
        <v>3404</v>
      </c>
      <c r="D5684" s="16" t="s">
        <v>3405</v>
      </c>
    </row>
    <row r="5685" spans="1:4">
      <c r="A5685" s="16">
        <v>5010000010</v>
      </c>
      <c r="B5685" s="16">
        <v>0</v>
      </c>
      <c r="C5685" s="16" t="s">
        <v>3406</v>
      </c>
      <c r="D5685" s="16" t="s">
        <v>3411</v>
      </c>
    </row>
    <row r="5686" spans="1:4">
      <c r="A5686" s="16">
        <v>3710000000</v>
      </c>
      <c r="B5686" s="16">
        <v>0</v>
      </c>
      <c r="C5686" s="16" t="s">
        <v>3402</v>
      </c>
      <c r="D5686" s="16" t="s">
        <v>3403</v>
      </c>
    </row>
    <row r="5687" spans="1:4">
      <c r="A5687" s="16">
        <v>6700200000</v>
      </c>
      <c r="B5687" s="16">
        <v>0</v>
      </c>
      <c r="C5687" s="16" t="s">
        <v>3404</v>
      </c>
      <c r="D5687" s="16" t="s">
        <v>3409</v>
      </c>
    </row>
    <row r="5688" spans="1:4">
      <c r="A5688" s="16">
        <v>6700000000</v>
      </c>
      <c r="B5688" s="16">
        <v>0</v>
      </c>
      <c r="C5688" s="16" t="s">
        <v>3404</v>
      </c>
      <c r="D5688" s="16" t="s">
        <v>3405</v>
      </c>
    </row>
    <row r="5689" spans="1:4">
      <c r="A5689" s="16">
        <v>2203000000</v>
      </c>
      <c r="B5689" s="16">
        <v>4548596</v>
      </c>
      <c r="C5689" s="16" t="s">
        <v>3415</v>
      </c>
      <c r="D5689" s="16" t="s">
        <v>3403</v>
      </c>
    </row>
    <row r="5690" spans="1:4">
      <c r="A5690" s="16">
        <v>6060110000</v>
      </c>
      <c r="B5690" s="16">
        <v>-4548596</v>
      </c>
      <c r="C5690" s="16" t="s">
        <v>3420</v>
      </c>
      <c r="D5690" s="16" t="s">
        <v>3421</v>
      </c>
    </row>
    <row r="5691" spans="1:4">
      <c r="A5691" s="16">
        <v>6610100000</v>
      </c>
      <c r="B5691" s="16">
        <v>0</v>
      </c>
      <c r="C5691" s="16" t="s">
        <v>3413</v>
      </c>
      <c r="D5691" s="16" t="s">
        <v>3414</v>
      </c>
    </row>
    <row r="5692" spans="1:4">
      <c r="A5692" s="16">
        <v>4203000000</v>
      </c>
      <c r="B5692" s="16">
        <v>0</v>
      </c>
      <c r="C5692" s="16" t="s">
        <v>3408</v>
      </c>
      <c r="D5692" s="16" t="s">
        <v>3403</v>
      </c>
    </row>
    <row r="5693" spans="1:4">
      <c r="A5693" s="16">
        <v>3102000000</v>
      </c>
      <c r="B5693" s="16">
        <v>0</v>
      </c>
      <c r="C5693" s="16" t="s">
        <v>3424</v>
      </c>
      <c r="D5693" s="16" t="s">
        <v>3403</v>
      </c>
    </row>
    <row r="5694" spans="1:4">
      <c r="A5694" s="16">
        <v>6102000000</v>
      </c>
      <c r="B5694" s="16">
        <v>0</v>
      </c>
      <c r="C5694" s="16" t="s">
        <v>3425</v>
      </c>
      <c r="D5694" s="16" t="s">
        <v>3426</v>
      </c>
    </row>
    <row r="5695" spans="1:4">
      <c r="A5695" s="16">
        <v>6610000000</v>
      </c>
      <c r="B5695" s="16">
        <v>0</v>
      </c>
      <c r="C5695" s="16" t="s">
        <v>3413</v>
      </c>
      <c r="D5695" s="16" t="s">
        <v>3418</v>
      </c>
    </row>
    <row r="5696" spans="1:4">
      <c r="A5696" s="16">
        <v>4203000000</v>
      </c>
      <c r="B5696" s="16">
        <v>0</v>
      </c>
      <c r="C5696" s="16" t="s">
        <v>3408</v>
      </c>
      <c r="D5696" s="16" t="s">
        <v>3403</v>
      </c>
    </row>
    <row r="5697" spans="1:4">
      <c r="A5697" s="16">
        <v>6700200000</v>
      </c>
      <c r="B5697" s="16">
        <v>0</v>
      </c>
      <c r="C5697" s="16" t="s">
        <v>3404</v>
      </c>
      <c r="D5697" s="16" t="s">
        <v>3409</v>
      </c>
    </row>
    <row r="5698" spans="1:4">
      <c r="A5698" s="16">
        <v>6700000000</v>
      </c>
      <c r="B5698" s="16">
        <v>0</v>
      </c>
      <c r="C5698" s="16" t="s">
        <v>3404</v>
      </c>
      <c r="D5698" s="16" t="s">
        <v>3405</v>
      </c>
    </row>
    <row r="5699" spans="1:4">
      <c r="A5699" s="16">
        <v>2203000000</v>
      </c>
      <c r="B5699" s="16">
        <v>0</v>
      </c>
      <c r="C5699" s="16" t="s">
        <v>3415</v>
      </c>
      <c r="D5699" s="16" t="s">
        <v>3403</v>
      </c>
    </row>
    <row r="5700" spans="1:4">
      <c r="A5700" s="16">
        <v>6060110000</v>
      </c>
      <c r="B5700" s="16">
        <v>0</v>
      </c>
      <c r="C5700" s="16" t="s">
        <v>3420</v>
      </c>
      <c r="D5700" s="16" t="s">
        <v>3421</v>
      </c>
    </row>
    <row r="5701" spans="1:4">
      <c r="A5701" s="16">
        <v>6100000020</v>
      </c>
      <c r="B5701" s="16">
        <v>0</v>
      </c>
      <c r="C5701" s="16" t="s">
        <v>3416</v>
      </c>
      <c r="D5701" s="16" t="s">
        <v>3417</v>
      </c>
    </row>
    <row r="5702" spans="1:4">
      <c r="A5702" s="16">
        <v>3810000000</v>
      </c>
      <c r="B5702" s="16">
        <v>0</v>
      </c>
      <c r="C5702" s="16" t="s">
        <v>3402</v>
      </c>
      <c r="D5702" s="16" t="s">
        <v>3403</v>
      </c>
    </row>
    <row r="5703" spans="1:4">
      <c r="A5703" s="16">
        <v>6700200000</v>
      </c>
      <c r="B5703" s="16">
        <v>0</v>
      </c>
      <c r="C5703" s="16" t="s">
        <v>3404</v>
      </c>
      <c r="D5703" s="16" t="s">
        <v>3409</v>
      </c>
    </row>
    <row r="5704" spans="1:4">
      <c r="A5704" s="16">
        <v>6700100000</v>
      </c>
      <c r="B5704" s="16">
        <v>0</v>
      </c>
      <c r="C5704" s="16" t="s">
        <v>3404</v>
      </c>
      <c r="D5704" s="16" t="s">
        <v>3410</v>
      </c>
    </row>
    <row r="5705" spans="1:4">
      <c r="A5705" s="16">
        <v>6100000000</v>
      </c>
      <c r="B5705" s="16">
        <v>30482379</v>
      </c>
      <c r="C5705" s="16" t="s">
        <v>3427</v>
      </c>
      <c r="D5705" s="16" t="s">
        <v>3417</v>
      </c>
    </row>
    <row r="5706" spans="1:4">
      <c r="A5706" s="16">
        <v>3100000000</v>
      </c>
      <c r="B5706" s="16">
        <v>-30482379</v>
      </c>
      <c r="C5706" s="16" t="s">
        <v>3402</v>
      </c>
      <c r="D5706" s="16" t="s">
        <v>3403</v>
      </c>
    </row>
    <row r="5707" spans="1:4">
      <c r="A5707" s="16">
        <v>2500000000</v>
      </c>
      <c r="B5707" s="16">
        <v>0</v>
      </c>
      <c r="C5707" s="16" t="s">
        <v>3412</v>
      </c>
      <c r="D5707" s="16" t="s">
        <v>3403</v>
      </c>
    </row>
    <row r="5708" spans="1:4">
      <c r="A5708" s="16">
        <v>5010100000</v>
      </c>
      <c r="B5708" s="16">
        <v>0</v>
      </c>
      <c r="C5708" s="16" t="s">
        <v>3406</v>
      </c>
      <c r="D5708" s="16" t="s">
        <v>3407</v>
      </c>
    </row>
    <row r="5709" spans="1:4">
      <c r="A5709" s="16">
        <v>6100000000</v>
      </c>
      <c r="B5709" s="16">
        <v>0</v>
      </c>
      <c r="C5709" s="16" t="s">
        <v>3416</v>
      </c>
      <c r="D5709" s="16" t="s">
        <v>3417</v>
      </c>
    </row>
    <row r="5710" spans="1:4">
      <c r="A5710" s="16">
        <v>3100000000</v>
      </c>
      <c r="B5710" s="16">
        <v>0</v>
      </c>
      <c r="C5710" s="16" t="s">
        <v>3402</v>
      </c>
      <c r="D5710" s="16" t="s">
        <v>3403</v>
      </c>
    </row>
    <row r="5711" spans="1:4">
      <c r="A5711" s="16">
        <v>6610000000</v>
      </c>
      <c r="B5711" s="16">
        <v>0</v>
      </c>
      <c r="C5711" s="16" t="s">
        <v>3413</v>
      </c>
      <c r="D5711" s="16" t="s">
        <v>3418</v>
      </c>
    </row>
    <row r="5712" spans="1:4">
      <c r="A5712" s="16">
        <v>4203000000</v>
      </c>
      <c r="B5712" s="16">
        <v>0</v>
      </c>
      <c r="C5712" s="16" t="s">
        <v>3408</v>
      </c>
      <c r="D5712" s="16" t="s">
        <v>3403</v>
      </c>
    </row>
    <row r="5713" spans="1:4">
      <c r="A5713" s="16">
        <v>6700700000</v>
      </c>
      <c r="B5713" s="16">
        <v>0</v>
      </c>
      <c r="C5713" s="16" t="s">
        <v>3404</v>
      </c>
      <c r="D5713" s="16" t="s">
        <v>3409</v>
      </c>
    </row>
    <row r="5714" spans="1:4">
      <c r="A5714" s="16">
        <v>6700500000</v>
      </c>
      <c r="B5714" s="16">
        <v>0</v>
      </c>
      <c r="C5714" s="16" t="s">
        <v>3404</v>
      </c>
      <c r="D5714" s="16" t="s">
        <v>3405</v>
      </c>
    </row>
    <row r="5715" spans="1:4">
      <c r="A5715" s="16">
        <v>3102000000</v>
      </c>
      <c r="B5715" s="16">
        <v>0</v>
      </c>
      <c r="C5715" s="16" t="s">
        <v>3424</v>
      </c>
      <c r="D5715" s="16" t="s">
        <v>3403</v>
      </c>
    </row>
    <row r="5716" spans="1:4">
      <c r="A5716" s="16">
        <v>6102000000</v>
      </c>
      <c r="B5716" s="16">
        <v>0</v>
      </c>
      <c r="C5716" s="16" t="s">
        <v>3425</v>
      </c>
      <c r="D5716" s="16" t="s">
        <v>3426</v>
      </c>
    </row>
    <row r="5717" spans="1:4">
      <c r="A5717" s="16">
        <v>2500000000</v>
      </c>
      <c r="B5717" s="16">
        <v>0</v>
      </c>
      <c r="C5717" s="16" t="s">
        <v>3412</v>
      </c>
      <c r="D5717" s="16" t="s">
        <v>3403</v>
      </c>
    </row>
    <row r="5718" spans="1:4">
      <c r="A5718" s="16">
        <v>5010000000</v>
      </c>
      <c r="B5718" s="16">
        <v>0</v>
      </c>
      <c r="C5718" s="16" t="s">
        <v>3406</v>
      </c>
      <c r="D5718" s="16" t="s">
        <v>3411</v>
      </c>
    </row>
    <row r="5719" spans="1:4">
      <c r="A5719" s="16">
        <v>6700600000</v>
      </c>
      <c r="B5719" s="16">
        <v>0</v>
      </c>
      <c r="C5719" s="16" t="s">
        <v>3404</v>
      </c>
      <c r="D5719" s="16" t="s">
        <v>3409</v>
      </c>
    </row>
    <row r="5720" spans="1:4">
      <c r="A5720" s="16">
        <v>6700400000</v>
      </c>
      <c r="B5720" s="16">
        <v>0</v>
      </c>
      <c r="C5720" s="16" t="s">
        <v>3404</v>
      </c>
      <c r="D5720" s="16" t="s">
        <v>3405</v>
      </c>
    </row>
    <row r="5721" spans="1:4">
      <c r="A5721" s="16">
        <v>6104000000</v>
      </c>
      <c r="B5721" s="16">
        <v>0</v>
      </c>
      <c r="C5721" s="16" t="s">
        <v>3416</v>
      </c>
      <c r="D5721" s="16" t="s">
        <v>3417</v>
      </c>
    </row>
    <row r="5722" spans="1:4">
      <c r="A5722" s="16">
        <v>3103000000</v>
      </c>
      <c r="B5722" s="16">
        <v>0</v>
      </c>
      <c r="C5722" s="16" t="s">
        <v>3402</v>
      </c>
      <c r="D5722" s="16" t="s">
        <v>3403</v>
      </c>
    </row>
    <row r="5723" spans="1:4">
      <c r="A5723" s="16">
        <v>6700200000</v>
      </c>
      <c r="B5723" s="16">
        <v>0</v>
      </c>
      <c r="C5723" s="16" t="s">
        <v>3404</v>
      </c>
      <c r="D5723" s="16" t="s">
        <v>3409</v>
      </c>
    </row>
    <row r="5724" spans="1:4">
      <c r="A5724" s="16">
        <v>6700000000</v>
      </c>
      <c r="B5724" s="16">
        <v>0</v>
      </c>
      <c r="C5724" s="16" t="s">
        <v>3404</v>
      </c>
      <c r="D5724" s="16" t="s">
        <v>3405</v>
      </c>
    </row>
    <row r="5725" spans="1:4">
      <c r="A5725" s="16">
        <v>3102000000</v>
      </c>
      <c r="B5725" s="16">
        <v>0</v>
      </c>
      <c r="C5725" s="16" t="s">
        <v>3424</v>
      </c>
      <c r="D5725" s="16" t="s">
        <v>3403</v>
      </c>
    </row>
    <row r="5726" spans="1:4">
      <c r="A5726" s="16">
        <v>6102000000</v>
      </c>
      <c r="B5726" s="16">
        <v>0</v>
      </c>
      <c r="C5726" s="16" t="s">
        <v>3425</v>
      </c>
      <c r="D5726" s="16" t="s">
        <v>3426</v>
      </c>
    </row>
    <row r="5727" spans="1:4">
      <c r="A5727" s="16">
        <v>6104001000</v>
      </c>
      <c r="B5727" s="16">
        <v>0</v>
      </c>
      <c r="C5727" s="16" t="s">
        <v>3416</v>
      </c>
      <c r="D5727" s="16" t="s">
        <v>3417</v>
      </c>
    </row>
    <row r="5728" spans="1:4">
      <c r="A5728" s="16">
        <v>3103001000</v>
      </c>
      <c r="B5728" s="16">
        <v>0</v>
      </c>
      <c r="C5728" s="16" t="s">
        <v>3402</v>
      </c>
      <c r="D5728" s="16" t="s">
        <v>3403</v>
      </c>
    </row>
    <row r="5729" spans="1:4">
      <c r="A5729" s="16">
        <v>6610100000</v>
      </c>
      <c r="B5729" s="16">
        <v>862711</v>
      </c>
      <c r="C5729" s="16" t="s">
        <v>3413</v>
      </c>
      <c r="D5729" s="16" t="s">
        <v>3414</v>
      </c>
    </row>
    <row r="5730" spans="1:4">
      <c r="A5730" s="16">
        <v>4203000000</v>
      </c>
      <c r="B5730" s="16">
        <v>-862711</v>
      </c>
      <c r="C5730" s="16" t="s">
        <v>3408</v>
      </c>
      <c r="D5730" s="16" t="s">
        <v>3403</v>
      </c>
    </row>
    <row r="5731" spans="1:4">
      <c r="A5731" s="16">
        <v>6700200000</v>
      </c>
      <c r="B5731" s="16">
        <v>0</v>
      </c>
      <c r="C5731" s="16" t="s">
        <v>3404</v>
      </c>
      <c r="D5731" s="16" t="s">
        <v>3409</v>
      </c>
    </row>
    <row r="5732" spans="1:4">
      <c r="A5732" s="16">
        <v>6700100000</v>
      </c>
      <c r="B5732" s="16">
        <v>0</v>
      </c>
      <c r="C5732" s="16" t="s">
        <v>3404</v>
      </c>
      <c r="D5732" s="16" t="s">
        <v>3410</v>
      </c>
    </row>
    <row r="5733" spans="1:4">
      <c r="A5733" s="16">
        <v>6104001000</v>
      </c>
      <c r="B5733" s="16">
        <v>0</v>
      </c>
      <c r="C5733" s="16" t="s">
        <v>3416</v>
      </c>
      <c r="D5733" s="16" t="s">
        <v>3417</v>
      </c>
    </row>
    <row r="5734" spans="1:4">
      <c r="A5734" s="16">
        <v>3103001000</v>
      </c>
      <c r="B5734" s="16">
        <v>0</v>
      </c>
      <c r="C5734" s="16" t="s">
        <v>3402</v>
      </c>
      <c r="D5734" s="16" t="s">
        <v>3403</v>
      </c>
    </row>
    <row r="5735" spans="1:4">
      <c r="A5735" s="16">
        <v>2500000000</v>
      </c>
      <c r="B5735" s="16">
        <v>0</v>
      </c>
      <c r="C5735" s="16" t="s">
        <v>3412</v>
      </c>
      <c r="D5735" s="16" t="s">
        <v>3403</v>
      </c>
    </row>
    <row r="5736" spans="1:4">
      <c r="A5736" s="16">
        <v>5010000000</v>
      </c>
      <c r="B5736" s="16">
        <v>0</v>
      </c>
      <c r="C5736" s="16" t="s">
        <v>3406</v>
      </c>
      <c r="D5736" s="16" t="s">
        <v>3411</v>
      </c>
    </row>
    <row r="5737" spans="1:4">
      <c r="A5737" s="16">
        <v>6700700000</v>
      </c>
      <c r="B5737" s="16">
        <v>0</v>
      </c>
      <c r="C5737" s="16" t="s">
        <v>3404</v>
      </c>
      <c r="D5737" s="16" t="s">
        <v>3409</v>
      </c>
    </row>
    <row r="5738" spans="1:4">
      <c r="A5738" s="16">
        <v>6700500000</v>
      </c>
      <c r="B5738" s="16">
        <v>0</v>
      </c>
      <c r="C5738" s="16" t="s">
        <v>3404</v>
      </c>
      <c r="D5738" s="16" t="s">
        <v>3405</v>
      </c>
    </row>
    <row r="5739" spans="1:4">
      <c r="A5739" s="16">
        <v>3102000000</v>
      </c>
      <c r="B5739" s="16">
        <v>32730665</v>
      </c>
      <c r="C5739" s="16" t="s">
        <v>3424</v>
      </c>
      <c r="D5739" s="16" t="s">
        <v>3403</v>
      </c>
    </row>
    <row r="5740" spans="1:4">
      <c r="A5740" s="16">
        <v>6102000000</v>
      </c>
      <c r="B5740" s="16">
        <v>-32730665</v>
      </c>
      <c r="C5740" s="16" t="s">
        <v>3425</v>
      </c>
      <c r="D5740" s="16" t="s">
        <v>3426</v>
      </c>
    </row>
    <row r="5741" spans="1:4">
      <c r="A5741" s="16">
        <v>6700200000</v>
      </c>
      <c r="B5741" s="16">
        <v>0</v>
      </c>
      <c r="C5741" s="16" t="s">
        <v>3404</v>
      </c>
      <c r="D5741" s="16" t="s">
        <v>3409</v>
      </c>
    </row>
    <row r="5742" spans="1:4">
      <c r="A5742" s="16">
        <v>6700100000</v>
      </c>
      <c r="B5742" s="16">
        <v>0</v>
      </c>
      <c r="C5742" s="16" t="s">
        <v>3404</v>
      </c>
      <c r="D5742" s="16" t="s">
        <v>3410</v>
      </c>
    </row>
    <row r="5743" spans="1:4">
      <c r="A5743" s="16">
        <v>6700600000</v>
      </c>
      <c r="B5743" s="16">
        <v>0</v>
      </c>
      <c r="C5743" s="16" t="s">
        <v>3404</v>
      </c>
      <c r="D5743" s="16" t="s">
        <v>3409</v>
      </c>
    </row>
    <row r="5744" spans="1:4">
      <c r="A5744" s="16">
        <v>6700400000</v>
      </c>
      <c r="B5744" s="16">
        <v>0</v>
      </c>
      <c r="C5744" s="16" t="s">
        <v>3404</v>
      </c>
      <c r="D5744" s="16" t="s">
        <v>3405</v>
      </c>
    </row>
    <row r="5745" spans="1:4">
      <c r="A5745" s="16">
        <v>6030000000</v>
      </c>
      <c r="B5745" s="16">
        <v>0</v>
      </c>
      <c r="C5745" s="16" t="s">
        <v>3432</v>
      </c>
      <c r="D5745" s="16" t="s">
        <v>3423</v>
      </c>
    </row>
    <row r="5746" spans="1:4">
      <c r="A5746" s="16">
        <v>3030000000</v>
      </c>
      <c r="B5746" s="16">
        <v>0</v>
      </c>
      <c r="C5746" s="16" t="s">
        <v>3402</v>
      </c>
      <c r="D5746" s="16" t="s">
        <v>3403</v>
      </c>
    </row>
    <row r="5747" spans="1:4">
      <c r="A5747" s="16">
        <v>6610100000</v>
      </c>
      <c r="B5747" s="16">
        <v>2775</v>
      </c>
      <c r="C5747" s="16" t="s">
        <v>3413</v>
      </c>
      <c r="D5747" s="16" t="s">
        <v>3414</v>
      </c>
    </row>
    <row r="5748" spans="1:4">
      <c r="A5748" s="16">
        <v>4203000000</v>
      </c>
      <c r="B5748" s="16">
        <v>-2775</v>
      </c>
      <c r="C5748" s="16" t="s">
        <v>3408</v>
      </c>
      <c r="D5748" s="16" t="s">
        <v>3403</v>
      </c>
    </row>
    <row r="5749" spans="1:4">
      <c r="A5749" s="16">
        <v>5010100010</v>
      </c>
      <c r="B5749" s="16">
        <v>0</v>
      </c>
      <c r="C5749" s="16" t="s">
        <v>3406</v>
      </c>
      <c r="D5749" s="16" t="s">
        <v>3407</v>
      </c>
    </row>
    <row r="5750" spans="1:4">
      <c r="A5750" s="16">
        <v>3710000000</v>
      </c>
      <c r="B5750" s="16">
        <v>0</v>
      </c>
      <c r="C5750" s="16" t="s">
        <v>3402</v>
      </c>
      <c r="D5750" s="16" t="s">
        <v>3403</v>
      </c>
    </row>
    <row r="5751" spans="1:4">
      <c r="A5751" s="16">
        <v>3102000000</v>
      </c>
      <c r="B5751" s="16">
        <v>0</v>
      </c>
      <c r="C5751" s="16" t="s">
        <v>3424</v>
      </c>
      <c r="D5751" s="16" t="s">
        <v>3403</v>
      </c>
    </row>
    <row r="5752" spans="1:4">
      <c r="A5752" s="16">
        <v>6102000000</v>
      </c>
      <c r="B5752" s="16">
        <v>0</v>
      </c>
      <c r="C5752" s="16" t="s">
        <v>3425</v>
      </c>
      <c r="D5752" s="16" t="s">
        <v>3426</v>
      </c>
    </row>
    <row r="5753" spans="1:4">
      <c r="A5753" s="16">
        <v>2750010000</v>
      </c>
      <c r="B5753" s="16">
        <v>0</v>
      </c>
      <c r="C5753" s="16" t="s">
        <v>3419</v>
      </c>
      <c r="D5753" s="16" t="s">
        <v>3403</v>
      </c>
    </row>
    <row r="5754" spans="1:4">
      <c r="A5754" s="16">
        <v>6610000100</v>
      </c>
      <c r="B5754" s="16">
        <v>0</v>
      </c>
      <c r="C5754" s="16" t="s">
        <v>3413</v>
      </c>
      <c r="D5754" s="16" t="s">
        <v>3418</v>
      </c>
    </row>
    <row r="5755" spans="1:4">
      <c r="A5755" s="16">
        <v>6610000000</v>
      </c>
      <c r="B5755" s="16">
        <v>0</v>
      </c>
      <c r="C5755" s="16" t="s">
        <v>3413</v>
      </c>
      <c r="D5755" s="16" t="s">
        <v>3418</v>
      </c>
    </row>
    <row r="5756" spans="1:4">
      <c r="A5756" s="16">
        <v>4203000000</v>
      </c>
      <c r="B5756" s="16">
        <v>0</v>
      </c>
      <c r="C5756" s="16" t="s">
        <v>3408</v>
      </c>
      <c r="D5756" s="16" t="s">
        <v>3403</v>
      </c>
    </row>
    <row r="5757" spans="1:4">
      <c r="A5757" s="16">
        <v>2500000000</v>
      </c>
      <c r="B5757" s="16">
        <v>0</v>
      </c>
      <c r="C5757" s="16" t="s">
        <v>3412</v>
      </c>
      <c r="D5757" s="16" t="s">
        <v>3403</v>
      </c>
    </row>
    <row r="5758" spans="1:4">
      <c r="A5758" s="16">
        <v>5010100000</v>
      </c>
      <c r="B5758" s="16">
        <v>0</v>
      </c>
      <c r="C5758" s="16" t="s">
        <v>3406</v>
      </c>
      <c r="D5758" s="16" t="s">
        <v>3407</v>
      </c>
    </row>
    <row r="5759" spans="1:4">
      <c r="A5759" s="16">
        <v>3032000000</v>
      </c>
      <c r="B5759" s="16">
        <v>0</v>
      </c>
      <c r="C5759" s="16" t="s">
        <v>3424</v>
      </c>
      <c r="D5759" s="16" t="s">
        <v>3403</v>
      </c>
    </row>
    <row r="5760" spans="1:4">
      <c r="A5760" s="16">
        <v>6032000000</v>
      </c>
      <c r="B5760" s="16">
        <v>0</v>
      </c>
      <c r="C5760" s="16" t="s">
        <v>3429</v>
      </c>
      <c r="D5760" s="16" t="s">
        <v>3430</v>
      </c>
    </row>
    <row r="5761" spans="1:4">
      <c r="A5761" s="16">
        <v>6100000000</v>
      </c>
      <c r="B5761" s="16">
        <v>0</v>
      </c>
      <c r="C5761" s="16" t="s">
        <v>3416</v>
      </c>
      <c r="D5761" s="16" t="s">
        <v>3417</v>
      </c>
    </row>
    <row r="5762" spans="1:4">
      <c r="A5762" s="16">
        <v>3100000000</v>
      </c>
      <c r="B5762" s="16">
        <v>0</v>
      </c>
      <c r="C5762" s="16" t="s">
        <v>3402</v>
      </c>
      <c r="D5762" s="16" t="s">
        <v>3403</v>
      </c>
    </row>
    <row r="5763" spans="1:4">
      <c r="A5763" s="16">
        <v>2750010000</v>
      </c>
      <c r="B5763" s="16">
        <v>0</v>
      </c>
      <c r="C5763" s="16" t="s">
        <v>3419</v>
      </c>
      <c r="D5763" s="16" t="s">
        <v>3403</v>
      </c>
    </row>
    <row r="5764" spans="1:4">
      <c r="A5764" s="16">
        <v>6610000100</v>
      </c>
      <c r="B5764" s="16">
        <v>0</v>
      </c>
      <c r="C5764" s="16" t="s">
        <v>3413</v>
      </c>
      <c r="D5764" s="16" t="s">
        <v>3418</v>
      </c>
    </row>
    <row r="5765" spans="1:4">
      <c r="A5765" s="16">
        <v>6104000000</v>
      </c>
      <c r="B5765" s="16">
        <v>0</v>
      </c>
      <c r="C5765" s="16" t="s">
        <v>3416</v>
      </c>
      <c r="D5765" s="16" t="s">
        <v>3417</v>
      </c>
    </row>
    <row r="5766" spans="1:4">
      <c r="A5766" s="16">
        <v>3103000000</v>
      </c>
      <c r="B5766" s="16">
        <v>0</v>
      </c>
      <c r="C5766" s="16" t="s">
        <v>3402</v>
      </c>
      <c r="D5766" s="16" t="s">
        <v>3403</v>
      </c>
    </row>
    <row r="5767" spans="1:4">
      <c r="A5767" s="16">
        <v>6700200000</v>
      </c>
      <c r="B5767" s="16">
        <v>0</v>
      </c>
      <c r="C5767" s="16" t="s">
        <v>3404</v>
      </c>
      <c r="D5767" s="16" t="s">
        <v>3409</v>
      </c>
    </row>
    <row r="5768" spans="1:4">
      <c r="A5768" s="16">
        <v>6700100000</v>
      </c>
      <c r="B5768" s="16">
        <v>0</v>
      </c>
      <c r="C5768" s="16" t="s">
        <v>3404</v>
      </c>
      <c r="D5768" s="16" t="s">
        <v>3410</v>
      </c>
    </row>
    <row r="5769" spans="1:4">
      <c r="A5769" s="16">
        <v>6610000000</v>
      </c>
      <c r="B5769" s="16">
        <v>0</v>
      </c>
      <c r="C5769" s="16" t="s">
        <v>3413</v>
      </c>
      <c r="D5769" s="16" t="s">
        <v>3418</v>
      </c>
    </row>
    <row r="5770" spans="1:4">
      <c r="A5770" s="16">
        <v>4203000000</v>
      </c>
      <c r="B5770" s="16">
        <v>0</v>
      </c>
      <c r="C5770" s="16" t="s">
        <v>3408</v>
      </c>
      <c r="D5770" s="16" t="s">
        <v>3403</v>
      </c>
    </row>
    <row r="5771" spans="1:4">
      <c r="A5771" s="16">
        <v>2201000000</v>
      </c>
      <c r="B5771" s="16">
        <v>77639</v>
      </c>
      <c r="C5771" s="16" t="s">
        <v>3415</v>
      </c>
      <c r="D5771" s="16" t="s">
        <v>3403</v>
      </c>
    </row>
    <row r="5772" spans="1:4">
      <c r="A5772" s="16">
        <v>6700200000</v>
      </c>
      <c r="B5772" s="16">
        <v>-77639</v>
      </c>
      <c r="C5772" s="16" t="s">
        <v>3404</v>
      </c>
      <c r="D5772" s="16" t="s">
        <v>3409</v>
      </c>
    </row>
    <row r="5773" spans="1:4">
      <c r="A5773" s="16">
        <v>6100000000</v>
      </c>
      <c r="B5773" s="16">
        <v>0</v>
      </c>
      <c r="C5773" s="16" t="s">
        <v>3416</v>
      </c>
      <c r="D5773" s="16" t="s">
        <v>3417</v>
      </c>
    </row>
    <row r="5774" spans="1:4">
      <c r="A5774" s="16">
        <v>3100000000</v>
      </c>
      <c r="B5774" s="16">
        <v>0</v>
      </c>
      <c r="C5774" s="16" t="s">
        <v>3402</v>
      </c>
      <c r="D5774" s="16" t="s">
        <v>3403</v>
      </c>
    </row>
    <row r="5775" spans="1:4">
      <c r="A5775" s="16">
        <v>2750010000</v>
      </c>
      <c r="B5775" s="16">
        <v>0</v>
      </c>
      <c r="C5775" s="16" t="s">
        <v>3419</v>
      </c>
      <c r="D5775" s="16" t="s">
        <v>3403</v>
      </c>
    </row>
    <row r="5776" spans="1:4">
      <c r="A5776" s="16">
        <v>6610100100</v>
      </c>
      <c r="B5776" s="16">
        <v>0</v>
      </c>
      <c r="C5776" s="16" t="s">
        <v>3413</v>
      </c>
      <c r="D5776" s="16" t="s">
        <v>3414</v>
      </c>
    </row>
    <row r="5777" spans="1:4">
      <c r="A5777" s="16">
        <v>2201000000</v>
      </c>
      <c r="B5777" s="16">
        <v>0</v>
      </c>
      <c r="C5777" s="16" t="s">
        <v>3415</v>
      </c>
      <c r="D5777" s="16" t="s">
        <v>3403</v>
      </c>
    </row>
    <row r="5778" spans="1:4">
      <c r="A5778" s="16">
        <v>6700200000</v>
      </c>
      <c r="B5778" s="16">
        <v>0</v>
      </c>
      <c r="C5778" s="16" t="s">
        <v>3404</v>
      </c>
      <c r="D5778" s="16" t="s">
        <v>3409</v>
      </c>
    </row>
    <row r="5779" spans="1:4">
      <c r="A5779" s="16">
        <v>6610100000</v>
      </c>
      <c r="B5779" s="16">
        <v>0</v>
      </c>
      <c r="C5779" s="16" t="s">
        <v>3413</v>
      </c>
      <c r="D5779" s="16" t="s">
        <v>3414</v>
      </c>
    </row>
    <row r="5780" spans="1:4">
      <c r="A5780" s="16">
        <v>4203000000</v>
      </c>
      <c r="B5780" s="16">
        <v>0</v>
      </c>
      <c r="C5780" s="16" t="s">
        <v>3408</v>
      </c>
      <c r="D5780" s="16" t="s">
        <v>3403</v>
      </c>
    </row>
    <row r="5781" spans="1:4">
      <c r="A5781" s="16">
        <v>6700600000</v>
      </c>
      <c r="B5781" s="16">
        <v>0</v>
      </c>
      <c r="C5781" s="16" t="s">
        <v>3404</v>
      </c>
      <c r="D5781" s="16" t="s">
        <v>3409</v>
      </c>
    </row>
    <row r="5782" spans="1:4">
      <c r="A5782" s="16">
        <v>6700400000</v>
      </c>
      <c r="B5782" s="16">
        <v>0</v>
      </c>
      <c r="C5782" s="16" t="s">
        <v>3404</v>
      </c>
      <c r="D5782" s="16" t="s">
        <v>3405</v>
      </c>
    </row>
    <row r="5783" spans="1:4">
      <c r="A5783" s="16">
        <v>3032000000</v>
      </c>
      <c r="B5783" s="16">
        <v>20489</v>
      </c>
      <c r="C5783" s="16" t="s">
        <v>3424</v>
      </c>
      <c r="D5783" s="16" t="s">
        <v>3403</v>
      </c>
    </row>
    <row r="5784" spans="1:4">
      <c r="A5784" s="16">
        <v>6032000000</v>
      </c>
      <c r="B5784" s="16">
        <v>-20489</v>
      </c>
      <c r="C5784" s="16" t="s">
        <v>3429</v>
      </c>
      <c r="D5784" s="16" t="s">
        <v>3430</v>
      </c>
    </row>
    <row r="5785" spans="1:4">
      <c r="A5785" s="16">
        <v>6104000000</v>
      </c>
      <c r="B5785" s="16">
        <v>-73374542</v>
      </c>
      <c r="C5785" s="16" t="s">
        <v>3416</v>
      </c>
      <c r="D5785" s="16" t="s">
        <v>3417</v>
      </c>
    </row>
    <row r="5786" spans="1:4">
      <c r="A5786" s="16">
        <v>3103000000</v>
      </c>
      <c r="B5786" s="16">
        <v>73374542</v>
      </c>
      <c r="C5786" s="16" t="s">
        <v>3402</v>
      </c>
      <c r="D5786" s="16" t="s">
        <v>3403</v>
      </c>
    </row>
    <row r="5787" spans="1:4">
      <c r="A5787" s="16">
        <v>6610000000</v>
      </c>
      <c r="B5787" s="16">
        <v>0</v>
      </c>
      <c r="C5787" s="16" t="s">
        <v>3413</v>
      </c>
      <c r="D5787" s="16" t="s">
        <v>3418</v>
      </c>
    </row>
    <row r="5788" spans="1:4">
      <c r="A5788" s="16">
        <v>4203000000</v>
      </c>
      <c r="B5788" s="16">
        <v>0</v>
      </c>
      <c r="C5788" s="16" t="s">
        <v>3408</v>
      </c>
      <c r="D5788" s="16" t="s">
        <v>3403</v>
      </c>
    </row>
    <row r="5789" spans="1:4">
      <c r="A5789" s="16">
        <v>6700700000</v>
      </c>
      <c r="B5789" s="16">
        <v>0</v>
      </c>
      <c r="C5789" s="16" t="s">
        <v>3404</v>
      </c>
      <c r="D5789" s="16" t="s">
        <v>3409</v>
      </c>
    </row>
    <row r="5790" spans="1:4">
      <c r="A5790" s="16">
        <v>6700500000</v>
      </c>
      <c r="B5790" s="16">
        <v>0</v>
      </c>
      <c r="C5790" s="16" t="s">
        <v>3404</v>
      </c>
      <c r="D5790" s="16" t="s">
        <v>3405</v>
      </c>
    </row>
    <row r="5791" spans="1:4">
      <c r="A5791" s="16">
        <v>6700200000</v>
      </c>
      <c r="B5791" s="16">
        <v>0</v>
      </c>
      <c r="C5791" s="16" t="s">
        <v>3404</v>
      </c>
      <c r="D5791" s="16" t="s">
        <v>3409</v>
      </c>
    </row>
    <row r="5792" spans="1:4">
      <c r="A5792" s="16">
        <v>6700100000</v>
      </c>
      <c r="B5792" s="16">
        <v>0</v>
      </c>
      <c r="C5792" s="16" t="s">
        <v>3404</v>
      </c>
      <c r="D5792" s="16" t="s">
        <v>3410</v>
      </c>
    </row>
    <row r="5793" spans="1:4">
      <c r="A5793" s="16">
        <v>6700200000</v>
      </c>
      <c r="B5793" s="16">
        <v>0</v>
      </c>
      <c r="C5793" s="16" t="s">
        <v>3404</v>
      </c>
      <c r="D5793" s="16" t="s">
        <v>3409</v>
      </c>
    </row>
    <row r="5794" spans="1:4">
      <c r="A5794" s="16">
        <v>6700100000</v>
      </c>
      <c r="B5794" s="16">
        <v>0</v>
      </c>
      <c r="C5794" s="16" t="s">
        <v>3404</v>
      </c>
      <c r="D5794" s="16" t="s">
        <v>3410</v>
      </c>
    </row>
    <row r="5795" spans="1:4">
      <c r="A5795" s="16">
        <v>5010000010</v>
      </c>
      <c r="B5795" s="16">
        <v>0</v>
      </c>
      <c r="C5795" s="16" t="s">
        <v>3406</v>
      </c>
      <c r="D5795" s="16" t="s">
        <v>3411</v>
      </c>
    </row>
    <row r="5796" spans="1:4">
      <c r="A5796" s="16">
        <v>3710000000</v>
      </c>
      <c r="B5796" s="16">
        <v>0</v>
      </c>
      <c r="C5796" s="16" t="s">
        <v>3402</v>
      </c>
      <c r="D5796" s="16" t="s">
        <v>3403</v>
      </c>
    </row>
    <row r="5797" spans="1:4">
      <c r="A5797" s="16">
        <v>2203000010</v>
      </c>
      <c r="B5797" s="16">
        <v>0</v>
      </c>
      <c r="C5797" s="16" t="s">
        <v>3415</v>
      </c>
      <c r="D5797" s="16" t="s">
        <v>3403</v>
      </c>
    </row>
    <row r="5798" spans="1:4">
      <c r="A5798" s="16">
        <v>4612000000</v>
      </c>
      <c r="B5798" s="16">
        <v>0</v>
      </c>
      <c r="C5798" s="16" t="s">
        <v>3428</v>
      </c>
      <c r="D5798" s="16" t="s">
        <v>3403</v>
      </c>
    </row>
    <row r="5799" spans="1:4">
      <c r="A5799" s="16">
        <v>6700200000</v>
      </c>
      <c r="B5799" s="16">
        <v>0</v>
      </c>
      <c r="C5799" s="16" t="s">
        <v>3404</v>
      </c>
      <c r="D5799" s="16" t="s">
        <v>3409</v>
      </c>
    </row>
    <row r="5800" spans="1:4">
      <c r="A5800" s="16">
        <v>6700100000</v>
      </c>
      <c r="B5800" s="16">
        <v>0</v>
      </c>
      <c r="C5800" s="16" t="s">
        <v>3404</v>
      </c>
      <c r="D5800" s="16" t="s">
        <v>3410</v>
      </c>
    </row>
    <row r="5801" spans="1:4">
      <c r="A5801" s="16">
        <v>3102000000</v>
      </c>
      <c r="B5801" s="16">
        <v>0</v>
      </c>
      <c r="C5801" s="16" t="s">
        <v>3424</v>
      </c>
      <c r="D5801" s="16" t="s">
        <v>3403</v>
      </c>
    </row>
    <row r="5802" spans="1:4">
      <c r="A5802" s="16">
        <v>6102000000</v>
      </c>
      <c r="B5802" s="16">
        <v>0</v>
      </c>
      <c r="C5802" s="16" t="s">
        <v>3425</v>
      </c>
      <c r="D5802" s="16" t="s">
        <v>3426</v>
      </c>
    </row>
    <row r="5803" spans="1:4">
      <c r="A5803" s="16">
        <v>2500000000</v>
      </c>
      <c r="B5803" s="16">
        <v>0</v>
      </c>
      <c r="C5803" s="16" t="s">
        <v>3412</v>
      </c>
      <c r="D5803" s="16" t="s">
        <v>3403</v>
      </c>
    </row>
    <row r="5804" spans="1:4">
      <c r="A5804" s="16">
        <v>5010000000</v>
      </c>
      <c r="B5804" s="16">
        <v>0</v>
      </c>
      <c r="C5804" s="16" t="s">
        <v>3406</v>
      </c>
      <c r="D5804" s="16" t="s">
        <v>3411</v>
      </c>
    </row>
    <row r="5805" spans="1:4">
      <c r="A5805" s="16">
        <v>2500000000</v>
      </c>
      <c r="B5805" s="16">
        <v>0</v>
      </c>
      <c r="C5805" s="16" t="s">
        <v>3412</v>
      </c>
      <c r="D5805" s="16" t="s">
        <v>3403</v>
      </c>
    </row>
    <row r="5806" spans="1:4">
      <c r="A5806" s="16">
        <v>5010000000</v>
      </c>
      <c r="B5806" s="16">
        <v>0</v>
      </c>
      <c r="C5806" s="16" t="s">
        <v>3406</v>
      </c>
      <c r="D5806" s="16" t="s">
        <v>3411</v>
      </c>
    </row>
    <row r="5807" spans="1:4">
      <c r="A5807" s="16">
        <v>5010100000</v>
      </c>
      <c r="B5807" s="16">
        <v>0</v>
      </c>
      <c r="C5807" s="16" t="s">
        <v>3406</v>
      </c>
      <c r="D5807" s="16" t="s">
        <v>3407</v>
      </c>
    </row>
    <row r="5808" spans="1:4">
      <c r="A5808" s="16">
        <v>6700100000</v>
      </c>
      <c r="B5808" s="16">
        <v>0</v>
      </c>
      <c r="C5808" s="16" t="s">
        <v>3404</v>
      </c>
      <c r="D5808" s="16" t="s">
        <v>3410</v>
      </c>
    </row>
    <row r="5809" spans="1:4">
      <c r="A5809" s="16">
        <v>3710000000</v>
      </c>
      <c r="B5809" s="16">
        <v>0</v>
      </c>
      <c r="C5809" s="16" t="s">
        <v>3402</v>
      </c>
      <c r="D5809" s="16" t="s">
        <v>3403</v>
      </c>
    </row>
    <row r="5810" spans="1:4">
      <c r="A5810" s="16">
        <v>6700200000</v>
      </c>
      <c r="B5810" s="16">
        <v>0</v>
      </c>
      <c r="C5810" s="16" t="s">
        <v>3404</v>
      </c>
      <c r="D5810" s="16" t="s">
        <v>3409</v>
      </c>
    </row>
    <row r="5811" spans="1:4">
      <c r="A5811" s="16">
        <v>6700200000</v>
      </c>
      <c r="B5811" s="16">
        <v>15800331</v>
      </c>
      <c r="C5811" s="16" t="s">
        <v>3404</v>
      </c>
      <c r="D5811" s="16" t="s">
        <v>3409</v>
      </c>
    </row>
    <row r="5812" spans="1:4">
      <c r="A5812" s="16">
        <v>6610100000</v>
      </c>
      <c r="B5812" s="16">
        <v>0</v>
      </c>
      <c r="C5812" s="16" t="s">
        <v>3413</v>
      </c>
      <c r="D5812" s="16" t="s">
        <v>3414</v>
      </c>
    </row>
    <row r="5813" spans="1:4">
      <c r="A5813" s="16">
        <v>3800000000</v>
      </c>
      <c r="B5813" s="16">
        <v>0</v>
      </c>
      <c r="C5813" s="16" t="s">
        <v>3402</v>
      </c>
      <c r="D5813" s="16" t="s">
        <v>3403</v>
      </c>
    </row>
    <row r="5814" spans="1:4">
      <c r="A5814" s="16">
        <v>5010100000</v>
      </c>
      <c r="B5814" s="16">
        <v>0</v>
      </c>
      <c r="C5814" s="16" t="s">
        <v>3406</v>
      </c>
      <c r="D5814" s="16" t="s">
        <v>3407</v>
      </c>
    </row>
    <row r="5815" spans="1:4">
      <c r="A5815" s="16">
        <v>6700200000</v>
      </c>
      <c r="B5815" s="16">
        <v>479075</v>
      </c>
      <c r="C5815" s="16" t="s">
        <v>3404</v>
      </c>
      <c r="D5815" s="16" t="s">
        <v>3409</v>
      </c>
    </row>
    <row r="5816" spans="1:4">
      <c r="A5816" s="16">
        <v>6610000000</v>
      </c>
      <c r="B5816" s="16">
        <v>0</v>
      </c>
      <c r="C5816" s="16" t="s">
        <v>3413</v>
      </c>
      <c r="D5816" s="16" t="s">
        <v>3418</v>
      </c>
    </row>
    <row r="5817" spans="1:4">
      <c r="A5817" s="16">
        <v>3710000000</v>
      </c>
      <c r="B5817" s="16">
        <v>0</v>
      </c>
      <c r="C5817" s="16" t="s">
        <v>3402</v>
      </c>
      <c r="D5817" s="16" t="s">
        <v>3403</v>
      </c>
    </row>
    <row r="5818" spans="1:4">
      <c r="A5818" s="16">
        <v>6700700000</v>
      </c>
      <c r="B5818" s="16">
        <v>0</v>
      </c>
      <c r="C5818" s="16" t="s">
        <v>3404</v>
      </c>
      <c r="D5818" s="16" t="s">
        <v>3409</v>
      </c>
    </row>
    <row r="5819" spans="1:4">
      <c r="A5819" s="16">
        <v>2201000000</v>
      </c>
      <c r="B5819" s="16">
        <v>0</v>
      </c>
      <c r="C5819" s="16" t="s">
        <v>3415</v>
      </c>
      <c r="D5819" s="16" t="s">
        <v>3403</v>
      </c>
    </row>
    <row r="5820" spans="1:4">
      <c r="A5820" s="16">
        <v>6060010000</v>
      </c>
      <c r="B5820" s="16">
        <v>0</v>
      </c>
      <c r="C5820" s="16" t="s">
        <v>3420</v>
      </c>
      <c r="D5820" s="16" t="s">
        <v>3421</v>
      </c>
    </row>
    <row r="5821" spans="1:4">
      <c r="A5821" s="16">
        <v>6150000000</v>
      </c>
      <c r="B5821" s="16">
        <v>0</v>
      </c>
      <c r="C5821" s="16" t="s">
        <v>3416</v>
      </c>
      <c r="D5821" s="16" t="s">
        <v>3417</v>
      </c>
    </row>
    <row r="5822" spans="1:4">
      <c r="A5822" s="16">
        <v>4203000000</v>
      </c>
      <c r="B5822" s="16">
        <v>-229</v>
      </c>
      <c r="C5822" s="16" t="s">
        <v>3408</v>
      </c>
      <c r="D5822" s="16" t="s">
        <v>3403</v>
      </c>
    </row>
    <row r="5823" spans="1:4">
      <c r="A5823" s="16">
        <v>6700000000</v>
      </c>
      <c r="B5823" s="16">
        <v>0</v>
      </c>
      <c r="C5823" s="16" t="s">
        <v>3404</v>
      </c>
      <c r="D5823" s="16" t="s">
        <v>3405</v>
      </c>
    </row>
    <row r="5824" spans="1:4">
      <c r="A5824" s="16">
        <v>3103001000</v>
      </c>
      <c r="B5824" s="16">
        <v>0</v>
      </c>
      <c r="C5824" s="16" t="s">
        <v>3402</v>
      </c>
      <c r="D5824" s="16" t="s">
        <v>3403</v>
      </c>
    </row>
    <row r="5825" spans="1:4">
      <c r="A5825" s="16">
        <v>5010000000</v>
      </c>
      <c r="B5825" s="16">
        <v>0</v>
      </c>
      <c r="C5825" s="16" t="s">
        <v>3406</v>
      </c>
      <c r="D5825" s="16" t="s">
        <v>3411</v>
      </c>
    </row>
    <row r="5826" spans="1:4">
      <c r="A5826" s="16">
        <v>6700200000</v>
      </c>
      <c r="B5826" s="16">
        <v>0</v>
      </c>
      <c r="C5826" s="16" t="s">
        <v>3404</v>
      </c>
      <c r="D5826" s="16" t="s">
        <v>3409</v>
      </c>
    </row>
    <row r="5827" spans="1:4">
      <c r="A5827" s="16">
        <v>5052010000</v>
      </c>
      <c r="B5827" s="16">
        <v>0</v>
      </c>
      <c r="C5827" s="16" t="s">
        <v>3406</v>
      </c>
      <c r="D5827" s="16" t="s">
        <v>3422</v>
      </c>
    </row>
    <row r="5828" spans="1:4">
      <c r="A5828" s="16">
        <v>6700100000</v>
      </c>
      <c r="B5828" s="16">
        <v>-15800331</v>
      </c>
      <c r="C5828" s="16" t="s">
        <v>3404</v>
      </c>
      <c r="D5828" s="16" t="s">
        <v>3410</v>
      </c>
    </row>
    <row r="5829" spans="1:4">
      <c r="A5829" s="16">
        <v>4203000000</v>
      </c>
      <c r="B5829" s="16">
        <v>0</v>
      </c>
      <c r="C5829" s="16" t="s">
        <v>3408</v>
      </c>
      <c r="D5829" s="16" t="s">
        <v>3403</v>
      </c>
    </row>
    <row r="5830" spans="1:4">
      <c r="A5830" s="16">
        <v>6030000000</v>
      </c>
      <c r="B5830" s="16">
        <v>0</v>
      </c>
      <c r="C5830" s="16" t="s">
        <v>3420</v>
      </c>
      <c r="D5830" s="16" t="s">
        <v>3423</v>
      </c>
    </row>
    <row r="5831" spans="1:4">
      <c r="A5831" s="16">
        <v>6100000000</v>
      </c>
      <c r="B5831" s="16">
        <v>28025453739</v>
      </c>
      <c r="C5831" s="16" t="s">
        <v>3416</v>
      </c>
      <c r="D5831" s="16" t="s">
        <v>3417</v>
      </c>
    </row>
    <row r="5832" spans="1:4">
      <c r="A5832" s="16">
        <v>6700000000</v>
      </c>
      <c r="B5832" s="16">
        <v>-479075</v>
      </c>
      <c r="C5832" s="16" t="s">
        <v>3404</v>
      </c>
      <c r="D5832" s="16" t="s">
        <v>3405</v>
      </c>
    </row>
    <row r="5833" spans="1:4">
      <c r="A5833" s="16">
        <v>4203000000</v>
      </c>
      <c r="B5833" s="16">
        <v>0</v>
      </c>
      <c r="C5833" s="16" t="s">
        <v>3408</v>
      </c>
      <c r="D5833" s="16" t="s">
        <v>3403</v>
      </c>
    </row>
    <row r="5834" spans="1:4">
      <c r="A5834" s="16">
        <v>6700500000</v>
      </c>
      <c r="B5834" s="16">
        <v>0</v>
      </c>
      <c r="C5834" s="16" t="s">
        <v>3404</v>
      </c>
      <c r="D5834" s="16" t="s">
        <v>3405</v>
      </c>
    </row>
    <row r="5835" spans="1:4">
      <c r="A5835" s="16">
        <v>2201000000</v>
      </c>
      <c r="B5835" s="16">
        <v>0</v>
      </c>
      <c r="C5835" s="16" t="s">
        <v>3415</v>
      </c>
      <c r="D5835" s="16" t="s">
        <v>3403</v>
      </c>
    </row>
    <row r="5836" spans="1:4">
      <c r="A5836" s="16">
        <v>6700200000</v>
      </c>
      <c r="B5836" s="16">
        <v>0</v>
      </c>
      <c r="C5836" s="16" t="s">
        <v>3404</v>
      </c>
      <c r="D5836" s="16" t="s">
        <v>3409</v>
      </c>
    </row>
    <row r="5837" spans="1:4">
      <c r="A5837" s="16">
        <v>6700200000</v>
      </c>
      <c r="B5837" s="16">
        <v>0</v>
      </c>
      <c r="C5837" s="16" t="s">
        <v>3404</v>
      </c>
      <c r="D5837" s="16" t="s">
        <v>3409</v>
      </c>
    </row>
    <row r="5838" spans="1:4">
      <c r="A5838" s="16">
        <v>5052000000</v>
      </c>
      <c r="B5838" s="16">
        <v>0</v>
      </c>
      <c r="C5838" s="16" t="s">
        <v>3406</v>
      </c>
      <c r="D5838" s="16" t="s">
        <v>3422</v>
      </c>
    </row>
    <row r="5839" spans="1:4">
      <c r="A5839" s="16">
        <v>3510000000</v>
      </c>
      <c r="B5839" s="16">
        <v>0</v>
      </c>
      <c r="C5839" s="16" t="s">
        <v>3402</v>
      </c>
      <c r="D5839" s="16" t="s">
        <v>3403</v>
      </c>
    </row>
    <row r="5840" spans="1:4">
      <c r="A5840" s="16">
        <v>2500000000</v>
      </c>
      <c r="B5840" s="16">
        <v>0</v>
      </c>
      <c r="C5840" s="16" t="s">
        <v>3412</v>
      </c>
      <c r="D5840" s="16" t="s">
        <v>3403</v>
      </c>
    </row>
    <row r="5841" spans="1:4">
      <c r="A5841" s="16">
        <v>6700000000</v>
      </c>
      <c r="B5841" s="16">
        <v>0</v>
      </c>
      <c r="C5841" s="16" t="s">
        <v>3404</v>
      </c>
      <c r="D5841" s="16" t="s">
        <v>3405</v>
      </c>
    </row>
    <row r="5842" spans="1:4">
      <c r="A5842" s="16">
        <v>5052000000</v>
      </c>
      <c r="B5842" s="16">
        <v>0</v>
      </c>
      <c r="C5842" s="16" t="s">
        <v>3406</v>
      </c>
      <c r="D5842" s="16" t="s">
        <v>3422</v>
      </c>
    </row>
    <row r="5843" spans="1:4">
      <c r="A5843" s="16">
        <v>5010100010</v>
      </c>
      <c r="B5843" s="16">
        <v>91091</v>
      </c>
      <c r="C5843" s="16" t="s">
        <v>3406</v>
      </c>
      <c r="D5843" s="16" t="s">
        <v>3407</v>
      </c>
    </row>
    <row r="5844" spans="1:4">
      <c r="A5844" s="16">
        <v>3030000000</v>
      </c>
      <c r="B5844" s="16">
        <v>0</v>
      </c>
      <c r="C5844" s="16" t="s">
        <v>3402</v>
      </c>
      <c r="D5844" s="16" t="s">
        <v>3403</v>
      </c>
    </row>
    <row r="5845" spans="1:4">
      <c r="A5845" s="16">
        <v>3100000000</v>
      </c>
      <c r="B5845" s="16">
        <v>-28025453739</v>
      </c>
      <c r="C5845" s="16" t="s">
        <v>3402</v>
      </c>
      <c r="D5845" s="16" t="s">
        <v>3403</v>
      </c>
    </row>
    <row r="5846" spans="1:4">
      <c r="A5846" s="16">
        <v>6700200000</v>
      </c>
      <c r="B5846" s="16">
        <v>0</v>
      </c>
      <c r="C5846" s="16" t="s">
        <v>3404</v>
      </c>
      <c r="D5846" s="16" t="s">
        <v>3409</v>
      </c>
    </row>
    <row r="5847" spans="1:4">
      <c r="A5847" s="16">
        <v>6700100000</v>
      </c>
      <c r="B5847" s="16">
        <v>0</v>
      </c>
      <c r="C5847" s="16" t="s">
        <v>3404</v>
      </c>
      <c r="D5847" s="16" t="s">
        <v>3410</v>
      </c>
    </row>
    <row r="5848" spans="1:4">
      <c r="A5848" s="16">
        <v>5010000000</v>
      </c>
      <c r="B5848" s="16">
        <v>0</v>
      </c>
      <c r="C5848" s="16" t="s">
        <v>3406</v>
      </c>
      <c r="D5848" s="16" t="s">
        <v>3411</v>
      </c>
    </row>
    <row r="5849" spans="1:4">
      <c r="A5849" s="16">
        <v>3102000000</v>
      </c>
      <c r="B5849" s="16">
        <v>88929</v>
      </c>
      <c r="C5849" s="16" t="s">
        <v>3424</v>
      </c>
      <c r="D5849" s="16" t="s">
        <v>3403</v>
      </c>
    </row>
    <row r="5850" spans="1:4">
      <c r="A5850" s="16">
        <v>6610000000</v>
      </c>
      <c r="B5850" s="16">
        <v>0</v>
      </c>
      <c r="C5850" s="16" t="s">
        <v>3413</v>
      </c>
      <c r="D5850" s="16" t="s">
        <v>3418</v>
      </c>
    </row>
    <row r="5851" spans="1:4">
      <c r="A5851" s="16">
        <v>6100000000</v>
      </c>
      <c r="B5851" s="16">
        <v>0</v>
      </c>
      <c r="C5851" s="16" t="s">
        <v>3416</v>
      </c>
      <c r="D5851" s="16" t="s">
        <v>3417</v>
      </c>
    </row>
    <row r="5852" spans="1:4">
      <c r="A5852" s="16">
        <v>2500000000</v>
      </c>
      <c r="B5852" s="16">
        <v>0</v>
      </c>
      <c r="C5852" s="16" t="s">
        <v>3412</v>
      </c>
      <c r="D5852" s="16" t="s">
        <v>3403</v>
      </c>
    </row>
    <row r="5853" spans="1:4">
      <c r="A5853" s="16">
        <v>2500000000</v>
      </c>
      <c r="B5853" s="16">
        <v>0</v>
      </c>
      <c r="C5853" s="16" t="s">
        <v>3412</v>
      </c>
      <c r="D5853" s="16" t="s">
        <v>3403</v>
      </c>
    </row>
    <row r="5854" spans="1:4">
      <c r="A5854" s="16">
        <v>3710000000</v>
      </c>
      <c r="B5854" s="16">
        <v>-91091</v>
      </c>
      <c r="C5854" s="16" t="s">
        <v>3402</v>
      </c>
      <c r="D5854" s="16" t="s">
        <v>3403</v>
      </c>
    </row>
    <row r="5855" spans="1:4">
      <c r="A5855" s="16">
        <v>2500000000</v>
      </c>
      <c r="B5855" s="16">
        <v>0</v>
      </c>
      <c r="C5855" s="16" t="s">
        <v>3412</v>
      </c>
      <c r="D5855" s="16" t="s">
        <v>3403</v>
      </c>
    </row>
    <row r="5856" spans="1:4">
      <c r="A5856" s="16">
        <v>2201000010</v>
      </c>
      <c r="B5856" s="16">
        <v>0</v>
      </c>
      <c r="C5856" s="16" t="s">
        <v>3415</v>
      </c>
      <c r="D5856" s="16" t="s">
        <v>3403</v>
      </c>
    </row>
    <row r="5857" spans="1:4">
      <c r="A5857" s="16">
        <v>2750010000</v>
      </c>
      <c r="B5857" s="16">
        <v>0</v>
      </c>
      <c r="C5857" s="16" t="s">
        <v>3419</v>
      </c>
      <c r="D5857" s="16" t="s">
        <v>3403</v>
      </c>
    </row>
    <row r="5858" spans="1:4">
      <c r="A5858" s="16">
        <v>6700700000</v>
      </c>
      <c r="B5858" s="16">
        <v>0</v>
      </c>
      <c r="C5858" s="16" t="s">
        <v>3404</v>
      </c>
      <c r="D5858" s="16" t="s">
        <v>3409</v>
      </c>
    </row>
    <row r="5859" spans="1:4">
      <c r="A5859" s="16">
        <v>5010100010</v>
      </c>
      <c r="B5859" s="16">
        <v>0</v>
      </c>
      <c r="C5859" s="16" t="s">
        <v>3406</v>
      </c>
      <c r="D5859" s="16" t="s">
        <v>3407</v>
      </c>
    </row>
    <row r="5860" spans="1:4">
      <c r="A5860" s="16">
        <v>2201000000</v>
      </c>
      <c r="B5860" s="16">
        <v>0</v>
      </c>
      <c r="C5860" s="16" t="s">
        <v>3415</v>
      </c>
      <c r="D5860" s="16" t="s">
        <v>3403</v>
      </c>
    </row>
    <row r="5861" spans="1:4">
      <c r="A5861" s="16">
        <v>6102000000</v>
      </c>
      <c r="B5861" s="16">
        <v>-88929</v>
      </c>
      <c r="C5861" s="16" t="s">
        <v>3425</v>
      </c>
      <c r="D5861" s="16" t="s">
        <v>3426</v>
      </c>
    </row>
    <row r="5862" spans="1:4">
      <c r="A5862" s="16">
        <v>4203000000</v>
      </c>
      <c r="B5862" s="16">
        <v>0</v>
      </c>
      <c r="C5862" s="16" t="s">
        <v>3408</v>
      </c>
      <c r="D5862" s="16" t="s">
        <v>3403</v>
      </c>
    </row>
    <row r="5863" spans="1:4">
      <c r="A5863" s="16">
        <v>3100000000</v>
      </c>
      <c r="B5863" s="16">
        <v>0</v>
      </c>
      <c r="C5863" s="16" t="s">
        <v>3402</v>
      </c>
      <c r="D5863" s="16" t="s">
        <v>3403</v>
      </c>
    </row>
    <row r="5864" spans="1:4">
      <c r="A5864" s="16">
        <v>5010000000</v>
      </c>
      <c r="B5864" s="16">
        <v>0</v>
      </c>
      <c r="C5864" s="16" t="s">
        <v>3406</v>
      </c>
      <c r="D5864" s="16" t="s">
        <v>3411</v>
      </c>
    </row>
    <row r="5865" spans="1:4">
      <c r="A5865" s="16">
        <v>5010100000</v>
      </c>
      <c r="B5865" s="16">
        <v>0</v>
      </c>
      <c r="C5865" s="16" t="s">
        <v>3406</v>
      </c>
      <c r="D5865" s="16" t="s">
        <v>3407</v>
      </c>
    </row>
    <row r="5866" spans="1:4">
      <c r="A5866" s="16">
        <v>6104000000</v>
      </c>
      <c r="B5866" s="16">
        <v>0</v>
      </c>
      <c r="C5866" s="16" t="s">
        <v>3427</v>
      </c>
      <c r="D5866" s="16" t="s">
        <v>3417</v>
      </c>
    </row>
    <row r="5867" spans="1:4">
      <c r="A5867" s="16">
        <v>6700600000</v>
      </c>
      <c r="B5867" s="16">
        <v>0</v>
      </c>
      <c r="C5867" s="16" t="s">
        <v>3404</v>
      </c>
      <c r="D5867" s="16" t="s">
        <v>3409</v>
      </c>
    </row>
    <row r="5868" spans="1:4">
      <c r="A5868" s="16">
        <v>5010100000</v>
      </c>
      <c r="B5868" s="16">
        <v>0</v>
      </c>
      <c r="C5868" s="16" t="s">
        <v>3406</v>
      </c>
      <c r="D5868" s="16" t="s">
        <v>3407</v>
      </c>
    </row>
    <row r="5869" spans="1:4">
      <c r="A5869" s="16">
        <v>4610000000</v>
      </c>
      <c r="B5869" s="16">
        <v>0</v>
      </c>
      <c r="C5869" s="16" t="s">
        <v>3428</v>
      </c>
      <c r="D5869" s="16" t="s">
        <v>3403</v>
      </c>
    </row>
    <row r="5870" spans="1:4">
      <c r="A5870" s="16">
        <v>6610000100</v>
      </c>
      <c r="B5870" s="16">
        <v>0</v>
      </c>
      <c r="C5870" s="16" t="s">
        <v>3413</v>
      </c>
      <c r="D5870" s="16" t="s">
        <v>3418</v>
      </c>
    </row>
    <row r="5871" spans="1:4">
      <c r="A5871" s="16">
        <v>6700500000</v>
      </c>
      <c r="B5871" s="16">
        <v>0</v>
      </c>
      <c r="C5871" s="16" t="s">
        <v>3404</v>
      </c>
      <c r="D5871" s="16" t="s">
        <v>3405</v>
      </c>
    </row>
    <row r="5872" spans="1:4">
      <c r="A5872" s="16">
        <v>6700200000</v>
      </c>
      <c r="B5872" s="16">
        <v>0</v>
      </c>
      <c r="C5872" s="16" t="s">
        <v>3404</v>
      </c>
      <c r="D5872" s="16" t="s">
        <v>3409</v>
      </c>
    </row>
    <row r="5873" spans="1:4">
      <c r="A5873" s="16">
        <v>2750010000</v>
      </c>
      <c r="B5873" s="16">
        <v>0</v>
      </c>
      <c r="C5873" s="16" t="s">
        <v>3419</v>
      </c>
      <c r="D5873" s="16" t="s">
        <v>3403</v>
      </c>
    </row>
    <row r="5874" spans="1:4">
      <c r="A5874" s="16">
        <v>3710000000</v>
      </c>
      <c r="B5874" s="16">
        <v>0</v>
      </c>
      <c r="C5874" s="16" t="s">
        <v>3402</v>
      </c>
      <c r="D5874" s="16" t="s">
        <v>3403</v>
      </c>
    </row>
    <row r="5875" spans="1:4">
      <c r="A5875" s="16">
        <v>6700200000</v>
      </c>
      <c r="B5875" s="16">
        <v>0</v>
      </c>
      <c r="C5875" s="16" t="s">
        <v>3404</v>
      </c>
      <c r="D5875" s="16" t="s">
        <v>3409</v>
      </c>
    </row>
    <row r="5876" spans="1:4">
      <c r="A5876" s="16">
        <v>6104000000</v>
      </c>
      <c r="B5876" s="16">
        <v>0</v>
      </c>
      <c r="C5876" s="16" t="s">
        <v>3416</v>
      </c>
      <c r="D5876" s="16" t="s">
        <v>3417</v>
      </c>
    </row>
    <row r="5877" spans="1:4">
      <c r="A5877" s="16">
        <v>6700600000</v>
      </c>
      <c r="B5877" s="16">
        <v>0</v>
      </c>
      <c r="C5877" s="16" t="s">
        <v>3404</v>
      </c>
      <c r="D5877" s="16" t="s">
        <v>3409</v>
      </c>
    </row>
    <row r="5878" spans="1:4">
      <c r="A5878" s="16">
        <v>3102000000</v>
      </c>
      <c r="B5878" s="16">
        <v>0</v>
      </c>
      <c r="C5878" s="16" t="s">
        <v>3424</v>
      </c>
      <c r="D5878" s="16" t="s">
        <v>3403</v>
      </c>
    </row>
    <row r="5879" spans="1:4">
      <c r="A5879" s="16">
        <v>6610000000</v>
      </c>
      <c r="B5879" s="16">
        <v>0</v>
      </c>
      <c r="C5879" s="16" t="s">
        <v>3413</v>
      </c>
      <c r="D5879" s="16" t="s">
        <v>3418</v>
      </c>
    </row>
    <row r="5880" spans="1:4">
      <c r="A5880" s="16">
        <v>3032000000</v>
      </c>
      <c r="B5880" s="16">
        <v>0</v>
      </c>
      <c r="C5880" s="16" t="s">
        <v>3424</v>
      </c>
      <c r="D5880" s="16" t="s">
        <v>3403</v>
      </c>
    </row>
    <row r="5881" spans="1:4">
      <c r="A5881" s="16">
        <v>3103000000</v>
      </c>
      <c r="B5881" s="16">
        <v>0</v>
      </c>
      <c r="C5881" s="16" t="s">
        <v>3402</v>
      </c>
      <c r="D5881" s="16" t="s">
        <v>3403</v>
      </c>
    </row>
    <row r="5882" spans="1:4">
      <c r="A5882" s="16">
        <v>6610100000</v>
      </c>
      <c r="B5882" s="16">
        <v>0</v>
      </c>
      <c r="C5882" s="16" t="s">
        <v>3413</v>
      </c>
      <c r="D5882" s="16" t="s">
        <v>3414</v>
      </c>
    </row>
    <row r="5883" spans="1:4">
      <c r="A5883" s="16">
        <v>6610000000</v>
      </c>
      <c r="B5883" s="16">
        <v>0</v>
      </c>
      <c r="C5883" s="16" t="s">
        <v>3413</v>
      </c>
      <c r="D5883" s="16" t="s">
        <v>3418</v>
      </c>
    </row>
    <row r="5884" spans="1:4">
      <c r="A5884" s="16">
        <v>6700400000</v>
      </c>
      <c r="B5884" s="16">
        <v>0</v>
      </c>
      <c r="C5884" s="16" t="s">
        <v>3404</v>
      </c>
      <c r="D5884" s="16" t="s">
        <v>3405</v>
      </c>
    </row>
    <row r="5885" spans="1:4">
      <c r="A5885" s="16">
        <v>6700100000</v>
      </c>
      <c r="B5885" s="16">
        <v>0</v>
      </c>
      <c r="C5885" s="16" t="s">
        <v>3404</v>
      </c>
      <c r="D5885" s="16" t="s">
        <v>3410</v>
      </c>
    </row>
    <row r="5886" spans="1:4">
      <c r="A5886" s="16">
        <v>6610100100</v>
      </c>
      <c r="B5886" s="16">
        <v>0</v>
      </c>
      <c r="C5886" s="16" t="s">
        <v>3413</v>
      </c>
      <c r="D5886" s="16" t="s">
        <v>3414</v>
      </c>
    </row>
    <row r="5887" spans="1:4">
      <c r="A5887" s="16">
        <v>6060010000</v>
      </c>
      <c r="B5887" s="16">
        <v>0</v>
      </c>
      <c r="C5887" s="16" t="s">
        <v>3420</v>
      </c>
      <c r="D5887" s="16" t="s">
        <v>3421</v>
      </c>
    </row>
    <row r="5888" spans="1:4">
      <c r="A5888" s="16">
        <v>6700700000</v>
      </c>
      <c r="B5888" s="16">
        <v>0</v>
      </c>
      <c r="C5888" s="16" t="s">
        <v>3404</v>
      </c>
      <c r="D5888" s="16" t="s">
        <v>3409</v>
      </c>
    </row>
    <row r="5889" spans="1:4">
      <c r="A5889" s="16">
        <v>6030000000</v>
      </c>
      <c r="B5889" s="16">
        <v>0</v>
      </c>
      <c r="C5889" s="16" t="s">
        <v>3432</v>
      </c>
      <c r="D5889" s="16" t="s">
        <v>3423</v>
      </c>
    </row>
    <row r="5890" spans="1:4">
      <c r="A5890" s="16">
        <v>3103000000</v>
      </c>
      <c r="B5890" s="16">
        <v>0</v>
      </c>
      <c r="C5890" s="16" t="s">
        <v>3402</v>
      </c>
      <c r="D5890" s="16" t="s">
        <v>3403</v>
      </c>
    </row>
    <row r="5891" spans="1:4">
      <c r="A5891" s="16">
        <v>6700400000</v>
      </c>
      <c r="B5891" s="16">
        <v>0</v>
      </c>
      <c r="C5891" s="16" t="s">
        <v>3404</v>
      </c>
      <c r="D5891" s="16" t="s">
        <v>3405</v>
      </c>
    </row>
    <row r="5892" spans="1:4">
      <c r="A5892" s="16">
        <v>6102000000</v>
      </c>
      <c r="B5892" s="16">
        <v>0</v>
      </c>
      <c r="C5892" s="16" t="s">
        <v>3425</v>
      </c>
      <c r="D5892" s="16" t="s">
        <v>3426</v>
      </c>
    </row>
    <row r="5893" spans="1:4">
      <c r="A5893" s="16">
        <v>4203000000</v>
      </c>
      <c r="B5893" s="16">
        <v>0</v>
      </c>
      <c r="C5893" s="16" t="s">
        <v>3408</v>
      </c>
      <c r="D5893" s="16" t="s">
        <v>3403</v>
      </c>
    </row>
    <row r="5894" spans="1:4">
      <c r="A5894" s="16">
        <v>6032000000</v>
      </c>
      <c r="B5894" s="16">
        <v>0</v>
      </c>
      <c r="C5894" s="16" t="s">
        <v>3429</v>
      </c>
      <c r="D5894" s="16" t="s">
        <v>3430</v>
      </c>
    </row>
    <row r="5895" spans="1:4">
      <c r="A5895" s="16">
        <v>3032000000</v>
      </c>
      <c r="B5895" s="16">
        <v>23049065</v>
      </c>
      <c r="C5895" s="16" t="s">
        <v>3424</v>
      </c>
      <c r="D5895" s="16" t="s">
        <v>3403</v>
      </c>
    </row>
    <row r="5896" spans="1:4">
      <c r="A5896" s="16">
        <v>6100000000</v>
      </c>
      <c r="B5896" s="16">
        <v>0</v>
      </c>
      <c r="C5896" s="16" t="s">
        <v>3427</v>
      </c>
      <c r="D5896" s="16" t="s">
        <v>3417</v>
      </c>
    </row>
    <row r="5897" spans="1:4">
      <c r="A5897" s="16">
        <v>6700200000</v>
      </c>
      <c r="B5897" s="16">
        <v>0</v>
      </c>
      <c r="C5897" s="16" t="s">
        <v>3404</v>
      </c>
      <c r="D5897" s="16" t="s">
        <v>3409</v>
      </c>
    </row>
    <row r="5898" spans="1:4">
      <c r="A5898" s="16">
        <v>2500000000</v>
      </c>
      <c r="B5898" s="16">
        <v>-1763</v>
      </c>
      <c r="C5898" s="16" t="s">
        <v>3412</v>
      </c>
      <c r="D5898" s="16" t="s">
        <v>3403</v>
      </c>
    </row>
    <row r="5899" spans="1:4">
      <c r="A5899" s="16">
        <v>2201000030</v>
      </c>
      <c r="B5899" s="16">
        <v>0</v>
      </c>
      <c r="C5899" s="16" t="s">
        <v>3415</v>
      </c>
      <c r="D5899" s="16" t="s">
        <v>3403</v>
      </c>
    </row>
    <row r="5900" spans="1:4">
      <c r="A5900" s="16">
        <v>4203000000</v>
      </c>
      <c r="B5900" s="16">
        <v>0</v>
      </c>
      <c r="C5900" s="16" t="s">
        <v>3408</v>
      </c>
      <c r="D5900" s="16" t="s">
        <v>3403</v>
      </c>
    </row>
    <row r="5901" spans="1:4">
      <c r="A5901" s="16">
        <v>4203000000</v>
      </c>
      <c r="B5901" s="16">
        <v>0</v>
      </c>
      <c r="C5901" s="16" t="s">
        <v>3408</v>
      </c>
      <c r="D5901" s="16" t="s">
        <v>3403</v>
      </c>
    </row>
    <row r="5902" spans="1:4">
      <c r="A5902" s="16">
        <v>3032000000</v>
      </c>
      <c r="B5902" s="16">
        <v>0</v>
      </c>
      <c r="C5902" s="16" t="s">
        <v>3424</v>
      </c>
      <c r="D5902" s="16" t="s">
        <v>3403</v>
      </c>
    </row>
    <row r="5903" spans="1:4">
      <c r="A5903" s="16">
        <v>2500000000</v>
      </c>
      <c r="B5903" s="16">
        <v>0</v>
      </c>
      <c r="C5903" s="16" t="s">
        <v>3412</v>
      </c>
      <c r="D5903" s="16" t="s">
        <v>3403</v>
      </c>
    </row>
    <row r="5904" spans="1:4">
      <c r="A5904" s="16">
        <v>5052000000</v>
      </c>
      <c r="B5904" s="16">
        <v>0</v>
      </c>
      <c r="C5904" s="16" t="s">
        <v>3406</v>
      </c>
      <c r="D5904" s="16" t="s">
        <v>3422</v>
      </c>
    </row>
    <row r="5905" spans="1:4">
      <c r="A5905" s="16">
        <v>5010000010</v>
      </c>
      <c r="B5905" s="16">
        <v>0</v>
      </c>
      <c r="C5905" s="16" t="s">
        <v>3406</v>
      </c>
      <c r="D5905" s="16" t="s">
        <v>3411</v>
      </c>
    </row>
    <row r="5906" spans="1:4">
      <c r="A5906" s="16">
        <v>6700500000</v>
      </c>
      <c r="B5906" s="16">
        <v>0</v>
      </c>
      <c r="C5906" s="16" t="s">
        <v>3404</v>
      </c>
      <c r="D5906" s="16" t="s">
        <v>3405</v>
      </c>
    </row>
    <row r="5907" spans="1:4">
      <c r="A5907" s="16">
        <v>6700200000</v>
      </c>
      <c r="B5907" s="16">
        <v>0</v>
      </c>
      <c r="C5907" s="16" t="s">
        <v>3404</v>
      </c>
      <c r="D5907" s="16" t="s">
        <v>3409</v>
      </c>
    </row>
    <row r="5908" spans="1:4">
      <c r="A5908" s="16">
        <v>3030000000</v>
      </c>
      <c r="B5908" s="16">
        <v>0</v>
      </c>
      <c r="C5908" s="16" t="s">
        <v>3402</v>
      </c>
      <c r="D5908" s="16" t="s">
        <v>3403</v>
      </c>
    </row>
    <row r="5909" spans="1:4">
      <c r="A5909" s="16">
        <v>3102000000</v>
      </c>
      <c r="B5909" s="16">
        <v>177167</v>
      </c>
      <c r="C5909" s="16" t="s">
        <v>3424</v>
      </c>
      <c r="D5909" s="16" t="s">
        <v>3403</v>
      </c>
    </row>
    <row r="5910" spans="1:4">
      <c r="A5910" s="16">
        <v>5010100010</v>
      </c>
      <c r="B5910" s="16">
        <v>0</v>
      </c>
      <c r="C5910" s="16" t="s">
        <v>3406</v>
      </c>
      <c r="D5910" s="16" t="s">
        <v>3407</v>
      </c>
    </row>
    <row r="5911" spans="1:4">
      <c r="A5911" s="16">
        <v>6032000000</v>
      </c>
      <c r="B5911" s="16">
        <v>-23049065</v>
      </c>
      <c r="C5911" s="16" t="s">
        <v>3429</v>
      </c>
      <c r="D5911" s="16" t="s">
        <v>3430</v>
      </c>
    </row>
    <row r="5912" spans="1:4">
      <c r="A5912" s="16">
        <v>3100000000</v>
      </c>
      <c r="B5912" s="16">
        <v>0</v>
      </c>
      <c r="C5912" s="16" t="s">
        <v>3402</v>
      </c>
      <c r="D5912" s="16" t="s">
        <v>3403</v>
      </c>
    </row>
    <row r="5913" spans="1:4">
      <c r="A5913" s="16">
        <v>6700100000</v>
      </c>
      <c r="B5913" s="16">
        <v>0</v>
      </c>
      <c r="C5913" s="16" t="s">
        <v>3404</v>
      </c>
      <c r="D5913" s="16" t="s">
        <v>3410</v>
      </c>
    </row>
    <row r="5914" spans="1:4">
      <c r="A5914" s="16">
        <v>4611000000</v>
      </c>
      <c r="B5914" s="16">
        <v>0</v>
      </c>
      <c r="C5914" s="16" t="s">
        <v>3428</v>
      </c>
      <c r="D5914" s="16" t="s">
        <v>3403</v>
      </c>
    </row>
    <row r="5915" spans="1:4">
      <c r="A5915" s="16">
        <v>6700700000</v>
      </c>
      <c r="B5915" s="16">
        <v>0</v>
      </c>
      <c r="C5915" s="16" t="s">
        <v>3404</v>
      </c>
      <c r="D5915" s="16" t="s">
        <v>3409</v>
      </c>
    </row>
    <row r="5916" spans="1:4">
      <c r="A5916" s="16">
        <v>5010000000</v>
      </c>
      <c r="B5916" s="16">
        <v>1763</v>
      </c>
      <c r="C5916" s="16" t="s">
        <v>3406</v>
      </c>
      <c r="D5916" s="16" t="s">
        <v>3411</v>
      </c>
    </row>
    <row r="5917" spans="1:4">
      <c r="A5917" s="16">
        <v>6700200000</v>
      </c>
      <c r="B5917" s="16">
        <v>0</v>
      </c>
      <c r="C5917" s="16" t="s">
        <v>3404</v>
      </c>
      <c r="D5917" s="16" t="s">
        <v>3409</v>
      </c>
    </row>
    <row r="5918" spans="1:4">
      <c r="A5918" s="16">
        <v>6104000000</v>
      </c>
      <c r="B5918" s="16">
        <v>0</v>
      </c>
      <c r="C5918" s="16" t="s">
        <v>3416</v>
      </c>
      <c r="D5918" s="16" t="s">
        <v>3417</v>
      </c>
    </row>
    <row r="5919" spans="1:4">
      <c r="A5919" s="16">
        <v>6610100000</v>
      </c>
      <c r="B5919" s="16">
        <v>0</v>
      </c>
      <c r="C5919" s="16" t="s">
        <v>3413</v>
      </c>
      <c r="D5919" s="16" t="s">
        <v>3414</v>
      </c>
    </row>
    <row r="5920" spans="1:4">
      <c r="A5920" s="16">
        <v>6060010000</v>
      </c>
      <c r="B5920" s="16">
        <v>0</v>
      </c>
      <c r="C5920" s="16" t="s">
        <v>3420</v>
      </c>
      <c r="D5920" s="16" t="s">
        <v>3421</v>
      </c>
    </row>
    <row r="5921" spans="1:4">
      <c r="A5921" s="16">
        <v>2500000000</v>
      </c>
      <c r="B5921" s="16">
        <v>58916</v>
      </c>
      <c r="C5921" s="16" t="s">
        <v>3412</v>
      </c>
      <c r="D5921" s="16" t="s">
        <v>3403</v>
      </c>
    </row>
    <row r="5922" spans="1:4">
      <c r="A5922" s="16">
        <v>6032000000</v>
      </c>
      <c r="B5922" s="16">
        <v>0</v>
      </c>
      <c r="C5922" s="16" t="s">
        <v>3429</v>
      </c>
      <c r="D5922" s="16" t="s">
        <v>3430</v>
      </c>
    </row>
    <row r="5923" spans="1:4">
      <c r="A5923" s="16">
        <v>5010100000</v>
      </c>
      <c r="B5923" s="16">
        <v>0</v>
      </c>
      <c r="C5923" s="16" t="s">
        <v>3406</v>
      </c>
      <c r="D5923" s="16" t="s">
        <v>3407</v>
      </c>
    </row>
    <row r="5924" spans="1:4">
      <c r="A5924" s="16">
        <v>3710000000</v>
      </c>
      <c r="B5924" s="16">
        <v>0</v>
      </c>
      <c r="C5924" s="16" t="s">
        <v>3402</v>
      </c>
      <c r="D5924" s="16" t="s">
        <v>3403</v>
      </c>
    </row>
    <row r="5925" spans="1:4">
      <c r="A5925" s="16">
        <v>6700000000</v>
      </c>
      <c r="B5925" s="16">
        <v>0</v>
      </c>
      <c r="C5925" s="16" t="s">
        <v>3404</v>
      </c>
      <c r="D5925" s="16" t="s">
        <v>3405</v>
      </c>
    </row>
    <row r="5926" spans="1:4">
      <c r="A5926" s="16">
        <v>6102000000</v>
      </c>
      <c r="B5926" s="16">
        <v>-177167</v>
      </c>
      <c r="C5926" s="16" t="s">
        <v>3425</v>
      </c>
      <c r="D5926" s="16" t="s">
        <v>3426</v>
      </c>
    </row>
    <row r="5927" spans="1:4">
      <c r="A5927" s="16">
        <v>3710000000</v>
      </c>
      <c r="B5927" s="16">
        <v>0</v>
      </c>
      <c r="C5927" s="16" t="s">
        <v>3402</v>
      </c>
      <c r="D5927" s="16" t="s">
        <v>3403</v>
      </c>
    </row>
    <row r="5928" spans="1:4">
      <c r="A5928" s="16">
        <v>6100000000</v>
      </c>
      <c r="B5928" s="16">
        <v>0</v>
      </c>
      <c r="C5928" s="16" t="s">
        <v>3416</v>
      </c>
      <c r="D5928" s="16" t="s">
        <v>3417</v>
      </c>
    </row>
    <row r="5929" spans="1:4">
      <c r="A5929" s="16">
        <v>2500000000</v>
      </c>
      <c r="B5929" s="16">
        <v>0</v>
      </c>
      <c r="C5929" s="16" t="s">
        <v>3412</v>
      </c>
      <c r="D5929" s="16" t="s">
        <v>3403</v>
      </c>
    </row>
    <row r="5930" spans="1:4">
      <c r="A5930" s="16">
        <v>3800000010</v>
      </c>
      <c r="B5930" s="16">
        <v>0</v>
      </c>
      <c r="C5930" s="16" t="s">
        <v>3402</v>
      </c>
      <c r="D5930" s="16" t="s">
        <v>3403</v>
      </c>
    </row>
    <row r="5931" spans="1:4">
      <c r="A5931" s="16">
        <v>6700500000</v>
      </c>
      <c r="B5931" s="16">
        <v>0</v>
      </c>
      <c r="C5931" s="16" t="s">
        <v>3404</v>
      </c>
      <c r="D5931" s="16" t="s">
        <v>3405</v>
      </c>
    </row>
    <row r="5932" spans="1:4">
      <c r="A5932" s="16">
        <v>6700600000</v>
      </c>
      <c r="B5932" s="16">
        <v>0</v>
      </c>
      <c r="C5932" s="16" t="s">
        <v>3404</v>
      </c>
      <c r="D5932" s="16" t="s">
        <v>3409</v>
      </c>
    </row>
    <row r="5933" spans="1:4">
      <c r="A5933" s="16">
        <v>3103000000</v>
      </c>
      <c r="B5933" s="16">
        <v>0</v>
      </c>
      <c r="C5933" s="16" t="s">
        <v>3402</v>
      </c>
      <c r="D5933" s="16" t="s">
        <v>3403</v>
      </c>
    </row>
    <row r="5934" spans="1:4">
      <c r="A5934" s="16">
        <v>4203000000</v>
      </c>
      <c r="B5934" s="16">
        <v>0</v>
      </c>
      <c r="C5934" s="16" t="s">
        <v>3408</v>
      </c>
      <c r="D5934" s="16" t="s">
        <v>3403</v>
      </c>
    </row>
    <row r="5935" spans="1:4">
      <c r="A5935" s="16">
        <v>6610100000</v>
      </c>
      <c r="B5935" s="16">
        <v>9391061</v>
      </c>
      <c r="C5935" s="16" t="s">
        <v>3413</v>
      </c>
      <c r="D5935" s="16" t="s">
        <v>3414</v>
      </c>
    </row>
    <row r="5936" spans="1:4">
      <c r="A5936" s="16">
        <v>5052000000</v>
      </c>
      <c r="B5936" s="16">
        <v>0</v>
      </c>
      <c r="C5936" s="16" t="s">
        <v>3406</v>
      </c>
      <c r="D5936" s="16" t="s">
        <v>3422</v>
      </c>
    </row>
    <row r="5937" spans="1:4">
      <c r="A5937" s="16">
        <v>5010100000</v>
      </c>
      <c r="B5937" s="16">
        <v>-58916</v>
      </c>
      <c r="C5937" s="16" t="s">
        <v>3406</v>
      </c>
      <c r="D5937" s="16" t="s">
        <v>3407</v>
      </c>
    </row>
    <row r="5938" spans="1:4">
      <c r="A5938" s="16">
        <v>6700200000</v>
      </c>
      <c r="B5938" s="16">
        <v>0</v>
      </c>
      <c r="C5938" s="16" t="s">
        <v>3404</v>
      </c>
      <c r="D5938" s="16" t="s">
        <v>3409</v>
      </c>
    </row>
    <row r="5939" spans="1:4">
      <c r="A5939" s="16">
        <v>2500000000</v>
      </c>
      <c r="B5939" s="16">
        <v>0</v>
      </c>
      <c r="C5939" s="16" t="s">
        <v>3412</v>
      </c>
      <c r="D5939" s="16" t="s">
        <v>3403</v>
      </c>
    </row>
    <row r="5940" spans="1:4">
      <c r="A5940" s="16">
        <v>6700200000</v>
      </c>
      <c r="B5940" s="16">
        <v>0</v>
      </c>
      <c r="C5940" s="16" t="s">
        <v>3404</v>
      </c>
      <c r="D5940" s="16" t="s">
        <v>3409</v>
      </c>
    </row>
    <row r="5941" spans="1:4">
      <c r="A5941" s="16">
        <v>4010100000</v>
      </c>
      <c r="B5941" s="16">
        <v>0</v>
      </c>
      <c r="C5941" s="16" t="s">
        <v>3431</v>
      </c>
      <c r="D5941" s="16" t="s">
        <v>3403</v>
      </c>
    </row>
    <row r="5942" spans="1:4">
      <c r="A5942" s="16">
        <v>2201000010</v>
      </c>
      <c r="B5942" s="16">
        <v>0</v>
      </c>
      <c r="C5942" s="16" t="s">
        <v>3415</v>
      </c>
      <c r="D5942" s="16" t="s">
        <v>3403</v>
      </c>
    </row>
    <row r="5943" spans="1:4">
      <c r="A5943" s="16">
        <v>5010000000</v>
      </c>
      <c r="B5943" s="16">
        <v>0</v>
      </c>
      <c r="C5943" s="16" t="s">
        <v>3406</v>
      </c>
      <c r="D5943" s="16" t="s">
        <v>3411</v>
      </c>
    </row>
    <row r="5944" spans="1:4">
      <c r="A5944" s="16">
        <v>6700400000</v>
      </c>
      <c r="B5944" s="16">
        <v>0</v>
      </c>
      <c r="C5944" s="16" t="s">
        <v>3404</v>
      </c>
      <c r="D5944" s="16" t="s">
        <v>3405</v>
      </c>
    </row>
    <row r="5945" spans="1:4">
      <c r="A5945" s="16">
        <v>6104000000</v>
      </c>
      <c r="B5945" s="16">
        <v>0</v>
      </c>
      <c r="C5945" s="16" t="s">
        <v>3427</v>
      </c>
      <c r="D5945" s="16" t="s">
        <v>3417</v>
      </c>
    </row>
    <row r="5946" spans="1:4">
      <c r="A5946" s="16">
        <v>4203000000</v>
      </c>
      <c r="B5946" s="16">
        <v>-9391061</v>
      </c>
      <c r="C5946" s="16" t="s">
        <v>3408</v>
      </c>
      <c r="D5946" s="16" t="s">
        <v>3403</v>
      </c>
    </row>
    <row r="5947" spans="1:4">
      <c r="A5947" s="16">
        <v>2500000000</v>
      </c>
      <c r="B5947" s="16">
        <v>411250</v>
      </c>
      <c r="C5947" s="16" t="s">
        <v>3412</v>
      </c>
      <c r="D5947" s="16" t="s">
        <v>3403</v>
      </c>
    </row>
    <row r="5948" spans="1:4">
      <c r="A5948" s="16">
        <v>6700700000</v>
      </c>
      <c r="B5948" s="16">
        <v>0</v>
      </c>
      <c r="C5948" s="16" t="s">
        <v>3404</v>
      </c>
      <c r="D5948" s="16" t="s">
        <v>3409</v>
      </c>
    </row>
    <row r="5949" spans="1:4">
      <c r="A5949" s="16">
        <v>6700100000</v>
      </c>
      <c r="B5949" s="16">
        <v>0</v>
      </c>
      <c r="C5949" s="16" t="s">
        <v>3404</v>
      </c>
      <c r="D5949" s="16" t="s">
        <v>3410</v>
      </c>
    </row>
    <row r="5950" spans="1:4">
      <c r="A5950" s="16">
        <v>5010100000</v>
      </c>
      <c r="B5950" s="16">
        <v>0</v>
      </c>
      <c r="C5950" s="16" t="s">
        <v>3406</v>
      </c>
      <c r="D5950" s="16" t="s">
        <v>3407</v>
      </c>
    </row>
    <row r="5951" spans="1:4">
      <c r="A5951" s="16">
        <v>2201200030</v>
      </c>
      <c r="B5951" s="16">
        <v>0</v>
      </c>
      <c r="C5951" s="16" t="s">
        <v>3415</v>
      </c>
      <c r="D5951" s="16" t="s">
        <v>3403</v>
      </c>
    </row>
    <row r="5952" spans="1:4">
      <c r="A5952" s="16">
        <v>4610000000</v>
      </c>
      <c r="B5952" s="16">
        <v>0</v>
      </c>
      <c r="C5952" s="16" t="s">
        <v>3428</v>
      </c>
      <c r="D5952" s="16" t="s">
        <v>3403</v>
      </c>
    </row>
    <row r="5953" spans="1:4">
      <c r="A5953" s="16">
        <v>6610100000</v>
      </c>
      <c r="B5953" s="16">
        <v>18514</v>
      </c>
      <c r="C5953" s="16" t="s">
        <v>3413</v>
      </c>
      <c r="D5953" s="16" t="s">
        <v>3414</v>
      </c>
    </row>
    <row r="5954" spans="1:4">
      <c r="A5954" s="16">
        <v>6700600000</v>
      </c>
      <c r="B5954" s="16">
        <v>3289774</v>
      </c>
      <c r="C5954" s="16" t="s">
        <v>3404</v>
      </c>
      <c r="D5954" s="16" t="s">
        <v>3409</v>
      </c>
    </row>
    <row r="5955" spans="1:4">
      <c r="A5955" s="16">
        <v>6100000000</v>
      </c>
      <c r="B5955" s="16">
        <v>1458382</v>
      </c>
      <c r="C5955" s="16" t="s">
        <v>3416</v>
      </c>
      <c r="D5955" s="16" t="s">
        <v>3417</v>
      </c>
    </row>
    <row r="5956" spans="1:4">
      <c r="A5956" s="16">
        <v>2201000000</v>
      </c>
      <c r="B5956" s="16">
        <v>-374628</v>
      </c>
      <c r="C5956" s="16" t="s">
        <v>3415</v>
      </c>
      <c r="D5956" s="16" t="s">
        <v>3403</v>
      </c>
    </row>
    <row r="5957" spans="1:4">
      <c r="A5957" s="16">
        <v>3103000000</v>
      </c>
      <c r="B5957" s="16">
        <v>0</v>
      </c>
      <c r="C5957" s="16" t="s">
        <v>3402</v>
      </c>
      <c r="D5957" s="16" t="s">
        <v>3403</v>
      </c>
    </row>
    <row r="5958" spans="1:4">
      <c r="A5958" s="16">
        <v>5010000000</v>
      </c>
      <c r="B5958" s="16">
        <v>-411250</v>
      </c>
      <c r="C5958" s="16" t="s">
        <v>3406</v>
      </c>
      <c r="D5958" s="16" t="s">
        <v>3411</v>
      </c>
    </row>
    <row r="5959" spans="1:4">
      <c r="A5959" s="16">
        <v>2500000000</v>
      </c>
      <c r="B5959" s="16">
        <v>0</v>
      </c>
      <c r="C5959" s="16" t="s">
        <v>3412</v>
      </c>
      <c r="D5959" s="16" t="s">
        <v>3403</v>
      </c>
    </row>
    <row r="5960" spans="1:4">
      <c r="A5960" s="16">
        <v>6700500000</v>
      </c>
      <c r="B5960" s="16">
        <v>0</v>
      </c>
      <c r="C5960" s="16" t="s">
        <v>3404</v>
      </c>
      <c r="D5960" s="16" t="s">
        <v>3405</v>
      </c>
    </row>
    <row r="5961" spans="1:4">
      <c r="A5961" s="16">
        <v>6700600000</v>
      </c>
      <c r="B5961" s="16">
        <v>0</v>
      </c>
      <c r="C5961" s="16" t="s">
        <v>3404</v>
      </c>
      <c r="D5961" s="16" t="s">
        <v>3409</v>
      </c>
    </row>
    <row r="5962" spans="1:4">
      <c r="A5962" s="16">
        <v>6610000000</v>
      </c>
      <c r="B5962" s="16">
        <v>0</v>
      </c>
      <c r="C5962" s="16" t="s">
        <v>3413</v>
      </c>
      <c r="D5962" s="16" t="s">
        <v>3418</v>
      </c>
    </row>
    <row r="5963" spans="1:4">
      <c r="A5963" s="16">
        <v>3102000000</v>
      </c>
      <c r="B5963" s="16">
        <v>0</v>
      </c>
      <c r="C5963" s="16" t="s">
        <v>3424</v>
      </c>
      <c r="D5963" s="16" t="s">
        <v>3403</v>
      </c>
    </row>
    <row r="5964" spans="1:4">
      <c r="A5964" s="16">
        <v>6030000000</v>
      </c>
      <c r="B5964" s="16">
        <v>0</v>
      </c>
      <c r="C5964" s="16" t="s">
        <v>3420</v>
      </c>
      <c r="D5964" s="16" t="s">
        <v>3423</v>
      </c>
    </row>
    <row r="5965" spans="1:4">
      <c r="A5965" s="16">
        <v>2500000000</v>
      </c>
      <c r="B5965" s="16">
        <v>0</v>
      </c>
      <c r="C5965" s="16" t="s">
        <v>3412</v>
      </c>
      <c r="D5965" s="16" t="s">
        <v>3403</v>
      </c>
    </row>
    <row r="5966" spans="1:4">
      <c r="A5966" s="16">
        <v>4203000000</v>
      </c>
      <c r="B5966" s="16">
        <v>-18514</v>
      </c>
      <c r="C5966" s="16" t="s">
        <v>3408</v>
      </c>
      <c r="D5966" s="16" t="s">
        <v>3403</v>
      </c>
    </row>
    <row r="5967" spans="1:4">
      <c r="A5967" s="16">
        <v>6700400000</v>
      </c>
      <c r="B5967" s="16">
        <v>-3289774</v>
      </c>
      <c r="C5967" s="16" t="s">
        <v>3404</v>
      </c>
      <c r="D5967" s="16" t="s">
        <v>3405</v>
      </c>
    </row>
    <row r="5968" spans="1:4">
      <c r="A5968" s="16">
        <v>3100000000</v>
      </c>
      <c r="B5968" s="16">
        <v>-1458382</v>
      </c>
      <c r="C5968" s="16" t="s">
        <v>3402</v>
      </c>
      <c r="D5968" s="16" t="s">
        <v>3403</v>
      </c>
    </row>
    <row r="5969" spans="1:4">
      <c r="A5969" s="16">
        <v>6700600000</v>
      </c>
      <c r="B5969" s="16">
        <v>0</v>
      </c>
      <c r="C5969" s="16" t="s">
        <v>3404</v>
      </c>
      <c r="D5969" s="16" t="s">
        <v>3409</v>
      </c>
    </row>
    <row r="5970" spans="1:4">
      <c r="A5970" s="16">
        <v>6700200000</v>
      </c>
      <c r="B5970" s="16">
        <v>374628</v>
      </c>
      <c r="C5970" s="16" t="s">
        <v>3404</v>
      </c>
      <c r="D5970" s="16" t="s">
        <v>3409</v>
      </c>
    </row>
    <row r="5971" spans="1:4">
      <c r="A5971" s="16">
        <v>2500000000</v>
      </c>
      <c r="B5971" s="16">
        <v>0</v>
      </c>
      <c r="C5971" s="16" t="s">
        <v>3412</v>
      </c>
      <c r="D5971" s="16" t="s">
        <v>3403</v>
      </c>
    </row>
    <row r="5972" spans="1:4">
      <c r="A5972" s="16">
        <v>5010100000</v>
      </c>
      <c r="B5972" s="16">
        <v>0</v>
      </c>
      <c r="C5972" s="16" t="s">
        <v>3406</v>
      </c>
      <c r="D5972" s="16" t="s">
        <v>3407</v>
      </c>
    </row>
    <row r="5973" spans="1:4">
      <c r="A5973" s="16">
        <v>6700600000</v>
      </c>
      <c r="B5973" s="16">
        <v>0</v>
      </c>
      <c r="C5973" s="16" t="s">
        <v>3404</v>
      </c>
      <c r="D5973" s="16" t="s">
        <v>3409</v>
      </c>
    </row>
    <row r="5974" spans="1:4">
      <c r="A5974" s="16">
        <v>2201000010</v>
      </c>
      <c r="B5974" s="16">
        <v>0</v>
      </c>
      <c r="C5974" s="16" t="s">
        <v>3415</v>
      </c>
      <c r="D5974" s="16" t="s">
        <v>3403</v>
      </c>
    </row>
    <row r="5975" spans="1:4">
      <c r="A5975" s="16">
        <v>6700400000</v>
      </c>
      <c r="B5975" s="16">
        <v>0</v>
      </c>
      <c r="C5975" s="16" t="s">
        <v>3404</v>
      </c>
      <c r="D5975" s="16" t="s">
        <v>3405</v>
      </c>
    </row>
    <row r="5976" spans="1:4">
      <c r="A5976" s="16">
        <v>4203000000</v>
      </c>
      <c r="B5976" s="16">
        <v>0</v>
      </c>
      <c r="C5976" s="16" t="s">
        <v>3408</v>
      </c>
      <c r="D5976" s="16" t="s">
        <v>3403</v>
      </c>
    </row>
    <row r="5977" spans="1:4">
      <c r="A5977" s="16">
        <v>2201000000</v>
      </c>
      <c r="B5977" s="16">
        <v>0</v>
      </c>
      <c r="C5977" s="16" t="s">
        <v>3415</v>
      </c>
      <c r="D5977" s="16" t="s">
        <v>3403</v>
      </c>
    </row>
    <row r="5978" spans="1:4">
      <c r="A5978" s="16">
        <v>6102000000</v>
      </c>
      <c r="B5978" s="16">
        <v>0</v>
      </c>
      <c r="C5978" s="16" t="s">
        <v>3425</v>
      </c>
      <c r="D5978" s="16" t="s">
        <v>3426</v>
      </c>
    </row>
    <row r="5979" spans="1:4">
      <c r="A5979" s="16">
        <v>3030000000</v>
      </c>
      <c r="B5979" s="16">
        <v>0</v>
      </c>
      <c r="C5979" s="16" t="s">
        <v>3402</v>
      </c>
      <c r="D5979" s="16" t="s">
        <v>3403</v>
      </c>
    </row>
    <row r="5980" spans="1:4">
      <c r="A5980" s="16">
        <v>2201000000</v>
      </c>
      <c r="B5980" s="16">
        <v>0</v>
      </c>
      <c r="C5980" s="16" t="s">
        <v>3415</v>
      </c>
      <c r="D5980" s="16" t="s">
        <v>3403</v>
      </c>
    </row>
    <row r="5981" spans="1:4">
      <c r="A5981" s="16">
        <v>5010000000</v>
      </c>
      <c r="B5981" s="16">
        <v>0</v>
      </c>
      <c r="C5981" s="16" t="s">
        <v>3406</v>
      </c>
      <c r="D5981" s="16" t="s">
        <v>3411</v>
      </c>
    </row>
    <row r="5982" spans="1:4">
      <c r="A5982" s="16">
        <v>6610000000</v>
      </c>
      <c r="B5982" s="16">
        <v>0</v>
      </c>
      <c r="C5982" s="16" t="s">
        <v>3413</v>
      </c>
      <c r="D5982" s="16" t="s">
        <v>3418</v>
      </c>
    </row>
    <row r="5983" spans="1:4">
      <c r="A5983" s="16">
        <v>6700400000</v>
      </c>
      <c r="B5983" s="16">
        <v>0</v>
      </c>
      <c r="C5983" s="16" t="s">
        <v>3404</v>
      </c>
      <c r="D5983" s="16" t="s">
        <v>3405</v>
      </c>
    </row>
    <row r="5984" spans="1:4">
      <c r="A5984" s="16">
        <v>5052010000</v>
      </c>
      <c r="B5984" s="16">
        <v>0</v>
      </c>
      <c r="C5984" s="16" t="s">
        <v>3406</v>
      </c>
      <c r="D5984" s="16" t="s">
        <v>3422</v>
      </c>
    </row>
    <row r="5985" spans="1:4">
      <c r="A5985" s="16">
        <v>5010000000</v>
      </c>
      <c r="B5985" s="16">
        <v>0</v>
      </c>
      <c r="C5985" s="16" t="s">
        <v>3406</v>
      </c>
      <c r="D5985" s="16" t="s">
        <v>3411</v>
      </c>
    </row>
    <row r="5986" spans="1:4">
      <c r="A5986" s="16">
        <v>2750010000</v>
      </c>
      <c r="B5986" s="16">
        <v>0</v>
      </c>
      <c r="C5986" s="16" t="s">
        <v>3419</v>
      </c>
      <c r="D5986" s="16" t="s">
        <v>3403</v>
      </c>
    </row>
    <row r="5987" spans="1:4">
      <c r="A5987" s="16">
        <v>6700400000</v>
      </c>
      <c r="B5987" s="16">
        <v>0</v>
      </c>
      <c r="C5987" s="16" t="s">
        <v>3404</v>
      </c>
      <c r="D5987" s="16" t="s">
        <v>3405</v>
      </c>
    </row>
    <row r="5988" spans="1:4">
      <c r="A5988" s="16">
        <v>4610000000</v>
      </c>
      <c r="B5988" s="16">
        <v>0</v>
      </c>
      <c r="C5988" s="16" t="s">
        <v>3428</v>
      </c>
      <c r="D5988" s="16" t="s">
        <v>3403</v>
      </c>
    </row>
    <row r="5989" spans="1:4">
      <c r="A5989" s="16">
        <v>6100000000</v>
      </c>
      <c r="B5989" s="16">
        <v>12521452</v>
      </c>
      <c r="C5989" s="16" t="s">
        <v>3427</v>
      </c>
      <c r="D5989" s="16" t="s">
        <v>3417</v>
      </c>
    </row>
    <row r="5990" spans="1:4">
      <c r="A5990" s="16">
        <v>6700200000</v>
      </c>
      <c r="B5990" s="16">
        <v>0</v>
      </c>
      <c r="C5990" s="16" t="s">
        <v>3404</v>
      </c>
      <c r="D5990" s="16" t="s">
        <v>3409</v>
      </c>
    </row>
    <row r="5991" spans="1:4">
      <c r="A5991" s="16">
        <v>6700700000</v>
      </c>
      <c r="B5991" s="16">
        <v>0</v>
      </c>
      <c r="C5991" s="16" t="s">
        <v>3404</v>
      </c>
      <c r="D5991" s="16" t="s">
        <v>3409</v>
      </c>
    </row>
    <row r="5992" spans="1:4">
      <c r="A5992" s="16">
        <v>6700200000</v>
      </c>
      <c r="B5992" s="16">
        <v>0</v>
      </c>
      <c r="C5992" s="16" t="s">
        <v>3404</v>
      </c>
      <c r="D5992" s="16" t="s">
        <v>3409</v>
      </c>
    </row>
    <row r="5993" spans="1:4">
      <c r="A5993" s="16">
        <v>4203000000</v>
      </c>
      <c r="B5993" s="16">
        <v>0</v>
      </c>
      <c r="C5993" s="16" t="s">
        <v>3408</v>
      </c>
      <c r="D5993" s="16" t="s">
        <v>3403</v>
      </c>
    </row>
    <row r="5994" spans="1:4">
      <c r="A5994" s="16">
        <v>5052000000</v>
      </c>
      <c r="B5994" s="16">
        <v>0</v>
      </c>
      <c r="C5994" s="16" t="s">
        <v>3406</v>
      </c>
      <c r="D5994" s="16" t="s">
        <v>3422</v>
      </c>
    </row>
    <row r="5995" spans="1:4">
      <c r="A5995" s="16">
        <v>5010100010</v>
      </c>
      <c r="B5995" s="16">
        <v>0</v>
      </c>
      <c r="C5995" s="16" t="s">
        <v>3406</v>
      </c>
      <c r="D5995" s="16" t="s">
        <v>3407</v>
      </c>
    </row>
    <row r="5996" spans="1:4">
      <c r="A5996" s="16">
        <v>6610000100</v>
      </c>
      <c r="B5996" s="16">
        <v>0</v>
      </c>
      <c r="C5996" s="16" t="s">
        <v>3413</v>
      </c>
      <c r="D5996" s="16" t="s">
        <v>3418</v>
      </c>
    </row>
    <row r="5997" spans="1:4">
      <c r="A5997" s="16">
        <v>6104001000</v>
      </c>
      <c r="B5997" s="16">
        <v>0</v>
      </c>
      <c r="C5997" s="16" t="s">
        <v>3416</v>
      </c>
      <c r="D5997" s="16" t="s">
        <v>3417</v>
      </c>
    </row>
    <row r="5998" spans="1:4">
      <c r="A5998" s="16">
        <v>3100000000</v>
      </c>
      <c r="B5998" s="16">
        <v>-12521452</v>
      </c>
      <c r="C5998" s="16" t="s">
        <v>3402</v>
      </c>
      <c r="D5998" s="16" t="s">
        <v>3403</v>
      </c>
    </row>
    <row r="5999" spans="1:4">
      <c r="A5999" s="16">
        <v>2500000000</v>
      </c>
      <c r="B5999" s="16">
        <v>0</v>
      </c>
      <c r="C5999" s="16" t="s">
        <v>3412</v>
      </c>
      <c r="D5999" s="16" t="s">
        <v>3403</v>
      </c>
    </row>
    <row r="6000" spans="1:4">
      <c r="A6000" s="16">
        <v>2201000030</v>
      </c>
      <c r="B6000" s="16">
        <v>0</v>
      </c>
      <c r="C6000" s="16" t="s">
        <v>3415</v>
      </c>
      <c r="D6000" s="16" t="s">
        <v>3403</v>
      </c>
    </row>
    <row r="6001" spans="1:4">
      <c r="A6001" s="16">
        <v>6700600000</v>
      </c>
      <c r="B6001" s="16">
        <v>0</v>
      </c>
      <c r="C6001" s="16" t="s">
        <v>3404</v>
      </c>
      <c r="D6001" s="16" t="s">
        <v>3409</v>
      </c>
    </row>
    <row r="6002" spans="1:4">
      <c r="A6002" s="16">
        <v>6700500000</v>
      </c>
      <c r="B6002" s="16">
        <v>0</v>
      </c>
      <c r="C6002" s="16" t="s">
        <v>3404</v>
      </c>
      <c r="D6002" s="16" t="s">
        <v>3405</v>
      </c>
    </row>
    <row r="6003" spans="1:4">
      <c r="A6003" s="16">
        <v>6610100000</v>
      </c>
      <c r="B6003" s="16">
        <v>86080</v>
      </c>
      <c r="C6003" s="16" t="s">
        <v>3413</v>
      </c>
      <c r="D6003" s="16" t="s">
        <v>3414</v>
      </c>
    </row>
    <row r="6004" spans="1:4">
      <c r="A6004" s="16">
        <v>6610000000</v>
      </c>
      <c r="B6004" s="16">
        <v>0</v>
      </c>
      <c r="C6004" s="16" t="s">
        <v>3413</v>
      </c>
      <c r="D6004" s="16" t="s">
        <v>3418</v>
      </c>
    </row>
    <row r="6005" spans="1:4">
      <c r="A6005" s="16">
        <v>3710000000</v>
      </c>
      <c r="B6005" s="16">
        <v>0</v>
      </c>
      <c r="C6005" s="16" t="s">
        <v>3402</v>
      </c>
      <c r="D6005" s="16" t="s">
        <v>3403</v>
      </c>
    </row>
    <row r="6006" spans="1:4">
      <c r="A6006" s="16">
        <v>2201000000</v>
      </c>
      <c r="B6006" s="16">
        <v>0</v>
      </c>
      <c r="C6006" s="16" t="s">
        <v>3415</v>
      </c>
      <c r="D6006" s="16" t="s">
        <v>3403</v>
      </c>
    </row>
    <row r="6007" spans="1:4">
      <c r="A6007" s="16">
        <v>6100000000</v>
      </c>
      <c r="B6007" s="16">
        <v>0</v>
      </c>
      <c r="C6007" s="16" t="s">
        <v>3416</v>
      </c>
      <c r="D6007" s="16" t="s">
        <v>3417</v>
      </c>
    </row>
    <row r="6008" spans="1:4">
      <c r="A6008" s="16">
        <v>2201000010</v>
      </c>
      <c r="B6008" s="16">
        <v>0</v>
      </c>
      <c r="C6008" s="16" t="s">
        <v>3415</v>
      </c>
      <c r="D6008" s="16" t="s">
        <v>3403</v>
      </c>
    </row>
    <row r="6009" spans="1:4">
      <c r="A6009" s="16">
        <v>2500000000</v>
      </c>
      <c r="B6009" s="16">
        <v>0</v>
      </c>
      <c r="C6009" s="16" t="s">
        <v>3412</v>
      </c>
      <c r="D6009" s="16" t="s">
        <v>3403</v>
      </c>
    </row>
    <row r="6010" spans="1:4">
      <c r="A6010" s="16">
        <v>6700200000</v>
      </c>
      <c r="B6010" s="16">
        <v>0</v>
      </c>
      <c r="C6010" s="16" t="s">
        <v>3404</v>
      </c>
      <c r="D6010" s="16" t="s">
        <v>3409</v>
      </c>
    </row>
    <row r="6011" spans="1:4">
      <c r="A6011" s="16">
        <v>3103001000</v>
      </c>
      <c r="B6011" s="16">
        <v>0</v>
      </c>
      <c r="C6011" s="16" t="s">
        <v>3402</v>
      </c>
      <c r="D6011" s="16" t="s">
        <v>3403</v>
      </c>
    </row>
    <row r="6012" spans="1:4">
      <c r="A6012" s="16">
        <v>6100000000</v>
      </c>
      <c r="B6012" s="16">
        <v>0</v>
      </c>
      <c r="C6012" s="16" t="s">
        <v>3416</v>
      </c>
      <c r="D6012" s="16" t="s">
        <v>3417</v>
      </c>
    </row>
    <row r="6013" spans="1:4">
      <c r="A6013" s="16">
        <v>5010000000</v>
      </c>
      <c r="B6013" s="16">
        <v>0</v>
      </c>
      <c r="C6013" s="16" t="s">
        <v>3406</v>
      </c>
      <c r="D6013" s="16" t="s">
        <v>3411</v>
      </c>
    </row>
    <row r="6014" spans="1:4">
      <c r="A6014" s="16">
        <v>2203000000</v>
      </c>
      <c r="B6014" s="16">
        <v>0</v>
      </c>
      <c r="C6014" s="16" t="s">
        <v>3415</v>
      </c>
      <c r="D6014" s="16" t="s">
        <v>3403</v>
      </c>
    </row>
    <row r="6015" spans="1:4">
      <c r="A6015" s="16">
        <v>6700200000</v>
      </c>
      <c r="B6015" s="16">
        <v>0</v>
      </c>
      <c r="C6015" s="16" t="s">
        <v>3404</v>
      </c>
      <c r="D6015" s="16" t="s">
        <v>3409</v>
      </c>
    </row>
    <row r="6016" spans="1:4">
      <c r="A6016" s="16">
        <v>3102000000</v>
      </c>
      <c r="B6016" s="16">
        <v>0</v>
      </c>
      <c r="C6016" s="16" t="s">
        <v>3424</v>
      </c>
      <c r="D6016" s="16" t="s">
        <v>3403</v>
      </c>
    </row>
    <row r="6017" spans="1:4">
      <c r="A6017" s="16">
        <v>6700400000</v>
      </c>
      <c r="B6017" s="16">
        <v>0</v>
      </c>
      <c r="C6017" s="16" t="s">
        <v>3404</v>
      </c>
      <c r="D6017" s="16" t="s">
        <v>3405</v>
      </c>
    </row>
    <row r="6018" spans="1:4">
      <c r="A6018" s="16">
        <v>4203000000</v>
      </c>
      <c r="B6018" s="16">
        <v>-86080</v>
      </c>
      <c r="C6018" s="16" t="s">
        <v>3408</v>
      </c>
      <c r="D6018" s="16" t="s">
        <v>3403</v>
      </c>
    </row>
    <row r="6019" spans="1:4">
      <c r="A6019" s="16">
        <v>4203000000</v>
      </c>
      <c r="B6019" s="16">
        <v>0</v>
      </c>
      <c r="C6019" s="16" t="s">
        <v>3408</v>
      </c>
      <c r="D6019" s="16" t="s">
        <v>3403</v>
      </c>
    </row>
    <row r="6020" spans="1:4">
      <c r="A6020" s="16">
        <v>3102000000</v>
      </c>
      <c r="B6020" s="16">
        <v>0</v>
      </c>
      <c r="C6020" s="16" t="s">
        <v>3424</v>
      </c>
      <c r="D6020" s="16" t="s">
        <v>3403</v>
      </c>
    </row>
    <row r="6021" spans="1:4">
      <c r="A6021" s="16">
        <v>6104001000</v>
      </c>
      <c r="B6021" s="16">
        <v>0</v>
      </c>
      <c r="C6021" s="16" t="s">
        <v>3416</v>
      </c>
      <c r="D6021" s="16" t="s">
        <v>3417</v>
      </c>
    </row>
    <row r="6022" spans="1:4">
      <c r="A6022" s="16">
        <v>6700200000</v>
      </c>
      <c r="B6022" s="16">
        <v>0</v>
      </c>
      <c r="C6022" s="16" t="s">
        <v>3404</v>
      </c>
      <c r="D6022" s="16" t="s">
        <v>3409</v>
      </c>
    </row>
    <row r="6023" spans="1:4">
      <c r="A6023" s="16">
        <v>6700100000</v>
      </c>
      <c r="B6023" s="16">
        <v>0</v>
      </c>
      <c r="C6023" s="16" t="s">
        <v>3404</v>
      </c>
      <c r="D6023" s="16" t="s">
        <v>3410</v>
      </c>
    </row>
    <row r="6024" spans="1:4">
      <c r="A6024" s="16">
        <v>6700700000</v>
      </c>
      <c r="B6024" s="16">
        <v>0</v>
      </c>
      <c r="C6024" s="16" t="s">
        <v>3404</v>
      </c>
      <c r="D6024" s="16" t="s">
        <v>3409</v>
      </c>
    </row>
    <row r="6025" spans="1:4">
      <c r="A6025" s="16">
        <v>6700500000</v>
      </c>
      <c r="B6025" s="16">
        <v>0</v>
      </c>
      <c r="C6025" s="16" t="s">
        <v>3404</v>
      </c>
      <c r="D6025" s="16" t="s">
        <v>3405</v>
      </c>
    </row>
    <row r="6026" spans="1:4">
      <c r="A6026" s="16">
        <v>2500000000</v>
      </c>
      <c r="B6026" s="16">
        <v>0</v>
      </c>
      <c r="C6026" s="16" t="s">
        <v>3412</v>
      </c>
      <c r="D6026" s="16" t="s">
        <v>3403</v>
      </c>
    </row>
    <row r="6027" spans="1:4">
      <c r="A6027" s="16">
        <v>5010100000</v>
      </c>
      <c r="B6027" s="16">
        <v>0</v>
      </c>
      <c r="C6027" s="16" t="s">
        <v>3406</v>
      </c>
      <c r="D6027" s="16" t="s">
        <v>3407</v>
      </c>
    </row>
    <row r="6028" spans="1:4">
      <c r="A6028" s="16">
        <v>5010000010</v>
      </c>
      <c r="B6028" s="16">
        <v>0</v>
      </c>
      <c r="C6028" s="16" t="s">
        <v>3406</v>
      </c>
      <c r="D6028" s="16" t="s">
        <v>3411</v>
      </c>
    </row>
    <row r="6029" spans="1:4">
      <c r="A6029" s="16">
        <v>3710000000</v>
      </c>
      <c r="B6029" s="16">
        <v>0</v>
      </c>
      <c r="C6029" s="16" t="s">
        <v>3402</v>
      </c>
      <c r="D6029" s="16" t="s">
        <v>3403</v>
      </c>
    </row>
    <row r="6030" spans="1:4">
      <c r="A6030" s="16">
        <v>6700200000</v>
      </c>
      <c r="B6030" s="16">
        <v>0</v>
      </c>
      <c r="C6030" s="16" t="s">
        <v>3404</v>
      </c>
      <c r="D6030" s="16" t="s">
        <v>3409</v>
      </c>
    </row>
    <row r="6031" spans="1:4">
      <c r="A6031" s="16">
        <v>6700100000</v>
      </c>
      <c r="B6031" s="16">
        <v>0</v>
      </c>
      <c r="C6031" s="16" t="s">
        <v>3404</v>
      </c>
      <c r="D6031" s="16" t="s">
        <v>3410</v>
      </c>
    </row>
    <row r="6032" spans="1:4">
      <c r="A6032" s="16">
        <v>5010100010</v>
      </c>
      <c r="B6032" s="16">
        <v>0</v>
      </c>
      <c r="C6032" s="16" t="s">
        <v>3406</v>
      </c>
      <c r="D6032" s="16" t="s">
        <v>3407</v>
      </c>
    </row>
    <row r="6033" spans="1:4">
      <c r="A6033" s="16">
        <v>3710000000</v>
      </c>
      <c r="B6033" s="16">
        <v>0</v>
      </c>
      <c r="C6033" s="16" t="s">
        <v>3402</v>
      </c>
      <c r="D6033" s="16" t="s">
        <v>3403</v>
      </c>
    </row>
    <row r="6034" spans="1:4">
      <c r="A6034" s="16">
        <v>6700700000</v>
      </c>
      <c r="B6034" s="16">
        <v>0</v>
      </c>
      <c r="C6034" s="16" t="s">
        <v>3404</v>
      </c>
      <c r="D6034" s="16" t="s">
        <v>3409</v>
      </c>
    </row>
    <row r="6035" spans="1:4">
      <c r="A6035" s="16">
        <v>6700500000</v>
      </c>
      <c r="B6035" s="16">
        <v>0</v>
      </c>
      <c r="C6035" s="16" t="s">
        <v>3404</v>
      </c>
      <c r="D6035" s="16" t="s">
        <v>3405</v>
      </c>
    </row>
    <row r="6036" spans="1:4">
      <c r="A6036" s="16">
        <v>2201000000</v>
      </c>
      <c r="B6036" s="16">
        <v>0</v>
      </c>
      <c r="C6036" s="16" t="s">
        <v>3415</v>
      </c>
      <c r="D6036" s="16" t="s">
        <v>3403</v>
      </c>
    </row>
    <row r="6037" spans="1:4">
      <c r="A6037" s="16">
        <v>6700200000</v>
      </c>
      <c r="B6037" s="16">
        <v>0</v>
      </c>
      <c r="C6037" s="16" t="s">
        <v>3404</v>
      </c>
      <c r="D6037" s="16" t="s">
        <v>3409</v>
      </c>
    </row>
    <row r="6038" spans="1:4">
      <c r="A6038" s="16">
        <v>6030000000</v>
      </c>
      <c r="B6038" s="16">
        <v>0</v>
      </c>
      <c r="C6038" s="16" t="s">
        <v>3420</v>
      </c>
      <c r="D6038" s="16" t="s">
        <v>3423</v>
      </c>
    </row>
    <row r="6039" spans="1:4">
      <c r="A6039" s="16">
        <v>3030000000</v>
      </c>
      <c r="B6039" s="16">
        <v>0</v>
      </c>
      <c r="C6039" s="16" t="s">
        <v>3402</v>
      </c>
      <c r="D6039" s="16" t="s">
        <v>3403</v>
      </c>
    </row>
    <row r="6040" spans="1:4">
      <c r="A6040" s="16">
        <v>6030000000</v>
      </c>
      <c r="B6040" s="16">
        <v>0</v>
      </c>
      <c r="C6040" s="16" t="s">
        <v>3420</v>
      </c>
      <c r="D6040" s="16" t="s">
        <v>3423</v>
      </c>
    </row>
    <row r="6041" spans="1:4">
      <c r="A6041" s="16">
        <v>3030000000</v>
      </c>
      <c r="B6041" s="16">
        <v>0</v>
      </c>
      <c r="C6041" s="16" t="s">
        <v>3402</v>
      </c>
      <c r="D6041" s="16" t="s">
        <v>3403</v>
      </c>
    </row>
    <row r="6042" spans="1:4">
      <c r="A6042" s="16">
        <v>6150000000</v>
      </c>
      <c r="B6042" s="16">
        <v>0</v>
      </c>
      <c r="C6042" s="16" t="s">
        <v>3416</v>
      </c>
      <c r="D6042" s="16" t="s">
        <v>3417</v>
      </c>
    </row>
    <row r="6043" spans="1:4">
      <c r="A6043" s="16">
        <v>3510000000</v>
      </c>
      <c r="B6043" s="16">
        <v>0</v>
      </c>
      <c r="C6043" s="16" t="s">
        <v>3402</v>
      </c>
      <c r="D6043" s="16" t="s">
        <v>3403</v>
      </c>
    </row>
    <row r="6044" spans="1:4">
      <c r="A6044" s="16">
        <v>2500000000</v>
      </c>
      <c r="B6044" s="16">
        <v>0</v>
      </c>
      <c r="C6044" s="16" t="s">
        <v>3412</v>
      </c>
      <c r="D6044" s="16" t="s">
        <v>3403</v>
      </c>
    </row>
    <row r="6045" spans="1:4">
      <c r="A6045" s="16">
        <v>5010100000</v>
      </c>
      <c r="B6045" s="16">
        <v>0</v>
      </c>
      <c r="C6045" s="16" t="s">
        <v>3406</v>
      </c>
      <c r="D6045" s="16" t="s">
        <v>3407</v>
      </c>
    </row>
    <row r="6046" spans="1:4">
      <c r="A6046" s="16">
        <v>6100000000</v>
      </c>
      <c r="B6046" s="16">
        <v>1405113</v>
      </c>
      <c r="C6046" s="16" t="s">
        <v>3416</v>
      </c>
      <c r="D6046" s="16" t="s">
        <v>3417</v>
      </c>
    </row>
    <row r="6047" spans="1:4">
      <c r="A6047" s="16">
        <v>3100000000</v>
      </c>
      <c r="B6047" s="16">
        <v>-1405113</v>
      </c>
      <c r="C6047" s="16" t="s">
        <v>3402</v>
      </c>
      <c r="D6047" s="16" t="s">
        <v>3403</v>
      </c>
    </row>
    <row r="6048" spans="1:4">
      <c r="A6048" s="16">
        <v>6610100000</v>
      </c>
      <c r="B6048" s="16">
        <v>0</v>
      </c>
      <c r="C6048" s="16" t="s">
        <v>3413</v>
      </c>
      <c r="D6048" s="16" t="s">
        <v>3414</v>
      </c>
    </row>
    <row r="6049" spans="1:4">
      <c r="A6049" s="16">
        <v>4203000000</v>
      </c>
      <c r="B6049" s="16">
        <v>0</v>
      </c>
      <c r="C6049" s="16" t="s">
        <v>3408</v>
      </c>
      <c r="D6049" s="16" t="s">
        <v>3403</v>
      </c>
    </row>
    <row r="6050" spans="1:4">
      <c r="A6050" s="16">
        <v>6700600000</v>
      </c>
      <c r="B6050" s="16">
        <v>0</v>
      </c>
      <c r="C6050" s="16" t="s">
        <v>3404</v>
      </c>
      <c r="D6050" s="16" t="s">
        <v>3409</v>
      </c>
    </row>
    <row r="6051" spans="1:4">
      <c r="A6051" s="16">
        <v>6700400000</v>
      </c>
      <c r="B6051" s="16">
        <v>0</v>
      </c>
      <c r="C6051" s="16" t="s">
        <v>3404</v>
      </c>
      <c r="D6051" s="16" t="s">
        <v>3405</v>
      </c>
    </row>
    <row r="6052" spans="1:4">
      <c r="A6052" s="16">
        <v>6610100000</v>
      </c>
      <c r="B6052" s="16">
        <v>0</v>
      </c>
      <c r="C6052" s="16" t="s">
        <v>3413</v>
      </c>
      <c r="D6052" s="16" t="s">
        <v>3414</v>
      </c>
    </row>
    <row r="6053" spans="1:4">
      <c r="A6053" s="16">
        <v>4203000000</v>
      </c>
      <c r="B6053" s="16">
        <v>0</v>
      </c>
      <c r="C6053" s="16" t="s">
        <v>3408</v>
      </c>
      <c r="D6053" s="16" t="s">
        <v>3403</v>
      </c>
    </row>
    <row r="6054" spans="1:4">
      <c r="A6054" s="16">
        <v>2750010000</v>
      </c>
      <c r="B6054" s="16">
        <v>0</v>
      </c>
      <c r="C6054" s="16" t="s">
        <v>3419</v>
      </c>
      <c r="D6054" s="16" t="s">
        <v>3403</v>
      </c>
    </row>
    <row r="6055" spans="1:4">
      <c r="A6055" s="16">
        <v>6610100100</v>
      </c>
      <c r="B6055" s="16">
        <v>0</v>
      </c>
      <c r="C6055" s="16" t="s">
        <v>3413</v>
      </c>
      <c r="D6055" s="16" t="s">
        <v>3414</v>
      </c>
    </row>
    <row r="6056" spans="1:4">
      <c r="A6056" s="16">
        <v>6030000000</v>
      </c>
      <c r="B6056" s="16">
        <v>0</v>
      </c>
      <c r="C6056" s="16" t="s">
        <v>3420</v>
      </c>
      <c r="D6056" s="16" t="s">
        <v>3423</v>
      </c>
    </row>
    <row r="6057" spans="1:4">
      <c r="A6057" s="16">
        <v>3030000000</v>
      </c>
      <c r="B6057" s="16">
        <v>0</v>
      </c>
      <c r="C6057" s="16" t="s">
        <v>3402</v>
      </c>
      <c r="D6057" s="16" t="s">
        <v>3403</v>
      </c>
    </row>
    <row r="6058" spans="1:4">
      <c r="A6058" s="16">
        <v>6700200000</v>
      </c>
      <c r="B6058" s="16">
        <v>0</v>
      </c>
      <c r="C6058" s="16" t="s">
        <v>3404</v>
      </c>
      <c r="D6058" s="16" t="s">
        <v>3409</v>
      </c>
    </row>
    <row r="6059" spans="1:4">
      <c r="A6059" s="16">
        <v>6700000000</v>
      </c>
      <c r="B6059" s="16">
        <v>0</v>
      </c>
      <c r="C6059" s="16" t="s">
        <v>3404</v>
      </c>
      <c r="D6059" s="16" t="s">
        <v>3405</v>
      </c>
    </row>
    <row r="6060" spans="1:4">
      <c r="A6060" s="16">
        <v>6030000000</v>
      </c>
      <c r="B6060" s="16">
        <v>0</v>
      </c>
      <c r="C6060" s="16" t="s">
        <v>3420</v>
      </c>
      <c r="D6060" s="16" t="s">
        <v>3423</v>
      </c>
    </row>
    <row r="6061" spans="1:4">
      <c r="A6061" s="16">
        <v>3030000000</v>
      </c>
      <c r="B6061" s="16">
        <v>0</v>
      </c>
      <c r="C6061" s="16" t="s">
        <v>3402</v>
      </c>
      <c r="D6061" s="16" t="s">
        <v>3403</v>
      </c>
    </row>
    <row r="6062" spans="1:4">
      <c r="A6062" s="16">
        <v>6104001000</v>
      </c>
      <c r="B6062" s="16">
        <v>0</v>
      </c>
      <c r="C6062" s="16" t="s">
        <v>3427</v>
      </c>
      <c r="D6062" s="16" t="s">
        <v>3417</v>
      </c>
    </row>
    <row r="6063" spans="1:4">
      <c r="A6063" s="16">
        <v>3103001000</v>
      </c>
      <c r="B6063" s="16">
        <v>0</v>
      </c>
      <c r="C6063" s="16" t="s">
        <v>3402</v>
      </c>
      <c r="D6063" s="16" t="s">
        <v>3403</v>
      </c>
    </row>
    <row r="6064" spans="1:4">
      <c r="A6064" s="16">
        <v>6700600000</v>
      </c>
      <c r="B6064" s="16">
        <v>0</v>
      </c>
      <c r="C6064" s="16" t="s">
        <v>3404</v>
      </c>
      <c r="D6064" s="16" t="s">
        <v>3409</v>
      </c>
    </row>
    <row r="6065" spans="1:4">
      <c r="A6065" s="16">
        <v>6700400000</v>
      </c>
      <c r="B6065" s="16">
        <v>0</v>
      </c>
      <c r="C6065" s="16" t="s">
        <v>3404</v>
      </c>
      <c r="D6065" s="16" t="s">
        <v>3405</v>
      </c>
    </row>
    <row r="6066" spans="1:4">
      <c r="A6066" s="16">
        <v>2500000000</v>
      </c>
      <c r="B6066" s="16">
        <v>0</v>
      </c>
      <c r="C6066" s="16" t="s">
        <v>3412</v>
      </c>
      <c r="D6066" s="16" t="s">
        <v>3403</v>
      </c>
    </row>
    <row r="6067" spans="1:4">
      <c r="A6067" s="16">
        <v>5010000000</v>
      </c>
      <c r="B6067" s="16">
        <v>0</v>
      </c>
      <c r="C6067" s="16" t="s">
        <v>3406</v>
      </c>
      <c r="D6067" s="16" t="s">
        <v>3411</v>
      </c>
    </row>
    <row r="6068" spans="1:4">
      <c r="A6068" s="16">
        <v>2201000000</v>
      </c>
      <c r="B6068" s="16">
        <v>0</v>
      </c>
      <c r="C6068" s="16" t="s">
        <v>3415</v>
      </c>
      <c r="D6068" s="16" t="s">
        <v>3403</v>
      </c>
    </row>
    <row r="6069" spans="1:4">
      <c r="A6069" s="16">
        <v>6700200000</v>
      </c>
      <c r="B6069" s="16">
        <v>0</v>
      </c>
      <c r="C6069" s="16" t="s">
        <v>3404</v>
      </c>
      <c r="D6069" s="16" t="s">
        <v>3409</v>
      </c>
    </row>
    <row r="6070" spans="1:4">
      <c r="A6070" s="16">
        <v>6700700000</v>
      </c>
      <c r="B6070" s="16">
        <v>0</v>
      </c>
      <c r="C6070" s="16" t="s">
        <v>3404</v>
      </c>
      <c r="D6070" s="16" t="s">
        <v>3409</v>
      </c>
    </row>
    <row r="6071" spans="1:4">
      <c r="A6071" s="16">
        <v>6700500000</v>
      </c>
      <c r="B6071" s="16">
        <v>0</v>
      </c>
      <c r="C6071" s="16" t="s">
        <v>3404</v>
      </c>
      <c r="D6071" s="16" t="s">
        <v>3405</v>
      </c>
    </row>
    <row r="6072" spans="1:4">
      <c r="A6072" s="16">
        <v>6030000000</v>
      </c>
      <c r="B6072" s="16">
        <v>0</v>
      </c>
      <c r="C6072" s="16" t="s">
        <v>3420</v>
      </c>
      <c r="D6072" s="16" t="s">
        <v>3423</v>
      </c>
    </row>
    <row r="6073" spans="1:4">
      <c r="A6073" s="16">
        <v>3030000000</v>
      </c>
      <c r="B6073" s="16">
        <v>0</v>
      </c>
      <c r="C6073" s="16" t="s">
        <v>3402</v>
      </c>
      <c r="D6073" s="16" t="s">
        <v>3403</v>
      </c>
    </row>
    <row r="6074" spans="1:4">
      <c r="A6074" s="16">
        <v>2201000000</v>
      </c>
      <c r="B6074" s="16">
        <v>0</v>
      </c>
      <c r="C6074" s="16" t="s">
        <v>3415</v>
      </c>
      <c r="D6074" s="16" t="s">
        <v>3403</v>
      </c>
    </row>
    <row r="6075" spans="1:4">
      <c r="A6075" s="16">
        <v>6700200000</v>
      </c>
      <c r="B6075" s="16">
        <v>0</v>
      </c>
      <c r="C6075" s="16" t="s">
        <v>3404</v>
      </c>
      <c r="D6075" s="16" t="s">
        <v>3409</v>
      </c>
    </row>
    <row r="6076" spans="1:4">
      <c r="A6076" s="16">
        <v>6700200000</v>
      </c>
      <c r="B6076" s="16">
        <v>0</v>
      </c>
      <c r="C6076" s="16" t="s">
        <v>3404</v>
      </c>
      <c r="D6076" s="16" t="s">
        <v>3409</v>
      </c>
    </row>
    <row r="6077" spans="1:4">
      <c r="A6077" s="16">
        <v>6700000000</v>
      </c>
      <c r="B6077" s="16">
        <v>0</v>
      </c>
      <c r="C6077" s="16" t="s">
        <v>3404</v>
      </c>
      <c r="D6077" s="16" t="s">
        <v>3405</v>
      </c>
    </row>
    <row r="6078" spans="1:4">
      <c r="A6078" s="16">
        <v>6700600000</v>
      </c>
      <c r="B6078" s="16">
        <v>0</v>
      </c>
      <c r="C6078" s="16" t="s">
        <v>3404</v>
      </c>
      <c r="D6078" s="16" t="s">
        <v>3409</v>
      </c>
    </row>
    <row r="6079" spans="1:4">
      <c r="A6079" s="16">
        <v>6700400000</v>
      </c>
      <c r="B6079" s="16">
        <v>0</v>
      </c>
      <c r="C6079" s="16" t="s">
        <v>3404</v>
      </c>
      <c r="D6079" s="16" t="s">
        <v>3405</v>
      </c>
    </row>
    <row r="6080" spans="1:4">
      <c r="A6080" s="16">
        <v>2500000000</v>
      </c>
      <c r="B6080" s="16">
        <v>7188733</v>
      </c>
      <c r="C6080" s="16" t="s">
        <v>3412</v>
      </c>
      <c r="D6080" s="16" t="s">
        <v>3403</v>
      </c>
    </row>
    <row r="6081" spans="1:4">
      <c r="A6081" s="16">
        <v>5010000000</v>
      </c>
      <c r="B6081" s="16">
        <v>-7188733</v>
      </c>
      <c r="C6081" s="16" t="s">
        <v>3406</v>
      </c>
      <c r="D6081" s="16" t="s">
        <v>3411</v>
      </c>
    </row>
    <row r="6082" spans="1:4">
      <c r="A6082" s="16">
        <v>6610000000</v>
      </c>
      <c r="B6082" s="16">
        <v>0</v>
      </c>
      <c r="C6082" s="16" t="s">
        <v>3413</v>
      </c>
      <c r="D6082" s="16" t="s">
        <v>3418</v>
      </c>
    </row>
    <row r="6083" spans="1:4">
      <c r="A6083" s="16">
        <v>4203000000</v>
      </c>
      <c r="B6083" s="16">
        <v>0</v>
      </c>
      <c r="C6083" s="16" t="s">
        <v>3408</v>
      </c>
      <c r="D6083" s="16" t="s">
        <v>3403</v>
      </c>
    </row>
    <row r="6084" spans="1:4">
      <c r="A6084" s="16">
        <v>6700200000</v>
      </c>
      <c r="B6084" s="16">
        <v>0</v>
      </c>
      <c r="C6084" s="16" t="s">
        <v>3404</v>
      </c>
      <c r="D6084" s="16" t="s">
        <v>3409</v>
      </c>
    </row>
    <row r="6085" spans="1:4">
      <c r="A6085" s="16">
        <v>6700100000</v>
      </c>
      <c r="B6085" s="16">
        <v>0</v>
      </c>
      <c r="C6085" s="16" t="s">
        <v>3404</v>
      </c>
      <c r="D6085" s="16" t="s">
        <v>3410</v>
      </c>
    </row>
    <row r="6086" spans="1:4">
      <c r="A6086" s="16">
        <v>2500000000</v>
      </c>
      <c r="B6086" s="16">
        <v>0</v>
      </c>
      <c r="C6086" s="16" t="s">
        <v>3412</v>
      </c>
      <c r="D6086" s="16" t="s">
        <v>3403</v>
      </c>
    </row>
    <row r="6087" spans="1:4">
      <c r="A6087" s="16">
        <v>5010000000</v>
      </c>
      <c r="B6087" s="16">
        <v>0</v>
      </c>
      <c r="C6087" s="16" t="s">
        <v>3406</v>
      </c>
      <c r="D6087" s="16" t="s">
        <v>3411</v>
      </c>
    </row>
    <row r="6088" spans="1:4">
      <c r="A6088" s="16">
        <v>3102000000</v>
      </c>
      <c r="B6088" s="16">
        <v>0</v>
      </c>
      <c r="C6088" s="16" t="s">
        <v>3424</v>
      </c>
      <c r="D6088" s="16" t="s">
        <v>3403</v>
      </c>
    </row>
    <row r="6089" spans="1:4">
      <c r="A6089" s="16">
        <v>6102000000</v>
      </c>
      <c r="B6089" s="16">
        <v>0</v>
      </c>
      <c r="C6089" s="16" t="s">
        <v>3425</v>
      </c>
      <c r="D6089" s="16" t="s">
        <v>3426</v>
      </c>
    </row>
    <row r="6090" spans="1:4">
      <c r="A6090" s="16">
        <v>6700200000</v>
      </c>
      <c r="B6090" s="16">
        <v>0</v>
      </c>
      <c r="C6090" s="16" t="s">
        <v>3404</v>
      </c>
      <c r="D6090" s="16" t="s">
        <v>3409</v>
      </c>
    </row>
    <row r="6091" spans="1:4">
      <c r="A6091" s="16">
        <v>6700000000</v>
      </c>
      <c r="B6091" s="16">
        <v>0</v>
      </c>
      <c r="C6091" s="16" t="s">
        <v>3404</v>
      </c>
      <c r="D6091" s="16" t="s">
        <v>3405</v>
      </c>
    </row>
    <row r="6092" spans="1:4">
      <c r="A6092" s="16">
        <v>6610100000</v>
      </c>
      <c r="B6092" s="16">
        <v>241876</v>
      </c>
      <c r="C6092" s="16" t="s">
        <v>3413</v>
      </c>
      <c r="D6092" s="16" t="s">
        <v>3414</v>
      </c>
    </row>
    <row r="6093" spans="1:4">
      <c r="A6093" s="16">
        <v>4203000000</v>
      </c>
      <c r="B6093" s="16">
        <v>-241876</v>
      </c>
      <c r="C6093" s="16" t="s">
        <v>3408</v>
      </c>
      <c r="D6093" s="16" t="s">
        <v>3403</v>
      </c>
    </row>
    <row r="6094" spans="1:4">
      <c r="A6094" s="16">
        <v>6104001000</v>
      </c>
      <c r="B6094" s="16">
        <v>0</v>
      </c>
      <c r="C6094" s="16" t="s">
        <v>3416</v>
      </c>
      <c r="D6094" s="16" t="s">
        <v>3417</v>
      </c>
    </row>
    <row r="6095" spans="1:4">
      <c r="A6095" s="16">
        <v>3103001000</v>
      </c>
      <c r="B6095" s="16">
        <v>0</v>
      </c>
      <c r="C6095" s="16" t="s">
        <v>3402</v>
      </c>
      <c r="D6095" s="16" t="s">
        <v>3403</v>
      </c>
    </row>
    <row r="6096" spans="1:4">
      <c r="A6096" s="16">
        <v>3102000000</v>
      </c>
      <c r="B6096" s="16">
        <v>0</v>
      </c>
      <c r="C6096" s="16" t="s">
        <v>3424</v>
      </c>
      <c r="D6096" s="16" t="s">
        <v>3403</v>
      </c>
    </row>
    <row r="6097" spans="1:4">
      <c r="A6097" s="16">
        <v>6102000000</v>
      </c>
      <c r="B6097" s="16">
        <v>0</v>
      </c>
      <c r="C6097" s="16" t="s">
        <v>3425</v>
      </c>
      <c r="D6097" s="16" t="s">
        <v>3426</v>
      </c>
    </row>
    <row r="6098" spans="1:4">
      <c r="A6098" s="16">
        <v>2750010000</v>
      </c>
      <c r="B6098" s="16">
        <v>0</v>
      </c>
      <c r="C6098" s="16" t="s">
        <v>3419</v>
      </c>
      <c r="D6098" s="16" t="s">
        <v>3403</v>
      </c>
    </row>
    <row r="6099" spans="1:4">
      <c r="A6099" s="16">
        <v>6610100100</v>
      </c>
      <c r="B6099" s="16">
        <v>0</v>
      </c>
      <c r="C6099" s="16" t="s">
        <v>3413</v>
      </c>
      <c r="D6099" s="16" t="s">
        <v>3414</v>
      </c>
    </row>
    <row r="6100" spans="1:4">
      <c r="A6100" s="16">
        <v>2203000000</v>
      </c>
      <c r="B6100" s="16">
        <v>0</v>
      </c>
      <c r="C6100" s="16" t="s">
        <v>3415</v>
      </c>
      <c r="D6100" s="16" t="s">
        <v>3403</v>
      </c>
    </row>
    <row r="6101" spans="1:4">
      <c r="A6101" s="16">
        <v>6060110000</v>
      </c>
      <c r="B6101" s="16">
        <v>0</v>
      </c>
      <c r="C6101" s="16" t="s">
        <v>3420</v>
      </c>
      <c r="D6101" s="16" t="s">
        <v>3421</v>
      </c>
    </row>
    <row r="6102" spans="1:4">
      <c r="A6102" s="16">
        <v>2750010000</v>
      </c>
      <c r="B6102" s="16">
        <v>0</v>
      </c>
      <c r="C6102" s="16" t="s">
        <v>3419</v>
      </c>
      <c r="D6102" s="16" t="s">
        <v>3403</v>
      </c>
    </row>
    <row r="6103" spans="1:4">
      <c r="A6103" s="16">
        <v>6610000100</v>
      </c>
      <c r="B6103" s="16">
        <v>0</v>
      </c>
      <c r="C6103" s="16" t="s">
        <v>3413</v>
      </c>
      <c r="D6103" s="16" t="s">
        <v>3418</v>
      </c>
    </row>
    <row r="6104" spans="1:4">
      <c r="A6104" s="16">
        <v>6100000000</v>
      </c>
      <c r="B6104" s="16">
        <v>486646266</v>
      </c>
      <c r="C6104" s="16" t="s">
        <v>3416</v>
      </c>
      <c r="D6104" s="16" t="s">
        <v>3417</v>
      </c>
    </row>
    <row r="6105" spans="1:4">
      <c r="A6105" s="16">
        <v>3100000000</v>
      </c>
      <c r="B6105" s="16">
        <v>-486646266</v>
      </c>
      <c r="C6105" s="16" t="s">
        <v>3402</v>
      </c>
      <c r="D6105" s="16" t="s">
        <v>3403</v>
      </c>
    </row>
    <row r="6106" spans="1:4">
      <c r="A6106" s="16">
        <v>3032000000</v>
      </c>
      <c r="B6106" s="16">
        <v>0</v>
      </c>
      <c r="C6106" s="16" t="s">
        <v>3424</v>
      </c>
      <c r="D6106" s="16" t="s">
        <v>3403</v>
      </c>
    </row>
    <row r="6107" spans="1:4">
      <c r="A6107" s="16">
        <v>6032000000</v>
      </c>
      <c r="B6107" s="16">
        <v>0</v>
      </c>
      <c r="C6107" s="16" t="s">
        <v>3429</v>
      </c>
      <c r="D6107" s="16" t="s">
        <v>3430</v>
      </c>
    </row>
    <row r="6108" spans="1:4">
      <c r="A6108" s="16">
        <v>6700200000</v>
      </c>
      <c r="B6108" s="16">
        <v>0</v>
      </c>
      <c r="C6108" s="16" t="s">
        <v>3404</v>
      </c>
      <c r="D6108" s="16" t="s">
        <v>3409</v>
      </c>
    </row>
    <row r="6109" spans="1:4">
      <c r="A6109" s="16">
        <v>6700100000</v>
      </c>
      <c r="B6109" s="16">
        <v>0</v>
      </c>
      <c r="C6109" s="16" t="s">
        <v>3404</v>
      </c>
      <c r="D6109" s="16" t="s">
        <v>3410</v>
      </c>
    </row>
    <row r="6110" spans="1:4">
      <c r="A6110" s="16">
        <v>6700200000</v>
      </c>
      <c r="B6110" s="16">
        <v>0</v>
      </c>
      <c r="C6110" s="16" t="s">
        <v>3404</v>
      </c>
      <c r="D6110" s="16" t="s">
        <v>3409</v>
      </c>
    </row>
    <row r="6111" spans="1:4">
      <c r="A6111" s="16">
        <v>6700000000</v>
      </c>
      <c r="B6111" s="16">
        <v>0</v>
      </c>
      <c r="C6111" s="16" t="s">
        <v>3404</v>
      </c>
      <c r="D6111" s="16" t="s">
        <v>3405</v>
      </c>
    </row>
    <row r="6112" spans="1:4">
      <c r="A6112" s="16">
        <v>3102000000</v>
      </c>
      <c r="B6112" s="16">
        <v>0</v>
      </c>
      <c r="C6112" s="16" t="s">
        <v>3424</v>
      </c>
      <c r="D6112" s="16" t="s">
        <v>3403</v>
      </c>
    </row>
    <row r="6113" spans="1:4">
      <c r="A6113" s="16">
        <v>6102000000</v>
      </c>
      <c r="B6113" s="16">
        <v>0</v>
      </c>
      <c r="C6113" s="16" t="s">
        <v>3425</v>
      </c>
      <c r="D6113" s="16" t="s">
        <v>3426</v>
      </c>
    </row>
    <row r="6114" spans="1:4">
      <c r="A6114" s="16">
        <v>5050000000</v>
      </c>
      <c r="B6114" s="16">
        <v>0</v>
      </c>
      <c r="C6114" s="16" t="s">
        <v>3406</v>
      </c>
      <c r="D6114" s="16" t="s">
        <v>3422</v>
      </c>
    </row>
    <row r="6115" spans="1:4">
      <c r="A6115" s="16">
        <v>3800000000</v>
      </c>
      <c r="B6115" s="16">
        <v>0</v>
      </c>
      <c r="C6115" s="16" t="s">
        <v>3402</v>
      </c>
      <c r="D6115" s="16" t="s">
        <v>3403</v>
      </c>
    </row>
    <row r="6116" spans="1:4">
      <c r="A6116" s="16">
        <v>2750010000</v>
      </c>
      <c r="B6116" s="16">
        <v>0</v>
      </c>
      <c r="C6116" s="16" t="s">
        <v>3419</v>
      </c>
      <c r="D6116" s="16" t="s">
        <v>3403</v>
      </c>
    </row>
    <row r="6117" spans="1:4">
      <c r="A6117" s="16">
        <v>6610100100</v>
      </c>
      <c r="B6117" s="16">
        <v>0</v>
      </c>
      <c r="C6117" s="16" t="s">
        <v>3413</v>
      </c>
      <c r="D6117" s="16" t="s">
        <v>3414</v>
      </c>
    </row>
    <row r="6118" spans="1:4">
      <c r="A6118" s="16">
        <v>2500000000</v>
      </c>
      <c r="B6118" s="16">
        <v>464718600</v>
      </c>
      <c r="C6118" s="16" t="s">
        <v>3412</v>
      </c>
      <c r="D6118" s="16" t="s">
        <v>3403</v>
      </c>
    </row>
    <row r="6119" spans="1:4">
      <c r="A6119" s="16">
        <v>5010100000</v>
      </c>
      <c r="B6119" s="16">
        <v>-464718600</v>
      </c>
      <c r="C6119" s="16" t="s">
        <v>3406</v>
      </c>
      <c r="D6119" s="16" t="s">
        <v>3407</v>
      </c>
    </row>
    <row r="6120" spans="1:4">
      <c r="A6120" s="16">
        <v>6100000000</v>
      </c>
      <c r="B6120" s="16">
        <v>23306163</v>
      </c>
      <c r="C6120" s="16" t="s">
        <v>3427</v>
      </c>
      <c r="D6120" s="16" t="s">
        <v>3417</v>
      </c>
    </row>
    <row r="6121" spans="1:4">
      <c r="A6121" s="16">
        <v>3100000000</v>
      </c>
      <c r="B6121" s="16">
        <v>-23306163</v>
      </c>
      <c r="C6121" s="16" t="s">
        <v>3402</v>
      </c>
      <c r="D6121" s="16" t="s">
        <v>3403</v>
      </c>
    </row>
    <row r="6122" spans="1:4">
      <c r="A6122" s="16">
        <v>6700600000</v>
      </c>
      <c r="B6122" s="16">
        <v>0</v>
      </c>
      <c r="C6122" s="16" t="s">
        <v>3404</v>
      </c>
      <c r="D6122" s="16" t="s">
        <v>3409</v>
      </c>
    </row>
    <row r="6123" spans="1:4">
      <c r="A6123" s="16">
        <v>6700400000</v>
      </c>
      <c r="B6123" s="16">
        <v>0</v>
      </c>
      <c r="C6123" s="16" t="s">
        <v>3404</v>
      </c>
      <c r="D6123" s="16" t="s">
        <v>3405</v>
      </c>
    </row>
    <row r="6124" spans="1:4">
      <c r="A6124" s="16">
        <v>2500000000</v>
      </c>
      <c r="B6124" s="16">
        <v>0</v>
      </c>
      <c r="C6124" s="16" t="s">
        <v>3412</v>
      </c>
      <c r="D6124" s="16" t="s">
        <v>3403</v>
      </c>
    </row>
    <row r="6125" spans="1:4">
      <c r="A6125" s="16">
        <v>5010000000</v>
      </c>
      <c r="B6125" s="16">
        <v>0</v>
      </c>
      <c r="C6125" s="16" t="s">
        <v>3406</v>
      </c>
      <c r="D6125" s="16" t="s">
        <v>3411</v>
      </c>
    </row>
    <row r="6126" spans="1:4">
      <c r="A6126" s="16">
        <v>6610100000</v>
      </c>
      <c r="B6126" s="16">
        <v>0</v>
      </c>
      <c r="C6126" s="16" t="s">
        <v>3413</v>
      </c>
      <c r="D6126" s="16" t="s">
        <v>3414</v>
      </c>
    </row>
    <row r="6127" spans="1:4">
      <c r="A6127" s="16">
        <v>4203000000</v>
      </c>
      <c r="B6127" s="16">
        <v>0</v>
      </c>
      <c r="C6127" s="16" t="s">
        <v>3408</v>
      </c>
      <c r="D6127" s="16" t="s">
        <v>3403</v>
      </c>
    </row>
    <row r="6128" spans="1:4">
      <c r="A6128" s="16">
        <v>6100000000</v>
      </c>
      <c r="B6128" s="16">
        <v>216615</v>
      </c>
      <c r="C6128" s="16" t="s">
        <v>3416</v>
      </c>
      <c r="D6128" s="16" t="s">
        <v>3417</v>
      </c>
    </row>
    <row r="6129" spans="1:4">
      <c r="A6129" s="16">
        <v>3100000000</v>
      </c>
      <c r="B6129" s="16">
        <v>-216615</v>
      </c>
      <c r="C6129" s="16" t="s">
        <v>3402</v>
      </c>
      <c r="D6129" s="16" t="s">
        <v>3403</v>
      </c>
    </row>
    <row r="6130" spans="1:4">
      <c r="A6130" s="16">
        <v>2203000000</v>
      </c>
      <c r="B6130" s="16">
        <v>0</v>
      </c>
      <c r="C6130" s="16" t="s">
        <v>3415</v>
      </c>
      <c r="D6130" s="16" t="s">
        <v>3403</v>
      </c>
    </row>
    <row r="6131" spans="1:4">
      <c r="A6131" s="16">
        <v>6060110000</v>
      </c>
      <c r="B6131" s="16">
        <v>0</v>
      </c>
      <c r="C6131" s="16" t="s">
        <v>3420</v>
      </c>
      <c r="D6131" s="16" t="s">
        <v>3421</v>
      </c>
    </row>
    <row r="6132" spans="1:4">
      <c r="A6132" s="16">
        <v>2750010000</v>
      </c>
      <c r="B6132" s="16">
        <v>0</v>
      </c>
      <c r="C6132" s="16" t="s">
        <v>3419</v>
      </c>
      <c r="D6132" s="16" t="s">
        <v>3403</v>
      </c>
    </row>
    <row r="6133" spans="1:4">
      <c r="A6133" s="16">
        <v>6610100100</v>
      </c>
      <c r="B6133" s="16">
        <v>0</v>
      </c>
      <c r="C6133" s="16" t="s">
        <v>3413</v>
      </c>
      <c r="D6133" s="16" t="s">
        <v>3414</v>
      </c>
    </row>
    <row r="6134" spans="1:4">
      <c r="A6134" s="16">
        <v>5050000000</v>
      </c>
      <c r="B6134" s="16">
        <v>0</v>
      </c>
      <c r="C6134" s="16" t="s">
        <v>3406</v>
      </c>
      <c r="D6134" s="16" t="s">
        <v>3422</v>
      </c>
    </row>
    <row r="6135" spans="1:4">
      <c r="A6135" s="16">
        <v>3800000000</v>
      </c>
      <c r="B6135" s="16">
        <v>0</v>
      </c>
      <c r="C6135" s="16" t="s">
        <v>3402</v>
      </c>
      <c r="D6135" s="16" t="s">
        <v>3403</v>
      </c>
    </row>
    <row r="6136" spans="1:4">
      <c r="A6136" s="16">
        <v>2500000000</v>
      </c>
      <c r="B6136" s="16">
        <v>0</v>
      </c>
      <c r="C6136" s="16" t="s">
        <v>3412</v>
      </c>
      <c r="D6136" s="16" t="s">
        <v>3403</v>
      </c>
    </row>
    <row r="6137" spans="1:4">
      <c r="A6137" s="16">
        <v>5010100000</v>
      </c>
      <c r="B6137" s="16">
        <v>0</v>
      </c>
      <c r="C6137" s="16" t="s">
        <v>3406</v>
      </c>
      <c r="D6137" s="16" t="s">
        <v>3407</v>
      </c>
    </row>
    <row r="6138" spans="1:4">
      <c r="A6138" s="16">
        <v>6700200000</v>
      </c>
      <c r="B6138" s="16">
        <v>0</v>
      </c>
      <c r="C6138" s="16" t="s">
        <v>3404</v>
      </c>
      <c r="D6138" s="16" t="s">
        <v>3409</v>
      </c>
    </row>
    <row r="6139" spans="1:4">
      <c r="A6139" s="16">
        <v>6700000000</v>
      </c>
      <c r="B6139" s="16">
        <v>0</v>
      </c>
      <c r="C6139" s="16" t="s">
        <v>3404</v>
      </c>
      <c r="D6139" s="16" t="s">
        <v>3405</v>
      </c>
    </row>
    <row r="6140" spans="1:4">
      <c r="A6140" s="16">
        <v>2500000000</v>
      </c>
      <c r="B6140" s="16">
        <v>3380061</v>
      </c>
      <c r="C6140" s="16" t="s">
        <v>3412</v>
      </c>
      <c r="D6140" s="16" t="s">
        <v>3403</v>
      </c>
    </row>
    <row r="6141" spans="1:4">
      <c r="A6141" s="16">
        <v>5010100000</v>
      </c>
      <c r="B6141" s="16">
        <v>-3380061</v>
      </c>
      <c r="C6141" s="16" t="s">
        <v>3406</v>
      </c>
      <c r="D6141" s="16" t="s">
        <v>3407</v>
      </c>
    </row>
    <row r="6142" spans="1:4">
      <c r="A6142" s="16">
        <v>6610000000</v>
      </c>
      <c r="B6142" s="16">
        <v>935</v>
      </c>
      <c r="C6142" s="16" t="s">
        <v>3413</v>
      </c>
      <c r="D6142" s="16" t="s">
        <v>3418</v>
      </c>
    </row>
    <row r="6143" spans="1:4">
      <c r="A6143" s="16">
        <v>4203000000</v>
      </c>
      <c r="B6143" s="16">
        <v>-935</v>
      </c>
      <c r="C6143" s="16" t="s">
        <v>3408</v>
      </c>
      <c r="D6143" s="16" t="s">
        <v>3403</v>
      </c>
    </row>
    <row r="6144" spans="1:4">
      <c r="A6144" s="16">
        <v>6700200000</v>
      </c>
      <c r="B6144" s="16">
        <v>0</v>
      </c>
      <c r="C6144" s="16" t="s">
        <v>3404</v>
      </c>
      <c r="D6144" s="16" t="s">
        <v>3409</v>
      </c>
    </row>
    <row r="6145" spans="1:4">
      <c r="A6145" s="16">
        <v>6700000000</v>
      </c>
      <c r="B6145" s="16">
        <v>0</v>
      </c>
      <c r="C6145" s="16" t="s">
        <v>3404</v>
      </c>
      <c r="D6145" s="16" t="s">
        <v>3405</v>
      </c>
    </row>
    <row r="6146" spans="1:4">
      <c r="A6146" s="16">
        <v>6030000000</v>
      </c>
      <c r="B6146" s="16">
        <v>144</v>
      </c>
      <c r="C6146" s="16" t="s">
        <v>3432</v>
      </c>
      <c r="D6146" s="16" t="s">
        <v>3423</v>
      </c>
    </row>
    <row r="6147" spans="1:4">
      <c r="A6147" s="16">
        <v>3030000000</v>
      </c>
      <c r="B6147" s="16">
        <v>-144</v>
      </c>
      <c r="C6147" s="16" t="s">
        <v>3402</v>
      </c>
      <c r="D6147" s="16" t="s">
        <v>3403</v>
      </c>
    </row>
    <row r="6148" spans="1:4">
      <c r="A6148" s="16">
        <v>6700600000</v>
      </c>
      <c r="B6148" s="16">
        <v>0</v>
      </c>
      <c r="C6148" s="16" t="s">
        <v>3404</v>
      </c>
      <c r="D6148" s="16" t="s">
        <v>3409</v>
      </c>
    </row>
    <row r="6149" spans="1:4">
      <c r="A6149" s="16">
        <v>6700400000</v>
      </c>
      <c r="B6149" s="16">
        <v>0</v>
      </c>
      <c r="C6149" s="16" t="s">
        <v>3404</v>
      </c>
      <c r="D6149" s="16" t="s">
        <v>3405</v>
      </c>
    </row>
    <row r="6150" spans="1:4">
      <c r="A6150" s="16">
        <v>6700200000</v>
      </c>
      <c r="B6150" s="16">
        <v>0</v>
      </c>
      <c r="C6150" s="16" t="s">
        <v>3404</v>
      </c>
      <c r="D6150" s="16" t="s">
        <v>3409</v>
      </c>
    </row>
    <row r="6151" spans="1:4">
      <c r="A6151" s="16">
        <v>6700100000</v>
      </c>
      <c r="B6151" s="16">
        <v>0</v>
      </c>
      <c r="C6151" s="16" t="s">
        <v>3404</v>
      </c>
      <c r="D6151" s="16" t="s">
        <v>3410</v>
      </c>
    </row>
    <row r="6152" spans="1:4">
      <c r="A6152" s="16">
        <v>6700600000</v>
      </c>
      <c r="B6152" s="16">
        <v>0</v>
      </c>
      <c r="C6152" s="16" t="s">
        <v>3404</v>
      </c>
      <c r="D6152" s="16" t="s">
        <v>3409</v>
      </c>
    </row>
    <row r="6153" spans="1:4">
      <c r="A6153" s="16">
        <v>6700400000</v>
      </c>
      <c r="B6153" s="16">
        <v>0</v>
      </c>
      <c r="C6153" s="16" t="s">
        <v>3404</v>
      </c>
      <c r="D6153" s="16" t="s">
        <v>3405</v>
      </c>
    </row>
    <row r="6154" spans="1:4">
      <c r="A6154" s="16">
        <v>6030000000</v>
      </c>
      <c r="B6154" s="16">
        <v>0</v>
      </c>
      <c r="C6154" s="16" t="s">
        <v>3420</v>
      </c>
      <c r="D6154" s="16" t="s">
        <v>3423</v>
      </c>
    </row>
    <row r="6155" spans="1:4">
      <c r="A6155" s="16">
        <v>3030000000</v>
      </c>
      <c r="B6155" s="16">
        <v>0</v>
      </c>
      <c r="C6155" s="16" t="s">
        <v>3402</v>
      </c>
      <c r="D6155" s="16" t="s">
        <v>3403</v>
      </c>
    </row>
    <row r="6156" spans="1:4">
      <c r="A6156" s="16">
        <v>6100000000</v>
      </c>
      <c r="B6156" s="16">
        <v>0</v>
      </c>
      <c r="C6156" s="16" t="s">
        <v>3416</v>
      </c>
      <c r="D6156" s="16" t="s">
        <v>3417</v>
      </c>
    </row>
    <row r="6157" spans="1:4">
      <c r="A6157" s="16">
        <v>3100000000</v>
      </c>
      <c r="B6157" s="16">
        <v>0</v>
      </c>
      <c r="C6157" s="16" t="s">
        <v>3402</v>
      </c>
      <c r="D6157" s="16" t="s">
        <v>3403</v>
      </c>
    </row>
    <row r="6158" spans="1:4">
      <c r="A6158" s="16">
        <v>2201000000</v>
      </c>
      <c r="B6158" s="16">
        <v>126482663</v>
      </c>
      <c r="C6158" s="16" t="s">
        <v>3415</v>
      </c>
      <c r="D6158" s="16" t="s">
        <v>3403</v>
      </c>
    </row>
    <row r="6159" spans="1:4">
      <c r="A6159" s="16">
        <v>6700200000</v>
      </c>
      <c r="B6159" s="16">
        <v>-126482663</v>
      </c>
      <c r="C6159" s="16" t="s">
        <v>3404</v>
      </c>
      <c r="D6159" s="16" t="s">
        <v>3409</v>
      </c>
    </row>
    <row r="6160" spans="1:4">
      <c r="A6160" s="16">
        <v>2500000000</v>
      </c>
      <c r="B6160" s="16">
        <v>0</v>
      </c>
      <c r="C6160" s="16" t="s">
        <v>3412</v>
      </c>
      <c r="D6160" s="16" t="s">
        <v>3403</v>
      </c>
    </row>
    <row r="6161" spans="1:4">
      <c r="A6161" s="16">
        <v>5010100000</v>
      </c>
      <c r="B6161" s="16">
        <v>0</v>
      </c>
      <c r="C6161" s="16" t="s">
        <v>3406</v>
      </c>
      <c r="D6161" s="16" t="s">
        <v>3407</v>
      </c>
    </row>
    <row r="6162" spans="1:4">
      <c r="A6162" s="16">
        <v>5010000010</v>
      </c>
      <c r="B6162" s="16">
        <v>0</v>
      </c>
      <c r="C6162" s="16" t="s">
        <v>3406</v>
      </c>
      <c r="D6162" s="16" t="s">
        <v>3411</v>
      </c>
    </row>
    <row r="6163" spans="1:4">
      <c r="A6163" s="16">
        <v>3710000000</v>
      </c>
      <c r="B6163" s="16">
        <v>0</v>
      </c>
      <c r="C6163" s="16" t="s">
        <v>3402</v>
      </c>
      <c r="D6163" s="16" t="s">
        <v>3403</v>
      </c>
    </row>
    <row r="6164" spans="1:4">
      <c r="A6164" s="16">
        <v>6700600000</v>
      </c>
      <c r="B6164" s="16">
        <v>0</v>
      </c>
      <c r="C6164" s="16" t="s">
        <v>3404</v>
      </c>
      <c r="D6164" s="16" t="s">
        <v>3409</v>
      </c>
    </row>
    <row r="6165" spans="1:4">
      <c r="A6165" s="16">
        <v>6700400000</v>
      </c>
      <c r="B6165" s="16">
        <v>0</v>
      </c>
      <c r="C6165" s="16" t="s">
        <v>3404</v>
      </c>
      <c r="D6165" s="16" t="s">
        <v>3405</v>
      </c>
    </row>
    <row r="6166" spans="1:4">
      <c r="A6166" s="16">
        <v>6030000000</v>
      </c>
      <c r="B6166" s="16">
        <v>0</v>
      </c>
      <c r="C6166" s="16" t="s">
        <v>3420</v>
      </c>
      <c r="D6166" s="16" t="s">
        <v>3423</v>
      </c>
    </row>
    <row r="6167" spans="1:4">
      <c r="A6167" s="16">
        <v>3030000000</v>
      </c>
      <c r="B6167" s="16">
        <v>0</v>
      </c>
      <c r="C6167" s="16" t="s">
        <v>3402</v>
      </c>
      <c r="D6167" s="16" t="s">
        <v>3403</v>
      </c>
    </row>
    <row r="6168" spans="1:4">
      <c r="A6168" s="16">
        <v>6700200000</v>
      </c>
      <c r="B6168" s="16">
        <v>0</v>
      </c>
      <c r="C6168" s="16" t="s">
        <v>3404</v>
      </c>
      <c r="D6168" s="16" t="s">
        <v>3409</v>
      </c>
    </row>
    <row r="6169" spans="1:4">
      <c r="A6169" s="16">
        <v>6700100000</v>
      </c>
      <c r="B6169" s="16">
        <v>0</v>
      </c>
      <c r="C6169" s="16" t="s">
        <v>3404</v>
      </c>
      <c r="D6169" s="16" t="s">
        <v>3410</v>
      </c>
    </row>
    <row r="6170" spans="1:4">
      <c r="A6170" s="16">
        <v>6104000000</v>
      </c>
      <c r="B6170" s="16">
        <v>0</v>
      </c>
      <c r="C6170" s="16" t="s">
        <v>3416</v>
      </c>
      <c r="D6170" s="16" t="s">
        <v>3417</v>
      </c>
    </row>
    <row r="6171" spans="1:4">
      <c r="A6171" s="16">
        <v>3103000000</v>
      </c>
      <c r="B6171" s="16">
        <v>0</v>
      </c>
      <c r="C6171" s="16" t="s">
        <v>3402</v>
      </c>
      <c r="D6171" s="16" t="s">
        <v>3403</v>
      </c>
    </row>
    <row r="6172" spans="1:4">
      <c r="A6172" s="16">
        <v>6700700000</v>
      </c>
      <c r="B6172" s="16">
        <v>0</v>
      </c>
      <c r="C6172" s="16" t="s">
        <v>3404</v>
      </c>
      <c r="D6172" s="16" t="s">
        <v>3409</v>
      </c>
    </row>
    <row r="6173" spans="1:4">
      <c r="A6173" s="16">
        <v>6700500000</v>
      </c>
      <c r="B6173" s="16">
        <v>0</v>
      </c>
      <c r="C6173" s="16" t="s">
        <v>3404</v>
      </c>
      <c r="D6173" s="16" t="s">
        <v>3405</v>
      </c>
    </row>
    <row r="6174" spans="1:4">
      <c r="A6174" s="16">
        <v>6700200000</v>
      </c>
      <c r="B6174" s="16">
        <v>0</v>
      </c>
      <c r="C6174" s="16" t="s">
        <v>3404</v>
      </c>
      <c r="D6174" s="16" t="s">
        <v>3409</v>
      </c>
    </row>
    <row r="6175" spans="1:4">
      <c r="A6175" s="16">
        <v>6700100000</v>
      </c>
      <c r="B6175" s="16">
        <v>0</v>
      </c>
      <c r="C6175" s="16" t="s">
        <v>3404</v>
      </c>
      <c r="D6175" s="16" t="s">
        <v>3410</v>
      </c>
    </row>
    <row r="6176" spans="1:4">
      <c r="A6176" s="16">
        <v>6700200000</v>
      </c>
      <c r="B6176" s="16">
        <v>0</v>
      </c>
      <c r="C6176" s="16" t="s">
        <v>3404</v>
      </c>
      <c r="D6176" s="16" t="s">
        <v>3409</v>
      </c>
    </row>
    <row r="6177" spans="1:4">
      <c r="A6177" s="16">
        <v>6700000000</v>
      </c>
      <c r="B6177" s="16">
        <v>0</v>
      </c>
      <c r="C6177" s="16" t="s">
        <v>3404</v>
      </c>
      <c r="D6177" s="16" t="s">
        <v>3405</v>
      </c>
    </row>
    <row r="6178" spans="1:4">
      <c r="A6178" s="16">
        <v>6700200000</v>
      </c>
      <c r="B6178" s="16">
        <v>0</v>
      </c>
      <c r="C6178" s="16" t="s">
        <v>3404</v>
      </c>
      <c r="D6178" s="16" t="s">
        <v>3409</v>
      </c>
    </row>
    <row r="6179" spans="1:4">
      <c r="A6179" s="16">
        <v>2201200030</v>
      </c>
      <c r="B6179" s="16">
        <v>0</v>
      </c>
      <c r="C6179" s="16" t="s">
        <v>3415</v>
      </c>
      <c r="D6179" s="16" t="s">
        <v>3403</v>
      </c>
    </row>
    <row r="6180" spans="1:4">
      <c r="A6180" s="16">
        <v>6100000000</v>
      </c>
      <c r="B6180" s="16">
        <v>0</v>
      </c>
      <c r="C6180" s="16" t="s">
        <v>3416</v>
      </c>
      <c r="D6180" s="16" t="s">
        <v>3417</v>
      </c>
    </row>
    <row r="6181" spans="1:4">
      <c r="A6181" s="16">
        <v>3100000000</v>
      </c>
      <c r="B6181" s="16">
        <v>0</v>
      </c>
      <c r="C6181" s="16" t="s">
        <v>3402</v>
      </c>
      <c r="D6181" s="16" t="s">
        <v>3403</v>
      </c>
    </row>
    <row r="6182" spans="1:4">
      <c r="A6182" s="16">
        <v>6700700000</v>
      </c>
      <c r="B6182" s="16">
        <v>0</v>
      </c>
      <c r="C6182" s="16" t="s">
        <v>3404</v>
      </c>
      <c r="D6182" s="16" t="s">
        <v>3409</v>
      </c>
    </row>
    <row r="6183" spans="1:4">
      <c r="A6183" s="16">
        <v>6700500000</v>
      </c>
      <c r="B6183" s="16">
        <v>0</v>
      </c>
      <c r="C6183" s="16" t="s">
        <v>3404</v>
      </c>
      <c r="D6183" s="16" t="s">
        <v>3405</v>
      </c>
    </row>
    <row r="6184" spans="1:4">
      <c r="A6184" s="16">
        <v>6700200000</v>
      </c>
      <c r="B6184" s="16">
        <v>0</v>
      </c>
      <c r="C6184" s="16" t="s">
        <v>3404</v>
      </c>
      <c r="D6184" s="16" t="s">
        <v>3409</v>
      </c>
    </row>
    <row r="6185" spans="1:4">
      <c r="A6185" s="16">
        <v>6700100000</v>
      </c>
      <c r="B6185" s="16">
        <v>0</v>
      </c>
      <c r="C6185" s="16" t="s">
        <v>3404</v>
      </c>
      <c r="D6185" s="16" t="s">
        <v>3410</v>
      </c>
    </row>
    <row r="6186" spans="1:4">
      <c r="A6186" s="16">
        <v>6030000000</v>
      </c>
      <c r="B6186" s="16">
        <v>0</v>
      </c>
      <c r="C6186" s="16" t="s">
        <v>3420</v>
      </c>
      <c r="D6186" s="16" t="s">
        <v>3423</v>
      </c>
    </row>
    <row r="6187" spans="1:4">
      <c r="A6187" s="16">
        <v>3030000000</v>
      </c>
      <c r="B6187" s="16">
        <v>0</v>
      </c>
      <c r="C6187" s="16" t="s">
        <v>3402</v>
      </c>
      <c r="D6187" s="16" t="s">
        <v>3403</v>
      </c>
    </row>
    <row r="6188" spans="1:4">
      <c r="A6188" s="16">
        <v>6700200000</v>
      </c>
      <c r="B6188" s="16">
        <v>0</v>
      </c>
      <c r="C6188" s="16" t="s">
        <v>3404</v>
      </c>
      <c r="D6188" s="16" t="s">
        <v>3409</v>
      </c>
    </row>
    <row r="6189" spans="1:4">
      <c r="A6189" s="16">
        <v>6700100000</v>
      </c>
      <c r="B6189" s="16">
        <v>0</v>
      </c>
      <c r="C6189" s="16" t="s">
        <v>3404</v>
      </c>
      <c r="D6189" s="16" t="s">
        <v>3410</v>
      </c>
    </row>
    <row r="6190" spans="1:4">
      <c r="A6190" s="16">
        <v>6700700000</v>
      </c>
      <c r="B6190" s="16">
        <v>0</v>
      </c>
      <c r="C6190" s="16" t="s">
        <v>3404</v>
      </c>
      <c r="D6190" s="16" t="s">
        <v>3409</v>
      </c>
    </row>
    <row r="6191" spans="1:4">
      <c r="A6191" s="16">
        <v>6700500000</v>
      </c>
      <c r="B6191" s="16">
        <v>0</v>
      </c>
      <c r="C6191" s="16" t="s">
        <v>3404</v>
      </c>
      <c r="D6191" s="16" t="s">
        <v>3405</v>
      </c>
    </row>
    <row r="6192" spans="1:4">
      <c r="A6192" s="16">
        <v>6610000000</v>
      </c>
      <c r="B6192" s="16">
        <v>0</v>
      </c>
      <c r="C6192" s="16" t="s">
        <v>3413</v>
      </c>
      <c r="D6192" s="16" t="s">
        <v>3418</v>
      </c>
    </row>
    <row r="6193" spans="1:4">
      <c r="A6193" s="16">
        <v>4203000000</v>
      </c>
      <c r="B6193" s="16">
        <v>0</v>
      </c>
      <c r="C6193" s="16" t="s">
        <v>3408</v>
      </c>
      <c r="D6193" s="16" t="s">
        <v>3403</v>
      </c>
    </row>
    <row r="6194" spans="1:4">
      <c r="A6194" s="16">
        <v>6610100000</v>
      </c>
      <c r="B6194" s="16">
        <v>0</v>
      </c>
      <c r="C6194" s="16" t="s">
        <v>3413</v>
      </c>
      <c r="D6194" s="16" t="s">
        <v>3414</v>
      </c>
    </row>
    <row r="6195" spans="1:4">
      <c r="A6195" s="16">
        <v>4203000000</v>
      </c>
      <c r="B6195" s="16">
        <v>0</v>
      </c>
      <c r="C6195" s="16" t="s">
        <v>3408</v>
      </c>
      <c r="D6195" s="16" t="s">
        <v>3403</v>
      </c>
    </row>
    <row r="6196" spans="1:4">
      <c r="A6196" s="16">
        <v>5050000000</v>
      </c>
      <c r="B6196" s="16">
        <v>0</v>
      </c>
      <c r="C6196" s="16" t="s">
        <v>3406</v>
      </c>
      <c r="D6196" s="16" t="s">
        <v>3422</v>
      </c>
    </row>
    <row r="6197" spans="1:4">
      <c r="A6197" s="16">
        <v>3800000000</v>
      </c>
      <c r="B6197" s="16">
        <v>0</v>
      </c>
      <c r="C6197" s="16" t="s">
        <v>3402</v>
      </c>
      <c r="D6197" s="16" t="s">
        <v>3403</v>
      </c>
    </row>
    <row r="6198" spans="1:4">
      <c r="A6198" s="16">
        <v>5050000000</v>
      </c>
      <c r="B6198" s="16">
        <v>423165481</v>
      </c>
      <c r="C6198" s="16" t="s">
        <v>3406</v>
      </c>
      <c r="D6198" s="16" t="s">
        <v>3422</v>
      </c>
    </row>
    <row r="6199" spans="1:4">
      <c r="A6199" s="16">
        <v>3800000000</v>
      </c>
      <c r="B6199" s="16">
        <v>-423165481</v>
      </c>
      <c r="C6199" s="16" t="s">
        <v>3402</v>
      </c>
      <c r="D6199" s="16" t="s">
        <v>3403</v>
      </c>
    </row>
    <row r="6200" spans="1:4">
      <c r="A6200" s="16">
        <v>6104001000</v>
      </c>
      <c r="B6200" s="16">
        <v>0</v>
      </c>
      <c r="C6200" s="16" t="s">
        <v>3427</v>
      </c>
      <c r="D6200" s="16" t="s">
        <v>3417</v>
      </c>
    </row>
    <row r="6201" spans="1:4">
      <c r="A6201" s="16">
        <v>3103001000</v>
      </c>
      <c r="B6201" s="16">
        <v>0</v>
      </c>
      <c r="C6201" s="16" t="s">
        <v>3402</v>
      </c>
      <c r="D6201" s="16" t="s">
        <v>3403</v>
      </c>
    </row>
    <row r="6202" spans="1:4">
      <c r="A6202" s="16">
        <v>6100000000</v>
      </c>
      <c r="B6202" s="16">
        <v>60181</v>
      </c>
      <c r="C6202" s="16" t="s">
        <v>3427</v>
      </c>
      <c r="D6202" s="16" t="s">
        <v>3417</v>
      </c>
    </row>
    <row r="6203" spans="1:4">
      <c r="A6203" s="16">
        <v>3100000000</v>
      </c>
      <c r="B6203" s="16">
        <v>-60181</v>
      </c>
      <c r="C6203" s="16" t="s">
        <v>3402</v>
      </c>
      <c r="D6203" s="16" t="s">
        <v>3403</v>
      </c>
    </row>
    <row r="6204" spans="1:4">
      <c r="A6204" s="16">
        <v>2500000000</v>
      </c>
      <c r="B6204" s="16">
        <v>0</v>
      </c>
      <c r="C6204" s="16" t="s">
        <v>3412</v>
      </c>
      <c r="D6204" s="16" t="s">
        <v>3403</v>
      </c>
    </row>
    <row r="6205" spans="1:4">
      <c r="A6205" s="16">
        <v>5010000000</v>
      </c>
      <c r="B6205" s="16">
        <v>0</v>
      </c>
      <c r="C6205" s="16" t="s">
        <v>3406</v>
      </c>
      <c r="D6205" s="16" t="s">
        <v>3411</v>
      </c>
    </row>
    <row r="6206" spans="1:4">
      <c r="A6206" s="16">
        <v>2201000010</v>
      </c>
      <c r="B6206" s="16">
        <v>0</v>
      </c>
      <c r="C6206" s="16" t="s">
        <v>3415</v>
      </c>
      <c r="D6206" s="16" t="s">
        <v>3403</v>
      </c>
    </row>
    <row r="6207" spans="1:4">
      <c r="A6207" s="16">
        <v>4610000000</v>
      </c>
      <c r="B6207" s="16">
        <v>0</v>
      </c>
      <c r="C6207" s="16" t="s">
        <v>3428</v>
      </c>
      <c r="D6207" s="16" t="s">
        <v>3403</v>
      </c>
    </row>
    <row r="6208" spans="1:4">
      <c r="A6208" s="16">
        <v>6610100000</v>
      </c>
      <c r="B6208" s="16">
        <v>0</v>
      </c>
      <c r="C6208" s="16" t="s">
        <v>3413</v>
      </c>
      <c r="D6208" s="16" t="s">
        <v>3414</v>
      </c>
    </row>
    <row r="6209" spans="1:4">
      <c r="A6209" s="16">
        <v>4203000000</v>
      </c>
      <c r="B6209" s="16">
        <v>0</v>
      </c>
      <c r="C6209" s="16" t="s">
        <v>3408</v>
      </c>
      <c r="D6209" s="16" t="s">
        <v>3403</v>
      </c>
    </row>
    <row r="6210" spans="1:4">
      <c r="A6210" s="16">
        <v>2201000000</v>
      </c>
      <c r="B6210" s="16">
        <v>0</v>
      </c>
      <c r="C6210" s="16" t="s">
        <v>3415</v>
      </c>
      <c r="D6210" s="16" t="s">
        <v>3403</v>
      </c>
    </row>
    <row r="6211" spans="1:4">
      <c r="A6211" s="16">
        <v>6700200000</v>
      </c>
      <c r="B6211" s="16">
        <v>0</v>
      </c>
      <c r="C6211" s="16" t="s">
        <v>3404</v>
      </c>
      <c r="D6211" s="16" t="s">
        <v>3409</v>
      </c>
    </row>
    <row r="6212" spans="1:4">
      <c r="A6212" s="16">
        <v>2500000000</v>
      </c>
      <c r="B6212" s="16">
        <v>0</v>
      </c>
      <c r="C6212" s="16" t="s">
        <v>3412</v>
      </c>
      <c r="D6212" s="16" t="s">
        <v>3403</v>
      </c>
    </row>
    <row r="6213" spans="1:4">
      <c r="A6213" s="16">
        <v>5010100000</v>
      </c>
      <c r="B6213" s="16">
        <v>0</v>
      </c>
      <c r="C6213" s="16" t="s">
        <v>3406</v>
      </c>
      <c r="D6213" s="16" t="s">
        <v>3407</v>
      </c>
    </row>
    <row r="6214" spans="1:4">
      <c r="A6214" s="16">
        <v>6150000000</v>
      </c>
      <c r="B6214" s="16">
        <v>0</v>
      </c>
      <c r="C6214" s="16" t="s">
        <v>3416</v>
      </c>
      <c r="D6214" s="16" t="s">
        <v>3417</v>
      </c>
    </row>
    <row r="6215" spans="1:4">
      <c r="A6215" s="16">
        <v>3510000000</v>
      </c>
      <c r="B6215" s="16">
        <v>0</v>
      </c>
      <c r="C6215" s="16" t="s">
        <v>3402</v>
      </c>
      <c r="D6215" s="16" t="s">
        <v>3403</v>
      </c>
    </row>
    <row r="6216" spans="1:4">
      <c r="A6216" s="16">
        <v>6700700000</v>
      </c>
      <c r="B6216" s="16">
        <v>0</v>
      </c>
      <c r="C6216" s="16" t="s">
        <v>3404</v>
      </c>
      <c r="D6216" s="16" t="s">
        <v>3409</v>
      </c>
    </row>
    <row r="6217" spans="1:4">
      <c r="A6217" s="16">
        <v>6700500000</v>
      </c>
      <c r="B6217" s="16">
        <v>0</v>
      </c>
      <c r="C6217" s="16" t="s">
        <v>3404</v>
      </c>
      <c r="D6217" s="16" t="s">
        <v>3405</v>
      </c>
    </row>
    <row r="6218" spans="1:4">
      <c r="A6218" s="16">
        <v>5050000000</v>
      </c>
      <c r="B6218" s="16">
        <v>0</v>
      </c>
      <c r="C6218" s="16" t="s">
        <v>3406</v>
      </c>
      <c r="D6218" s="16" t="s">
        <v>3422</v>
      </c>
    </row>
    <row r="6219" spans="1:4">
      <c r="A6219" s="16">
        <v>3800000000</v>
      </c>
      <c r="B6219" s="16">
        <v>0</v>
      </c>
      <c r="C6219" s="16" t="s">
        <v>3402</v>
      </c>
      <c r="D6219" s="16" t="s">
        <v>3403</v>
      </c>
    </row>
    <row r="6220" spans="1:4">
      <c r="A6220" s="16">
        <v>6610100000</v>
      </c>
      <c r="B6220" s="16">
        <v>0</v>
      </c>
      <c r="C6220" s="16" t="s">
        <v>3413</v>
      </c>
      <c r="D6220" s="16" t="s">
        <v>3414</v>
      </c>
    </row>
    <row r="6221" spans="1:4">
      <c r="A6221" s="16">
        <v>4203000000</v>
      </c>
      <c r="B6221" s="16">
        <v>0</v>
      </c>
      <c r="C6221" s="16" t="s">
        <v>3408</v>
      </c>
      <c r="D6221" s="16" t="s">
        <v>3403</v>
      </c>
    </row>
    <row r="6222" spans="1:4">
      <c r="A6222" s="16">
        <v>6700200000</v>
      </c>
      <c r="B6222" s="16">
        <v>0</v>
      </c>
      <c r="C6222" s="16" t="s">
        <v>3404</v>
      </c>
      <c r="D6222" s="16" t="s">
        <v>3409</v>
      </c>
    </row>
    <row r="6223" spans="1:4">
      <c r="A6223" s="16">
        <v>6700000000</v>
      </c>
      <c r="B6223" s="16">
        <v>0</v>
      </c>
      <c r="C6223" s="16" t="s">
        <v>3404</v>
      </c>
      <c r="D6223" s="16" t="s">
        <v>3405</v>
      </c>
    </row>
    <row r="6224" spans="1:4">
      <c r="A6224" s="16">
        <v>2500000000</v>
      </c>
      <c r="B6224" s="16">
        <v>260888</v>
      </c>
      <c r="C6224" s="16" t="s">
        <v>3412</v>
      </c>
      <c r="D6224" s="16" t="s">
        <v>3403</v>
      </c>
    </row>
    <row r="6225" spans="1:4">
      <c r="A6225" s="16">
        <v>5010100000</v>
      </c>
      <c r="B6225" s="16">
        <v>-260888</v>
      </c>
      <c r="C6225" s="16" t="s">
        <v>3406</v>
      </c>
      <c r="D6225" s="16" t="s">
        <v>3407</v>
      </c>
    </row>
    <row r="6226" spans="1:4">
      <c r="A6226" s="16">
        <v>6610000000</v>
      </c>
      <c r="B6226" s="16">
        <v>0</v>
      </c>
      <c r="C6226" s="16" t="s">
        <v>3413</v>
      </c>
      <c r="D6226" s="16" t="s">
        <v>3418</v>
      </c>
    </row>
    <row r="6227" spans="1:4">
      <c r="A6227" s="16">
        <v>4203000000</v>
      </c>
      <c r="B6227" s="16">
        <v>0</v>
      </c>
      <c r="C6227" s="16" t="s">
        <v>3408</v>
      </c>
      <c r="D6227" s="16" t="s">
        <v>3403</v>
      </c>
    </row>
    <row r="6228" spans="1:4">
      <c r="A6228" s="16">
        <v>3032000000</v>
      </c>
      <c r="B6228" s="16">
        <v>0</v>
      </c>
      <c r="C6228" s="16" t="s">
        <v>3424</v>
      </c>
      <c r="D6228" s="16" t="s">
        <v>3403</v>
      </c>
    </row>
    <row r="6229" spans="1:4">
      <c r="A6229" s="16">
        <v>6032000000</v>
      </c>
      <c r="B6229" s="16">
        <v>0</v>
      </c>
      <c r="C6229" s="16" t="s">
        <v>3429</v>
      </c>
      <c r="D6229" s="16" t="s">
        <v>3430</v>
      </c>
    </row>
    <row r="6230" spans="1:4">
      <c r="A6230" s="16">
        <v>3102000000</v>
      </c>
      <c r="B6230" s="16">
        <v>0</v>
      </c>
      <c r="C6230" s="16" t="s">
        <v>3424</v>
      </c>
      <c r="D6230" s="16" t="s">
        <v>3403</v>
      </c>
    </row>
    <row r="6231" spans="1:4">
      <c r="A6231" s="16">
        <v>6102000000</v>
      </c>
      <c r="B6231" s="16">
        <v>0</v>
      </c>
      <c r="C6231" s="16" t="s">
        <v>3425</v>
      </c>
      <c r="D6231" s="16" t="s">
        <v>3426</v>
      </c>
    </row>
    <row r="6232" spans="1:4">
      <c r="A6232" s="16">
        <v>2500000000</v>
      </c>
      <c r="B6232" s="16">
        <v>0</v>
      </c>
      <c r="C6232" s="16" t="s">
        <v>3412</v>
      </c>
      <c r="D6232" s="16" t="s">
        <v>3403</v>
      </c>
    </row>
    <row r="6233" spans="1:4">
      <c r="A6233" s="16">
        <v>5010100000</v>
      </c>
      <c r="B6233" s="16">
        <v>0</v>
      </c>
      <c r="C6233" s="16" t="s">
        <v>3406</v>
      </c>
      <c r="D6233" s="16" t="s">
        <v>3407</v>
      </c>
    </row>
    <row r="6234" spans="1:4">
      <c r="A6234" s="16">
        <v>6700200000</v>
      </c>
      <c r="B6234" s="16">
        <v>0</v>
      </c>
      <c r="C6234" s="16" t="s">
        <v>3404</v>
      </c>
      <c r="D6234" s="16" t="s">
        <v>3409</v>
      </c>
    </row>
    <row r="6235" spans="1:4">
      <c r="A6235" s="16">
        <v>6700000000</v>
      </c>
      <c r="B6235" s="16">
        <v>0</v>
      </c>
      <c r="C6235" s="16" t="s">
        <v>3404</v>
      </c>
      <c r="D6235" s="16" t="s">
        <v>3405</v>
      </c>
    </row>
    <row r="6236" spans="1:4">
      <c r="A6236" s="16">
        <v>2750010000</v>
      </c>
      <c r="B6236" s="16">
        <v>0</v>
      </c>
      <c r="C6236" s="16" t="s">
        <v>3419</v>
      </c>
      <c r="D6236" s="16" t="s">
        <v>3403</v>
      </c>
    </row>
    <row r="6237" spans="1:4">
      <c r="A6237" s="16">
        <v>6700200000</v>
      </c>
      <c r="B6237" s="16">
        <v>0</v>
      </c>
      <c r="C6237" s="16" t="s">
        <v>3404</v>
      </c>
      <c r="D6237" s="16" t="s">
        <v>3409</v>
      </c>
    </row>
    <row r="6238" spans="1:4">
      <c r="A6238" s="16">
        <v>3100000000</v>
      </c>
      <c r="B6238" s="16">
        <v>0</v>
      </c>
      <c r="C6238" s="16" t="s">
        <v>3402</v>
      </c>
      <c r="D6238" s="16" t="s">
        <v>3403</v>
      </c>
    </row>
    <row r="6239" spans="1:4">
      <c r="A6239" s="16">
        <v>4610000000</v>
      </c>
      <c r="B6239" s="16">
        <v>0</v>
      </c>
      <c r="C6239" s="16" t="s">
        <v>3428</v>
      </c>
      <c r="D6239" s="16" t="s">
        <v>3403</v>
      </c>
    </row>
    <row r="6240" spans="1:4">
      <c r="A6240" s="16">
        <v>5010100000</v>
      </c>
      <c r="B6240" s="16">
        <v>0</v>
      </c>
      <c r="C6240" s="16" t="s">
        <v>3406</v>
      </c>
      <c r="D6240" s="16" t="s">
        <v>3407</v>
      </c>
    </row>
    <row r="6241" spans="1:4">
      <c r="A6241" s="16">
        <v>6100000000</v>
      </c>
      <c r="B6241" s="16">
        <v>0</v>
      </c>
      <c r="C6241" s="16" t="s">
        <v>3416</v>
      </c>
      <c r="D6241" s="16" t="s">
        <v>3417</v>
      </c>
    </row>
    <row r="6242" spans="1:4">
      <c r="A6242" s="16">
        <v>2201000000</v>
      </c>
      <c r="B6242" s="16">
        <v>0</v>
      </c>
      <c r="C6242" s="16" t="s">
        <v>3415</v>
      </c>
      <c r="D6242" s="16" t="s">
        <v>3403</v>
      </c>
    </row>
    <row r="6243" spans="1:4">
      <c r="A6243" s="16">
        <v>6700000000</v>
      </c>
      <c r="B6243" s="16">
        <v>0</v>
      </c>
      <c r="C6243" s="16" t="s">
        <v>3404</v>
      </c>
      <c r="D6243" s="16" t="s">
        <v>3405</v>
      </c>
    </row>
    <row r="6244" spans="1:4">
      <c r="A6244" s="16">
        <v>3100000000</v>
      </c>
      <c r="B6244" s="16">
        <v>0</v>
      </c>
      <c r="C6244" s="16" t="s">
        <v>3402</v>
      </c>
      <c r="D6244" s="16" t="s">
        <v>3403</v>
      </c>
    </row>
    <row r="6245" spans="1:4">
      <c r="A6245" s="16">
        <v>6060110000</v>
      </c>
      <c r="B6245" s="16">
        <v>0</v>
      </c>
      <c r="C6245" s="16" t="s">
        <v>3420</v>
      </c>
      <c r="D6245" s="16" t="s">
        <v>3421</v>
      </c>
    </row>
    <row r="6246" spans="1:4">
      <c r="A6246" s="16">
        <v>6102000000</v>
      </c>
      <c r="B6246" s="16">
        <v>0</v>
      </c>
      <c r="C6246" s="16" t="s">
        <v>3425</v>
      </c>
      <c r="D6246" s="16" t="s">
        <v>3426</v>
      </c>
    </row>
    <row r="6247" spans="1:4">
      <c r="A6247" s="16">
        <v>6610100000</v>
      </c>
      <c r="B6247" s="16">
        <v>0</v>
      </c>
      <c r="C6247" s="16" t="s">
        <v>3413</v>
      </c>
      <c r="D6247" s="16" t="s">
        <v>3414</v>
      </c>
    </row>
    <row r="6248" spans="1:4">
      <c r="A6248" s="16">
        <v>6030000000</v>
      </c>
      <c r="B6248" s="16">
        <v>0</v>
      </c>
      <c r="C6248" s="16" t="s">
        <v>3420</v>
      </c>
      <c r="D6248" s="16" t="s">
        <v>3423</v>
      </c>
    </row>
    <row r="6249" spans="1:4">
      <c r="A6249" s="16">
        <v>2500000000</v>
      </c>
      <c r="B6249" s="16">
        <v>0</v>
      </c>
      <c r="C6249" s="16" t="s">
        <v>3412</v>
      </c>
      <c r="D6249" s="16" t="s">
        <v>3403</v>
      </c>
    </row>
    <row r="6250" spans="1:4">
      <c r="A6250" s="16">
        <v>5010000010</v>
      </c>
      <c r="B6250" s="16">
        <v>0</v>
      </c>
      <c r="C6250" s="16" t="s">
        <v>3406</v>
      </c>
      <c r="D6250" s="16" t="s">
        <v>3411</v>
      </c>
    </row>
    <row r="6251" spans="1:4">
      <c r="A6251" s="16">
        <v>6700600000</v>
      </c>
      <c r="B6251" s="16">
        <v>0</v>
      </c>
      <c r="C6251" s="16" t="s">
        <v>3404</v>
      </c>
      <c r="D6251" s="16" t="s">
        <v>3409</v>
      </c>
    </row>
    <row r="6252" spans="1:4">
      <c r="A6252" s="16">
        <v>6102000000</v>
      </c>
      <c r="B6252" s="16">
        <v>0</v>
      </c>
      <c r="C6252" s="16" t="s">
        <v>3425</v>
      </c>
      <c r="D6252" s="16" t="s">
        <v>3426</v>
      </c>
    </row>
    <row r="6253" spans="1:4">
      <c r="A6253" s="16">
        <v>2203000000</v>
      </c>
      <c r="B6253" s="16">
        <v>0</v>
      </c>
      <c r="C6253" s="16" t="s">
        <v>3415</v>
      </c>
      <c r="D6253" s="16" t="s">
        <v>3403</v>
      </c>
    </row>
    <row r="6254" spans="1:4">
      <c r="A6254" s="16">
        <v>3103001000</v>
      </c>
      <c r="B6254" s="16">
        <v>0</v>
      </c>
      <c r="C6254" s="16" t="s">
        <v>3402</v>
      </c>
      <c r="D6254" s="16" t="s">
        <v>3403</v>
      </c>
    </row>
    <row r="6255" spans="1:4">
      <c r="A6255" s="16">
        <v>6104001000</v>
      </c>
      <c r="B6255" s="16">
        <v>0</v>
      </c>
      <c r="C6255" s="16" t="s">
        <v>3416</v>
      </c>
      <c r="D6255" s="16" t="s">
        <v>3417</v>
      </c>
    </row>
    <row r="6256" spans="1:4">
      <c r="A6256" s="16">
        <v>3100000000</v>
      </c>
      <c r="B6256" s="16">
        <v>0</v>
      </c>
      <c r="C6256" s="16" t="s">
        <v>3402</v>
      </c>
      <c r="D6256" s="16" t="s">
        <v>3403</v>
      </c>
    </row>
    <row r="6257" spans="1:4">
      <c r="A6257" s="16">
        <v>6700200000</v>
      </c>
      <c r="B6257" s="16">
        <v>0</v>
      </c>
      <c r="C6257" s="16" t="s">
        <v>3404</v>
      </c>
      <c r="D6257" s="16" t="s">
        <v>3409</v>
      </c>
    </row>
    <row r="6258" spans="1:4">
      <c r="A6258" s="16">
        <v>6100000000</v>
      </c>
      <c r="B6258" s="16">
        <v>0</v>
      </c>
      <c r="C6258" s="16" t="s">
        <v>3416</v>
      </c>
      <c r="D6258" s="16" t="s">
        <v>3417</v>
      </c>
    </row>
    <row r="6259" spans="1:4">
      <c r="A6259" s="16">
        <v>4203000000</v>
      </c>
      <c r="B6259" s="16">
        <v>0</v>
      </c>
      <c r="C6259" s="16" t="s">
        <v>3408</v>
      </c>
      <c r="D6259" s="16" t="s">
        <v>3403</v>
      </c>
    </row>
    <row r="6260" spans="1:4">
      <c r="A6260" s="16">
        <v>3030000000</v>
      </c>
      <c r="B6260" s="16">
        <v>0</v>
      </c>
      <c r="C6260" s="16" t="s">
        <v>3402</v>
      </c>
      <c r="D6260" s="16" t="s">
        <v>3403</v>
      </c>
    </row>
    <row r="6261" spans="1:4">
      <c r="A6261" s="16">
        <v>5010100000</v>
      </c>
      <c r="B6261" s="16">
        <v>0</v>
      </c>
      <c r="C6261" s="16" t="s">
        <v>3406</v>
      </c>
      <c r="D6261" s="16" t="s">
        <v>3407</v>
      </c>
    </row>
    <row r="6262" spans="1:4">
      <c r="A6262" s="16">
        <v>6150000000</v>
      </c>
      <c r="B6262" s="16">
        <v>0</v>
      </c>
      <c r="C6262" s="16" t="s">
        <v>3416</v>
      </c>
      <c r="D6262" s="16" t="s">
        <v>3417</v>
      </c>
    </row>
    <row r="6263" spans="1:4">
      <c r="A6263" s="16">
        <v>3710000000</v>
      </c>
      <c r="B6263" s="16">
        <v>0</v>
      </c>
      <c r="C6263" s="16" t="s">
        <v>3402</v>
      </c>
      <c r="D6263" s="16" t="s">
        <v>3403</v>
      </c>
    </row>
    <row r="6264" spans="1:4">
      <c r="A6264" s="16">
        <v>6700400000</v>
      </c>
      <c r="B6264" s="16">
        <v>0</v>
      </c>
      <c r="C6264" s="16" t="s">
        <v>3404</v>
      </c>
      <c r="D6264" s="16" t="s">
        <v>3405</v>
      </c>
    </row>
    <row r="6265" spans="1:4">
      <c r="A6265" s="16">
        <v>2750010000</v>
      </c>
      <c r="B6265" s="16">
        <v>0</v>
      </c>
      <c r="C6265" s="16" t="s">
        <v>3419</v>
      </c>
      <c r="D6265" s="16" t="s">
        <v>3403</v>
      </c>
    </row>
    <row r="6266" spans="1:4">
      <c r="A6266" s="16">
        <v>6060110000</v>
      </c>
      <c r="B6266" s="16">
        <v>0</v>
      </c>
      <c r="C6266" s="16" t="s">
        <v>3420</v>
      </c>
      <c r="D6266" s="16" t="s">
        <v>3421</v>
      </c>
    </row>
    <row r="6267" spans="1:4">
      <c r="A6267" s="16">
        <v>3103001000</v>
      </c>
      <c r="B6267" s="16">
        <v>0</v>
      </c>
      <c r="C6267" s="16" t="s">
        <v>3402</v>
      </c>
      <c r="D6267" s="16" t="s">
        <v>3403</v>
      </c>
    </row>
    <row r="6268" spans="1:4">
      <c r="A6268" s="16">
        <v>6700700000</v>
      </c>
      <c r="B6268" s="16">
        <v>0</v>
      </c>
      <c r="C6268" s="16" t="s">
        <v>3404</v>
      </c>
      <c r="D6268" s="16" t="s">
        <v>3409</v>
      </c>
    </row>
    <row r="6269" spans="1:4">
      <c r="A6269" s="16">
        <v>3100000000</v>
      </c>
      <c r="B6269" s="16">
        <v>0</v>
      </c>
      <c r="C6269" s="16" t="s">
        <v>3402</v>
      </c>
      <c r="D6269" s="16" t="s">
        <v>3403</v>
      </c>
    </row>
    <row r="6270" spans="1:4">
      <c r="A6270" s="16">
        <v>3032000000</v>
      </c>
      <c r="B6270" s="16">
        <v>326516</v>
      </c>
      <c r="C6270" s="16" t="s">
        <v>3424</v>
      </c>
      <c r="D6270" s="16" t="s">
        <v>3403</v>
      </c>
    </row>
    <row r="6271" spans="1:4">
      <c r="A6271" s="16">
        <v>3510000000</v>
      </c>
      <c r="B6271" s="16">
        <v>0</v>
      </c>
      <c r="C6271" s="16" t="s">
        <v>3402</v>
      </c>
      <c r="D6271" s="16" t="s">
        <v>3403</v>
      </c>
    </row>
    <row r="6272" spans="1:4">
      <c r="A6272" s="16">
        <v>6610000100</v>
      </c>
      <c r="B6272" s="16">
        <v>0</v>
      </c>
      <c r="C6272" s="16" t="s">
        <v>3413</v>
      </c>
      <c r="D6272" s="16" t="s">
        <v>3418</v>
      </c>
    </row>
    <row r="6273" spans="1:4">
      <c r="A6273" s="16">
        <v>6700600000</v>
      </c>
      <c r="B6273" s="16">
        <v>0</v>
      </c>
      <c r="C6273" s="16" t="s">
        <v>3404</v>
      </c>
      <c r="D6273" s="16" t="s">
        <v>3409</v>
      </c>
    </row>
    <row r="6274" spans="1:4">
      <c r="A6274" s="16">
        <v>6700200000</v>
      </c>
      <c r="B6274" s="16">
        <v>0</v>
      </c>
      <c r="C6274" s="16" t="s">
        <v>3404</v>
      </c>
      <c r="D6274" s="16" t="s">
        <v>3409</v>
      </c>
    </row>
    <row r="6275" spans="1:4">
      <c r="A6275" s="16">
        <v>6700200000</v>
      </c>
      <c r="B6275" s="16">
        <v>64701412</v>
      </c>
      <c r="C6275" s="16" t="s">
        <v>3404</v>
      </c>
      <c r="D6275" s="16" t="s">
        <v>3409</v>
      </c>
    </row>
    <row r="6276" spans="1:4">
      <c r="A6276" s="16">
        <v>6700200000</v>
      </c>
      <c r="B6276" s="16">
        <v>0</v>
      </c>
      <c r="C6276" s="16" t="s">
        <v>3404</v>
      </c>
      <c r="D6276" s="16" t="s">
        <v>3409</v>
      </c>
    </row>
    <row r="6277" spans="1:4">
      <c r="A6277" s="16">
        <v>2750010000</v>
      </c>
      <c r="B6277" s="16">
        <v>0</v>
      </c>
      <c r="C6277" s="16" t="s">
        <v>3419</v>
      </c>
      <c r="D6277" s="16" t="s">
        <v>3403</v>
      </c>
    </row>
    <row r="6278" spans="1:4">
      <c r="A6278" s="16">
        <v>6700500000</v>
      </c>
      <c r="B6278" s="16">
        <v>0</v>
      </c>
      <c r="C6278" s="16" t="s">
        <v>3404</v>
      </c>
      <c r="D6278" s="16" t="s">
        <v>3405</v>
      </c>
    </row>
    <row r="6279" spans="1:4">
      <c r="A6279" s="16">
        <v>6100000000</v>
      </c>
      <c r="B6279" s="16">
        <v>56272448</v>
      </c>
      <c r="C6279" s="16" t="s">
        <v>3416</v>
      </c>
      <c r="D6279" s="16" t="s">
        <v>3417</v>
      </c>
    </row>
    <row r="6280" spans="1:4">
      <c r="A6280" s="16">
        <v>6032000000</v>
      </c>
      <c r="B6280" s="16">
        <v>-326516</v>
      </c>
      <c r="C6280" s="16" t="s">
        <v>3429</v>
      </c>
      <c r="D6280" s="16" t="s">
        <v>3430</v>
      </c>
    </row>
    <row r="6281" spans="1:4">
      <c r="A6281" s="16">
        <v>6104001000</v>
      </c>
      <c r="B6281" s="16">
        <v>0</v>
      </c>
      <c r="C6281" s="16" t="s">
        <v>3416</v>
      </c>
      <c r="D6281" s="16" t="s">
        <v>3417</v>
      </c>
    </row>
    <row r="6282" spans="1:4">
      <c r="A6282" s="16">
        <v>2500000000</v>
      </c>
      <c r="B6282" s="16">
        <v>0</v>
      </c>
      <c r="C6282" s="16" t="s">
        <v>3412</v>
      </c>
      <c r="D6282" s="16" t="s">
        <v>3403</v>
      </c>
    </row>
    <row r="6283" spans="1:4">
      <c r="A6283" s="16">
        <v>6700600000</v>
      </c>
      <c r="B6283" s="16">
        <v>0</v>
      </c>
      <c r="C6283" s="16" t="s">
        <v>3404</v>
      </c>
      <c r="D6283" s="16" t="s">
        <v>3409</v>
      </c>
    </row>
    <row r="6284" spans="1:4">
      <c r="A6284" s="16">
        <v>6610000000</v>
      </c>
      <c r="B6284" s="16">
        <v>0</v>
      </c>
      <c r="C6284" s="16" t="s">
        <v>3413</v>
      </c>
      <c r="D6284" s="16" t="s">
        <v>3418</v>
      </c>
    </row>
    <row r="6285" spans="1:4">
      <c r="A6285" s="16">
        <v>5050010000</v>
      </c>
      <c r="B6285" s="16">
        <v>0</v>
      </c>
      <c r="C6285" s="16" t="s">
        <v>3406</v>
      </c>
      <c r="D6285" s="16" t="s">
        <v>3422</v>
      </c>
    </row>
    <row r="6286" spans="1:4">
      <c r="A6286" s="16">
        <v>6610100000</v>
      </c>
      <c r="B6286" s="16">
        <v>0</v>
      </c>
      <c r="C6286" s="16" t="s">
        <v>3413</v>
      </c>
      <c r="D6286" s="16" t="s">
        <v>3414</v>
      </c>
    </row>
    <row r="6287" spans="1:4">
      <c r="A6287" s="16">
        <v>2500000000</v>
      </c>
      <c r="B6287" s="16">
        <v>0</v>
      </c>
      <c r="C6287" s="16" t="s">
        <v>3412</v>
      </c>
      <c r="D6287" s="16" t="s">
        <v>3403</v>
      </c>
    </row>
    <row r="6288" spans="1:4">
      <c r="A6288" s="16">
        <v>2750010000</v>
      </c>
      <c r="B6288" s="16">
        <v>0</v>
      </c>
      <c r="C6288" s="16" t="s">
        <v>3419</v>
      </c>
      <c r="D6288" s="16" t="s">
        <v>3403</v>
      </c>
    </row>
    <row r="6289" spans="1:4">
      <c r="A6289" s="16">
        <v>3102000000</v>
      </c>
      <c r="B6289" s="16">
        <v>0</v>
      </c>
      <c r="C6289" s="16" t="s">
        <v>3424</v>
      </c>
      <c r="D6289" s="16" t="s">
        <v>3403</v>
      </c>
    </row>
    <row r="6290" spans="1:4">
      <c r="A6290" s="16">
        <v>6700400000</v>
      </c>
      <c r="B6290" s="16">
        <v>0</v>
      </c>
      <c r="C6290" s="16" t="s">
        <v>3404</v>
      </c>
      <c r="D6290" s="16" t="s">
        <v>3405</v>
      </c>
    </row>
    <row r="6291" spans="1:4">
      <c r="A6291" s="16">
        <v>6700000000</v>
      </c>
      <c r="B6291" s="16">
        <v>0</v>
      </c>
      <c r="C6291" s="16" t="s">
        <v>3404</v>
      </c>
      <c r="D6291" s="16" t="s">
        <v>3405</v>
      </c>
    </row>
    <row r="6292" spans="1:4">
      <c r="A6292" s="16">
        <v>6610100000</v>
      </c>
      <c r="B6292" s="16">
        <v>21955</v>
      </c>
      <c r="C6292" s="16" t="s">
        <v>3413</v>
      </c>
      <c r="D6292" s="16" t="s">
        <v>3414</v>
      </c>
    </row>
    <row r="6293" spans="1:4">
      <c r="A6293" s="16">
        <v>6700700000</v>
      </c>
      <c r="B6293" s="16">
        <v>0</v>
      </c>
      <c r="C6293" s="16" t="s">
        <v>3404</v>
      </c>
      <c r="D6293" s="16" t="s">
        <v>3409</v>
      </c>
    </row>
    <row r="6294" spans="1:4">
      <c r="A6294" s="16">
        <v>6700100000</v>
      </c>
      <c r="B6294" s="16">
        <v>-64701412</v>
      </c>
      <c r="C6294" s="16" t="s">
        <v>3404</v>
      </c>
      <c r="D6294" s="16" t="s">
        <v>3410</v>
      </c>
    </row>
    <row r="6295" spans="1:4">
      <c r="A6295" s="16">
        <v>6700100000</v>
      </c>
      <c r="B6295" s="16">
        <v>0</v>
      </c>
      <c r="C6295" s="16" t="s">
        <v>3404</v>
      </c>
      <c r="D6295" s="16" t="s">
        <v>3410</v>
      </c>
    </row>
    <row r="6296" spans="1:4">
      <c r="A6296" s="16">
        <v>6610000100</v>
      </c>
      <c r="B6296" s="16">
        <v>0</v>
      </c>
      <c r="C6296" s="16" t="s">
        <v>3413</v>
      </c>
      <c r="D6296" s="16" t="s">
        <v>3418</v>
      </c>
    </row>
    <row r="6297" spans="1:4">
      <c r="A6297" s="16">
        <v>2201000000</v>
      </c>
      <c r="B6297" s="16">
        <v>0</v>
      </c>
      <c r="C6297" s="16" t="s">
        <v>3415</v>
      </c>
      <c r="D6297" s="16" t="s">
        <v>3403</v>
      </c>
    </row>
    <row r="6298" spans="1:4">
      <c r="A6298" s="16">
        <v>6700600000</v>
      </c>
      <c r="B6298" s="16">
        <v>0</v>
      </c>
      <c r="C6298" s="16" t="s">
        <v>3404</v>
      </c>
      <c r="D6298" s="16" t="s">
        <v>3409</v>
      </c>
    </row>
    <row r="6299" spans="1:4">
      <c r="A6299" s="16">
        <v>6030000000</v>
      </c>
      <c r="B6299" s="16">
        <v>0</v>
      </c>
      <c r="C6299" s="16" t="s">
        <v>3420</v>
      </c>
      <c r="D6299" s="16" t="s">
        <v>3423</v>
      </c>
    </row>
    <row r="6300" spans="1:4">
      <c r="A6300" s="16">
        <v>3100000000</v>
      </c>
      <c r="B6300" s="16">
        <v>-56272448</v>
      </c>
      <c r="C6300" s="16" t="s">
        <v>3402</v>
      </c>
      <c r="D6300" s="16" t="s">
        <v>3403</v>
      </c>
    </row>
    <row r="6301" spans="1:4">
      <c r="A6301" s="16">
        <v>6610100000</v>
      </c>
      <c r="B6301" s="16">
        <v>0</v>
      </c>
      <c r="C6301" s="16" t="s">
        <v>3413</v>
      </c>
      <c r="D6301" s="16" t="s">
        <v>3414</v>
      </c>
    </row>
    <row r="6302" spans="1:4">
      <c r="A6302" s="16">
        <v>6700200000</v>
      </c>
      <c r="B6302" s="16">
        <v>66165</v>
      </c>
      <c r="C6302" s="16" t="s">
        <v>3404</v>
      </c>
      <c r="D6302" s="16" t="s">
        <v>3409</v>
      </c>
    </row>
    <row r="6303" spans="1:4">
      <c r="A6303" s="16">
        <v>3103001000</v>
      </c>
      <c r="B6303" s="16">
        <v>0</v>
      </c>
      <c r="C6303" s="16" t="s">
        <v>3402</v>
      </c>
      <c r="D6303" s="16" t="s">
        <v>3403</v>
      </c>
    </row>
    <row r="6304" spans="1:4">
      <c r="A6304" s="16">
        <v>5010000000</v>
      </c>
      <c r="B6304" s="16">
        <v>0</v>
      </c>
      <c r="C6304" s="16" t="s">
        <v>3406</v>
      </c>
      <c r="D6304" s="16" t="s">
        <v>3411</v>
      </c>
    </row>
    <row r="6305" spans="1:4">
      <c r="A6305" s="16">
        <v>6700400000</v>
      </c>
      <c r="B6305" s="16">
        <v>0</v>
      </c>
      <c r="C6305" s="16" t="s">
        <v>3404</v>
      </c>
      <c r="D6305" s="16" t="s">
        <v>3405</v>
      </c>
    </row>
    <row r="6306" spans="1:4">
      <c r="A6306" s="16">
        <v>4203000000</v>
      </c>
      <c r="B6306" s="16">
        <v>0</v>
      </c>
      <c r="C6306" s="16" t="s">
        <v>3408</v>
      </c>
      <c r="D6306" s="16" t="s">
        <v>3403</v>
      </c>
    </row>
    <row r="6307" spans="1:4">
      <c r="A6307" s="16">
        <v>5050000000</v>
      </c>
      <c r="B6307" s="16">
        <v>0</v>
      </c>
      <c r="C6307" s="16" t="s">
        <v>3406</v>
      </c>
      <c r="D6307" s="16" t="s">
        <v>3422</v>
      </c>
    </row>
    <row r="6308" spans="1:4">
      <c r="A6308" s="16">
        <v>4203000000</v>
      </c>
      <c r="B6308" s="16">
        <v>0</v>
      </c>
      <c r="C6308" s="16" t="s">
        <v>3408</v>
      </c>
      <c r="D6308" s="16" t="s">
        <v>3403</v>
      </c>
    </row>
    <row r="6309" spans="1:4">
      <c r="A6309" s="16">
        <v>5010100000</v>
      </c>
      <c r="B6309" s="16">
        <v>0</v>
      </c>
      <c r="C6309" s="16" t="s">
        <v>3406</v>
      </c>
      <c r="D6309" s="16" t="s">
        <v>3407</v>
      </c>
    </row>
    <row r="6310" spans="1:4">
      <c r="A6310" s="16">
        <v>6610100100</v>
      </c>
      <c r="B6310" s="16">
        <v>0</v>
      </c>
      <c r="C6310" s="16" t="s">
        <v>3413</v>
      </c>
      <c r="D6310" s="16" t="s">
        <v>3414</v>
      </c>
    </row>
    <row r="6311" spans="1:4">
      <c r="A6311" s="16">
        <v>6102000000</v>
      </c>
      <c r="B6311" s="16">
        <v>0</v>
      </c>
      <c r="C6311" s="16" t="s">
        <v>3425</v>
      </c>
      <c r="D6311" s="16" t="s">
        <v>3426</v>
      </c>
    </row>
    <row r="6312" spans="1:4">
      <c r="A6312" s="16">
        <v>6100000000</v>
      </c>
      <c r="B6312" s="16">
        <v>149999523</v>
      </c>
      <c r="C6312" s="16" t="s">
        <v>3416</v>
      </c>
      <c r="D6312" s="16" t="s">
        <v>3417</v>
      </c>
    </row>
    <row r="6313" spans="1:4">
      <c r="A6313" s="16">
        <v>6150000000</v>
      </c>
      <c r="B6313" s="16">
        <v>0</v>
      </c>
      <c r="C6313" s="16" t="s">
        <v>3416</v>
      </c>
      <c r="D6313" s="16" t="s">
        <v>3417</v>
      </c>
    </row>
    <row r="6314" spans="1:4">
      <c r="A6314" s="16">
        <v>4203000000</v>
      </c>
      <c r="B6314" s="16">
        <v>-21955</v>
      </c>
      <c r="C6314" s="16" t="s">
        <v>3408</v>
      </c>
      <c r="D6314" s="16" t="s">
        <v>3403</v>
      </c>
    </row>
    <row r="6315" spans="1:4">
      <c r="A6315" s="16">
        <v>6700500000</v>
      </c>
      <c r="B6315" s="16">
        <v>0</v>
      </c>
      <c r="C6315" s="16" t="s">
        <v>3404</v>
      </c>
      <c r="D6315" s="16" t="s">
        <v>3405</v>
      </c>
    </row>
    <row r="6316" spans="1:4">
      <c r="A6316" s="16">
        <v>2750010000</v>
      </c>
      <c r="B6316" s="16">
        <v>0</v>
      </c>
      <c r="C6316" s="16" t="s">
        <v>3419</v>
      </c>
      <c r="D6316" s="16" t="s">
        <v>3403</v>
      </c>
    </row>
    <row r="6317" spans="1:4">
      <c r="A6317" s="16">
        <v>6700200000</v>
      </c>
      <c r="B6317" s="16">
        <v>0</v>
      </c>
      <c r="C6317" s="16" t="s">
        <v>3404</v>
      </c>
      <c r="D6317" s="16" t="s">
        <v>3409</v>
      </c>
    </row>
    <row r="6318" spans="1:4">
      <c r="A6318" s="16">
        <v>2500000000</v>
      </c>
      <c r="B6318" s="16">
        <v>0</v>
      </c>
      <c r="C6318" s="16" t="s">
        <v>3412</v>
      </c>
      <c r="D6318" s="16" t="s">
        <v>3403</v>
      </c>
    </row>
    <row r="6319" spans="1:4">
      <c r="A6319" s="16">
        <v>6700400000</v>
      </c>
      <c r="B6319" s="16">
        <v>0</v>
      </c>
      <c r="C6319" s="16" t="s">
        <v>3404</v>
      </c>
      <c r="D6319" s="16" t="s">
        <v>3405</v>
      </c>
    </row>
    <row r="6320" spans="1:4">
      <c r="A6320" s="16">
        <v>3030000000</v>
      </c>
      <c r="B6320" s="16">
        <v>0</v>
      </c>
      <c r="C6320" s="16" t="s">
        <v>3402</v>
      </c>
      <c r="D6320" s="16" t="s">
        <v>3403</v>
      </c>
    </row>
    <row r="6321" spans="1:4">
      <c r="A6321" s="16">
        <v>6700200000</v>
      </c>
      <c r="B6321" s="16">
        <v>0</v>
      </c>
      <c r="C6321" s="16" t="s">
        <v>3404</v>
      </c>
      <c r="D6321" s="16" t="s">
        <v>3409</v>
      </c>
    </row>
    <row r="6322" spans="1:4">
      <c r="A6322" s="16">
        <v>2500000000</v>
      </c>
      <c r="B6322" s="16">
        <v>0</v>
      </c>
      <c r="C6322" s="16" t="s">
        <v>3412</v>
      </c>
      <c r="D6322" s="16" t="s">
        <v>3403</v>
      </c>
    </row>
    <row r="6323" spans="1:4">
      <c r="A6323" s="16">
        <v>6100000000</v>
      </c>
      <c r="B6323" s="16">
        <v>0</v>
      </c>
      <c r="C6323" s="16" t="s">
        <v>3416</v>
      </c>
      <c r="D6323" s="16" t="s">
        <v>3417</v>
      </c>
    </row>
    <row r="6324" spans="1:4">
      <c r="A6324" s="16">
        <v>5010000010</v>
      </c>
      <c r="B6324" s="16">
        <v>0</v>
      </c>
      <c r="C6324" s="16" t="s">
        <v>3406</v>
      </c>
      <c r="D6324" s="16" t="s">
        <v>3411</v>
      </c>
    </row>
    <row r="6325" spans="1:4">
      <c r="A6325" s="16">
        <v>4203000000</v>
      </c>
      <c r="B6325" s="16">
        <v>0</v>
      </c>
      <c r="C6325" s="16" t="s">
        <v>3408</v>
      </c>
      <c r="D6325" s="16" t="s">
        <v>3403</v>
      </c>
    </row>
    <row r="6326" spans="1:4">
      <c r="A6326" s="16">
        <v>2201000000</v>
      </c>
      <c r="B6326" s="16">
        <v>0</v>
      </c>
      <c r="C6326" s="16" t="s">
        <v>3415</v>
      </c>
      <c r="D6326" s="16" t="s">
        <v>3403</v>
      </c>
    </row>
    <row r="6327" spans="1:4">
      <c r="A6327" s="16">
        <v>6700100000</v>
      </c>
      <c r="B6327" s="16">
        <v>-66165</v>
      </c>
      <c r="C6327" s="16" t="s">
        <v>3404</v>
      </c>
      <c r="D6327" s="16" t="s">
        <v>3410</v>
      </c>
    </row>
    <row r="6328" spans="1:4">
      <c r="A6328" s="16">
        <v>5010100010</v>
      </c>
      <c r="B6328" s="16">
        <v>0</v>
      </c>
      <c r="C6328" s="16" t="s">
        <v>3406</v>
      </c>
      <c r="D6328" s="16" t="s">
        <v>3407</v>
      </c>
    </row>
    <row r="6329" spans="1:4">
      <c r="A6329" s="16">
        <v>6700700000</v>
      </c>
      <c r="B6329" s="16">
        <v>0</v>
      </c>
      <c r="C6329" s="16" t="s">
        <v>3404</v>
      </c>
      <c r="D6329" s="16" t="s">
        <v>3409</v>
      </c>
    </row>
    <row r="6330" spans="1:4">
      <c r="A6330" s="16">
        <v>3102000000</v>
      </c>
      <c r="B6330" s="16">
        <v>0</v>
      </c>
      <c r="C6330" s="16" t="s">
        <v>3424</v>
      </c>
      <c r="D6330" s="16" t="s">
        <v>3403</v>
      </c>
    </row>
    <row r="6331" spans="1:4">
      <c r="A6331" s="16">
        <v>6100000020</v>
      </c>
      <c r="B6331" s="16">
        <v>0</v>
      </c>
      <c r="C6331" s="16" t="s">
        <v>3416</v>
      </c>
      <c r="D6331" s="16" t="s">
        <v>3417</v>
      </c>
    </row>
    <row r="6332" spans="1:4">
      <c r="A6332" s="16">
        <v>4611000000</v>
      </c>
      <c r="B6332" s="16">
        <v>0</v>
      </c>
      <c r="C6332" s="16" t="s">
        <v>3428</v>
      </c>
      <c r="D6332" s="16" t="s">
        <v>3403</v>
      </c>
    </row>
    <row r="6333" spans="1:4">
      <c r="A6333" s="16">
        <v>3100000000</v>
      </c>
      <c r="B6333" s="16">
        <v>-149999523</v>
      </c>
      <c r="C6333" s="16" t="s">
        <v>3402</v>
      </c>
      <c r="D6333" s="16" t="s">
        <v>3403</v>
      </c>
    </row>
    <row r="6334" spans="1:4">
      <c r="A6334" s="16">
        <v>3510000000</v>
      </c>
      <c r="B6334" s="16">
        <v>0</v>
      </c>
      <c r="C6334" s="16" t="s">
        <v>3402</v>
      </c>
      <c r="D6334" s="16" t="s">
        <v>3403</v>
      </c>
    </row>
    <row r="6335" spans="1:4">
      <c r="A6335" s="16">
        <v>6700700000</v>
      </c>
      <c r="B6335" s="16">
        <v>0</v>
      </c>
      <c r="C6335" s="16" t="s">
        <v>3404</v>
      </c>
      <c r="D6335" s="16" t="s">
        <v>3409</v>
      </c>
    </row>
    <row r="6336" spans="1:4">
      <c r="A6336" s="16">
        <v>6610100100</v>
      </c>
      <c r="B6336" s="16">
        <v>0</v>
      </c>
      <c r="C6336" s="16" t="s">
        <v>3413</v>
      </c>
      <c r="D6336" s="16" t="s">
        <v>3414</v>
      </c>
    </row>
    <row r="6337" spans="1:4">
      <c r="A6337" s="16">
        <v>6060010000</v>
      </c>
      <c r="B6337" s="16">
        <v>0</v>
      </c>
      <c r="C6337" s="16" t="s">
        <v>3420</v>
      </c>
      <c r="D6337" s="16" t="s">
        <v>3421</v>
      </c>
    </row>
    <row r="6338" spans="1:4">
      <c r="A6338" s="16">
        <v>6700600000</v>
      </c>
      <c r="B6338" s="16">
        <v>0</v>
      </c>
      <c r="C6338" s="16" t="s">
        <v>3404</v>
      </c>
      <c r="D6338" s="16" t="s">
        <v>3409</v>
      </c>
    </row>
    <row r="6339" spans="1:4">
      <c r="A6339" s="16">
        <v>5010000010</v>
      </c>
      <c r="B6339" s="16">
        <v>0</v>
      </c>
      <c r="C6339" s="16" t="s">
        <v>3406</v>
      </c>
      <c r="D6339" s="16" t="s">
        <v>3411</v>
      </c>
    </row>
    <row r="6340" spans="1:4">
      <c r="A6340" s="16">
        <v>5010100000</v>
      </c>
      <c r="B6340" s="16">
        <v>0</v>
      </c>
      <c r="C6340" s="16" t="s">
        <v>3406</v>
      </c>
      <c r="D6340" s="16" t="s">
        <v>3407</v>
      </c>
    </row>
    <row r="6341" spans="1:4">
      <c r="A6341" s="16">
        <v>2500000000</v>
      </c>
      <c r="B6341" s="16">
        <v>0</v>
      </c>
      <c r="C6341" s="16" t="s">
        <v>3412</v>
      </c>
      <c r="D6341" s="16" t="s">
        <v>3403</v>
      </c>
    </row>
    <row r="6342" spans="1:4">
      <c r="A6342" s="16">
        <v>6700100000</v>
      </c>
      <c r="B6342" s="16">
        <v>0</v>
      </c>
      <c r="C6342" s="16" t="s">
        <v>3404</v>
      </c>
      <c r="D6342" s="16" t="s">
        <v>3410</v>
      </c>
    </row>
    <row r="6343" spans="1:4">
      <c r="A6343" s="16">
        <v>5010100000</v>
      </c>
      <c r="B6343" s="16">
        <v>0</v>
      </c>
      <c r="C6343" s="16" t="s">
        <v>3406</v>
      </c>
      <c r="D6343" s="16" t="s">
        <v>3407</v>
      </c>
    </row>
    <row r="6344" spans="1:4">
      <c r="A6344" s="16">
        <v>3100000000</v>
      </c>
      <c r="B6344" s="16">
        <v>0</v>
      </c>
      <c r="C6344" s="16" t="s">
        <v>3402</v>
      </c>
      <c r="D6344" s="16" t="s">
        <v>3403</v>
      </c>
    </row>
    <row r="6345" spans="1:4">
      <c r="A6345" s="16">
        <v>3710000000</v>
      </c>
      <c r="B6345" s="16">
        <v>0</v>
      </c>
      <c r="C6345" s="16" t="s">
        <v>3402</v>
      </c>
      <c r="D6345" s="16" t="s">
        <v>3403</v>
      </c>
    </row>
    <row r="6346" spans="1:4">
      <c r="A6346" s="16">
        <v>6700200000</v>
      </c>
      <c r="B6346" s="16">
        <v>0</v>
      </c>
      <c r="C6346" s="16" t="s">
        <v>3404</v>
      </c>
      <c r="D6346" s="16" t="s">
        <v>3409</v>
      </c>
    </row>
    <row r="6347" spans="1:4">
      <c r="A6347" s="16">
        <v>6700200000</v>
      </c>
      <c r="B6347" s="16">
        <v>0</v>
      </c>
      <c r="C6347" s="16" t="s">
        <v>3404</v>
      </c>
      <c r="D6347" s="16" t="s">
        <v>3409</v>
      </c>
    </row>
    <row r="6348" spans="1:4">
      <c r="A6348" s="16">
        <v>6610000000</v>
      </c>
      <c r="B6348" s="16">
        <v>0</v>
      </c>
      <c r="C6348" s="16" t="s">
        <v>3413</v>
      </c>
      <c r="D6348" s="16" t="s">
        <v>3418</v>
      </c>
    </row>
    <row r="6349" spans="1:4">
      <c r="A6349" s="16">
        <v>6700600000</v>
      </c>
      <c r="B6349" s="16">
        <v>0</v>
      </c>
      <c r="C6349" s="16" t="s">
        <v>3404</v>
      </c>
      <c r="D6349" s="16" t="s">
        <v>3409</v>
      </c>
    </row>
    <row r="6350" spans="1:4">
      <c r="A6350" s="16">
        <v>3710000000</v>
      </c>
      <c r="B6350" s="16">
        <v>0</v>
      </c>
      <c r="C6350" s="16" t="s">
        <v>3402</v>
      </c>
      <c r="D6350" s="16" t="s">
        <v>3403</v>
      </c>
    </row>
    <row r="6351" spans="1:4">
      <c r="A6351" s="16">
        <v>6700500000</v>
      </c>
      <c r="B6351" s="16">
        <v>0</v>
      </c>
      <c r="C6351" s="16" t="s">
        <v>3404</v>
      </c>
      <c r="D6351" s="16" t="s">
        <v>3405</v>
      </c>
    </row>
    <row r="6352" spans="1:4">
      <c r="A6352" s="16">
        <v>6030000000</v>
      </c>
      <c r="B6352" s="16">
        <v>231334028</v>
      </c>
      <c r="C6352" s="16" t="s">
        <v>3420</v>
      </c>
      <c r="D6352" s="16" t="s">
        <v>3423</v>
      </c>
    </row>
    <row r="6353" spans="1:4">
      <c r="A6353" s="16">
        <v>6102000000</v>
      </c>
      <c r="B6353" s="16">
        <v>0</v>
      </c>
      <c r="C6353" s="16" t="s">
        <v>3425</v>
      </c>
      <c r="D6353" s="16" t="s">
        <v>3426</v>
      </c>
    </row>
    <row r="6354" spans="1:4">
      <c r="A6354" s="16">
        <v>3810000000</v>
      </c>
      <c r="B6354" s="16">
        <v>0</v>
      </c>
      <c r="C6354" s="16" t="s">
        <v>3402</v>
      </c>
      <c r="D6354" s="16" t="s">
        <v>3403</v>
      </c>
    </row>
    <row r="6355" spans="1:4">
      <c r="A6355" s="16">
        <v>6700200000</v>
      </c>
      <c r="B6355" s="16">
        <v>0</v>
      </c>
      <c r="C6355" s="16" t="s">
        <v>3404</v>
      </c>
      <c r="D6355" s="16" t="s">
        <v>3409</v>
      </c>
    </row>
    <row r="6356" spans="1:4">
      <c r="A6356" s="16">
        <v>3800000010</v>
      </c>
      <c r="B6356" s="16">
        <v>0</v>
      </c>
      <c r="C6356" s="16" t="s">
        <v>3402</v>
      </c>
      <c r="D6356" s="16" t="s">
        <v>3403</v>
      </c>
    </row>
    <row r="6357" spans="1:4">
      <c r="A6357" s="16">
        <v>6700700000</v>
      </c>
      <c r="B6357" s="16">
        <v>0</v>
      </c>
      <c r="C6357" s="16" t="s">
        <v>3404</v>
      </c>
      <c r="D6357" s="16" t="s">
        <v>3409</v>
      </c>
    </row>
    <row r="6358" spans="1:4">
      <c r="A6358" s="16">
        <v>3102000000</v>
      </c>
      <c r="B6358" s="16">
        <v>0</v>
      </c>
      <c r="C6358" s="16" t="s">
        <v>3424</v>
      </c>
      <c r="D6358" s="16" t="s">
        <v>3403</v>
      </c>
    </row>
    <row r="6359" spans="1:4">
      <c r="A6359" s="16">
        <v>6700500000</v>
      </c>
      <c r="B6359" s="16">
        <v>0</v>
      </c>
      <c r="C6359" s="16" t="s">
        <v>3404</v>
      </c>
      <c r="D6359" s="16" t="s">
        <v>3405</v>
      </c>
    </row>
    <row r="6360" spans="1:4">
      <c r="A6360" s="16">
        <v>5052000000</v>
      </c>
      <c r="B6360" s="16">
        <v>0</v>
      </c>
      <c r="C6360" s="16" t="s">
        <v>3406</v>
      </c>
      <c r="D6360" s="16" t="s">
        <v>3422</v>
      </c>
    </row>
    <row r="6361" spans="1:4">
      <c r="A6361" s="16">
        <v>6700400000</v>
      </c>
      <c r="B6361" s="16">
        <v>0</v>
      </c>
      <c r="C6361" s="16" t="s">
        <v>3404</v>
      </c>
      <c r="D6361" s="16" t="s">
        <v>3405</v>
      </c>
    </row>
    <row r="6362" spans="1:4">
      <c r="A6362" s="16">
        <v>3710000000</v>
      </c>
      <c r="B6362" s="16">
        <v>0</v>
      </c>
      <c r="C6362" s="16" t="s">
        <v>3402</v>
      </c>
      <c r="D6362" s="16" t="s">
        <v>3403</v>
      </c>
    </row>
    <row r="6363" spans="1:4">
      <c r="A6363" s="16">
        <v>5010100000</v>
      </c>
      <c r="B6363" s="16">
        <v>0</v>
      </c>
      <c r="C6363" s="16" t="s">
        <v>3406</v>
      </c>
      <c r="D6363" s="16" t="s">
        <v>3407</v>
      </c>
    </row>
    <row r="6364" spans="1:4">
      <c r="A6364" s="16">
        <v>6060010000</v>
      </c>
      <c r="B6364" s="16">
        <v>57201141</v>
      </c>
      <c r="C6364" s="16" t="s">
        <v>3420</v>
      </c>
      <c r="D6364" s="16" t="s">
        <v>3421</v>
      </c>
    </row>
    <row r="6365" spans="1:4">
      <c r="A6365" s="16">
        <v>2201000000</v>
      </c>
      <c r="B6365" s="16">
        <v>0</v>
      </c>
      <c r="C6365" s="16" t="s">
        <v>3415</v>
      </c>
      <c r="D6365" s="16" t="s">
        <v>3403</v>
      </c>
    </row>
    <row r="6366" spans="1:4">
      <c r="A6366" s="16">
        <v>6700200000</v>
      </c>
      <c r="B6366" s="16">
        <v>0</v>
      </c>
      <c r="C6366" s="16" t="s">
        <v>3404</v>
      </c>
      <c r="D6366" s="16" t="s">
        <v>3409</v>
      </c>
    </row>
    <row r="6367" spans="1:4">
      <c r="A6367" s="16">
        <v>6700000000</v>
      </c>
      <c r="B6367" s="16">
        <v>0</v>
      </c>
      <c r="C6367" s="16" t="s">
        <v>3404</v>
      </c>
      <c r="D6367" s="16" t="s">
        <v>3405</v>
      </c>
    </row>
    <row r="6368" spans="1:4">
      <c r="A6368" s="16">
        <v>4203000000</v>
      </c>
      <c r="B6368" s="16">
        <v>0</v>
      </c>
      <c r="C6368" s="16" t="s">
        <v>3408</v>
      </c>
      <c r="D6368" s="16" t="s">
        <v>3403</v>
      </c>
    </row>
    <row r="6369" spans="1:4">
      <c r="A6369" s="16">
        <v>6700400000</v>
      </c>
      <c r="B6369" s="16">
        <v>0</v>
      </c>
      <c r="C6369" s="16" t="s">
        <v>3404</v>
      </c>
      <c r="D6369" s="16" t="s">
        <v>3405</v>
      </c>
    </row>
    <row r="6370" spans="1:4">
      <c r="A6370" s="16">
        <v>6610100000</v>
      </c>
      <c r="B6370" s="16">
        <v>0</v>
      </c>
      <c r="C6370" s="16" t="s">
        <v>3413</v>
      </c>
      <c r="D6370" s="16" t="s">
        <v>3414</v>
      </c>
    </row>
    <row r="6371" spans="1:4">
      <c r="A6371" s="16">
        <v>3030000000</v>
      </c>
      <c r="B6371" s="16">
        <v>-231334028</v>
      </c>
      <c r="C6371" s="16" t="s">
        <v>3402</v>
      </c>
      <c r="D6371" s="16" t="s">
        <v>3403</v>
      </c>
    </row>
    <row r="6372" spans="1:4">
      <c r="A6372" s="16">
        <v>6700100000</v>
      </c>
      <c r="B6372" s="16">
        <v>0</v>
      </c>
      <c r="C6372" s="16" t="s">
        <v>3404</v>
      </c>
      <c r="D6372" s="16" t="s">
        <v>3410</v>
      </c>
    </row>
    <row r="6373" spans="1:4">
      <c r="A6373" s="16">
        <v>6700500000</v>
      </c>
      <c r="B6373" s="16">
        <v>0</v>
      </c>
      <c r="C6373" s="16" t="s">
        <v>3404</v>
      </c>
      <c r="D6373" s="16" t="s">
        <v>3405</v>
      </c>
    </row>
    <row r="6374" spans="1:4">
      <c r="A6374" s="16">
        <v>6102000000</v>
      </c>
      <c r="B6374" s="16">
        <v>0</v>
      </c>
      <c r="C6374" s="16" t="s">
        <v>3425</v>
      </c>
      <c r="D6374" s="16" t="s">
        <v>3426</v>
      </c>
    </row>
    <row r="6375" spans="1:4">
      <c r="A6375" s="16">
        <v>2203000000</v>
      </c>
      <c r="B6375" s="16">
        <v>0</v>
      </c>
      <c r="C6375" s="16" t="s">
        <v>3415</v>
      </c>
      <c r="D6375" s="16" t="s">
        <v>3403</v>
      </c>
    </row>
    <row r="6376" spans="1:4">
      <c r="A6376" s="16">
        <v>6104001000</v>
      </c>
      <c r="B6376" s="16">
        <v>0</v>
      </c>
      <c r="C6376" s="16" t="s">
        <v>3416</v>
      </c>
      <c r="D6376" s="16" t="s">
        <v>3417</v>
      </c>
    </row>
    <row r="6377" spans="1:4">
      <c r="A6377" s="16">
        <v>5052000000</v>
      </c>
      <c r="B6377" s="16">
        <v>-57201141</v>
      </c>
      <c r="C6377" s="16" t="s">
        <v>3406</v>
      </c>
      <c r="D6377" s="16" t="s">
        <v>3422</v>
      </c>
    </row>
    <row r="6378" spans="1:4">
      <c r="A6378" s="16">
        <v>6700700000</v>
      </c>
      <c r="B6378" s="16">
        <v>0</v>
      </c>
      <c r="C6378" s="16" t="s">
        <v>3404</v>
      </c>
      <c r="D6378" s="16" t="s">
        <v>3409</v>
      </c>
    </row>
    <row r="6379" spans="1:4">
      <c r="A6379" s="16">
        <v>6700200000</v>
      </c>
      <c r="B6379" s="16">
        <v>0</v>
      </c>
      <c r="C6379" s="16" t="s">
        <v>3404</v>
      </c>
      <c r="D6379" s="16" t="s">
        <v>3409</v>
      </c>
    </row>
    <row r="6380" spans="1:4">
      <c r="A6380" s="16">
        <v>6700100000</v>
      </c>
      <c r="B6380" s="16">
        <v>0</v>
      </c>
      <c r="C6380" s="16" t="s">
        <v>3404</v>
      </c>
      <c r="D6380" s="16" t="s">
        <v>3410</v>
      </c>
    </row>
    <row r="6381" spans="1:4">
      <c r="A6381" s="16">
        <v>4203000000</v>
      </c>
      <c r="B6381" s="16">
        <v>0</v>
      </c>
      <c r="C6381" s="16" t="s">
        <v>3408</v>
      </c>
      <c r="D6381" s="16" t="s">
        <v>3403</v>
      </c>
    </row>
    <row r="6382" spans="1:4">
      <c r="A6382" s="16">
        <v>6610000000</v>
      </c>
      <c r="B6382" s="16">
        <v>0</v>
      </c>
      <c r="C6382" s="16" t="s">
        <v>3413</v>
      </c>
      <c r="D6382" s="16" t="s">
        <v>3418</v>
      </c>
    </row>
    <row r="6383" spans="1:4">
      <c r="A6383" s="16">
        <v>6030000000</v>
      </c>
      <c r="B6383" s="16">
        <v>0</v>
      </c>
      <c r="C6383" s="16" t="s">
        <v>3420</v>
      </c>
      <c r="D6383" s="16" t="s">
        <v>3423</v>
      </c>
    </row>
    <row r="6384" spans="1:4">
      <c r="A6384" s="16">
        <v>2500000000</v>
      </c>
      <c r="B6384" s="16">
        <v>0</v>
      </c>
      <c r="C6384" s="16" t="s">
        <v>3412</v>
      </c>
      <c r="D6384" s="16" t="s">
        <v>3403</v>
      </c>
    </row>
    <row r="6385" spans="1:4">
      <c r="A6385" s="16">
        <v>6060110000</v>
      </c>
      <c r="B6385" s="16">
        <v>0</v>
      </c>
      <c r="C6385" s="16" t="s">
        <v>3420</v>
      </c>
      <c r="D6385" s="16" t="s">
        <v>3421</v>
      </c>
    </row>
    <row r="6386" spans="1:4">
      <c r="A6386" s="16">
        <v>3103001000</v>
      </c>
      <c r="B6386" s="16">
        <v>0</v>
      </c>
      <c r="C6386" s="16" t="s">
        <v>3402</v>
      </c>
      <c r="D6386" s="16" t="s">
        <v>3403</v>
      </c>
    </row>
    <row r="6387" spans="1:4">
      <c r="A6387" s="16">
        <v>3032000000</v>
      </c>
      <c r="B6387" s="16">
        <v>0</v>
      </c>
      <c r="C6387" s="16" t="s">
        <v>3424</v>
      </c>
      <c r="D6387" s="16" t="s">
        <v>3403</v>
      </c>
    </row>
    <row r="6388" spans="1:4">
      <c r="A6388" s="16">
        <v>6100000000</v>
      </c>
      <c r="B6388" s="16">
        <v>61494</v>
      </c>
      <c r="C6388" s="16" t="s">
        <v>3427</v>
      </c>
      <c r="D6388" s="16" t="s">
        <v>3417</v>
      </c>
    </row>
    <row r="6389" spans="1:4">
      <c r="A6389" s="16">
        <v>6610100000</v>
      </c>
      <c r="B6389" s="16">
        <v>0</v>
      </c>
      <c r="C6389" s="16" t="s">
        <v>3413</v>
      </c>
      <c r="D6389" s="16" t="s">
        <v>3414</v>
      </c>
    </row>
    <row r="6390" spans="1:4">
      <c r="A6390" s="16">
        <v>6700500000</v>
      </c>
      <c r="B6390" s="16">
        <v>0</v>
      </c>
      <c r="C6390" s="16" t="s">
        <v>3404</v>
      </c>
      <c r="D6390" s="16" t="s">
        <v>3405</v>
      </c>
    </row>
    <row r="6391" spans="1:4">
      <c r="A6391" s="16">
        <v>6100000020</v>
      </c>
      <c r="B6391" s="16">
        <v>0</v>
      </c>
      <c r="C6391" s="16" t="s">
        <v>3416</v>
      </c>
      <c r="D6391" s="16" t="s">
        <v>3417</v>
      </c>
    </row>
    <row r="6392" spans="1:4">
      <c r="A6392" s="16">
        <v>6060010000</v>
      </c>
      <c r="B6392" s="16">
        <v>20179339</v>
      </c>
      <c r="C6392" s="16" t="s">
        <v>3420</v>
      </c>
      <c r="D6392" s="16" t="s">
        <v>3421</v>
      </c>
    </row>
    <row r="6393" spans="1:4">
      <c r="A6393" s="16">
        <v>4203000000</v>
      </c>
      <c r="B6393" s="16">
        <v>0</v>
      </c>
      <c r="C6393" s="16" t="s">
        <v>3408</v>
      </c>
      <c r="D6393" s="16" t="s">
        <v>3403</v>
      </c>
    </row>
    <row r="6394" spans="1:4">
      <c r="A6394" s="16">
        <v>6610000000</v>
      </c>
      <c r="B6394" s="16">
        <v>0</v>
      </c>
      <c r="C6394" s="16" t="s">
        <v>3413</v>
      </c>
      <c r="D6394" s="16" t="s">
        <v>3418</v>
      </c>
    </row>
    <row r="6395" spans="1:4">
      <c r="A6395" s="16">
        <v>6610000000</v>
      </c>
      <c r="B6395" s="16">
        <v>0</v>
      </c>
      <c r="C6395" s="16" t="s">
        <v>3413</v>
      </c>
      <c r="D6395" s="16" t="s">
        <v>3418</v>
      </c>
    </row>
    <row r="6396" spans="1:4">
      <c r="A6396" s="16">
        <v>2750010000</v>
      </c>
      <c r="B6396" s="16">
        <v>5693</v>
      </c>
      <c r="C6396" s="16" t="s">
        <v>3419</v>
      </c>
      <c r="D6396" s="16" t="s">
        <v>3403</v>
      </c>
    </row>
    <row r="6397" spans="1:4">
      <c r="A6397" s="16">
        <v>3030000000</v>
      </c>
      <c r="B6397" s="16">
        <v>0</v>
      </c>
      <c r="C6397" s="16" t="s">
        <v>3402</v>
      </c>
      <c r="D6397" s="16" t="s">
        <v>3403</v>
      </c>
    </row>
    <row r="6398" spans="1:4">
      <c r="A6398" s="16">
        <v>6104000000</v>
      </c>
      <c r="B6398" s="16">
        <v>0</v>
      </c>
      <c r="C6398" s="16" t="s">
        <v>3416</v>
      </c>
      <c r="D6398" s="16" t="s">
        <v>3417</v>
      </c>
    </row>
    <row r="6399" spans="1:4">
      <c r="A6399" s="16">
        <v>5010100000</v>
      </c>
      <c r="B6399" s="16">
        <v>0</v>
      </c>
      <c r="C6399" s="16" t="s">
        <v>3406</v>
      </c>
      <c r="D6399" s="16" t="s">
        <v>3407</v>
      </c>
    </row>
    <row r="6400" spans="1:4">
      <c r="A6400" s="16">
        <v>2750010000</v>
      </c>
      <c r="B6400" s="16">
        <v>0</v>
      </c>
      <c r="C6400" s="16" t="s">
        <v>3419</v>
      </c>
      <c r="D6400" s="16" t="s">
        <v>3403</v>
      </c>
    </row>
    <row r="6401" spans="1:4">
      <c r="A6401" s="16">
        <v>6032000000</v>
      </c>
      <c r="B6401" s="16">
        <v>0</v>
      </c>
      <c r="C6401" s="16" t="s">
        <v>3429</v>
      </c>
      <c r="D6401" s="16" t="s">
        <v>3430</v>
      </c>
    </row>
    <row r="6402" spans="1:4">
      <c r="A6402" s="16">
        <v>6700600000</v>
      </c>
      <c r="B6402" s="16">
        <v>0</v>
      </c>
      <c r="C6402" s="16" t="s">
        <v>3404</v>
      </c>
      <c r="D6402" s="16" t="s">
        <v>3409</v>
      </c>
    </row>
    <row r="6403" spans="1:4">
      <c r="A6403" s="16">
        <v>3100000000</v>
      </c>
      <c r="B6403" s="16">
        <v>-61494</v>
      </c>
      <c r="C6403" s="16" t="s">
        <v>3402</v>
      </c>
      <c r="D6403" s="16" t="s">
        <v>3403</v>
      </c>
    </row>
    <row r="6404" spans="1:4">
      <c r="A6404" s="16">
        <v>2201000000</v>
      </c>
      <c r="B6404" s="16">
        <v>77822</v>
      </c>
      <c r="C6404" s="16" t="s">
        <v>3415</v>
      </c>
      <c r="D6404" s="16" t="s">
        <v>3403</v>
      </c>
    </row>
    <row r="6405" spans="1:4">
      <c r="A6405" s="16">
        <v>4203000000</v>
      </c>
      <c r="B6405" s="16">
        <v>0</v>
      </c>
      <c r="C6405" s="16" t="s">
        <v>3408</v>
      </c>
      <c r="D6405" s="16" t="s">
        <v>3403</v>
      </c>
    </row>
    <row r="6406" spans="1:4">
      <c r="A6406" s="16">
        <v>3810000000</v>
      </c>
      <c r="B6406" s="16">
        <v>0</v>
      </c>
      <c r="C6406" s="16" t="s">
        <v>3402</v>
      </c>
      <c r="D6406" s="16" t="s">
        <v>3403</v>
      </c>
    </row>
    <row r="6407" spans="1:4">
      <c r="A6407" s="16">
        <v>5052000000</v>
      </c>
      <c r="B6407" s="16">
        <v>-20179339</v>
      </c>
      <c r="C6407" s="16" t="s">
        <v>3406</v>
      </c>
      <c r="D6407" s="16" t="s">
        <v>3422</v>
      </c>
    </row>
    <row r="6408" spans="1:4">
      <c r="A6408" s="16">
        <v>6700700000</v>
      </c>
      <c r="B6408" s="16">
        <v>0</v>
      </c>
      <c r="C6408" s="16" t="s">
        <v>3404</v>
      </c>
      <c r="D6408" s="16" t="s">
        <v>3409</v>
      </c>
    </row>
    <row r="6409" spans="1:4">
      <c r="A6409" s="16">
        <v>6100000020</v>
      </c>
      <c r="B6409" s="16">
        <v>0</v>
      </c>
      <c r="C6409" s="16" t="s">
        <v>3416</v>
      </c>
      <c r="D6409" s="16" t="s">
        <v>3417</v>
      </c>
    </row>
    <row r="6410" spans="1:4">
      <c r="A6410" s="16">
        <v>6610100000</v>
      </c>
      <c r="B6410" s="16">
        <v>0</v>
      </c>
      <c r="C6410" s="16" t="s">
        <v>3413</v>
      </c>
      <c r="D6410" s="16" t="s">
        <v>3414</v>
      </c>
    </row>
    <row r="6411" spans="1:4">
      <c r="A6411" s="16">
        <v>4203000000</v>
      </c>
      <c r="B6411" s="16">
        <v>0</v>
      </c>
      <c r="C6411" s="16" t="s">
        <v>3408</v>
      </c>
      <c r="D6411" s="16" t="s">
        <v>3403</v>
      </c>
    </row>
    <row r="6412" spans="1:4">
      <c r="A6412" s="16">
        <v>6700600000</v>
      </c>
      <c r="B6412" s="16">
        <v>0</v>
      </c>
      <c r="C6412" s="16" t="s">
        <v>3404</v>
      </c>
      <c r="D6412" s="16" t="s">
        <v>3409</v>
      </c>
    </row>
    <row r="6413" spans="1:4">
      <c r="A6413" s="16">
        <v>4203000000</v>
      </c>
      <c r="B6413" s="16">
        <v>0</v>
      </c>
      <c r="C6413" s="16" t="s">
        <v>3408</v>
      </c>
      <c r="D6413" s="16" t="s">
        <v>3403</v>
      </c>
    </row>
    <row r="6414" spans="1:4">
      <c r="A6414" s="16">
        <v>6610100100</v>
      </c>
      <c r="B6414" s="16">
        <v>-5693</v>
      </c>
      <c r="C6414" s="16" t="s">
        <v>3413</v>
      </c>
      <c r="D6414" s="16" t="s">
        <v>3414</v>
      </c>
    </row>
    <row r="6415" spans="1:4">
      <c r="A6415" s="16">
        <v>3102000000</v>
      </c>
      <c r="B6415" s="16">
        <v>0</v>
      </c>
      <c r="C6415" s="16" t="s">
        <v>3424</v>
      </c>
      <c r="D6415" s="16" t="s">
        <v>3403</v>
      </c>
    </row>
    <row r="6416" spans="1:4">
      <c r="A6416" s="16">
        <v>3103000000</v>
      </c>
      <c r="B6416" s="16">
        <v>0</v>
      </c>
      <c r="C6416" s="16" t="s">
        <v>3402</v>
      </c>
      <c r="D6416" s="16" t="s">
        <v>3403</v>
      </c>
    </row>
    <row r="6417" spans="1:4">
      <c r="A6417" s="16">
        <v>6610000100</v>
      </c>
      <c r="B6417" s="16">
        <v>0</v>
      </c>
      <c r="C6417" s="16" t="s">
        <v>3413</v>
      </c>
      <c r="D6417" s="16" t="s">
        <v>3418</v>
      </c>
    </row>
    <row r="6418" spans="1:4">
      <c r="A6418" s="16">
        <v>6610100000</v>
      </c>
      <c r="B6418" s="16">
        <v>0</v>
      </c>
      <c r="C6418" s="16" t="s">
        <v>3413</v>
      </c>
      <c r="D6418" s="16" t="s">
        <v>3414</v>
      </c>
    </row>
    <row r="6419" spans="1:4">
      <c r="A6419" s="16">
        <v>6700400000</v>
      </c>
      <c r="B6419" s="16">
        <v>0</v>
      </c>
      <c r="C6419" s="16" t="s">
        <v>3404</v>
      </c>
      <c r="D6419" s="16" t="s">
        <v>3405</v>
      </c>
    </row>
    <row r="6420" spans="1:4">
      <c r="A6420" s="16">
        <v>2750010000</v>
      </c>
      <c r="B6420" s="16">
        <v>123</v>
      </c>
      <c r="C6420" s="16" t="s">
        <v>3419</v>
      </c>
      <c r="D6420" s="16" t="s">
        <v>3403</v>
      </c>
    </row>
    <row r="6421" spans="1:4">
      <c r="A6421" s="16">
        <v>6700200000</v>
      </c>
      <c r="B6421" s="16">
        <v>-77822</v>
      </c>
      <c r="C6421" s="16" t="s">
        <v>3404</v>
      </c>
      <c r="D6421" s="16" t="s">
        <v>3409</v>
      </c>
    </row>
    <row r="6422" spans="1:4">
      <c r="A6422" s="16">
        <v>6700700000</v>
      </c>
      <c r="B6422" s="16">
        <v>0</v>
      </c>
      <c r="C6422" s="16" t="s">
        <v>3404</v>
      </c>
      <c r="D6422" s="16" t="s">
        <v>3409</v>
      </c>
    </row>
    <row r="6423" spans="1:4">
      <c r="A6423" s="16">
        <v>6610100000</v>
      </c>
      <c r="B6423" s="16">
        <v>0</v>
      </c>
      <c r="C6423" s="16" t="s">
        <v>3413</v>
      </c>
      <c r="D6423" s="16" t="s">
        <v>3414</v>
      </c>
    </row>
    <row r="6424" spans="1:4">
      <c r="A6424" s="16">
        <v>3032000000</v>
      </c>
      <c r="B6424" s="16">
        <v>0</v>
      </c>
      <c r="C6424" s="16" t="s">
        <v>3424</v>
      </c>
      <c r="D6424" s="16" t="s">
        <v>3403</v>
      </c>
    </row>
    <row r="6425" spans="1:4">
      <c r="A6425" s="16">
        <v>6700500000</v>
      </c>
      <c r="B6425" s="16">
        <v>0</v>
      </c>
      <c r="C6425" s="16" t="s">
        <v>3404</v>
      </c>
      <c r="D6425" s="16" t="s">
        <v>3405</v>
      </c>
    </row>
    <row r="6426" spans="1:4">
      <c r="A6426" s="16">
        <v>3810000000</v>
      </c>
      <c r="B6426" s="16">
        <v>0</v>
      </c>
      <c r="C6426" s="16" t="s">
        <v>3402</v>
      </c>
      <c r="D6426" s="16" t="s">
        <v>3403</v>
      </c>
    </row>
    <row r="6427" spans="1:4">
      <c r="A6427" s="16">
        <v>4203000000</v>
      </c>
      <c r="B6427" s="16">
        <v>0</v>
      </c>
      <c r="C6427" s="16" t="s">
        <v>3408</v>
      </c>
      <c r="D6427" s="16" t="s">
        <v>3403</v>
      </c>
    </row>
    <row r="6428" spans="1:4">
      <c r="A6428" s="16">
        <v>6700400000</v>
      </c>
      <c r="B6428" s="16">
        <v>0</v>
      </c>
      <c r="C6428" s="16" t="s">
        <v>3404</v>
      </c>
      <c r="D6428" s="16" t="s">
        <v>3405</v>
      </c>
    </row>
    <row r="6429" spans="1:4">
      <c r="A6429" s="16">
        <v>6102000000</v>
      </c>
      <c r="B6429" s="16">
        <v>0</v>
      </c>
      <c r="C6429" s="16" t="s">
        <v>3425</v>
      </c>
      <c r="D6429" s="16" t="s">
        <v>3426</v>
      </c>
    </row>
    <row r="6430" spans="1:4">
      <c r="A6430" s="16">
        <v>3102000000</v>
      </c>
      <c r="B6430" s="16">
        <v>0</v>
      </c>
      <c r="C6430" s="16" t="s">
        <v>3424</v>
      </c>
      <c r="D6430" s="16" t="s">
        <v>3403</v>
      </c>
    </row>
    <row r="6431" spans="1:4">
      <c r="A6431" s="16">
        <v>4203000000</v>
      </c>
      <c r="B6431" s="16">
        <v>0</v>
      </c>
      <c r="C6431" s="16" t="s">
        <v>3408</v>
      </c>
      <c r="D6431" s="16" t="s">
        <v>3403</v>
      </c>
    </row>
    <row r="6432" spans="1:4">
      <c r="A6432" s="16">
        <v>6610100100</v>
      </c>
      <c r="B6432" s="16">
        <v>-123</v>
      </c>
      <c r="C6432" s="16" t="s">
        <v>3413</v>
      </c>
      <c r="D6432" s="16" t="s">
        <v>3414</v>
      </c>
    </row>
    <row r="6433" spans="1:4">
      <c r="A6433" s="16">
        <v>6700500000</v>
      </c>
      <c r="B6433" s="16">
        <v>0</v>
      </c>
      <c r="C6433" s="16" t="s">
        <v>3404</v>
      </c>
      <c r="D6433" s="16" t="s">
        <v>3405</v>
      </c>
    </row>
    <row r="6434" spans="1:4">
      <c r="A6434" s="16">
        <v>4203000000</v>
      </c>
      <c r="B6434" s="16">
        <v>0</v>
      </c>
      <c r="C6434" s="16" t="s">
        <v>3408</v>
      </c>
      <c r="D6434" s="16" t="s">
        <v>3403</v>
      </c>
    </row>
    <row r="6435" spans="1:4">
      <c r="A6435" s="16">
        <v>6032000000</v>
      </c>
      <c r="B6435" s="16">
        <v>0</v>
      </c>
      <c r="C6435" s="16" t="s">
        <v>3429</v>
      </c>
      <c r="D6435" s="16" t="s">
        <v>3430</v>
      </c>
    </row>
    <row r="6436" spans="1:4">
      <c r="A6436" s="16">
        <v>2750010000</v>
      </c>
      <c r="B6436" s="16">
        <v>0</v>
      </c>
      <c r="C6436" s="16" t="s">
        <v>3419</v>
      </c>
      <c r="D6436" s="16" t="s">
        <v>3403</v>
      </c>
    </row>
    <row r="6437" spans="1:4">
      <c r="A6437" s="16">
        <v>3102000000</v>
      </c>
      <c r="B6437" s="16">
        <v>0</v>
      </c>
      <c r="C6437" s="16" t="s">
        <v>3424</v>
      </c>
      <c r="D6437" s="16" t="s">
        <v>3403</v>
      </c>
    </row>
    <row r="6438" spans="1:4">
      <c r="A6438" s="16">
        <v>3102000000</v>
      </c>
      <c r="B6438" s="16">
        <v>20129</v>
      </c>
      <c r="C6438" s="16" t="s">
        <v>3424</v>
      </c>
      <c r="D6438" s="16" t="s">
        <v>3403</v>
      </c>
    </row>
    <row r="6439" spans="1:4">
      <c r="A6439" s="16">
        <v>6102000000</v>
      </c>
      <c r="B6439" s="16">
        <v>0</v>
      </c>
      <c r="C6439" s="16" t="s">
        <v>3425</v>
      </c>
      <c r="D6439" s="16" t="s">
        <v>3426</v>
      </c>
    </row>
    <row r="6440" spans="1:4">
      <c r="A6440" s="16">
        <v>6610000000</v>
      </c>
      <c r="B6440" s="16">
        <v>58162</v>
      </c>
      <c r="C6440" s="16" t="s">
        <v>3413</v>
      </c>
      <c r="D6440" s="16" t="s">
        <v>3418</v>
      </c>
    </row>
    <row r="6441" spans="1:4">
      <c r="A6441" s="16">
        <v>6104001000</v>
      </c>
      <c r="B6441" s="16">
        <v>0</v>
      </c>
      <c r="C6441" s="16" t="s">
        <v>3416</v>
      </c>
      <c r="D6441" s="16" t="s">
        <v>3417</v>
      </c>
    </row>
    <row r="6442" spans="1:4">
      <c r="A6442" s="16">
        <v>3102000000</v>
      </c>
      <c r="B6442" s="16">
        <v>-154</v>
      </c>
      <c r="C6442" s="16" t="s">
        <v>3424</v>
      </c>
      <c r="D6442" s="16" t="s">
        <v>3403</v>
      </c>
    </row>
    <row r="6443" spans="1:4">
      <c r="A6443" s="16">
        <v>2500000000</v>
      </c>
      <c r="B6443" s="16">
        <v>0</v>
      </c>
      <c r="C6443" s="16" t="s">
        <v>3412</v>
      </c>
      <c r="D6443" s="16" t="s">
        <v>3403</v>
      </c>
    </row>
    <row r="6444" spans="1:4">
      <c r="A6444" s="16">
        <v>5010100010</v>
      </c>
      <c r="B6444" s="16">
        <v>0</v>
      </c>
      <c r="C6444" s="16" t="s">
        <v>3406</v>
      </c>
      <c r="D6444" s="16" t="s">
        <v>3407</v>
      </c>
    </row>
    <row r="6445" spans="1:4">
      <c r="A6445" s="16">
        <v>6610100100</v>
      </c>
      <c r="B6445" s="16">
        <v>0</v>
      </c>
      <c r="C6445" s="16" t="s">
        <v>3413</v>
      </c>
      <c r="D6445" s="16" t="s">
        <v>3414</v>
      </c>
    </row>
    <row r="6446" spans="1:4">
      <c r="A6446" s="16">
        <v>5010000010</v>
      </c>
      <c r="B6446" s="16">
        <v>0</v>
      </c>
      <c r="C6446" s="16" t="s">
        <v>3406</v>
      </c>
      <c r="D6446" s="16" t="s">
        <v>3411</v>
      </c>
    </row>
    <row r="6447" spans="1:4">
      <c r="A6447" s="16">
        <v>6102000000</v>
      </c>
      <c r="B6447" s="16">
        <v>0</v>
      </c>
      <c r="C6447" s="16" t="s">
        <v>3425</v>
      </c>
      <c r="D6447" s="16" t="s">
        <v>3426</v>
      </c>
    </row>
    <row r="6448" spans="1:4">
      <c r="A6448" s="16">
        <v>5050000000</v>
      </c>
      <c r="B6448" s="16">
        <v>0</v>
      </c>
      <c r="C6448" s="16" t="s">
        <v>3406</v>
      </c>
      <c r="D6448" s="16" t="s">
        <v>3422</v>
      </c>
    </row>
    <row r="6449" spans="1:4">
      <c r="A6449" s="16">
        <v>2500000000</v>
      </c>
      <c r="B6449" s="16">
        <v>0</v>
      </c>
      <c r="C6449" s="16" t="s">
        <v>3412</v>
      </c>
      <c r="D6449" s="16" t="s">
        <v>3403</v>
      </c>
    </row>
    <row r="6450" spans="1:4">
      <c r="A6450" s="16">
        <v>6102000000</v>
      </c>
      <c r="B6450" s="16">
        <v>-20129</v>
      </c>
      <c r="C6450" s="16" t="s">
        <v>3425</v>
      </c>
      <c r="D6450" s="16" t="s">
        <v>3426</v>
      </c>
    </row>
    <row r="6451" spans="1:4">
      <c r="A6451" s="16">
        <v>4203000000</v>
      </c>
      <c r="B6451" s="16">
        <v>-58162</v>
      </c>
      <c r="C6451" s="16" t="s">
        <v>3408</v>
      </c>
      <c r="D6451" s="16" t="s">
        <v>3403</v>
      </c>
    </row>
    <row r="6452" spans="1:4">
      <c r="A6452" s="16">
        <v>6610100100</v>
      </c>
      <c r="B6452" s="16">
        <v>0</v>
      </c>
      <c r="C6452" s="16" t="s">
        <v>3413</v>
      </c>
      <c r="D6452" s="16" t="s">
        <v>3414</v>
      </c>
    </row>
    <row r="6453" spans="1:4">
      <c r="A6453" s="16">
        <v>6030000000</v>
      </c>
      <c r="B6453" s="16">
        <v>63</v>
      </c>
      <c r="C6453" s="16" t="s">
        <v>3420</v>
      </c>
      <c r="D6453" s="16" t="s">
        <v>3423</v>
      </c>
    </row>
    <row r="6454" spans="1:4">
      <c r="A6454" s="16">
        <v>3030000000</v>
      </c>
      <c r="B6454" s="16">
        <v>-63</v>
      </c>
      <c r="C6454" s="16" t="s">
        <v>3402</v>
      </c>
      <c r="D6454" s="16" t="s">
        <v>3403</v>
      </c>
    </row>
    <row r="6455" spans="1:4">
      <c r="A6455" s="16">
        <v>6104001000</v>
      </c>
      <c r="B6455" s="16">
        <v>-544015252</v>
      </c>
      <c r="C6455" s="16" t="s">
        <v>3416</v>
      </c>
      <c r="D6455" s="16" t="s">
        <v>3417</v>
      </c>
    </row>
    <row r="6456" spans="1:4">
      <c r="A6456" s="16">
        <v>3103001000</v>
      </c>
      <c r="B6456" s="16">
        <v>544015252</v>
      </c>
      <c r="C6456" s="16" t="s">
        <v>3402</v>
      </c>
      <c r="D6456" s="16" t="s">
        <v>3403</v>
      </c>
    </row>
    <row r="6457" spans="1:4">
      <c r="A6457" s="16">
        <v>6030000000</v>
      </c>
      <c r="B6457" s="16">
        <v>0</v>
      </c>
      <c r="C6457" s="16" t="s">
        <v>3420</v>
      </c>
      <c r="D6457" s="16" t="s">
        <v>3423</v>
      </c>
    </row>
    <row r="6458" spans="1:4">
      <c r="A6458" s="16">
        <v>3030000000</v>
      </c>
      <c r="B6458" s="16">
        <v>0</v>
      </c>
      <c r="C6458" s="16" t="s">
        <v>3402</v>
      </c>
      <c r="D6458" s="16" t="s">
        <v>3403</v>
      </c>
    </row>
    <row r="6459" spans="1:4">
      <c r="A6459" s="16">
        <v>2500000000</v>
      </c>
      <c r="B6459" s="16">
        <v>0</v>
      </c>
      <c r="C6459" s="16" t="s">
        <v>3412</v>
      </c>
      <c r="D6459" s="16" t="s">
        <v>3403</v>
      </c>
    </row>
    <row r="6460" spans="1:4">
      <c r="A6460" s="16">
        <v>5010100000</v>
      </c>
      <c r="B6460" s="16">
        <v>0</v>
      </c>
      <c r="C6460" s="16" t="s">
        <v>3406</v>
      </c>
      <c r="D6460" s="16" t="s">
        <v>3407</v>
      </c>
    </row>
    <row r="6461" spans="1:4">
      <c r="A6461" s="16">
        <v>2500000000</v>
      </c>
      <c r="B6461" s="16">
        <v>0</v>
      </c>
      <c r="C6461" s="16" t="s">
        <v>3412</v>
      </c>
      <c r="D6461" s="16" t="s">
        <v>3403</v>
      </c>
    </row>
    <row r="6462" spans="1:4">
      <c r="A6462" s="16">
        <v>5010100000</v>
      </c>
      <c r="B6462" s="16">
        <v>0</v>
      </c>
      <c r="C6462" s="16" t="s">
        <v>3406</v>
      </c>
      <c r="D6462" s="16" t="s">
        <v>3407</v>
      </c>
    </row>
    <row r="6463" spans="1:4">
      <c r="A6463" s="16">
        <v>6104000000</v>
      </c>
      <c r="B6463" s="16">
        <v>0</v>
      </c>
      <c r="C6463" s="16" t="s">
        <v>3416</v>
      </c>
      <c r="D6463" s="16" t="s">
        <v>3417</v>
      </c>
    </row>
    <row r="6464" spans="1:4">
      <c r="A6464" s="16">
        <v>3103000000</v>
      </c>
      <c r="B6464" s="16">
        <v>0</v>
      </c>
      <c r="C6464" s="16" t="s">
        <v>3402</v>
      </c>
      <c r="D6464" s="16" t="s">
        <v>3403</v>
      </c>
    </row>
    <row r="6465" spans="1:4">
      <c r="A6465" s="16">
        <v>6700200000</v>
      </c>
      <c r="B6465" s="16">
        <v>0</v>
      </c>
      <c r="C6465" s="16" t="s">
        <v>3404</v>
      </c>
      <c r="D6465" s="16" t="s">
        <v>3409</v>
      </c>
    </row>
    <row r="6466" spans="1:4">
      <c r="A6466" s="16">
        <v>6700100000</v>
      </c>
      <c r="B6466" s="16">
        <v>0</v>
      </c>
      <c r="C6466" s="16" t="s">
        <v>3404</v>
      </c>
      <c r="D6466" s="16" t="s">
        <v>3410</v>
      </c>
    </row>
    <row r="6467" spans="1:4">
      <c r="A6467" s="16">
        <v>6610000000</v>
      </c>
      <c r="B6467" s="16">
        <v>0</v>
      </c>
      <c r="C6467" s="16" t="s">
        <v>3413</v>
      </c>
      <c r="D6467" s="16" t="s">
        <v>3418</v>
      </c>
    </row>
    <row r="6468" spans="1:4">
      <c r="A6468" s="16">
        <v>4203000000</v>
      </c>
      <c r="B6468" s="16">
        <v>0</v>
      </c>
      <c r="C6468" s="16" t="s">
        <v>3408</v>
      </c>
      <c r="D6468" s="16" t="s">
        <v>3403</v>
      </c>
    </row>
    <row r="6469" spans="1:4">
      <c r="A6469" s="16">
        <v>5010100010</v>
      </c>
      <c r="B6469" s="16">
        <v>0</v>
      </c>
      <c r="C6469" s="16" t="s">
        <v>3406</v>
      </c>
      <c r="D6469" s="16" t="s">
        <v>3407</v>
      </c>
    </row>
    <row r="6470" spans="1:4">
      <c r="A6470" s="16">
        <v>3710000000</v>
      </c>
      <c r="B6470" s="16">
        <v>0</v>
      </c>
      <c r="C6470" s="16" t="s">
        <v>3402</v>
      </c>
      <c r="D6470" s="16" t="s">
        <v>3403</v>
      </c>
    </row>
    <row r="6471" spans="1:4">
      <c r="A6471" s="16">
        <v>6030000000</v>
      </c>
      <c r="B6471" s="16">
        <v>0</v>
      </c>
      <c r="C6471" s="16" t="s">
        <v>3420</v>
      </c>
      <c r="D6471" s="16" t="s">
        <v>3423</v>
      </c>
    </row>
    <row r="6472" spans="1:4">
      <c r="A6472" s="16">
        <v>3030000000</v>
      </c>
      <c r="B6472" s="16">
        <v>0</v>
      </c>
      <c r="C6472" s="16" t="s">
        <v>3402</v>
      </c>
      <c r="D6472" s="16" t="s">
        <v>3403</v>
      </c>
    </row>
    <row r="6473" spans="1:4">
      <c r="A6473" s="16">
        <v>2500000000</v>
      </c>
      <c r="B6473" s="16">
        <v>0</v>
      </c>
      <c r="C6473" s="16" t="s">
        <v>3412</v>
      </c>
      <c r="D6473" s="16" t="s">
        <v>3403</v>
      </c>
    </row>
    <row r="6474" spans="1:4">
      <c r="A6474" s="16">
        <v>5010000000</v>
      </c>
      <c r="B6474" s="16">
        <v>0</v>
      </c>
      <c r="C6474" s="16" t="s">
        <v>3406</v>
      </c>
      <c r="D6474" s="16" t="s">
        <v>3411</v>
      </c>
    </row>
    <row r="6475" spans="1:4">
      <c r="A6475" s="16">
        <v>3102000000</v>
      </c>
      <c r="B6475" s="16">
        <v>1742989139</v>
      </c>
      <c r="C6475" s="16" t="s">
        <v>3424</v>
      </c>
      <c r="D6475" s="16" t="s">
        <v>3403</v>
      </c>
    </row>
    <row r="6476" spans="1:4">
      <c r="A6476" s="16">
        <v>6102000000</v>
      </c>
      <c r="B6476" s="16">
        <v>-1742989139</v>
      </c>
      <c r="C6476" s="16" t="s">
        <v>3425</v>
      </c>
      <c r="D6476" s="16" t="s">
        <v>3426</v>
      </c>
    </row>
    <row r="6477" spans="1:4">
      <c r="A6477" s="16">
        <v>3102000000</v>
      </c>
      <c r="B6477" s="16">
        <v>0</v>
      </c>
      <c r="C6477" s="16" t="s">
        <v>3424</v>
      </c>
      <c r="D6477" s="16" t="s">
        <v>3403</v>
      </c>
    </row>
    <row r="6478" spans="1:4">
      <c r="A6478" s="16">
        <v>6102000000</v>
      </c>
      <c r="B6478" s="16">
        <v>0</v>
      </c>
      <c r="C6478" s="16" t="s">
        <v>3425</v>
      </c>
      <c r="D6478" s="16" t="s">
        <v>3426</v>
      </c>
    </row>
    <row r="6479" spans="1:4">
      <c r="A6479" s="16">
        <v>3102000000</v>
      </c>
      <c r="B6479" s="16">
        <v>0</v>
      </c>
      <c r="C6479" s="16" t="s">
        <v>3424</v>
      </c>
      <c r="D6479" s="16" t="s">
        <v>3403</v>
      </c>
    </row>
    <row r="6480" spans="1:4">
      <c r="A6480" s="16">
        <v>6102000000</v>
      </c>
      <c r="B6480" s="16">
        <v>0</v>
      </c>
      <c r="C6480" s="16" t="s">
        <v>3425</v>
      </c>
      <c r="D6480" s="16" t="s">
        <v>3426</v>
      </c>
    </row>
    <row r="6481" spans="1:4">
      <c r="A6481" s="16">
        <v>6100000000</v>
      </c>
      <c r="B6481" s="16">
        <v>0</v>
      </c>
      <c r="C6481" s="16" t="s">
        <v>3416</v>
      </c>
      <c r="D6481" s="16" t="s">
        <v>3417</v>
      </c>
    </row>
    <row r="6482" spans="1:4">
      <c r="A6482" s="16">
        <v>3100000000</v>
      </c>
      <c r="B6482" s="16">
        <v>0</v>
      </c>
      <c r="C6482" s="16" t="s">
        <v>3402</v>
      </c>
      <c r="D6482" s="16" t="s">
        <v>3403</v>
      </c>
    </row>
    <row r="6483" spans="1:4">
      <c r="A6483" s="16">
        <v>6700700000</v>
      </c>
      <c r="B6483" s="16">
        <v>0</v>
      </c>
      <c r="C6483" s="16" t="s">
        <v>3404</v>
      </c>
      <c r="D6483" s="16" t="s">
        <v>3409</v>
      </c>
    </row>
    <row r="6484" spans="1:4">
      <c r="A6484" s="16">
        <v>6700500000</v>
      </c>
      <c r="B6484" s="16">
        <v>0</v>
      </c>
      <c r="C6484" s="16" t="s">
        <v>3404</v>
      </c>
      <c r="D6484" s="16" t="s">
        <v>3405</v>
      </c>
    </row>
    <row r="6485" spans="1:4">
      <c r="A6485" s="16">
        <v>2500000000</v>
      </c>
      <c r="B6485" s="16">
        <v>0</v>
      </c>
      <c r="C6485" s="16" t="s">
        <v>3412</v>
      </c>
      <c r="D6485" s="16" t="s">
        <v>3403</v>
      </c>
    </row>
    <row r="6486" spans="1:4">
      <c r="A6486" s="16">
        <v>5010000000</v>
      </c>
      <c r="B6486" s="16">
        <v>0</v>
      </c>
      <c r="C6486" s="16" t="s">
        <v>3406</v>
      </c>
      <c r="D6486" s="16" t="s">
        <v>3411</v>
      </c>
    </row>
    <row r="6487" spans="1:4">
      <c r="A6487" s="16">
        <v>6610100000</v>
      </c>
      <c r="B6487" s="16">
        <v>0</v>
      </c>
      <c r="C6487" s="16" t="s">
        <v>3413</v>
      </c>
      <c r="D6487" s="16" t="s">
        <v>3414</v>
      </c>
    </row>
    <row r="6488" spans="1:4">
      <c r="A6488" s="16">
        <v>4203000000</v>
      </c>
      <c r="B6488" s="16">
        <v>0</v>
      </c>
      <c r="C6488" s="16" t="s">
        <v>3408</v>
      </c>
      <c r="D6488" s="16" t="s">
        <v>3403</v>
      </c>
    </row>
    <row r="6489" spans="1:4">
      <c r="A6489" s="16">
        <v>6030000000</v>
      </c>
      <c r="B6489" s="16">
        <v>42388388</v>
      </c>
      <c r="C6489" s="16" t="s">
        <v>3432</v>
      </c>
      <c r="D6489" s="16" t="s">
        <v>3423</v>
      </c>
    </row>
    <row r="6490" spans="1:4">
      <c r="A6490" s="16">
        <v>3030000000</v>
      </c>
      <c r="B6490" s="16">
        <v>-42388388</v>
      </c>
      <c r="C6490" s="16" t="s">
        <v>3402</v>
      </c>
      <c r="D6490" s="16" t="s">
        <v>3403</v>
      </c>
    </row>
    <row r="6491" spans="1:4">
      <c r="A6491" s="16">
        <v>2750010000</v>
      </c>
      <c r="B6491" s="16">
        <v>574660</v>
      </c>
      <c r="C6491" s="16" t="s">
        <v>3419</v>
      </c>
      <c r="D6491" s="16" t="s">
        <v>3403</v>
      </c>
    </row>
    <row r="6492" spans="1:4">
      <c r="A6492" s="16">
        <v>6610000100</v>
      </c>
      <c r="B6492" s="16">
        <v>-574660</v>
      </c>
      <c r="C6492" s="16" t="s">
        <v>3413</v>
      </c>
      <c r="D6492" s="16" t="s">
        <v>3418</v>
      </c>
    </row>
    <row r="6493" spans="1:4">
      <c r="A6493" s="16">
        <v>2500000000</v>
      </c>
      <c r="B6493" s="16">
        <v>0</v>
      </c>
      <c r="C6493" s="16" t="s">
        <v>3412</v>
      </c>
      <c r="D6493" s="16" t="s">
        <v>3403</v>
      </c>
    </row>
    <row r="6494" spans="1:4">
      <c r="A6494" s="16">
        <v>5010100000</v>
      </c>
      <c r="B6494" s="16">
        <v>0</v>
      </c>
      <c r="C6494" s="16" t="s">
        <v>3406</v>
      </c>
      <c r="D6494" s="16" t="s">
        <v>3407</v>
      </c>
    </row>
    <row r="6495" spans="1:4">
      <c r="A6495" s="16">
        <v>6700600000</v>
      </c>
      <c r="B6495" s="16">
        <v>0</v>
      </c>
      <c r="C6495" s="16" t="s">
        <v>3404</v>
      </c>
      <c r="D6495" s="16" t="s">
        <v>3409</v>
      </c>
    </row>
    <row r="6496" spans="1:4">
      <c r="A6496" s="16">
        <v>6700400000</v>
      </c>
      <c r="B6496" s="16">
        <v>0</v>
      </c>
      <c r="C6496" s="16" t="s">
        <v>3404</v>
      </c>
      <c r="D6496" s="16" t="s">
        <v>3405</v>
      </c>
    </row>
    <row r="6497" spans="1:4">
      <c r="A6497" s="16">
        <v>6104000000</v>
      </c>
      <c r="B6497" s="16">
        <v>0</v>
      </c>
      <c r="C6497" s="16" t="s">
        <v>3416</v>
      </c>
      <c r="D6497" s="16" t="s">
        <v>3417</v>
      </c>
    </row>
    <row r="6498" spans="1:4">
      <c r="A6498" s="16">
        <v>3103000000</v>
      </c>
      <c r="B6498" s="16">
        <v>0</v>
      </c>
      <c r="C6498" s="16" t="s">
        <v>3402</v>
      </c>
      <c r="D6498" s="16" t="s">
        <v>3403</v>
      </c>
    </row>
    <row r="6499" spans="1:4">
      <c r="A6499" s="16">
        <v>6700700000</v>
      </c>
      <c r="B6499" s="16">
        <v>0</v>
      </c>
      <c r="C6499" s="16" t="s">
        <v>3404</v>
      </c>
      <c r="D6499" s="16" t="s">
        <v>3409</v>
      </c>
    </row>
    <row r="6500" spans="1:4">
      <c r="A6500" s="16">
        <v>6700500000</v>
      </c>
      <c r="B6500" s="16">
        <v>0</v>
      </c>
      <c r="C6500" s="16" t="s">
        <v>3404</v>
      </c>
      <c r="D6500" s="16" t="s">
        <v>3405</v>
      </c>
    </row>
    <row r="6501" spans="1:4">
      <c r="A6501" s="16">
        <v>6030000000</v>
      </c>
      <c r="B6501" s="16">
        <v>0</v>
      </c>
      <c r="C6501" s="16" t="s">
        <v>3420</v>
      </c>
      <c r="D6501" s="16" t="s">
        <v>3423</v>
      </c>
    </row>
    <row r="6502" spans="1:4">
      <c r="A6502" s="16">
        <v>3030000000</v>
      </c>
      <c r="B6502" s="16">
        <v>0</v>
      </c>
      <c r="C6502" s="16" t="s">
        <v>3402</v>
      </c>
      <c r="D6502" s="16" t="s">
        <v>3403</v>
      </c>
    </row>
    <row r="6503" spans="1:4">
      <c r="A6503" s="16">
        <v>2201000000</v>
      </c>
      <c r="B6503" s="16">
        <v>-4354436</v>
      </c>
      <c r="C6503" s="16" t="s">
        <v>3415</v>
      </c>
      <c r="D6503" s="16" t="s">
        <v>3403</v>
      </c>
    </row>
    <row r="6504" spans="1:4">
      <c r="A6504" s="16">
        <v>6700200000</v>
      </c>
      <c r="B6504" s="16">
        <v>4354436</v>
      </c>
      <c r="C6504" s="16" t="s">
        <v>3404</v>
      </c>
      <c r="D6504" s="16" t="s">
        <v>3409</v>
      </c>
    </row>
    <row r="6505" spans="1:4">
      <c r="A6505" s="16">
        <v>6700200000</v>
      </c>
      <c r="B6505" s="16">
        <v>0</v>
      </c>
      <c r="C6505" s="16" t="s">
        <v>3404</v>
      </c>
      <c r="D6505" s="16" t="s">
        <v>3409</v>
      </c>
    </row>
    <row r="6506" spans="1:4">
      <c r="A6506" s="16">
        <v>6700000000</v>
      </c>
      <c r="B6506" s="16">
        <v>0</v>
      </c>
      <c r="C6506" s="16" t="s">
        <v>3404</v>
      </c>
      <c r="D6506" s="16" t="s">
        <v>3405</v>
      </c>
    </row>
    <row r="6507" spans="1:4">
      <c r="A6507" s="16">
        <v>6700200000</v>
      </c>
      <c r="B6507" s="16">
        <v>0</v>
      </c>
      <c r="C6507" s="16" t="s">
        <v>3404</v>
      </c>
      <c r="D6507" s="16" t="s">
        <v>3409</v>
      </c>
    </row>
    <row r="6508" spans="1:4">
      <c r="A6508" s="16">
        <v>6700000000</v>
      </c>
      <c r="B6508" s="16">
        <v>0</v>
      </c>
      <c r="C6508" s="16" t="s">
        <v>3404</v>
      </c>
      <c r="D6508" s="16" t="s">
        <v>3405</v>
      </c>
    </row>
    <row r="6509" spans="1:4">
      <c r="A6509" s="16">
        <v>3032000000</v>
      </c>
      <c r="B6509" s="16">
        <v>0</v>
      </c>
      <c r="C6509" s="16" t="s">
        <v>3424</v>
      </c>
      <c r="D6509" s="16" t="s">
        <v>3403</v>
      </c>
    </row>
    <row r="6510" spans="1:4">
      <c r="A6510" s="16">
        <v>6032000000</v>
      </c>
      <c r="B6510" s="16">
        <v>0</v>
      </c>
      <c r="C6510" s="16" t="s">
        <v>3429</v>
      </c>
      <c r="D6510" s="16" t="s">
        <v>3430</v>
      </c>
    </row>
    <row r="6511" spans="1:4">
      <c r="A6511" s="16">
        <v>6700200000</v>
      </c>
      <c r="B6511" s="16">
        <v>0</v>
      </c>
      <c r="C6511" s="16" t="s">
        <v>3404</v>
      </c>
      <c r="D6511" s="16" t="s">
        <v>3409</v>
      </c>
    </row>
    <row r="6512" spans="1:4">
      <c r="A6512" s="16">
        <v>6700100000</v>
      </c>
      <c r="B6512" s="16">
        <v>0</v>
      </c>
      <c r="C6512" s="16" t="s">
        <v>3404</v>
      </c>
      <c r="D6512" s="16" t="s">
        <v>3410</v>
      </c>
    </row>
    <row r="6513" spans="1:4">
      <c r="A6513" s="16">
        <v>6610000000</v>
      </c>
      <c r="B6513" s="16">
        <v>0</v>
      </c>
      <c r="C6513" s="16" t="s">
        <v>3413</v>
      </c>
      <c r="D6513" s="16" t="s">
        <v>3418</v>
      </c>
    </row>
    <row r="6514" spans="1:4">
      <c r="A6514" s="16">
        <v>4203000000</v>
      </c>
      <c r="B6514" s="16">
        <v>0</v>
      </c>
      <c r="C6514" s="16" t="s">
        <v>3408</v>
      </c>
      <c r="D6514" s="16" t="s">
        <v>3403</v>
      </c>
    </row>
    <row r="6515" spans="1:4">
      <c r="A6515" s="16">
        <v>2500000000</v>
      </c>
      <c r="B6515" s="16">
        <v>0</v>
      </c>
      <c r="C6515" s="16" t="s">
        <v>3412</v>
      </c>
      <c r="D6515" s="16" t="s">
        <v>3403</v>
      </c>
    </row>
    <row r="6516" spans="1:4">
      <c r="A6516" s="16">
        <v>5010100000</v>
      </c>
      <c r="B6516" s="16">
        <v>0</v>
      </c>
      <c r="C6516" s="16" t="s">
        <v>3406</v>
      </c>
      <c r="D6516" s="16" t="s">
        <v>3407</v>
      </c>
    </row>
    <row r="6517" spans="1:4">
      <c r="A6517" s="16">
        <v>6150000000</v>
      </c>
      <c r="B6517" s="16">
        <v>0</v>
      </c>
      <c r="C6517" s="16" t="s">
        <v>3416</v>
      </c>
      <c r="D6517" s="16" t="s">
        <v>3417</v>
      </c>
    </row>
    <row r="6518" spans="1:4">
      <c r="A6518" s="16">
        <v>3510000000</v>
      </c>
      <c r="B6518" s="16">
        <v>0</v>
      </c>
      <c r="C6518" s="16" t="s">
        <v>3402</v>
      </c>
      <c r="D6518" s="16" t="s">
        <v>3403</v>
      </c>
    </row>
    <row r="6519" spans="1:4">
      <c r="A6519" s="16">
        <v>6100000000</v>
      </c>
      <c r="B6519" s="16">
        <v>0</v>
      </c>
      <c r="C6519" s="16" t="s">
        <v>3427</v>
      </c>
      <c r="D6519" s="16" t="s">
        <v>3417</v>
      </c>
    </row>
    <row r="6520" spans="1:4">
      <c r="A6520" s="16">
        <v>3100000000</v>
      </c>
      <c r="B6520" s="16">
        <v>0</v>
      </c>
      <c r="C6520" s="16" t="s">
        <v>3402</v>
      </c>
      <c r="D6520" s="16" t="s">
        <v>3403</v>
      </c>
    </row>
    <row r="6521" spans="1:4">
      <c r="A6521" s="16">
        <v>2500000000</v>
      </c>
      <c r="B6521" s="16">
        <v>0</v>
      </c>
      <c r="C6521" s="16" t="s">
        <v>3412</v>
      </c>
      <c r="D6521" s="16" t="s">
        <v>3403</v>
      </c>
    </row>
    <row r="6522" spans="1:4">
      <c r="A6522" s="16">
        <v>5010100000</v>
      </c>
      <c r="B6522" s="16">
        <v>0</v>
      </c>
      <c r="C6522" s="16" t="s">
        <v>3406</v>
      </c>
      <c r="D6522" s="16" t="s">
        <v>3407</v>
      </c>
    </row>
    <row r="6523" spans="1:4">
      <c r="A6523" s="16">
        <v>3032000000</v>
      </c>
      <c r="B6523" s="16">
        <v>0</v>
      </c>
      <c r="C6523" s="16" t="s">
        <v>3424</v>
      </c>
      <c r="D6523" s="16" t="s">
        <v>3403</v>
      </c>
    </row>
    <row r="6524" spans="1:4">
      <c r="A6524" s="16">
        <v>6032000000</v>
      </c>
      <c r="B6524" s="16">
        <v>0</v>
      </c>
      <c r="C6524" s="16" t="s">
        <v>3429</v>
      </c>
      <c r="D6524" s="16" t="s">
        <v>3430</v>
      </c>
    </row>
    <row r="6525" spans="1:4">
      <c r="A6525" s="16">
        <v>6700700000</v>
      </c>
      <c r="B6525" s="16">
        <v>0</v>
      </c>
      <c r="C6525" s="16" t="s">
        <v>3404</v>
      </c>
      <c r="D6525" s="16" t="s">
        <v>3409</v>
      </c>
    </row>
    <row r="6526" spans="1:4">
      <c r="A6526" s="16">
        <v>6700500000</v>
      </c>
      <c r="B6526" s="16">
        <v>0</v>
      </c>
      <c r="C6526" s="16" t="s">
        <v>3404</v>
      </c>
      <c r="D6526" s="16" t="s">
        <v>3405</v>
      </c>
    </row>
    <row r="6527" spans="1:4">
      <c r="A6527" s="16">
        <v>2750010000</v>
      </c>
      <c r="B6527" s="16">
        <v>0</v>
      </c>
      <c r="C6527" s="16" t="s">
        <v>3419</v>
      </c>
      <c r="D6527" s="16" t="s">
        <v>3403</v>
      </c>
    </row>
    <row r="6528" spans="1:4">
      <c r="A6528" s="16">
        <v>6610100100</v>
      </c>
      <c r="B6528" s="16">
        <v>0</v>
      </c>
      <c r="C6528" s="16" t="s">
        <v>3413</v>
      </c>
      <c r="D6528" s="16" t="s">
        <v>3414</v>
      </c>
    </row>
    <row r="6529" spans="1:4">
      <c r="A6529" s="16">
        <v>3032000000</v>
      </c>
      <c r="B6529" s="16">
        <v>2538</v>
      </c>
      <c r="C6529" s="16" t="s">
        <v>3424</v>
      </c>
      <c r="D6529" s="16" t="s">
        <v>3403</v>
      </c>
    </row>
    <row r="6530" spans="1:4">
      <c r="A6530" s="16">
        <v>6032000000</v>
      </c>
      <c r="B6530" s="16">
        <v>-2538</v>
      </c>
      <c r="C6530" s="16" t="s">
        <v>3429</v>
      </c>
      <c r="D6530" s="16" t="s">
        <v>3430</v>
      </c>
    </row>
    <row r="6531" spans="1:4">
      <c r="A6531" s="16">
        <v>2750010000</v>
      </c>
      <c r="B6531" s="16">
        <v>0</v>
      </c>
      <c r="C6531" s="16" t="s">
        <v>3419</v>
      </c>
      <c r="D6531" s="16" t="s">
        <v>3403</v>
      </c>
    </row>
    <row r="6532" spans="1:4">
      <c r="A6532" s="16">
        <v>6610100100</v>
      </c>
      <c r="B6532" s="16">
        <v>0</v>
      </c>
      <c r="C6532" s="16" t="s">
        <v>3413</v>
      </c>
      <c r="D6532" s="16" t="s">
        <v>3414</v>
      </c>
    </row>
    <row r="6533" spans="1:4">
      <c r="A6533" s="16">
        <v>6700200000</v>
      </c>
      <c r="B6533" s="16">
        <v>0</v>
      </c>
      <c r="C6533" s="16" t="s">
        <v>3404</v>
      </c>
      <c r="D6533" s="16" t="s">
        <v>3409</v>
      </c>
    </row>
    <row r="6534" spans="1:4">
      <c r="A6534" s="16">
        <v>2201200030</v>
      </c>
      <c r="B6534" s="16">
        <v>0</v>
      </c>
      <c r="C6534" s="16" t="s">
        <v>3415</v>
      </c>
      <c r="D6534" s="16" t="s">
        <v>3403</v>
      </c>
    </row>
    <row r="6535" spans="1:4">
      <c r="A6535" s="16">
        <v>6700200000</v>
      </c>
      <c r="B6535" s="16">
        <v>0</v>
      </c>
      <c r="C6535" s="16" t="s">
        <v>3404</v>
      </c>
      <c r="D6535" s="16" t="s">
        <v>3409</v>
      </c>
    </row>
    <row r="6536" spans="1:4">
      <c r="A6536" s="16">
        <v>6700000000</v>
      </c>
      <c r="B6536" s="16">
        <v>0</v>
      </c>
      <c r="C6536" s="16" t="s">
        <v>3404</v>
      </c>
      <c r="D6536" s="16" t="s">
        <v>3405</v>
      </c>
    </row>
    <row r="6537" spans="1:4">
      <c r="A6537" s="16">
        <v>6030000000</v>
      </c>
      <c r="B6537" s="16">
        <v>0</v>
      </c>
      <c r="C6537" s="16" t="s">
        <v>3420</v>
      </c>
      <c r="D6537" s="16" t="s">
        <v>3423</v>
      </c>
    </row>
    <row r="6538" spans="1:4">
      <c r="A6538" s="16">
        <v>3030000000</v>
      </c>
      <c r="B6538" s="16">
        <v>0</v>
      </c>
      <c r="C6538" s="16" t="s">
        <v>3402</v>
      </c>
      <c r="D6538" s="16" t="s">
        <v>3403</v>
      </c>
    </row>
    <row r="6539" spans="1:4">
      <c r="A6539" s="16">
        <v>6150000000</v>
      </c>
      <c r="B6539" s="16">
        <v>0</v>
      </c>
      <c r="C6539" s="16" t="s">
        <v>3416</v>
      </c>
      <c r="D6539" s="16" t="s">
        <v>3417</v>
      </c>
    </row>
    <row r="6540" spans="1:4">
      <c r="A6540" s="16">
        <v>3510000000</v>
      </c>
      <c r="B6540" s="16">
        <v>0</v>
      </c>
      <c r="C6540" s="16" t="s">
        <v>3402</v>
      </c>
      <c r="D6540" s="16" t="s">
        <v>3403</v>
      </c>
    </row>
    <row r="6541" spans="1:4">
      <c r="A6541" s="16">
        <v>2500000000</v>
      </c>
      <c r="B6541" s="16">
        <v>0</v>
      </c>
      <c r="C6541" s="16" t="s">
        <v>3412</v>
      </c>
      <c r="D6541" s="16" t="s">
        <v>3403</v>
      </c>
    </row>
    <row r="6542" spans="1:4">
      <c r="A6542" s="16">
        <v>5010000000</v>
      </c>
      <c r="B6542" s="16">
        <v>0</v>
      </c>
      <c r="C6542" s="16" t="s">
        <v>3406</v>
      </c>
      <c r="D6542" s="16" t="s">
        <v>3411</v>
      </c>
    </row>
    <row r="6543" spans="1:4">
      <c r="A6543" s="16">
        <v>6700600000</v>
      </c>
      <c r="B6543" s="16">
        <v>0</v>
      </c>
      <c r="C6543" s="16" t="s">
        <v>3404</v>
      </c>
      <c r="D6543" s="16" t="s">
        <v>3409</v>
      </c>
    </row>
    <row r="6544" spans="1:4">
      <c r="A6544" s="16">
        <v>6700400000</v>
      </c>
      <c r="B6544" s="16">
        <v>0</v>
      </c>
      <c r="C6544" s="16" t="s">
        <v>3404</v>
      </c>
      <c r="D6544" s="16" t="s">
        <v>3405</v>
      </c>
    </row>
    <row r="6545" spans="1:4">
      <c r="A6545" s="16">
        <v>5010000010</v>
      </c>
      <c r="B6545" s="16">
        <v>753168</v>
      </c>
      <c r="C6545" s="16" t="s">
        <v>3406</v>
      </c>
      <c r="D6545" s="16" t="s">
        <v>3411</v>
      </c>
    </row>
    <row r="6546" spans="1:4">
      <c r="A6546" s="16">
        <v>3710000000</v>
      </c>
      <c r="B6546" s="16">
        <v>-753168</v>
      </c>
      <c r="C6546" s="16" t="s">
        <v>3402</v>
      </c>
      <c r="D6546" s="16" t="s">
        <v>3403</v>
      </c>
    </row>
    <row r="6547" spans="1:4">
      <c r="A6547" s="16">
        <v>6100000000</v>
      </c>
      <c r="B6547" s="16">
        <v>0</v>
      </c>
      <c r="C6547" s="16" t="s">
        <v>3416</v>
      </c>
      <c r="D6547" s="16" t="s">
        <v>3417</v>
      </c>
    </row>
    <row r="6548" spans="1:4">
      <c r="A6548" s="16">
        <v>4010100000</v>
      </c>
      <c r="B6548" s="16">
        <v>0</v>
      </c>
      <c r="C6548" s="16" t="s">
        <v>3431</v>
      </c>
      <c r="D6548" s="16" t="s">
        <v>3403</v>
      </c>
    </row>
    <row r="6549" spans="1:4">
      <c r="A6549" s="16">
        <v>6610100000</v>
      </c>
      <c r="B6549" s="16">
        <v>0</v>
      </c>
      <c r="C6549" s="16" t="s">
        <v>3413</v>
      </c>
      <c r="D6549" s="16" t="s">
        <v>3414</v>
      </c>
    </row>
    <row r="6550" spans="1:4">
      <c r="A6550" s="16">
        <v>4203000000</v>
      </c>
      <c r="B6550" s="16">
        <v>0</v>
      </c>
      <c r="C6550" s="16" t="s">
        <v>3408</v>
      </c>
      <c r="D6550" s="16" t="s">
        <v>3403</v>
      </c>
    </row>
    <row r="6551" spans="1:4">
      <c r="A6551" s="16">
        <v>2201000000</v>
      </c>
      <c r="B6551" s="16">
        <v>0</v>
      </c>
      <c r="C6551" s="16" t="s">
        <v>3415</v>
      </c>
      <c r="D6551" s="16" t="s">
        <v>3403</v>
      </c>
    </row>
    <row r="6552" spans="1:4">
      <c r="A6552" s="16">
        <v>6700200000</v>
      </c>
      <c r="B6552" s="16">
        <v>0</v>
      </c>
      <c r="C6552" s="16" t="s">
        <v>3404</v>
      </c>
      <c r="D6552" s="16" t="s">
        <v>3409</v>
      </c>
    </row>
    <row r="6553" spans="1:4">
      <c r="A6553" s="16">
        <v>6700700000</v>
      </c>
      <c r="B6553" s="16">
        <v>0</v>
      </c>
      <c r="C6553" s="16" t="s">
        <v>3404</v>
      </c>
      <c r="D6553" s="16" t="s">
        <v>3409</v>
      </c>
    </row>
    <row r="6554" spans="1:4">
      <c r="A6554" s="16">
        <v>6700500000</v>
      </c>
      <c r="B6554" s="16">
        <v>0</v>
      </c>
      <c r="C6554" s="16" t="s">
        <v>3404</v>
      </c>
      <c r="D6554" s="16" t="s">
        <v>3405</v>
      </c>
    </row>
    <row r="6555" spans="1:4">
      <c r="A6555" s="16">
        <v>6700200000</v>
      </c>
      <c r="B6555" s="16">
        <v>0</v>
      </c>
      <c r="C6555" s="16" t="s">
        <v>3404</v>
      </c>
      <c r="D6555" s="16" t="s">
        <v>3409</v>
      </c>
    </row>
    <row r="6556" spans="1:4">
      <c r="A6556" s="16">
        <v>6700000000</v>
      </c>
      <c r="B6556" s="16">
        <v>0</v>
      </c>
      <c r="C6556" s="16" t="s">
        <v>3404</v>
      </c>
      <c r="D6556" s="16" t="s">
        <v>3405</v>
      </c>
    </row>
    <row r="6557" spans="1:4">
      <c r="A6557" s="16">
        <v>2500000000</v>
      </c>
      <c r="B6557" s="16">
        <v>0</v>
      </c>
      <c r="C6557" s="16" t="s">
        <v>3412</v>
      </c>
      <c r="D6557" s="16" t="s">
        <v>3403</v>
      </c>
    </row>
    <row r="6558" spans="1:4">
      <c r="A6558" s="16">
        <v>5010000000</v>
      </c>
      <c r="B6558" s="16">
        <v>0</v>
      </c>
      <c r="C6558" s="16" t="s">
        <v>3406</v>
      </c>
      <c r="D6558" s="16" t="s">
        <v>3411</v>
      </c>
    </row>
    <row r="6559" spans="1:4">
      <c r="A6559" s="16">
        <v>6030000000</v>
      </c>
      <c r="B6559" s="16">
        <v>0</v>
      </c>
      <c r="C6559" s="16" t="s">
        <v>3420</v>
      </c>
      <c r="D6559" s="16" t="s">
        <v>3423</v>
      </c>
    </row>
    <row r="6560" spans="1:4">
      <c r="A6560" s="16">
        <v>3030000000</v>
      </c>
      <c r="B6560" s="16">
        <v>0</v>
      </c>
      <c r="C6560" s="16" t="s">
        <v>3402</v>
      </c>
      <c r="D6560" s="16" t="s">
        <v>3403</v>
      </c>
    </row>
    <row r="6561" spans="1:4">
      <c r="A6561" s="16">
        <v>6700600000</v>
      </c>
      <c r="B6561" s="16">
        <v>0</v>
      </c>
      <c r="C6561" s="16" t="s">
        <v>3404</v>
      </c>
      <c r="D6561" s="16" t="s">
        <v>3409</v>
      </c>
    </row>
    <row r="6562" spans="1:4">
      <c r="A6562" s="16">
        <v>6700400000</v>
      </c>
      <c r="B6562" s="16">
        <v>0</v>
      </c>
      <c r="C6562" s="16" t="s">
        <v>3404</v>
      </c>
      <c r="D6562" s="16" t="s">
        <v>3405</v>
      </c>
    </row>
    <row r="6563" spans="1:4">
      <c r="A6563" s="16">
        <v>2500000000</v>
      </c>
      <c r="B6563" s="16">
        <v>7381509</v>
      </c>
      <c r="C6563" s="16" t="s">
        <v>3412</v>
      </c>
      <c r="D6563" s="16" t="s">
        <v>3403</v>
      </c>
    </row>
    <row r="6564" spans="1:4">
      <c r="A6564" s="16">
        <v>5010100000</v>
      </c>
      <c r="B6564" s="16">
        <v>-7381509</v>
      </c>
      <c r="C6564" s="16" t="s">
        <v>3406</v>
      </c>
      <c r="D6564" s="16" t="s">
        <v>3407</v>
      </c>
    </row>
    <row r="6565" spans="1:4">
      <c r="A6565" s="16">
        <v>6700200000</v>
      </c>
      <c r="B6565" s="16">
        <v>0</v>
      </c>
      <c r="C6565" s="16" t="s">
        <v>3404</v>
      </c>
      <c r="D6565" s="16" t="s">
        <v>3409</v>
      </c>
    </row>
    <row r="6566" spans="1:4">
      <c r="A6566" s="16">
        <v>6700000000</v>
      </c>
      <c r="B6566" s="16">
        <v>0</v>
      </c>
      <c r="C6566" s="16" t="s">
        <v>3404</v>
      </c>
      <c r="D6566" s="16" t="s">
        <v>3405</v>
      </c>
    </row>
    <row r="6567" spans="1:4">
      <c r="A6567" s="16">
        <v>3102000000</v>
      </c>
      <c r="B6567" s="16">
        <v>0</v>
      </c>
      <c r="C6567" s="16" t="s">
        <v>3424</v>
      </c>
      <c r="D6567" s="16" t="s">
        <v>3403</v>
      </c>
    </row>
    <row r="6568" spans="1:4">
      <c r="A6568" s="16">
        <v>6102000000</v>
      </c>
      <c r="B6568" s="16">
        <v>0</v>
      </c>
      <c r="C6568" s="16" t="s">
        <v>3425</v>
      </c>
      <c r="D6568" s="16" t="s">
        <v>3426</v>
      </c>
    </row>
    <row r="6569" spans="1:4">
      <c r="A6569" s="16">
        <v>6700700000</v>
      </c>
      <c r="B6569" s="16">
        <v>0</v>
      </c>
      <c r="C6569" s="16" t="s">
        <v>3404</v>
      </c>
      <c r="D6569" s="16" t="s">
        <v>3409</v>
      </c>
    </row>
    <row r="6570" spans="1:4">
      <c r="A6570" s="16">
        <v>6700500000</v>
      </c>
      <c r="B6570" s="16">
        <v>0</v>
      </c>
      <c r="C6570" s="16" t="s">
        <v>3404</v>
      </c>
      <c r="D6570" s="16" t="s">
        <v>3405</v>
      </c>
    </row>
    <row r="6571" spans="1:4">
      <c r="A6571" s="16">
        <v>6700200000</v>
      </c>
      <c r="B6571" s="16">
        <v>0</v>
      </c>
      <c r="C6571" s="16" t="s">
        <v>3404</v>
      </c>
      <c r="D6571" s="16" t="s">
        <v>3409</v>
      </c>
    </row>
    <row r="6572" spans="1:4">
      <c r="A6572" s="16">
        <v>6700100000</v>
      </c>
      <c r="B6572" s="16">
        <v>0</v>
      </c>
      <c r="C6572" s="16" t="s">
        <v>3404</v>
      </c>
      <c r="D6572" s="16" t="s">
        <v>3410</v>
      </c>
    </row>
    <row r="6573" spans="1:4">
      <c r="A6573" s="16">
        <v>6700700000</v>
      </c>
      <c r="B6573" s="16">
        <v>0</v>
      </c>
      <c r="C6573" s="16" t="s">
        <v>3404</v>
      </c>
      <c r="D6573" s="16" t="s">
        <v>3409</v>
      </c>
    </row>
    <row r="6574" spans="1:4">
      <c r="A6574" s="16">
        <v>6700500000</v>
      </c>
      <c r="B6574" s="16">
        <v>0</v>
      </c>
      <c r="C6574" s="16" t="s">
        <v>3404</v>
      </c>
      <c r="D6574" s="16" t="s">
        <v>3405</v>
      </c>
    </row>
    <row r="6575" spans="1:4">
      <c r="A6575" s="16">
        <v>2500000000</v>
      </c>
      <c r="B6575" s="16">
        <v>0</v>
      </c>
      <c r="C6575" s="16" t="s">
        <v>3412</v>
      </c>
      <c r="D6575" s="16" t="s">
        <v>3403</v>
      </c>
    </row>
    <row r="6576" spans="1:4">
      <c r="A6576" s="16">
        <v>5010000000</v>
      </c>
      <c r="B6576" s="16">
        <v>0</v>
      </c>
      <c r="C6576" s="16" t="s">
        <v>3406</v>
      </c>
      <c r="D6576" s="16" t="s">
        <v>3411</v>
      </c>
    </row>
    <row r="6577" spans="1:4">
      <c r="A6577" s="16">
        <v>5010100010</v>
      </c>
      <c r="B6577" s="16">
        <v>0</v>
      </c>
      <c r="C6577" s="16" t="s">
        <v>3406</v>
      </c>
      <c r="D6577" s="16" t="s">
        <v>3407</v>
      </c>
    </row>
    <row r="6578" spans="1:4">
      <c r="A6578" s="16">
        <v>3710000000</v>
      </c>
      <c r="B6578" s="16">
        <v>0</v>
      </c>
      <c r="C6578" s="16" t="s">
        <v>3402</v>
      </c>
      <c r="D6578" s="16" t="s">
        <v>3403</v>
      </c>
    </row>
    <row r="6579" spans="1:4">
      <c r="A6579" s="16">
        <v>6610100000</v>
      </c>
      <c r="B6579" s="16">
        <v>1695</v>
      </c>
      <c r="C6579" s="16" t="s">
        <v>3413</v>
      </c>
      <c r="D6579" s="16" t="s">
        <v>3414</v>
      </c>
    </row>
    <row r="6580" spans="1:4">
      <c r="A6580" s="16">
        <v>4203000000</v>
      </c>
      <c r="B6580" s="16">
        <v>-1695</v>
      </c>
      <c r="C6580" s="16" t="s">
        <v>3408</v>
      </c>
      <c r="D6580" s="16" t="s">
        <v>3403</v>
      </c>
    </row>
    <row r="6581" spans="1:4">
      <c r="A6581" s="16">
        <v>6100000000</v>
      </c>
      <c r="B6581" s="16">
        <v>691081</v>
      </c>
      <c r="C6581" s="16" t="s">
        <v>3416</v>
      </c>
      <c r="D6581" s="16" t="s">
        <v>3417</v>
      </c>
    </row>
    <row r="6582" spans="1:4">
      <c r="A6582" s="16">
        <v>3100000000</v>
      </c>
      <c r="B6582" s="16">
        <v>-691081</v>
      </c>
      <c r="C6582" s="16" t="s">
        <v>3402</v>
      </c>
      <c r="D6582" s="16" t="s">
        <v>3403</v>
      </c>
    </row>
    <row r="6583" spans="1:4">
      <c r="A6583" s="16">
        <v>2201000000</v>
      </c>
      <c r="B6583" s="16">
        <v>-19906</v>
      </c>
      <c r="C6583" s="16" t="s">
        <v>3415</v>
      </c>
      <c r="D6583" s="16" t="s">
        <v>3403</v>
      </c>
    </row>
    <row r="6584" spans="1:4">
      <c r="A6584" s="16">
        <v>6700200000</v>
      </c>
      <c r="B6584" s="16">
        <v>19906</v>
      </c>
      <c r="C6584" s="16" t="s">
        <v>3404</v>
      </c>
      <c r="D6584" s="16" t="s">
        <v>3409</v>
      </c>
    </row>
    <row r="6585" spans="1:4">
      <c r="A6585" s="16">
        <v>6700600000</v>
      </c>
      <c r="B6585" s="16">
        <v>0</v>
      </c>
      <c r="C6585" s="16" t="s">
        <v>3404</v>
      </c>
      <c r="D6585" s="16" t="s">
        <v>3409</v>
      </c>
    </row>
    <row r="6586" spans="1:4">
      <c r="A6586" s="16">
        <v>6700400000</v>
      </c>
      <c r="B6586" s="16">
        <v>0</v>
      </c>
      <c r="C6586" s="16" t="s">
        <v>3404</v>
      </c>
      <c r="D6586" s="16" t="s">
        <v>3405</v>
      </c>
    </row>
    <row r="6587" spans="1:4">
      <c r="A6587" s="16">
        <v>6700200000</v>
      </c>
      <c r="B6587" s="16">
        <v>0</v>
      </c>
      <c r="C6587" s="16" t="s">
        <v>3404</v>
      </c>
      <c r="D6587" s="16" t="s">
        <v>3409</v>
      </c>
    </row>
    <row r="6588" spans="1:4">
      <c r="A6588" s="16">
        <v>6700100000</v>
      </c>
      <c r="B6588" s="16">
        <v>0</v>
      </c>
      <c r="C6588" s="16" t="s">
        <v>3404</v>
      </c>
      <c r="D6588" s="16" t="s">
        <v>3410</v>
      </c>
    </row>
    <row r="6589" spans="1:4">
      <c r="A6589" s="16">
        <v>3032000000</v>
      </c>
      <c r="B6589" s="16">
        <v>0</v>
      </c>
      <c r="C6589" s="16" t="s">
        <v>3424</v>
      </c>
      <c r="D6589" s="16" t="s">
        <v>3403</v>
      </c>
    </row>
    <row r="6590" spans="1:4">
      <c r="A6590" s="16">
        <v>6032000000</v>
      </c>
      <c r="B6590" s="16">
        <v>0</v>
      </c>
      <c r="C6590" s="16" t="s">
        <v>3429</v>
      </c>
      <c r="D6590" s="16" t="s">
        <v>3430</v>
      </c>
    </row>
    <row r="6591" spans="1:4">
      <c r="A6591" s="16">
        <v>6700200000</v>
      </c>
      <c r="B6591" s="16">
        <v>0</v>
      </c>
      <c r="C6591" s="16" t="s">
        <v>3404</v>
      </c>
      <c r="D6591" s="16" t="s">
        <v>3409</v>
      </c>
    </row>
    <row r="6592" spans="1:4">
      <c r="A6592" s="16">
        <v>6700000000</v>
      </c>
      <c r="B6592" s="16">
        <v>0</v>
      </c>
      <c r="C6592" s="16" t="s">
        <v>3404</v>
      </c>
      <c r="D6592" s="16" t="s">
        <v>3405</v>
      </c>
    </row>
    <row r="6593" spans="1:4">
      <c r="A6593" s="16">
        <v>2201000000</v>
      </c>
      <c r="B6593" s="16">
        <v>0</v>
      </c>
      <c r="C6593" s="16" t="s">
        <v>3415</v>
      </c>
      <c r="D6593" s="16" t="s">
        <v>3403</v>
      </c>
    </row>
    <row r="6594" spans="1:4">
      <c r="A6594" s="16">
        <v>6700200000</v>
      </c>
      <c r="B6594" s="16">
        <v>0</v>
      </c>
      <c r="C6594" s="16" t="s">
        <v>3404</v>
      </c>
      <c r="D6594" s="16" t="s">
        <v>3409</v>
      </c>
    </row>
    <row r="6595" spans="1:4">
      <c r="A6595" s="16">
        <v>2500000000</v>
      </c>
      <c r="B6595" s="16">
        <v>0</v>
      </c>
      <c r="C6595" s="16" t="s">
        <v>3412</v>
      </c>
      <c r="D6595" s="16" t="s">
        <v>3403</v>
      </c>
    </row>
    <row r="6596" spans="1:4">
      <c r="A6596" s="16">
        <v>5010000000</v>
      </c>
      <c r="B6596" s="16">
        <v>0</v>
      </c>
      <c r="C6596" s="16" t="s">
        <v>3406</v>
      </c>
      <c r="D6596" s="16" t="s">
        <v>3411</v>
      </c>
    </row>
    <row r="6597" spans="1:4">
      <c r="A6597" s="16">
        <v>6700600000</v>
      </c>
      <c r="B6597" s="16">
        <v>0</v>
      </c>
      <c r="C6597" s="16" t="s">
        <v>3404</v>
      </c>
      <c r="D6597" s="16" t="s">
        <v>3409</v>
      </c>
    </row>
    <row r="6598" spans="1:4">
      <c r="A6598" s="16">
        <v>6700400000</v>
      </c>
      <c r="B6598" s="16">
        <v>0</v>
      </c>
      <c r="C6598" s="16" t="s">
        <v>3404</v>
      </c>
      <c r="D6598" s="16" t="s">
        <v>3405</v>
      </c>
    </row>
    <row r="6599" spans="1:4">
      <c r="A6599" s="16">
        <v>5052010000</v>
      </c>
      <c r="B6599" s="16">
        <v>0</v>
      </c>
      <c r="C6599" s="16" t="s">
        <v>3406</v>
      </c>
      <c r="D6599" s="16" t="s">
        <v>3422</v>
      </c>
    </row>
    <row r="6600" spans="1:4">
      <c r="A6600" s="16">
        <v>5052000000</v>
      </c>
      <c r="B6600" s="16">
        <v>0</v>
      </c>
      <c r="C6600" s="16" t="s">
        <v>3406</v>
      </c>
      <c r="D6600" s="16" t="s">
        <v>3422</v>
      </c>
    </row>
    <row r="6601" spans="1:4">
      <c r="A6601" s="16">
        <v>2750010000</v>
      </c>
      <c r="B6601" s="16">
        <v>0</v>
      </c>
      <c r="C6601" s="16" t="s">
        <v>3419</v>
      </c>
      <c r="D6601" s="16" t="s">
        <v>3403</v>
      </c>
    </row>
    <row r="6602" spans="1:4">
      <c r="A6602" s="16">
        <v>6610000100</v>
      </c>
      <c r="B6602" s="16">
        <v>0</v>
      </c>
      <c r="C6602" s="16" t="s">
        <v>3413</v>
      </c>
      <c r="D6602" s="16" t="s">
        <v>3418</v>
      </c>
    </row>
    <row r="6603" spans="1:4">
      <c r="A6603" s="16">
        <v>5010100010</v>
      </c>
      <c r="B6603" s="16">
        <v>2846</v>
      </c>
      <c r="C6603" s="16" t="s">
        <v>3406</v>
      </c>
      <c r="D6603" s="16" t="s">
        <v>3407</v>
      </c>
    </row>
    <row r="6604" spans="1:4">
      <c r="A6604" s="16">
        <v>3710000000</v>
      </c>
      <c r="B6604" s="16">
        <v>-2846</v>
      </c>
      <c r="C6604" s="16" t="s">
        <v>3402</v>
      </c>
      <c r="D6604" s="16" t="s">
        <v>3403</v>
      </c>
    </row>
    <row r="6605" spans="1:4">
      <c r="A6605" s="16">
        <v>2203000000</v>
      </c>
      <c r="B6605" s="16">
        <v>0</v>
      </c>
      <c r="C6605" s="16" t="s">
        <v>3415</v>
      </c>
      <c r="D6605" s="16" t="s">
        <v>3403</v>
      </c>
    </row>
    <row r="6606" spans="1:4">
      <c r="A6606" s="16">
        <v>6060110000</v>
      </c>
      <c r="B6606" s="16">
        <v>0</v>
      </c>
      <c r="C6606" s="16" t="s">
        <v>3420</v>
      </c>
      <c r="D6606" s="16" t="s">
        <v>3421</v>
      </c>
    </row>
    <row r="6607" spans="1:4">
      <c r="A6607" s="16">
        <v>6104001000</v>
      </c>
      <c r="B6607" s="16">
        <v>0</v>
      </c>
      <c r="C6607" s="16" t="s">
        <v>3416</v>
      </c>
      <c r="D6607" s="16" t="s">
        <v>3417</v>
      </c>
    </row>
    <row r="6608" spans="1:4">
      <c r="A6608" s="16">
        <v>3103001000</v>
      </c>
      <c r="B6608" s="16">
        <v>0</v>
      </c>
      <c r="C6608" s="16" t="s">
        <v>3402</v>
      </c>
      <c r="D6608" s="16" t="s">
        <v>3403</v>
      </c>
    </row>
    <row r="6609" spans="1:4">
      <c r="A6609" s="16">
        <v>6700200000</v>
      </c>
      <c r="B6609" s="16">
        <v>0</v>
      </c>
      <c r="C6609" s="16" t="s">
        <v>3404</v>
      </c>
      <c r="D6609" s="16" t="s">
        <v>3409</v>
      </c>
    </row>
    <row r="6610" spans="1:4">
      <c r="A6610" s="16">
        <v>6700000000</v>
      </c>
      <c r="B6610" s="16">
        <v>0</v>
      </c>
      <c r="C6610" s="16" t="s">
        <v>3404</v>
      </c>
      <c r="D6610" s="16" t="s">
        <v>3405</v>
      </c>
    </row>
    <row r="6611" spans="1:4">
      <c r="A6611" s="16">
        <v>6104000000</v>
      </c>
      <c r="B6611" s="16">
        <v>0</v>
      </c>
      <c r="C6611" s="16" t="s">
        <v>3427</v>
      </c>
      <c r="D6611" s="16" t="s">
        <v>3417</v>
      </c>
    </row>
    <row r="6612" spans="1:4">
      <c r="A6612" s="16">
        <v>3103000000</v>
      </c>
      <c r="B6612" s="16">
        <v>0</v>
      </c>
      <c r="C6612" s="16" t="s">
        <v>3402</v>
      </c>
      <c r="D6612" s="16" t="s">
        <v>3403</v>
      </c>
    </row>
    <row r="6613" spans="1:4">
      <c r="A6613" s="16">
        <v>6610000000</v>
      </c>
      <c r="B6613" s="16">
        <v>0</v>
      </c>
      <c r="C6613" s="16" t="s">
        <v>3413</v>
      </c>
      <c r="D6613" s="16" t="s">
        <v>3418</v>
      </c>
    </row>
    <row r="6614" spans="1:4">
      <c r="A6614" s="16">
        <v>4203000000</v>
      </c>
      <c r="B6614" s="16">
        <v>0</v>
      </c>
      <c r="C6614" s="16" t="s">
        <v>3408</v>
      </c>
      <c r="D6614" s="16" t="s">
        <v>3403</v>
      </c>
    </row>
    <row r="6615" spans="1:4">
      <c r="A6615" s="16">
        <v>6700200000</v>
      </c>
      <c r="B6615" s="16">
        <v>0</v>
      </c>
      <c r="C6615" s="16" t="s">
        <v>3404</v>
      </c>
      <c r="D6615" s="16" t="s">
        <v>3409</v>
      </c>
    </row>
    <row r="6616" spans="1:4">
      <c r="A6616" s="16">
        <v>6700000000</v>
      </c>
      <c r="B6616" s="16">
        <v>0</v>
      </c>
      <c r="C6616" s="16" t="s">
        <v>3404</v>
      </c>
      <c r="D6616" s="16" t="s">
        <v>3405</v>
      </c>
    </row>
    <row r="6617" spans="1:4">
      <c r="A6617" s="16">
        <v>6700200000</v>
      </c>
      <c r="B6617" s="16">
        <v>0</v>
      </c>
      <c r="C6617" s="16" t="s">
        <v>3404</v>
      </c>
      <c r="D6617" s="16" t="s">
        <v>3409</v>
      </c>
    </row>
    <row r="6618" spans="1:4">
      <c r="A6618" s="16">
        <v>6700100000</v>
      </c>
      <c r="B6618" s="16">
        <v>0</v>
      </c>
      <c r="C6618" s="16" t="s">
        <v>3404</v>
      </c>
      <c r="D6618" s="16" t="s">
        <v>3410</v>
      </c>
    </row>
    <row r="6619" spans="1:4">
      <c r="A6619" s="16">
        <v>2201000010</v>
      </c>
      <c r="B6619" s="16">
        <v>0</v>
      </c>
      <c r="C6619" s="16" t="s">
        <v>3415</v>
      </c>
      <c r="D6619" s="16" t="s">
        <v>3403</v>
      </c>
    </row>
    <row r="6620" spans="1:4">
      <c r="A6620" s="16">
        <v>4610000000</v>
      </c>
      <c r="B6620" s="16">
        <v>0</v>
      </c>
      <c r="C6620" s="16" t="s">
        <v>3428</v>
      </c>
      <c r="D6620" s="16" t="s">
        <v>3403</v>
      </c>
    </row>
    <row r="6621" spans="1:4">
      <c r="A6621" s="16">
        <v>6700700000</v>
      </c>
      <c r="B6621" s="16">
        <v>0</v>
      </c>
      <c r="C6621" s="16" t="s">
        <v>3404</v>
      </c>
      <c r="D6621" s="16" t="s">
        <v>3409</v>
      </c>
    </row>
    <row r="6622" spans="1:4">
      <c r="A6622" s="16">
        <v>6700500000</v>
      </c>
      <c r="B6622" s="16">
        <v>0</v>
      </c>
      <c r="C6622" s="16" t="s">
        <v>3404</v>
      </c>
      <c r="D6622" s="16" t="s">
        <v>3405</v>
      </c>
    </row>
    <row r="6623" spans="1:4">
      <c r="A6623" s="16">
        <v>2201000000</v>
      </c>
      <c r="B6623" s="16">
        <v>0</v>
      </c>
      <c r="C6623" s="16" t="s">
        <v>3415</v>
      </c>
      <c r="D6623" s="16" t="s">
        <v>3403</v>
      </c>
    </row>
    <row r="6624" spans="1:4">
      <c r="A6624" s="16">
        <v>6700200000</v>
      </c>
      <c r="B6624" s="16">
        <v>0</v>
      </c>
      <c r="C6624" s="16" t="s">
        <v>3404</v>
      </c>
      <c r="D6624" s="16" t="s">
        <v>3409</v>
      </c>
    </row>
    <row r="6625" spans="1:4">
      <c r="A6625" s="16">
        <v>2500000000</v>
      </c>
      <c r="B6625" s="16">
        <v>0</v>
      </c>
      <c r="C6625" s="16" t="s">
        <v>3412</v>
      </c>
      <c r="D6625" s="16" t="s">
        <v>3403</v>
      </c>
    </row>
    <row r="6626" spans="1:4">
      <c r="A6626" s="16">
        <v>5010100000</v>
      </c>
      <c r="B6626" s="16">
        <v>0</v>
      </c>
      <c r="C6626" s="16" t="s">
        <v>3406</v>
      </c>
      <c r="D6626" s="16" t="s">
        <v>3407</v>
      </c>
    </row>
    <row r="6627" spans="1:4">
      <c r="A6627" s="16">
        <v>6700700000</v>
      </c>
      <c r="B6627" s="16">
        <v>0</v>
      </c>
      <c r="C6627" s="16" t="s">
        <v>3404</v>
      </c>
      <c r="D6627" s="16" t="s">
        <v>3409</v>
      </c>
    </row>
    <row r="6628" spans="1:4">
      <c r="A6628" s="16">
        <v>6700500000</v>
      </c>
      <c r="B6628" s="16">
        <v>0</v>
      </c>
      <c r="C6628" s="16" t="s">
        <v>3404</v>
      </c>
      <c r="D6628" s="16" t="s">
        <v>3405</v>
      </c>
    </row>
    <row r="6629" spans="1:4">
      <c r="A6629" s="16">
        <v>6700200000</v>
      </c>
      <c r="B6629" s="16">
        <v>0</v>
      </c>
      <c r="C6629" s="16" t="s">
        <v>3404</v>
      </c>
      <c r="D6629" s="16" t="s">
        <v>3409</v>
      </c>
    </row>
    <row r="6630" spans="1:4">
      <c r="A6630" s="16">
        <v>6700100000</v>
      </c>
      <c r="B6630" s="16">
        <v>0</v>
      </c>
      <c r="C6630" s="16" t="s">
        <v>3404</v>
      </c>
      <c r="D6630" s="16" t="s">
        <v>3410</v>
      </c>
    </row>
    <row r="6631" spans="1:4">
      <c r="A6631" s="16">
        <v>3032000000</v>
      </c>
      <c r="B6631" s="16">
        <v>0</v>
      </c>
      <c r="C6631" s="16" t="s">
        <v>3424</v>
      </c>
      <c r="D6631" s="16" t="s">
        <v>3403</v>
      </c>
    </row>
    <row r="6632" spans="1:4">
      <c r="A6632" s="16">
        <v>6032000000</v>
      </c>
      <c r="B6632" s="16">
        <v>0</v>
      </c>
      <c r="C6632" s="16" t="s">
        <v>3429</v>
      </c>
      <c r="D6632" s="16" t="s">
        <v>3430</v>
      </c>
    </row>
    <row r="6633" spans="1:4">
      <c r="A6633" s="16">
        <v>2201000000</v>
      </c>
      <c r="B6633" s="16">
        <v>350958639</v>
      </c>
      <c r="C6633" s="16" t="s">
        <v>3415</v>
      </c>
      <c r="D6633" s="16" t="s">
        <v>3403</v>
      </c>
    </row>
    <row r="6634" spans="1:4">
      <c r="A6634" s="16">
        <v>6700200000</v>
      </c>
      <c r="B6634" s="16">
        <v>-350958639</v>
      </c>
      <c r="C6634" s="16" t="s">
        <v>3404</v>
      </c>
      <c r="D6634" s="16" t="s">
        <v>3409</v>
      </c>
    </row>
    <row r="6635" spans="1:4">
      <c r="A6635" s="16">
        <v>2750010000</v>
      </c>
      <c r="B6635" s="16">
        <v>0</v>
      </c>
      <c r="C6635" s="16" t="s">
        <v>3419</v>
      </c>
      <c r="D6635" s="16" t="s">
        <v>3403</v>
      </c>
    </row>
    <row r="6636" spans="1:4">
      <c r="A6636" s="16">
        <v>6610000100</v>
      </c>
      <c r="B6636" s="16">
        <v>0</v>
      </c>
      <c r="C6636" s="16" t="s">
        <v>3413</v>
      </c>
      <c r="D6636" s="16" t="s">
        <v>3418</v>
      </c>
    </row>
    <row r="6637" spans="1:4">
      <c r="A6637" s="16">
        <v>6100000000</v>
      </c>
      <c r="B6637" s="16">
        <v>0</v>
      </c>
      <c r="C6637" s="16" t="s">
        <v>3416</v>
      </c>
      <c r="D6637" s="16" t="s">
        <v>3417</v>
      </c>
    </row>
    <row r="6638" spans="1:4">
      <c r="A6638" s="16">
        <v>3100000000</v>
      </c>
      <c r="B6638" s="16">
        <v>0</v>
      </c>
      <c r="C6638" s="16" t="s">
        <v>3402</v>
      </c>
      <c r="D6638" s="16" t="s">
        <v>3403</v>
      </c>
    </row>
    <row r="6639" spans="1:4">
      <c r="A6639" s="16">
        <v>2500000000</v>
      </c>
      <c r="B6639" s="16">
        <v>0</v>
      </c>
      <c r="C6639" s="16" t="s">
        <v>3412</v>
      </c>
      <c r="D6639" s="16" t="s">
        <v>3403</v>
      </c>
    </row>
    <row r="6640" spans="1:4">
      <c r="A6640" s="16">
        <v>5010000000</v>
      </c>
      <c r="B6640" s="16">
        <v>0</v>
      </c>
      <c r="C6640" s="16" t="s">
        <v>3406</v>
      </c>
      <c r="D6640" s="16" t="s">
        <v>3411</v>
      </c>
    </row>
    <row r="6641" spans="1:4">
      <c r="A6641" s="16">
        <v>6700600000</v>
      </c>
      <c r="B6641" s="16">
        <v>0</v>
      </c>
      <c r="C6641" s="16" t="s">
        <v>3404</v>
      </c>
      <c r="D6641" s="16" t="s">
        <v>3409</v>
      </c>
    </row>
    <row r="6642" spans="1:4">
      <c r="A6642" s="16">
        <v>6700400000</v>
      </c>
      <c r="B6642" s="16">
        <v>0</v>
      </c>
      <c r="C6642" s="16" t="s">
        <v>3404</v>
      </c>
      <c r="D6642" s="16" t="s">
        <v>3405</v>
      </c>
    </row>
    <row r="6643" spans="1:4">
      <c r="A6643" s="16">
        <v>6700200000</v>
      </c>
      <c r="B6643" s="16">
        <v>0</v>
      </c>
      <c r="C6643" s="16" t="s">
        <v>3404</v>
      </c>
      <c r="D6643" s="16" t="s">
        <v>3409</v>
      </c>
    </row>
    <row r="6644" spans="1:4">
      <c r="A6644" s="16">
        <v>2201200030</v>
      </c>
      <c r="B6644" s="16">
        <v>0</v>
      </c>
      <c r="C6644" s="16" t="s">
        <v>3415</v>
      </c>
      <c r="D6644" s="16" t="s">
        <v>3403</v>
      </c>
    </row>
    <row r="6645" spans="1:4">
      <c r="A6645" s="16">
        <v>3102000000</v>
      </c>
      <c r="B6645" s="16">
        <v>0</v>
      </c>
      <c r="C6645" s="16" t="s">
        <v>3424</v>
      </c>
      <c r="D6645" s="16" t="s">
        <v>3403</v>
      </c>
    </row>
    <row r="6646" spans="1:4">
      <c r="A6646" s="16">
        <v>6102000000</v>
      </c>
      <c r="B6646" s="16">
        <v>0</v>
      </c>
      <c r="C6646" s="16" t="s">
        <v>3425</v>
      </c>
      <c r="D6646" s="16" t="s">
        <v>3426</v>
      </c>
    </row>
    <row r="6647" spans="1:4">
      <c r="A6647" s="16">
        <v>6100000020</v>
      </c>
      <c r="B6647" s="16">
        <v>0</v>
      </c>
      <c r="C6647" s="16" t="s">
        <v>3416</v>
      </c>
      <c r="D6647" s="16" t="s">
        <v>3417</v>
      </c>
    </row>
    <row r="6648" spans="1:4">
      <c r="A6648" s="16">
        <v>3810000000</v>
      </c>
      <c r="B6648" s="16">
        <v>0</v>
      </c>
      <c r="C6648" s="16" t="s">
        <v>3402</v>
      </c>
      <c r="D6648" s="16" t="s">
        <v>3403</v>
      </c>
    </row>
    <row r="6649" spans="1:4">
      <c r="A6649" s="16">
        <v>6700200000</v>
      </c>
      <c r="B6649" s="16">
        <v>0</v>
      </c>
      <c r="C6649" s="16" t="s">
        <v>3404</v>
      </c>
      <c r="D6649" s="16" t="s">
        <v>3409</v>
      </c>
    </row>
    <row r="6650" spans="1:4">
      <c r="A6650" s="16">
        <v>6700100000</v>
      </c>
      <c r="B6650" s="16">
        <v>0</v>
      </c>
      <c r="C6650" s="16" t="s">
        <v>3404</v>
      </c>
      <c r="D6650" s="16" t="s">
        <v>3410</v>
      </c>
    </row>
    <row r="6651" spans="1:4">
      <c r="A6651" s="16">
        <v>5010000010</v>
      </c>
      <c r="B6651" s="16">
        <v>0</v>
      </c>
      <c r="C6651" s="16" t="s">
        <v>3406</v>
      </c>
      <c r="D6651" s="16" t="s">
        <v>3411</v>
      </c>
    </row>
    <row r="6652" spans="1:4">
      <c r="A6652" s="16">
        <v>3710000000</v>
      </c>
      <c r="B6652" s="16">
        <v>0</v>
      </c>
      <c r="C6652" s="16" t="s">
        <v>3402</v>
      </c>
      <c r="D6652" s="16" t="s">
        <v>3403</v>
      </c>
    </row>
    <row r="6653" spans="1:4">
      <c r="A6653" s="16">
        <v>6610100000</v>
      </c>
      <c r="B6653" s="16">
        <v>0</v>
      </c>
      <c r="C6653" s="16" t="s">
        <v>3413</v>
      </c>
      <c r="D6653" s="16" t="s">
        <v>3414</v>
      </c>
    </row>
    <row r="6654" spans="1:4">
      <c r="A6654" s="16">
        <v>4203000000</v>
      </c>
      <c r="B6654" s="16">
        <v>0</v>
      </c>
      <c r="C6654" s="16" t="s">
        <v>3408</v>
      </c>
      <c r="D6654" s="16" t="s">
        <v>3403</v>
      </c>
    </row>
    <row r="6655" spans="1:4">
      <c r="A6655" s="16">
        <v>6700200000</v>
      </c>
      <c r="B6655" s="16">
        <v>0</v>
      </c>
      <c r="C6655" s="16" t="s">
        <v>3404</v>
      </c>
      <c r="D6655" s="16" t="s">
        <v>3409</v>
      </c>
    </row>
    <row r="6656" spans="1:4">
      <c r="A6656" s="16">
        <v>6700000000</v>
      </c>
      <c r="B6656" s="16">
        <v>0</v>
      </c>
      <c r="C6656" s="16" t="s">
        <v>3404</v>
      </c>
      <c r="D6656" s="16" t="s">
        <v>3405</v>
      </c>
    </row>
    <row r="6657" spans="1:4">
      <c r="A6657" s="16">
        <v>6100000000</v>
      </c>
      <c r="B6657" s="16">
        <v>1378717091</v>
      </c>
      <c r="C6657" s="16" t="s">
        <v>3416</v>
      </c>
      <c r="D6657" s="16" t="s">
        <v>3417</v>
      </c>
    </row>
    <row r="6658" spans="1:4">
      <c r="A6658" s="16">
        <v>3100000000</v>
      </c>
      <c r="B6658" s="16">
        <v>-1378717091</v>
      </c>
      <c r="C6658" s="16" t="s">
        <v>3402</v>
      </c>
      <c r="D6658" s="16" t="s">
        <v>3403</v>
      </c>
    </row>
    <row r="6659" spans="1:4">
      <c r="A6659" s="16">
        <v>2201000000</v>
      </c>
      <c r="B6659" s="16">
        <v>0</v>
      </c>
      <c r="C6659" s="16" t="s">
        <v>3415</v>
      </c>
      <c r="D6659" s="16" t="s">
        <v>3403</v>
      </c>
    </row>
    <row r="6660" spans="1:4">
      <c r="A6660" s="16">
        <v>6700200000</v>
      </c>
      <c r="B6660" s="16">
        <v>0</v>
      </c>
      <c r="C6660" s="16" t="s">
        <v>3404</v>
      </c>
      <c r="D6660" s="16" t="s">
        <v>3409</v>
      </c>
    </row>
    <row r="6661" spans="1:4">
      <c r="A6661" s="16">
        <v>6610100000</v>
      </c>
      <c r="B6661" s="16">
        <v>0</v>
      </c>
      <c r="C6661" s="16" t="s">
        <v>3413</v>
      </c>
      <c r="D6661" s="16" t="s">
        <v>3414</v>
      </c>
    </row>
    <row r="6662" spans="1:4">
      <c r="A6662" s="16">
        <v>4203000000</v>
      </c>
      <c r="B6662" s="16">
        <v>0</v>
      </c>
      <c r="C6662" s="16" t="s">
        <v>3408</v>
      </c>
      <c r="D6662" s="16" t="s">
        <v>3403</v>
      </c>
    </row>
    <row r="6663" spans="1:4">
      <c r="A6663" s="16">
        <v>3032000000</v>
      </c>
      <c r="B6663" s="16">
        <v>0</v>
      </c>
      <c r="C6663" s="16" t="s">
        <v>3424</v>
      </c>
      <c r="D6663" s="16" t="s">
        <v>3403</v>
      </c>
    </row>
    <row r="6664" spans="1:4">
      <c r="A6664" s="16">
        <v>6032000000</v>
      </c>
      <c r="B6664" s="16">
        <v>0</v>
      </c>
      <c r="C6664" s="16" t="s">
        <v>3429</v>
      </c>
      <c r="D6664" s="16" t="s">
        <v>3430</v>
      </c>
    </row>
    <row r="6665" spans="1:4">
      <c r="A6665" s="16">
        <v>2500000000</v>
      </c>
      <c r="B6665" s="16">
        <v>0</v>
      </c>
      <c r="C6665" s="16" t="s">
        <v>3412</v>
      </c>
      <c r="D6665" s="16" t="s">
        <v>3403</v>
      </c>
    </row>
    <row r="6666" spans="1:4">
      <c r="A6666" s="16">
        <v>5010000000</v>
      </c>
      <c r="B6666" s="16">
        <v>0</v>
      </c>
      <c r="C6666" s="16" t="s">
        <v>3406</v>
      </c>
      <c r="D6666" s="16" t="s">
        <v>3411</v>
      </c>
    </row>
    <row r="6667" spans="1:4">
      <c r="A6667" s="16">
        <v>6610000000</v>
      </c>
      <c r="B6667" s="16">
        <v>0</v>
      </c>
      <c r="C6667" s="16" t="s">
        <v>3413</v>
      </c>
      <c r="D6667" s="16" t="s">
        <v>3418</v>
      </c>
    </row>
    <row r="6668" spans="1:4">
      <c r="A6668" s="16">
        <v>3103001000</v>
      </c>
      <c r="B6668" s="16">
        <v>0</v>
      </c>
      <c r="C6668" s="16" t="s">
        <v>3402</v>
      </c>
      <c r="D6668" s="16" t="s">
        <v>3403</v>
      </c>
    </row>
    <row r="6669" spans="1:4">
      <c r="A6669" s="16">
        <v>6102000000</v>
      </c>
      <c r="B6669" s="16">
        <v>154</v>
      </c>
      <c r="C6669" s="16" t="s">
        <v>3425</v>
      </c>
      <c r="D6669" s="16" t="s">
        <v>3426</v>
      </c>
    </row>
    <row r="6670" spans="1:4">
      <c r="A6670" s="16">
        <v>5010100000</v>
      </c>
      <c r="B6670" s="16">
        <v>0</v>
      </c>
      <c r="C6670" s="16" t="s">
        <v>3406</v>
      </c>
      <c r="D6670" s="16" t="s">
        <v>3407</v>
      </c>
    </row>
    <row r="6671" spans="1:4">
      <c r="A6671" s="16">
        <v>3710000000</v>
      </c>
      <c r="B6671" s="16">
        <v>0</v>
      </c>
      <c r="C6671" s="16" t="s">
        <v>3402</v>
      </c>
      <c r="D6671" s="16" t="s">
        <v>3403</v>
      </c>
    </row>
    <row r="6672" spans="1:4">
      <c r="A6672" s="16">
        <v>3710000000</v>
      </c>
      <c r="B6672" s="16">
        <v>0</v>
      </c>
      <c r="C6672" s="16" t="s">
        <v>3402</v>
      </c>
      <c r="D6672" s="16" t="s">
        <v>3403</v>
      </c>
    </row>
    <row r="6673" spans="1:4">
      <c r="A6673" s="16">
        <v>3800000000</v>
      </c>
      <c r="B6673" s="16">
        <v>0</v>
      </c>
      <c r="C6673" s="16" t="s">
        <v>3402</v>
      </c>
      <c r="D6673" s="16" t="s">
        <v>3403</v>
      </c>
    </row>
    <row r="6674" spans="1:4">
      <c r="A6674" s="16">
        <v>6100000020</v>
      </c>
      <c r="B6674" s="16">
        <v>0</v>
      </c>
      <c r="C6674" s="16" t="s">
        <v>3416</v>
      </c>
      <c r="D6674" s="16" t="s">
        <v>3417</v>
      </c>
    </row>
    <row r="6675" spans="1:4">
      <c r="A6675" s="16">
        <v>6030000000</v>
      </c>
      <c r="B6675" s="16">
        <v>0</v>
      </c>
      <c r="C6675" s="16" t="s">
        <v>3420</v>
      </c>
      <c r="D6675" s="16" t="s">
        <v>3423</v>
      </c>
    </row>
    <row r="6676" spans="1:4">
      <c r="A6676" s="16">
        <v>2203000000</v>
      </c>
      <c r="B6676" s="16">
        <v>0</v>
      </c>
      <c r="C6676" s="16" t="s">
        <v>3415</v>
      </c>
      <c r="D6676" s="16" t="s">
        <v>3403</v>
      </c>
    </row>
    <row r="6677" spans="1:4">
      <c r="A6677" s="16">
        <v>5010000000</v>
      </c>
      <c r="B6677" s="16">
        <v>0</v>
      </c>
      <c r="C6677" s="16" t="s">
        <v>3406</v>
      </c>
      <c r="D6677" s="16" t="s">
        <v>3411</v>
      </c>
    </row>
    <row r="6678" spans="1:4">
      <c r="A6678" s="16">
        <v>2500000000</v>
      </c>
      <c r="B6678" s="16">
        <v>0</v>
      </c>
      <c r="C6678" s="16" t="s">
        <v>3412</v>
      </c>
      <c r="D6678" s="16" t="s">
        <v>3403</v>
      </c>
    </row>
    <row r="6679" spans="1:4">
      <c r="A6679" s="16">
        <v>6700700000</v>
      </c>
      <c r="B6679" s="16">
        <v>0</v>
      </c>
      <c r="C6679" s="16" t="s">
        <v>3404</v>
      </c>
      <c r="D6679" s="16" t="s">
        <v>3409</v>
      </c>
    </row>
    <row r="6680" spans="1:4">
      <c r="A6680" s="16">
        <v>2201000000</v>
      </c>
      <c r="B6680" s="16">
        <v>0</v>
      </c>
      <c r="C6680" s="16" t="s">
        <v>3415</v>
      </c>
      <c r="D6680" s="16" t="s">
        <v>3403</v>
      </c>
    </row>
    <row r="6681" spans="1:4">
      <c r="A6681" s="16">
        <v>6700200000</v>
      </c>
      <c r="B6681" s="16">
        <v>0</v>
      </c>
      <c r="C6681" s="16" t="s">
        <v>3404</v>
      </c>
      <c r="D6681" s="16" t="s">
        <v>3409</v>
      </c>
    </row>
    <row r="6682" spans="1:4">
      <c r="A6682" s="16">
        <v>2750010000</v>
      </c>
      <c r="B6682" s="16">
        <v>0</v>
      </c>
      <c r="C6682" s="16" t="s">
        <v>3419</v>
      </c>
      <c r="D6682" s="16" t="s">
        <v>3403</v>
      </c>
    </row>
    <row r="6683" spans="1:4">
      <c r="A6683" s="16">
        <v>4203000000</v>
      </c>
      <c r="B6683" s="16">
        <v>0</v>
      </c>
      <c r="C6683" s="16" t="s">
        <v>3408</v>
      </c>
      <c r="D6683" s="16" t="s">
        <v>3403</v>
      </c>
    </row>
    <row r="6684" spans="1:4">
      <c r="A6684" s="16">
        <v>6700200000</v>
      </c>
      <c r="B6684" s="16">
        <v>0</v>
      </c>
      <c r="C6684" s="16" t="s">
        <v>3404</v>
      </c>
      <c r="D6684" s="16" t="s">
        <v>3409</v>
      </c>
    </row>
    <row r="6685" spans="1:4">
      <c r="A6685" s="16">
        <v>6700600000</v>
      </c>
      <c r="B6685" s="16">
        <v>0</v>
      </c>
      <c r="C6685" s="16" t="s">
        <v>3404</v>
      </c>
      <c r="D6685" s="16" t="s">
        <v>3409</v>
      </c>
    </row>
    <row r="6686" spans="1:4">
      <c r="A6686" s="16">
        <v>6104000000</v>
      </c>
      <c r="B6686" s="16">
        <v>0</v>
      </c>
      <c r="C6686" s="16" t="s">
        <v>3427</v>
      </c>
      <c r="D6686" s="16" t="s">
        <v>3417</v>
      </c>
    </row>
    <row r="6687" spans="1:4">
      <c r="A6687" s="16">
        <v>6700600000</v>
      </c>
      <c r="B6687" s="16">
        <v>0</v>
      </c>
      <c r="C6687" s="16" t="s">
        <v>3404</v>
      </c>
      <c r="D6687" s="16" t="s">
        <v>3409</v>
      </c>
    </row>
    <row r="6688" spans="1:4">
      <c r="A6688" s="16">
        <v>6610100000</v>
      </c>
      <c r="B6688" s="16">
        <v>0</v>
      </c>
      <c r="C6688" s="16" t="s">
        <v>3413</v>
      </c>
      <c r="D6688" s="16" t="s">
        <v>3414</v>
      </c>
    </row>
    <row r="6689" spans="1:4">
      <c r="A6689" s="16">
        <v>6700700000</v>
      </c>
      <c r="B6689" s="16">
        <v>0</v>
      </c>
      <c r="C6689" s="16" t="s">
        <v>3404</v>
      </c>
      <c r="D6689" s="16" t="s">
        <v>3409</v>
      </c>
    </row>
    <row r="6690" spans="1:4">
      <c r="A6690" s="16">
        <v>3810000000</v>
      </c>
      <c r="B6690" s="16">
        <v>0</v>
      </c>
      <c r="C6690" s="16" t="s">
        <v>3402</v>
      </c>
      <c r="D6690" s="16" t="s">
        <v>3403</v>
      </c>
    </row>
    <row r="6691" spans="1:4">
      <c r="A6691" s="16">
        <v>3030000000</v>
      </c>
      <c r="B6691" s="16">
        <v>0</v>
      </c>
      <c r="C6691" s="16" t="s">
        <v>3402</v>
      </c>
      <c r="D6691" s="16" t="s">
        <v>3403</v>
      </c>
    </row>
    <row r="6692" spans="1:4">
      <c r="A6692" s="16">
        <v>6060110000</v>
      </c>
      <c r="B6692" s="16">
        <v>0</v>
      </c>
      <c r="C6692" s="16" t="s">
        <v>3420</v>
      </c>
      <c r="D6692" s="16" t="s">
        <v>3421</v>
      </c>
    </row>
    <row r="6693" spans="1:4">
      <c r="A6693" s="16">
        <v>3102000000</v>
      </c>
      <c r="B6693" s="16">
        <v>0</v>
      </c>
      <c r="C6693" s="16" t="s">
        <v>3424</v>
      </c>
      <c r="D6693" s="16" t="s">
        <v>3403</v>
      </c>
    </row>
    <row r="6694" spans="1:4">
      <c r="A6694" s="16">
        <v>5052010000</v>
      </c>
      <c r="B6694" s="16">
        <v>3027225</v>
      </c>
      <c r="C6694" s="16" t="s">
        <v>3406</v>
      </c>
      <c r="D6694" s="16" t="s">
        <v>3422</v>
      </c>
    </row>
    <row r="6695" spans="1:4">
      <c r="A6695" s="16">
        <v>6700200000</v>
      </c>
      <c r="B6695" s="16">
        <v>0</v>
      </c>
      <c r="C6695" s="16" t="s">
        <v>3404</v>
      </c>
      <c r="D6695" s="16" t="s">
        <v>3409</v>
      </c>
    </row>
    <row r="6696" spans="1:4">
      <c r="A6696" s="16">
        <v>6104000000</v>
      </c>
      <c r="B6696" s="16">
        <v>158651</v>
      </c>
      <c r="C6696" s="16" t="s">
        <v>3427</v>
      </c>
      <c r="D6696" s="16" t="s">
        <v>3417</v>
      </c>
    </row>
    <row r="6697" spans="1:4">
      <c r="A6697" s="16">
        <v>6700600000</v>
      </c>
      <c r="B6697" s="16">
        <v>0</v>
      </c>
      <c r="C6697" s="16" t="s">
        <v>3404</v>
      </c>
      <c r="D6697" s="16" t="s">
        <v>3409</v>
      </c>
    </row>
    <row r="6698" spans="1:4">
      <c r="A6698" s="16">
        <v>5010100000</v>
      </c>
      <c r="B6698" s="16">
        <v>0</v>
      </c>
      <c r="C6698" s="16" t="s">
        <v>3406</v>
      </c>
      <c r="D6698" s="16" t="s">
        <v>3407</v>
      </c>
    </row>
    <row r="6699" spans="1:4">
      <c r="A6699" s="16">
        <v>6700500000</v>
      </c>
      <c r="B6699" s="16">
        <v>0</v>
      </c>
      <c r="C6699" s="16" t="s">
        <v>3404</v>
      </c>
      <c r="D6699" s="16" t="s">
        <v>3405</v>
      </c>
    </row>
    <row r="6700" spans="1:4">
      <c r="A6700" s="16">
        <v>3102000000</v>
      </c>
      <c r="B6700" s="16">
        <v>0</v>
      </c>
      <c r="C6700" s="16" t="s">
        <v>3424</v>
      </c>
      <c r="D6700" s="16" t="s">
        <v>3403</v>
      </c>
    </row>
    <row r="6701" spans="1:4">
      <c r="A6701" s="16">
        <v>6700200000</v>
      </c>
      <c r="B6701" s="16">
        <v>0</v>
      </c>
      <c r="C6701" s="16" t="s">
        <v>3404</v>
      </c>
      <c r="D6701" s="16" t="s">
        <v>3409</v>
      </c>
    </row>
    <row r="6702" spans="1:4">
      <c r="A6702" s="16">
        <v>6700100000</v>
      </c>
      <c r="B6702" s="16">
        <v>0</v>
      </c>
      <c r="C6702" s="16" t="s">
        <v>3404</v>
      </c>
      <c r="D6702" s="16" t="s">
        <v>3410</v>
      </c>
    </row>
    <row r="6703" spans="1:4">
      <c r="A6703" s="16">
        <v>6610000100</v>
      </c>
      <c r="B6703" s="16">
        <v>0</v>
      </c>
      <c r="C6703" s="16" t="s">
        <v>3413</v>
      </c>
      <c r="D6703" s="16" t="s">
        <v>3418</v>
      </c>
    </row>
    <row r="6704" spans="1:4">
      <c r="A6704" s="16">
        <v>6700100000</v>
      </c>
      <c r="B6704" s="16">
        <v>0</v>
      </c>
      <c r="C6704" s="16" t="s">
        <v>3404</v>
      </c>
      <c r="D6704" s="16" t="s">
        <v>3410</v>
      </c>
    </row>
    <row r="6705" spans="1:4">
      <c r="A6705" s="16">
        <v>6700200000</v>
      </c>
      <c r="B6705" s="16">
        <v>189939173</v>
      </c>
      <c r="C6705" s="16" t="s">
        <v>3404</v>
      </c>
      <c r="D6705" s="16" t="s">
        <v>3409</v>
      </c>
    </row>
    <row r="6706" spans="1:4">
      <c r="A6706" s="16">
        <v>6700400000</v>
      </c>
      <c r="B6706" s="16">
        <v>0</v>
      </c>
      <c r="C6706" s="16" t="s">
        <v>3404</v>
      </c>
      <c r="D6706" s="16" t="s">
        <v>3405</v>
      </c>
    </row>
    <row r="6707" spans="1:4">
      <c r="A6707" s="16">
        <v>3103000000</v>
      </c>
      <c r="B6707" s="16">
        <v>0</v>
      </c>
      <c r="C6707" s="16" t="s">
        <v>3402</v>
      </c>
      <c r="D6707" s="16" t="s">
        <v>3403</v>
      </c>
    </row>
    <row r="6708" spans="1:4">
      <c r="A6708" s="16">
        <v>6700400000</v>
      </c>
      <c r="B6708" s="16">
        <v>0</v>
      </c>
      <c r="C6708" s="16" t="s">
        <v>3404</v>
      </c>
      <c r="D6708" s="16" t="s">
        <v>3405</v>
      </c>
    </row>
    <row r="6709" spans="1:4">
      <c r="A6709" s="16">
        <v>2750010000</v>
      </c>
      <c r="B6709" s="16">
        <v>0</v>
      </c>
      <c r="C6709" s="16" t="s">
        <v>3419</v>
      </c>
      <c r="D6709" s="16" t="s">
        <v>3403</v>
      </c>
    </row>
    <row r="6710" spans="1:4">
      <c r="A6710" s="16">
        <v>6700700000</v>
      </c>
      <c r="B6710" s="16">
        <v>0</v>
      </c>
      <c r="C6710" s="16" t="s">
        <v>3404</v>
      </c>
      <c r="D6710" s="16" t="s">
        <v>3409</v>
      </c>
    </row>
    <row r="6711" spans="1:4">
      <c r="A6711" s="16">
        <v>6030000000</v>
      </c>
      <c r="B6711" s="16">
        <v>0</v>
      </c>
      <c r="C6711" s="16" t="s">
        <v>3420</v>
      </c>
      <c r="D6711" s="16" t="s">
        <v>3423</v>
      </c>
    </row>
    <row r="6712" spans="1:4">
      <c r="A6712" s="16">
        <v>4203000000</v>
      </c>
      <c r="B6712" s="16">
        <v>0</v>
      </c>
      <c r="C6712" s="16" t="s">
        <v>3408</v>
      </c>
      <c r="D6712" s="16" t="s">
        <v>3403</v>
      </c>
    </row>
    <row r="6713" spans="1:4">
      <c r="A6713" s="16">
        <v>6700500000</v>
      </c>
      <c r="B6713" s="16">
        <v>0</v>
      </c>
      <c r="C6713" s="16" t="s">
        <v>3404</v>
      </c>
      <c r="D6713" s="16" t="s">
        <v>3405</v>
      </c>
    </row>
    <row r="6714" spans="1:4">
      <c r="A6714" s="16">
        <v>6610000000</v>
      </c>
      <c r="B6714" s="16">
        <v>0</v>
      </c>
      <c r="C6714" s="16" t="s">
        <v>3413</v>
      </c>
      <c r="D6714" s="16" t="s">
        <v>3418</v>
      </c>
    </row>
    <row r="6715" spans="1:4">
      <c r="A6715" s="16">
        <v>6700700000</v>
      </c>
      <c r="B6715" s="16">
        <v>0</v>
      </c>
      <c r="C6715" s="16" t="s">
        <v>3404</v>
      </c>
      <c r="D6715" s="16" t="s">
        <v>3409</v>
      </c>
    </row>
    <row r="6716" spans="1:4">
      <c r="A6716" s="16">
        <v>6100000000</v>
      </c>
      <c r="B6716" s="16">
        <v>0</v>
      </c>
      <c r="C6716" s="16" t="s">
        <v>3416</v>
      </c>
      <c r="D6716" s="16" t="s">
        <v>3417</v>
      </c>
    </row>
    <row r="6717" spans="1:4">
      <c r="A6717" s="16">
        <v>6700200000</v>
      </c>
      <c r="B6717" s="16">
        <v>0</v>
      </c>
      <c r="C6717" s="16" t="s">
        <v>3404</v>
      </c>
      <c r="D6717" s="16" t="s">
        <v>3409</v>
      </c>
    </row>
    <row r="6718" spans="1:4">
      <c r="A6718" s="16">
        <v>6102000000</v>
      </c>
      <c r="B6718" s="16">
        <v>0</v>
      </c>
      <c r="C6718" s="16" t="s">
        <v>3425</v>
      </c>
      <c r="D6718" s="16" t="s">
        <v>3426</v>
      </c>
    </row>
    <row r="6719" spans="1:4">
      <c r="A6719" s="16">
        <v>5052000000</v>
      </c>
      <c r="B6719" s="16">
        <v>-3027225</v>
      </c>
      <c r="C6719" s="16" t="s">
        <v>3406</v>
      </c>
      <c r="D6719" s="16" t="s">
        <v>3422</v>
      </c>
    </row>
    <row r="6720" spans="1:4">
      <c r="A6720" s="16">
        <v>6700000000</v>
      </c>
      <c r="B6720" s="16">
        <v>0</v>
      </c>
      <c r="C6720" s="16" t="s">
        <v>3404</v>
      </c>
      <c r="D6720" s="16" t="s">
        <v>3405</v>
      </c>
    </row>
    <row r="6721" spans="1:4">
      <c r="A6721" s="16">
        <v>6700200000</v>
      </c>
      <c r="B6721" s="16">
        <v>0</v>
      </c>
      <c r="C6721" s="16" t="s">
        <v>3404</v>
      </c>
      <c r="D6721" s="16" t="s">
        <v>3409</v>
      </c>
    </row>
    <row r="6722" spans="1:4">
      <c r="A6722" s="16">
        <v>2750010000</v>
      </c>
      <c r="B6722" s="16">
        <v>0</v>
      </c>
      <c r="C6722" s="16" t="s">
        <v>3419</v>
      </c>
      <c r="D6722" s="16" t="s">
        <v>3403</v>
      </c>
    </row>
    <row r="6723" spans="1:4">
      <c r="A6723" s="16">
        <v>3103000000</v>
      </c>
      <c r="B6723" s="16">
        <v>-158651</v>
      </c>
      <c r="C6723" s="16" t="s">
        <v>3402</v>
      </c>
      <c r="D6723" s="16" t="s">
        <v>3403</v>
      </c>
    </row>
    <row r="6724" spans="1:4">
      <c r="A6724" s="16">
        <v>6700400000</v>
      </c>
      <c r="B6724" s="16">
        <v>0</v>
      </c>
      <c r="C6724" s="16" t="s">
        <v>3404</v>
      </c>
      <c r="D6724" s="16" t="s">
        <v>3405</v>
      </c>
    </row>
    <row r="6725" spans="1:4">
      <c r="A6725" s="16">
        <v>6102000000</v>
      </c>
      <c r="B6725" s="16">
        <v>0</v>
      </c>
      <c r="C6725" s="16" t="s">
        <v>3425</v>
      </c>
      <c r="D6725" s="16" t="s">
        <v>3426</v>
      </c>
    </row>
    <row r="6726" spans="1:4">
      <c r="A6726" s="16">
        <v>6700600000</v>
      </c>
      <c r="B6726" s="16">
        <v>0</v>
      </c>
      <c r="C6726" s="16" t="s">
        <v>3404</v>
      </c>
      <c r="D6726" s="16" t="s">
        <v>3409</v>
      </c>
    </row>
    <row r="6727" spans="1:4">
      <c r="A6727" s="16">
        <v>6700000000</v>
      </c>
      <c r="B6727" s="16">
        <v>-189939173</v>
      </c>
      <c r="C6727" s="16" t="s">
        <v>3404</v>
      </c>
      <c r="D6727" s="16" t="s">
        <v>3405</v>
      </c>
    </row>
    <row r="6728" spans="1:4">
      <c r="A6728" s="16">
        <v>6610100100</v>
      </c>
      <c r="B6728" s="16">
        <v>0</v>
      </c>
      <c r="C6728" s="16" t="s">
        <v>3413</v>
      </c>
      <c r="D6728" s="16" t="s">
        <v>3414</v>
      </c>
    </row>
    <row r="6729" spans="1:4">
      <c r="A6729" s="16">
        <v>6700500000</v>
      </c>
      <c r="B6729" s="16">
        <v>0</v>
      </c>
      <c r="C6729" s="16" t="s">
        <v>3404</v>
      </c>
      <c r="D6729" s="16" t="s">
        <v>3405</v>
      </c>
    </row>
    <row r="6730" spans="1:4">
      <c r="A6730" s="16">
        <v>2201400000</v>
      </c>
      <c r="B6730" s="16">
        <v>0</v>
      </c>
      <c r="C6730" s="16" t="s">
        <v>3415</v>
      </c>
      <c r="D6730" s="16" t="s">
        <v>3403</v>
      </c>
    </row>
    <row r="6731" spans="1:4">
      <c r="A6731" s="16">
        <v>3030000000</v>
      </c>
      <c r="B6731" s="16">
        <v>0</v>
      </c>
      <c r="C6731" s="16" t="s">
        <v>3402</v>
      </c>
      <c r="D6731" s="16" t="s">
        <v>3403</v>
      </c>
    </row>
    <row r="6732" spans="1:4">
      <c r="A6732" s="16">
        <v>4203000000</v>
      </c>
      <c r="B6732" s="16">
        <v>0</v>
      </c>
      <c r="C6732" s="16" t="s">
        <v>3408</v>
      </c>
      <c r="D6732" s="16" t="s">
        <v>3403</v>
      </c>
    </row>
    <row r="6733" spans="1:4">
      <c r="A6733" s="16">
        <v>6700500000</v>
      </c>
      <c r="B6733" s="16">
        <v>0</v>
      </c>
      <c r="C6733" s="16" t="s">
        <v>3404</v>
      </c>
      <c r="D6733" s="16" t="s">
        <v>3405</v>
      </c>
    </row>
    <row r="6734" spans="1:4">
      <c r="A6734" s="16">
        <v>2201000000</v>
      </c>
      <c r="B6734" s="16">
        <v>0</v>
      </c>
      <c r="C6734" s="16" t="s">
        <v>3415</v>
      </c>
      <c r="D6734" s="16" t="s">
        <v>3403</v>
      </c>
    </row>
    <row r="6735" spans="1:4">
      <c r="A6735" s="16">
        <v>2500000000</v>
      </c>
      <c r="B6735" s="16">
        <v>0</v>
      </c>
      <c r="C6735" s="16" t="s">
        <v>3412</v>
      </c>
      <c r="D6735" s="16" t="s">
        <v>3403</v>
      </c>
    </row>
    <row r="6736" spans="1:4">
      <c r="A6736" s="16">
        <v>3100000000</v>
      </c>
      <c r="B6736" s="16">
        <v>0</v>
      </c>
      <c r="C6736" s="16" t="s">
        <v>3402</v>
      </c>
      <c r="D6736" s="16" t="s">
        <v>3403</v>
      </c>
    </row>
    <row r="6737" spans="1:4">
      <c r="A6737" s="16">
        <v>6700000000</v>
      </c>
      <c r="B6737" s="16">
        <v>0</v>
      </c>
      <c r="C6737" s="16" t="s">
        <v>3404</v>
      </c>
      <c r="D6737" s="16" t="s">
        <v>3405</v>
      </c>
    </row>
    <row r="6738" spans="1:4">
      <c r="A6738" s="16">
        <v>6700700000</v>
      </c>
      <c r="B6738" s="16">
        <v>0</v>
      </c>
      <c r="C6738" s="16" t="s">
        <v>3404</v>
      </c>
      <c r="D6738" s="16" t="s">
        <v>3409</v>
      </c>
    </row>
    <row r="6739" spans="1:4">
      <c r="A6739" s="16">
        <v>6700100000</v>
      </c>
      <c r="B6739" s="16">
        <v>0</v>
      </c>
      <c r="C6739" s="16" t="s">
        <v>3404</v>
      </c>
      <c r="D6739" s="16" t="s">
        <v>3410</v>
      </c>
    </row>
    <row r="6740" spans="1:4">
      <c r="A6740" s="16">
        <v>6610100100</v>
      </c>
      <c r="B6740" s="16">
        <v>0</v>
      </c>
      <c r="C6740" s="16" t="s">
        <v>3413</v>
      </c>
      <c r="D6740" s="16" t="s">
        <v>3414</v>
      </c>
    </row>
    <row r="6741" spans="1:4">
      <c r="A6741" s="16">
        <v>6700200000</v>
      </c>
      <c r="B6741" s="16">
        <v>0</v>
      </c>
      <c r="C6741" s="16" t="s">
        <v>3404</v>
      </c>
      <c r="D6741" s="16" t="s">
        <v>3409</v>
      </c>
    </row>
    <row r="6742" spans="1:4">
      <c r="A6742" s="16">
        <v>5010000010</v>
      </c>
      <c r="B6742" s="16">
        <v>0</v>
      </c>
      <c r="C6742" s="16" t="s">
        <v>3406</v>
      </c>
      <c r="D6742" s="16" t="s">
        <v>3411</v>
      </c>
    </row>
    <row r="6743" spans="1:4">
      <c r="A6743" s="16">
        <v>6610100000</v>
      </c>
      <c r="B6743" s="16">
        <v>0</v>
      </c>
      <c r="C6743" s="16" t="s">
        <v>3413</v>
      </c>
      <c r="D6743" s="16" t="s">
        <v>3414</v>
      </c>
    </row>
    <row r="6744" spans="1:4">
      <c r="A6744" s="16">
        <v>6700400000</v>
      </c>
      <c r="B6744" s="16">
        <v>0</v>
      </c>
      <c r="C6744" s="16" t="s">
        <v>3404</v>
      </c>
      <c r="D6744" s="16" t="s">
        <v>3405</v>
      </c>
    </row>
    <row r="6745" spans="1:4">
      <c r="A6745" s="16">
        <v>2500000000</v>
      </c>
      <c r="B6745" s="16">
        <v>0</v>
      </c>
      <c r="C6745" s="16" t="s">
        <v>3412</v>
      </c>
      <c r="D6745" s="16" t="s">
        <v>3403</v>
      </c>
    </row>
    <row r="6746" spans="1:4">
      <c r="A6746" s="16">
        <v>3102000000</v>
      </c>
      <c r="B6746" s="16">
        <v>0</v>
      </c>
      <c r="C6746" s="16" t="s">
        <v>3424</v>
      </c>
      <c r="D6746" s="16" t="s">
        <v>3403</v>
      </c>
    </row>
    <row r="6747" spans="1:4">
      <c r="A6747" s="16">
        <v>6610100000</v>
      </c>
      <c r="B6747" s="16">
        <v>0</v>
      </c>
      <c r="C6747" s="16" t="s">
        <v>3413</v>
      </c>
      <c r="D6747" s="16" t="s">
        <v>3414</v>
      </c>
    </row>
    <row r="6748" spans="1:4">
      <c r="A6748" s="16">
        <v>6700200000</v>
      </c>
      <c r="B6748" s="16">
        <v>1648067</v>
      </c>
      <c r="C6748" s="16" t="s">
        <v>3404</v>
      </c>
      <c r="D6748" s="16" t="s">
        <v>3409</v>
      </c>
    </row>
    <row r="6749" spans="1:4">
      <c r="A6749" s="16">
        <v>6700700000</v>
      </c>
      <c r="B6749" s="16">
        <v>0</v>
      </c>
      <c r="C6749" s="16" t="s">
        <v>3404</v>
      </c>
      <c r="D6749" s="16" t="s">
        <v>3409</v>
      </c>
    </row>
    <row r="6750" spans="1:4">
      <c r="A6750" s="16">
        <v>5050000000</v>
      </c>
      <c r="B6750" s="16">
        <v>0</v>
      </c>
      <c r="C6750" s="16" t="s">
        <v>3406</v>
      </c>
      <c r="D6750" s="16" t="s">
        <v>3422</v>
      </c>
    </row>
    <row r="6751" spans="1:4">
      <c r="A6751" s="16">
        <v>6104000000</v>
      </c>
      <c r="B6751" s="16">
        <v>0</v>
      </c>
      <c r="C6751" s="16" t="s">
        <v>3416</v>
      </c>
      <c r="D6751" s="16" t="s">
        <v>3417</v>
      </c>
    </row>
    <row r="6752" spans="1:4">
      <c r="A6752" s="16">
        <v>6700200000</v>
      </c>
      <c r="B6752" s="16">
        <v>0</v>
      </c>
      <c r="C6752" s="16" t="s">
        <v>3404</v>
      </c>
      <c r="D6752" s="16" t="s">
        <v>3409</v>
      </c>
    </row>
    <row r="6753" spans="1:4">
      <c r="A6753" s="16">
        <v>5010000000</v>
      </c>
      <c r="B6753" s="16">
        <v>0</v>
      </c>
      <c r="C6753" s="16" t="s">
        <v>3406</v>
      </c>
      <c r="D6753" s="16" t="s">
        <v>3411</v>
      </c>
    </row>
    <row r="6754" spans="1:4">
      <c r="A6754" s="16">
        <v>6700500000</v>
      </c>
      <c r="B6754" s="16">
        <v>0</v>
      </c>
      <c r="C6754" s="16" t="s">
        <v>3404</v>
      </c>
      <c r="D6754" s="16" t="s">
        <v>3405</v>
      </c>
    </row>
    <row r="6755" spans="1:4">
      <c r="A6755" s="16">
        <v>6700100000</v>
      </c>
      <c r="B6755" s="16">
        <v>0</v>
      </c>
      <c r="C6755" s="16" t="s">
        <v>3404</v>
      </c>
      <c r="D6755" s="16" t="s">
        <v>3410</v>
      </c>
    </row>
    <row r="6756" spans="1:4">
      <c r="A6756" s="16">
        <v>3710000000</v>
      </c>
      <c r="B6756" s="16">
        <v>0</v>
      </c>
      <c r="C6756" s="16" t="s">
        <v>3402</v>
      </c>
      <c r="D6756" s="16" t="s">
        <v>3403</v>
      </c>
    </row>
    <row r="6757" spans="1:4">
      <c r="A6757" s="16">
        <v>2500000000</v>
      </c>
      <c r="B6757" s="16">
        <v>84454068</v>
      </c>
      <c r="C6757" s="16" t="s">
        <v>3412</v>
      </c>
      <c r="D6757" s="16" t="s">
        <v>3403</v>
      </c>
    </row>
    <row r="6758" spans="1:4">
      <c r="A6758" s="16">
        <v>4203000000</v>
      </c>
      <c r="B6758" s="16">
        <v>0</v>
      </c>
      <c r="C6758" s="16" t="s">
        <v>3408</v>
      </c>
      <c r="D6758" s="16" t="s">
        <v>3403</v>
      </c>
    </row>
    <row r="6759" spans="1:4">
      <c r="A6759" s="16">
        <v>2201000000</v>
      </c>
      <c r="B6759" s="16">
        <v>0</v>
      </c>
      <c r="C6759" s="16" t="s">
        <v>3415</v>
      </c>
      <c r="D6759" s="16" t="s">
        <v>3403</v>
      </c>
    </row>
    <row r="6760" spans="1:4">
      <c r="A6760" s="16">
        <v>5010000000</v>
      </c>
      <c r="B6760" s="16">
        <v>0</v>
      </c>
      <c r="C6760" s="16" t="s">
        <v>3406</v>
      </c>
      <c r="D6760" s="16" t="s">
        <v>3411</v>
      </c>
    </row>
    <row r="6761" spans="1:4">
      <c r="A6761" s="16">
        <v>6102000000</v>
      </c>
      <c r="B6761" s="16">
        <v>0</v>
      </c>
      <c r="C6761" s="16" t="s">
        <v>3425</v>
      </c>
      <c r="D6761" s="16" t="s">
        <v>3426</v>
      </c>
    </row>
    <row r="6762" spans="1:4">
      <c r="A6762" s="16">
        <v>4203000000</v>
      </c>
      <c r="B6762" s="16">
        <v>0</v>
      </c>
      <c r="C6762" s="16" t="s">
        <v>3408</v>
      </c>
      <c r="D6762" s="16" t="s">
        <v>3403</v>
      </c>
    </row>
    <row r="6763" spans="1:4">
      <c r="A6763" s="16">
        <v>6700200000</v>
      </c>
      <c r="B6763" s="16">
        <v>0</v>
      </c>
      <c r="C6763" s="16" t="s">
        <v>3404</v>
      </c>
      <c r="D6763" s="16" t="s">
        <v>3409</v>
      </c>
    </row>
    <row r="6764" spans="1:4">
      <c r="A6764" s="16">
        <v>6700100000</v>
      </c>
      <c r="B6764" s="16">
        <v>-1648067</v>
      </c>
      <c r="C6764" s="16" t="s">
        <v>3404</v>
      </c>
      <c r="D6764" s="16" t="s">
        <v>3410</v>
      </c>
    </row>
    <row r="6765" spans="1:4">
      <c r="A6765" s="16">
        <v>6104001000</v>
      </c>
      <c r="B6765" s="16">
        <v>0</v>
      </c>
      <c r="C6765" s="16" t="s">
        <v>3416</v>
      </c>
      <c r="D6765" s="16" t="s">
        <v>3417</v>
      </c>
    </row>
    <row r="6766" spans="1:4">
      <c r="A6766" s="16">
        <v>3800000000</v>
      </c>
      <c r="B6766" s="16">
        <v>0</v>
      </c>
      <c r="C6766" s="16" t="s">
        <v>3402</v>
      </c>
      <c r="D6766" s="16" t="s">
        <v>3403</v>
      </c>
    </row>
    <row r="6767" spans="1:4">
      <c r="A6767" s="16">
        <v>3103000000</v>
      </c>
      <c r="B6767" s="16">
        <v>0</v>
      </c>
      <c r="C6767" s="16" t="s">
        <v>3402</v>
      </c>
      <c r="D6767" s="16" t="s">
        <v>3403</v>
      </c>
    </row>
    <row r="6768" spans="1:4">
      <c r="A6768" s="16">
        <v>6610100000</v>
      </c>
      <c r="B6768" s="16">
        <v>0</v>
      </c>
      <c r="C6768" s="16" t="s">
        <v>3413</v>
      </c>
      <c r="D6768" s="16" t="s">
        <v>3414</v>
      </c>
    </row>
    <row r="6769" spans="1:4">
      <c r="A6769" s="16">
        <v>2750010000</v>
      </c>
      <c r="B6769" s="16">
        <v>0</v>
      </c>
      <c r="C6769" s="16" t="s">
        <v>3419</v>
      </c>
      <c r="D6769" s="16" t="s">
        <v>3403</v>
      </c>
    </row>
    <row r="6770" spans="1:4">
      <c r="A6770" s="16">
        <v>5050000000</v>
      </c>
      <c r="B6770" s="16">
        <v>0</v>
      </c>
      <c r="C6770" s="16" t="s">
        <v>3406</v>
      </c>
      <c r="D6770" s="16" t="s">
        <v>3422</v>
      </c>
    </row>
    <row r="6771" spans="1:4">
      <c r="A6771" s="16">
        <v>6700200000</v>
      </c>
      <c r="B6771" s="16">
        <v>0</v>
      </c>
      <c r="C6771" s="16" t="s">
        <v>3404</v>
      </c>
      <c r="D6771" s="16" t="s">
        <v>3409</v>
      </c>
    </row>
    <row r="6772" spans="1:4">
      <c r="A6772" s="16">
        <v>6700700000</v>
      </c>
      <c r="B6772" s="16">
        <v>0</v>
      </c>
      <c r="C6772" s="16" t="s">
        <v>3404</v>
      </c>
      <c r="D6772" s="16" t="s">
        <v>3409</v>
      </c>
    </row>
    <row r="6773" spans="1:4">
      <c r="A6773" s="16">
        <v>5010100000</v>
      </c>
      <c r="B6773" s="16">
        <v>-84454068</v>
      </c>
      <c r="C6773" s="16" t="s">
        <v>3406</v>
      </c>
      <c r="D6773" s="16" t="s">
        <v>3407</v>
      </c>
    </row>
    <row r="6774" spans="1:4">
      <c r="A6774" s="16">
        <v>6610100000</v>
      </c>
      <c r="B6774" s="16">
        <v>0</v>
      </c>
      <c r="C6774" s="16" t="s">
        <v>3413</v>
      </c>
      <c r="D6774" s="16" t="s">
        <v>3414</v>
      </c>
    </row>
    <row r="6775" spans="1:4">
      <c r="A6775" s="16">
        <v>6700200000</v>
      </c>
      <c r="B6775" s="16">
        <v>0</v>
      </c>
      <c r="C6775" s="16" t="s">
        <v>3404</v>
      </c>
      <c r="D6775" s="16" t="s">
        <v>3409</v>
      </c>
    </row>
    <row r="6776" spans="1:4">
      <c r="A6776" s="16">
        <v>6700000000</v>
      </c>
      <c r="B6776" s="16">
        <v>0</v>
      </c>
      <c r="C6776" s="16" t="s">
        <v>3404</v>
      </c>
      <c r="D6776" s="16" t="s">
        <v>3405</v>
      </c>
    </row>
    <row r="6777" spans="1:4">
      <c r="A6777" s="16">
        <v>6610100000</v>
      </c>
      <c r="B6777" s="16">
        <v>-3</v>
      </c>
      <c r="C6777" s="16" t="s">
        <v>3413</v>
      </c>
      <c r="D6777" s="16" t="s">
        <v>3414</v>
      </c>
    </row>
    <row r="6778" spans="1:4">
      <c r="A6778" s="16">
        <v>3103001000</v>
      </c>
      <c r="B6778" s="16">
        <v>0</v>
      </c>
      <c r="C6778" s="16" t="s">
        <v>3402</v>
      </c>
      <c r="D6778" s="16" t="s">
        <v>3403</v>
      </c>
    </row>
    <row r="6779" spans="1:4">
      <c r="A6779" s="16">
        <v>4203000000</v>
      </c>
      <c r="B6779" s="16">
        <v>0</v>
      </c>
      <c r="C6779" s="16" t="s">
        <v>3408</v>
      </c>
      <c r="D6779" s="16" t="s">
        <v>3403</v>
      </c>
    </row>
    <row r="6780" spans="1:4">
      <c r="A6780" s="16">
        <v>6610100100</v>
      </c>
      <c r="B6780" s="16">
        <v>0</v>
      </c>
      <c r="C6780" s="16" t="s">
        <v>3413</v>
      </c>
      <c r="D6780" s="16" t="s">
        <v>3414</v>
      </c>
    </row>
    <row r="6781" spans="1:4">
      <c r="A6781" s="16">
        <v>3800000000</v>
      </c>
      <c r="B6781" s="16">
        <v>0</v>
      </c>
      <c r="C6781" s="16" t="s">
        <v>3402</v>
      </c>
      <c r="D6781" s="16" t="s">
        <v>3403</v>
      </c>
    </row>
    <row r="6782" spans="1:4">
      <c r="A6782" s="16">
        <v>6700200000</v>
      </c>
      <c r="B6782" s="16">
        <v>0</v>
      </c>
      <c r="C6782" s="16" t="s">
        <v>3404</v>
      </c>
      <c r="D6782" s="16" t="s">
        <v>3409</v>
      </c>
    </row>
    <row r="6783" spans="1:4">
      <c r="A6783" s="16">
        <v>6700100000</v>
      </c>
      <c r="B6783" s="16">
        <v>0</v>
      </c>
      <c r="C6783" s="16" t="s">
        <v>3404</v>
      </c>
      <c r="D6783" s="16" t="s">
        <v>3410</v>
      </c>
    </row>
    <row r="6784" spans="1:4">
      <c r="A6784" s="16">
        <v>6700500000</v>
      </c>
      <c r="B6784" s="16">
        <v>0</v>
      </c>
      <c r="C6784" s="16" t="s">
        <v>3404</v>
      </c>
      <c r="D6784" s="16" t="s">
        <v>3405</v>
      </c>
    </row>
    <row r="6785" spans="1:4">
      <c r="A6785" s="16">
        <v>3102000000</v>
      </c>
      <c r="B6785" s="16">
        <v>0</v>
      </c>
      <c r="C6785" s="16" t="s">
        <v>3424</v>
      </c>
      <c r="D6785" s="16" t="s">
        <v>3403</v>
      </c>
    </row>
    <row r="6786" spans="1:4">
      <c r="A6786" s="16">
        <v>2750010000</v>
      </c>
      <c r="B6786" s="16">
        <v>0</v>
      </c>
      <c r="C6786" s="16" t="s">
        <v>3419</v>
      </c>
      <c r="D6786" s="16" t="s">
        <v>3403</v>
      </c>
    </row>
    <row r="6787" spans="1:4">
      <c r="A6787" s="16">
        <v>4203000000</v>
      </c>
      <c r="B6787" s="16">
        <v>0</v>
      </c>
      <c r="C6787" s="16" t="s">
        <v>3408</v>
      </c>
      <c r="D6787" s="16" t="s">
        <v>3403</v>
      </c>
    </row>
    <row r="6788" spans="1:4">
      <c r="A6788" s="16">
        <v>3102000000</v>
      </c>
      <c r="B6788" s="16">
        <v>0</v>
      </c>
      <c r="C6788" s="16" t="s">
        <v>3424</v>
      </c>
      <c r="D6788" s="16" t="s">
        <v>3403</v>
      </c>
    </row>
    <row r="6789" spans="1:4">
      <c r="A6789" s="16">
        <v>4203000000</v>
      </c>
      <c r="B6789" s="16">
        <v>3</v>
      </c>
      <c r="C6789" s="16" t="s">
        <v>3408</v>
      </c>
      <c r="D6789" s="16" t="s">
        <v>3403</v>
      </c>
    </row>
    <row r="6790" spans="1:4">
      <c r="A6790" s="16">
        <v>6610000000</v>
      </c>
      <c r="B6790" s="16">
        <v>0</v>
      </c>
      <c r="C6790" s="16" t="s">
        <v>3413</v>
      </c>
      <c r="D6790" s="16" t="s">
        <v>3418</v>
      </c>
    </row>
    <row r="6791" spans="1:4">
      <c r="A6791" s="16">
        <v>6104001000</v>
      </c>
      <c r="B6791" s="16">
        <v>0</v>
      </c>
      <c r="C6791" s="16" t="s">
        <v>3416</v>
      </c>
      <c r="D6791" s="16" t="s">
        <v>3417</v>
      </c>
    </row>
    <row r="6792" spans="1:4">
      <c r="A6792" s="16">
        <v>3102000000</v>
      </c>
      <c r="B6792" s="16">
        <v>0</v>
      </c>
      <c r="C6792" s="16" t="s">
        <v>3424</v>
      </c>
      <c r="D6792" s="16" t="s">
        <v>3403</v>
      </c>
    </row>
    <row r="6793" spans="1:4">
      <c r="A6793" s="16">
        <v>6030000000</v>
      </c>
      <c r="B6793" s="16">
        <v>27120</v>
      </c>
      <c r="C6793" s="16" t="s">
        <v>3420</v>
      </c>
      <c r="D6793" s="16" t="s">
        <v>3423</v>
      </c>
    </row>
    <row r="6794" spans="1:4">
      <c r="A6794" s="16">
        <v>6100000000</v>
      </c>
      <c r="B6794" s="16">
        <v>0</v>
      </c>
      <c r="C6794" s="16" t="s">
        <v>3416</v>
      </c>
      <c r="D6794" s="16" t="s">
        <v>3417</v>
      </c>
    </row>
    <row r="6795" spans="1:4">
      <c r="A6795" s="16">
        <v>6700200000</v>
      </c>
      <c r="B6795" s="16">
        <v>0</v>
      </c>
      <c r="C6795" s="16" t="s">
        <v>3404</v>
      </c>
      <c r="D6795" s="16" t="s">
        <v>3409</v>
      </c>
    </row>
    <row r="6796" spans="1:4">
      <c r="A6796" s="16">
        <v>6700600000</v>
      </c>
      <c r="B6796" s="16">
        <v>0</v>
      </c>
      <c r="C6796" s="16" t="s">
        <v>3404</v>
      </c>
      <c r="D6796" s="16" t="s">
        <v>3409</v>
      </c>
    </row>
    <row r="6797" spans="1:4">
      <c r="A6797" s="16">
        <v>6700000000</v>
      </c>
      <c r="B6797" s="16">
        <v>0</v>
      </c>
      <c r="C6797" s="16" t="s">
        <v>3404</v>
      </c>
      <c r="D6797" s="16" t="s">
        <v>3405</v>
      </c>
    </row>
    <row r="6798" spans="1:4">
      <c r="A6798" s="16">
        <v>6610100000</v>
      </c>
      <c r="B6798" s="16">
        <v>0</v>
      </c>
      <c r="C6798" s="16" t="s">
        <v>3413</v>
      </c>
      <c r="D6798" s="16" t="s">
        <v>3414</v>
      </c>
    </row>
    <row r="6799" spans="1:4">
      <c r="A6799" s="16">
        <v>2750010000</v>
      </c>
      <c r="B6799" s="16">
        <v>0</v>
      </c>
      <c r="C6799" s="16" t="s">
        <v>3419</v>
      </c>
      <c r="D6799" s="16" t="s">
        <v>3403</v>
      </c>
    </row>
    <row r="6800" spans="1:4">
      <c r="A6800" s="16">
        <v>5010100010</v>
      </c>
      <c r="B6800" s="16">
        <v>0</v>
      </c>
      <c r="C6800" s="16" t="s">
        <v>3406</v>
      </c>
      <c r="D6800" s="16" t="s">
        <v>3407</v>
      </c>
    </row>
    <row r="6801" spans="1:4">
      <c r="A6801" s="16">
        <v>6102000000</v>
      </c>
      <c r="B6801" s="16">
        <v>0</v>
      </c>
      <c r="C6801" s="16" t="s">
        <v>3425</v>
      </c>
      <c r="D6801" s="16" t="s">
        <v>3426</v>
      </c>
    </row>
    <row r="6802" spans="1:4">
      <c r="A6802" s="16">
        <v>6610100100</v>
      </c>
      <c r="B6802" s="16">
        <v>0</v>
      </c>
      <c r="C6802" s="16" t="s">
        <v>3413</v>
      </c>
      <c r="D6802" s="16" t="s">
        <v>3414</v>
      </c>
    </row>
    <row r="6803" spans="1:4">
      <c r="A6803" s="16">
        <v>6700200000</v>
      </c>
      <c r="B6803" s="16">
        <v>0</v>
      </c>
      <c r="C6803" s="16" t="s">
        <v>3404</v>
      </c>
      <c r="D6803" s="16" t="s">
        <v>3409</v>
      </c>
    </row>
    <row r="6804" spans="1:4">
      <c r="A6804" s="16">
        <v>6102000000</v>
      </c>
      <c r="B6804" s="16">
        <v>0</v>
      </c>
      <c r="C6804" s="16" t="s">
        <v>3425</v>
      </c>
      <c r="D6804" s="16" t="s">
        <v>3426</v>
      </c>
    </row>
    <row r="6805" spans="1:4">
      <c r="A6805" s="16">
        <v>6610000000</v>
      </c>
      <c r="B6805" s="16">
        <v>0</v>
      </c>
      <c r="C6805" s="16" t="s">
        <v>3413</v>
      </c>
      <c r="D6805" s="16" t="s">
        <v>3418</v>
      </c>
    </row>
    <row r="6806" spans="1:4">
      <c r="A6806" s="16">
        <v>4203000000</v>
      </c>
      <c r="B6806" s="16">
        <v>0</v>
      </c>
      <c r="C6806" s="16" t="s">
        <v>3408</v>
      </c>
      <c r="D6806" s="16" t="s">
        <v>3403</v>
      </c>
    </row>
    <row r="6807" spans="1:4">
      <c r="A6807" s="16">
        <v>3103001000</v>
      </c>
      <c r="B6807" s="16">
        <v>0</v>
      </c>
      <c r="C6807" s="16" t="s">
        <v>3402</v>
      </c>
      <c r="D6807" s="16" t="s">
        <v>3403</v>
      </c>
    </row>
    <row r="6808" spans="1:4">
      <c r="A6808" s="16">
        <v>6102000000</v>
      </c>
      <c r="B6808" s="16">
        <v>0</v>
      </c>
      <c r="C6808" s="16" t="s">
        <v>3425</v>
      </c>
      <c r="D6808" s="16" t="s">
        <v>3426</v>
      </c>
    </row>
    <row r="6809" spans="1:4">
      <c r="A6809" s="16">
        <v>3030000000</v>
      </c>
      <c r="B6809" s="16">
        <v>-27120</v>
      </c>
      <c r="C6809" s="16" t="s">
        <v>3402</v>
      </c>
      <c r="D6809" s="16" t="s">
        <v>3403</v>
      </c>
    </row>
    <row r="6810" spans="1:4">
      <c r="A6810" s="16">
        <v>3100000000</v>
      </c>
      <c r="B6810" s="16">
        <v>0</v>
      </c>
      <c r="C6810" s="16" t="s">
        <v>3402</v>
      </c>
      <c r="D6810" s="16" t="s">
        <v>3403</v>
      </c>
    </row>
    <row r="6811" spans="1:4">
      <c r="A6811" s="16">
        <v>6700000000</v>
      </c>
      <c r="B6811" s="16">
        <v>0</v>
      </c>
      <c r="C6811" s="16" t="s">
        <v>3404</v>
      </c>
      <c r="D6811" s="16" t="s">
        <v>3405</v>
      </c>
    </row>
    <row r="6812" spans="1:4">
      <c r="A6812" s="16">
        <v>6700400000</v>
      </c>
      <c r="B6812" s="16">
        <v>0</v>
      </c>
      <c r="C6812" s="16" t="s">
        <v>3404</v>
      </c>
      <c r="D6812" s="16" t="s">
        <v>3405</v>
      </c>
    </row>
    <row r="6813" spans="1:4">
      <c r="A6813" s="16">
        <v>6104000000</v>
      </c>
      <c r="B6813" s="16">
        <v>24021</v>
      </c>
      <c r="C6813" s="16" t="s">
        <v>3427</v>
      </c>
      <c r="D6813" s="16" t="s">
        <v>3417</v>
      </c>
    </row>
    <row r="6814" spans="1:4">
      <c r="A6814" s="16">
        <v>4203000000</v>
      </c>
      <c r="B6814" s="16">
        <v>0</v>
      </c>
      <c r="C6814" s="16" t="s">
        <v>3408</v>
      </c>
      <c r="D6814" s="16" t="s">
        <v>3403</v>
      </c>
    </row>
    <row r="6815" spans="1:4">
      <c r="A6815" s="16">
        <v>6610000100</v>
      </c>
      <c r="B6815" s="16">
        <v>0</v>
      </c>
      <c r="C6815" s="16" t="s">
        <v>3413</v>
      </c>
      <c r="D6815" s="16" t="s">
        <v>3418</v>
      </c>
    </row>
    <row r="6816" spans="1:4">
      <c r="A6816" s="16">
        <v>3710000000</v>
      </c>
      <c r="B6816" s="16">
        <v>0</v>
      </c>
      <c r="C6816" s="16" t="s">
        <v>3402</v>
      </c>
      <c r="D6816" s="16" t="s">
        <v>3403</v>
      </c>
    </row>
    <row r="6817" spans="1:4">
      <c r="A6817" s="16">
        <v>6104000000</v>
      </c>
      <c r="B6817" s="16">
        <v>0</v>
      </c>
      <c r="C6817" s="16" t="s">
        <v>3427</v>
      </c>
      <c r="D6817" s="16" t="s">
        <v>3417</v>
      </c>
    </row>
    <row r="6818" spans="1:4">
      <c r="A6818" s="16">
        <v>2500000000</v>
      </c>
      <c r="B6818" s="16">
        <v>6623879</v>
      </c>
      <c r="C6818" s="16" t="s">
        <v>3412</v>
      </c>
      <c r="D6818" s="16" t="s">
        <v>3403</v>
      </c>
    </row>
    <row r="6819" spans="1:4">
      <c r="A6819" s="16">
        <v>6100000000</v>
      </c>
      <c r="B6819" s="16">
        <v>0</v>
      </c>
      <c r="C6819" s="16" t="s">
        <v>3416</v>
      </c>
      <c r="D6819" s="16" t="s">
        <v>3417</v>
      </c>
    </row>
    <row r="6820" spans="1:4">
      <c r="A6820" s="16">
        <v>2203000000</v>
      </c>
      <c r="B6820" s="16">
        <v>0</v>
      </c>
      <c r="C6820" s="16" t="s">
        <v>3415</v>
      </c>
      <c r="D6820" s="16" t="s">
        <v>3403</v>
      </c>
    </row>
    <row r="6821" spans="1:4">
      <c r="A6821" s="16">
        <v>6700700000</v>
      </c>
      <c r="B6821" s="16">
        <v>0</v>
      </c>
      <c r="C6821" s="16" t="s">
        <v>3404</v>
      </c>
      <c r="D6821" s="16" t="s">
        <v>3409</v>
      </c>
    </row>
    <row r="6822" spans="1:4">
      <c r="A6822" s="16">
        <v>3032000000</v>
      </c>
      <c r="B6822" s="16">
        <v>0</v>
      </c>
      <c r="C6822" s="16" t="s">
        <v>3424</v>
      </c>
      <c r="D6822" s="16" t="s">
        <v>3403</v>
      </c>
    </row>
    <row r="6823" spans="1:4">
      <c r="A6823" s="16">
        <v>6700100000</v>
      </c>
      <c r="B6823" s="16">
        <v>0</v>
      </c>
      <c r="C6823" s="16" t="s">
        <v>3404</v>
      </c>
      <c r="D6823" s="16" t="s">
        <v>3410</v>
      </c>
    </row>
    <row r="6824" spans="1:4">
      <c r="A6824" s="16">
        <v>6104000000</v>
      </c>
      <c r="B6824" s="16">
        <v>0</v>
      </c>
      <c r="C6824" s="16" t="s">
        <v>3416</v>
      </c>
      <c r="D6824" s="16" t="s">
        <v>3417</v>
      </c>
    </row>
    <row r="6825" spans="1:4">
      <c r="A6825" s="16">
        <v>4203000000</v>
      </c>
      <c r="B6825" s="16">
        <v>0</v>
      </c>
      <c r="C6825" s="16" t="s">
        <v>3408</v>
      </c>
      <c r="D6825" s="16" t="s">
        <v>3403</v>
      </c>
    </row>
    <row r="6826" spans="1:4">
      <c r="A6826" s="16">
        <v>2500000000</v>
      </c>
      <c r="B6826" s="16">
        <v>0</v>
      </c>
      <c r="C6826" s="16" t="s">
        <v>3412</v>
      </c>
      <c r="D6826" s="16" t="s">
        <v>3403</v>
      </c>
    </row>
    <row r="6827" spans="1:4">
      <c r="A6827" s="16">
        <v>2500000000</v>
      </c>
      <c r="B6827" s="16">
        <v>1052711</v>
      </c>
      <c r="C6827" s="16" t="s">
        <v>3412</v>
      </c>
      <c r="D6827" s="16" t="s">
        <v>3403</v>
      </c>
    </row>
    <row r="6828" spans="1:4">
      <c r="A6828" s="16">
        <v>2203000010</v>
      </c>
      <c r="B6828" s="16">
        <v>2293738</v>
      </c>
      <c r="C6828" s="16" t="s">
        <v>3415</v>
      </c>
      <c r="D6828" s="16" t="s">
        <v>3403</v>
      </c>
    </row>
    <row r="6829" spans="1:4">
      <c r="A6829" s="16">
        <v>2201000000</v>
      </c>
      <c r="B6829" s="16">
        <v>73818411</v>
      </c>
      <c r="C6829" s="16" t="s">
        <v>3415</v>
      </c>
      <c r="D6829" s="16" t="s">
        <v>3403</v>
      </c>
    </row>
    <row r="6830" spans="1:4">
      <c r="A6830" s="16">
        <v>3103000000</v>
      </c>
      <c r="B6830" s="16">
        <v>-24021</v>
      </c>
      <c r="C6830" s="16" t="s">
        <v>3402</v>
      </c>
      <c r="D6830" s="16" t="s">
        <v>3403</v>
      </c>
    </row>
    <row r="6831" spans="1:4">
      <c r="A6831" s="16">
        <v>2201000000</v>
      </c>
      <c r="B6831" s="16">
        <v>0</v>
      </c>
      <c r="C6831" s="16" t="s">
        <v>3415</v>
      </c>
      <c r="D6831" s="16" t="s">
        <v>3403</v>
      </c>
    </row>
    <row r="6832" spans="1:4">
      <c r="A6832" s="16">
        <v>6100000000</v>
      </c>
      <c r="B6832" s="16">
        <v>0</v>
      </c>
      <c r="C6832" s="16" t="s">
        <v>3416</v>
      </c>
      <c r="D6832" s="16" t="s">
        <v>3417</v>
      </c>
    </row>
    <row r="6833" spans="1:4">
      <c r="A6833" s="16">
        <v>3032000000</v>
      </c>
      <c r="B6833" s="16">
        <v>99800</v>
      </c>
      <c r="C6833" s="16" t="s">
        <v>3424</v>
      </c>
      <c r="D6833" s="16" t="s">
        <v>3403</v>
      </c>
    </row>
    <row r="6834" spans="1:4">
      <c r="A6834" s="16">
        <v>3103000000</v>
      </c>
      <c r="B6834" s="16">
        <v>0</v>
      </c>
      <c r="C6834" s="16" t="s">
        <v>3402</v>
      </c>
      <c r="D6834" s="16" t="s">
        <v>3403</v>
      </c>
    </row>
    <row r="6835" spans="1:4">
      <c r="A6835" s="16">
        <v>5010000000</v>
      </c>
      <c r="B6835" s="16">
        <v>-6623879</v>
      </c>
      <c r="C6835" s="16" t="s">
        <v>3406</v>
      </c>
      <c r="D6835" s="16" t="s">
        <v>3411</v>
      </c>
    </row>
    <row r="6836" spans="1:4">
      <c r="A6836" s="16">
        <v>3100000000</v>
      </c>
      <c r="B6836" s="16">
        <v>0</v>
      </c>
      <c r="C6836" s="16" t="s">
        <v>3402</v>
      </c>
      <c r="D6836" s="16" t="s">
        <v>3403</v>
      </c>
    </row>
    <row r="6837" spans="1:4">
      <c r="A6837" s="16">
        <v>6060110000</v>
      </c>
      <c r="B6837" s="16">
        <v>0</v>
      </c>
      <c r="C6837" s="16" t="s">
        <v>3420</v>
      </c>
      <c r="D6837" s="16" t="s">
        <v>3421</v>
      </c>
    </row>
    <row r="6838" spans="1:4">
      <c r="A6838" s="16">
        <v>2500000000</v>
      </c>
      <c r="B6838" s="16">
        <v>0</v>
      </c>
      <c r="C6838" s="16" t="s">
        <v>3412</v>
      </c>
      <c r="D6838" s="16" t="s">
        <v>3403</v>
      </c>
    </row>
    <row r="6839" spans="1:4">
      <c r="A6839" s="16">
        <v>6700500000</v>
      </c>
      <c r="B6839" s="16">
        <v>0</v>
      </c>
      <c r="C6839" s="16" t="s">
        <v>3404</v>
      </c>
      <c r="D6839" s="16" t="s">
        <v>3405</v>
      </c>
    </row>
    <row r="6840" spans="1:4">
      <c r="A6840" s="16">
        <v>6700200000</v>
      </c>
      <c r="B6840" s="16">
        <v>0</v>
      </c>
      <c r="C6840" s="16" t="s">
        <v>3404</v>
      </c>
      <c r="D6840" s="16" t="s">
        <v>3409</v>
      </c>
    </row>
    <row r="6841" spans="1:4">
      <c r="A6841" s="16">
        <v>6032000000</v>
      </c>
      <c r="B6841" s="16">
        <v>0</v>
      </c>
      <c r="C6841" s="16" t="s">
        <v>3429</v>
      </c>
      <c r="D6841" s="16" t="s">
        <v>3430</v>
      </c>
    </row>
    <row r="6842" spans="1:4">
      <c r="A6842" s="16">
        <v>6700200000</v>
      </c>
      <c r="B6842" s="16">
        <v>2897012</v>
      </c>
      <c r="C6842" s="16" t="s">
        <v>3404</v>
      </c>
      <c r="D6842" s="16" t="s">
        <v>3409</v>
      </c>
    </row>
    <row r="6843" spans="1:4">
      <c r="A6843" s="16">
        <v>2500000000</v>
      </c>
      <c r="B6843" s="16">
        <v>0</v>
      </c>
      <c r="C6843" s="16" t="s">
        <v>3412</v>
      </c>
      <c r="D6843" s="16" t="s">
        <v>3403</v>
      </c>
    </row>
    <row r="6844" spans="1:4">
      <c r="A6844" s="16">
        <v>3103000000</v>
      </c>
      <c r="B6844" s="16">
        <v>0</v>
      </c>
      <c r="C6844" s="16" t="s">
        <v>3402</v>
      </c>
      <c r="D6844" s="16" t="s">
        <v>3403</v>
      </c>
    </row>
    <row r="6845" spans="1:4">
      <c r="A6845" s="16">
        <v>6100000000</v>
      </c>
      <c r="B6845" s="16">
        <v>0</v>
      </c>
      <c r="C6845" s="16" t="s">
        <v>3416</v>
      </c>
      <c r="D6845" s="16" t="s">
        <v>3417</v>
      </c>
    </row>
    <row r="6846" spans="1:4">
      <c r="A6846" s="16">
        <v>5010100000</v>
      </c>
      <c r="B6846" s="16">
        <v>0</v>
      </c>
      <c r="C6846" s="16" t="s">
        <v>3406</v>
      </c>
      <c r="D6846" s="16" t="s">
        <v>3407</v>
      </c>
    </row>
    <row r="6847" spans="1:4">
      <c r="A6847" s="16">
        <v>3032000000</v>
      </c>
      <c r="B6847" s="16">
        <v>0</v>
      </c>
      <c r="C6847" s="16" t="s">
        <v>3424</v>
      </c>
      <c r="D6847" s="16" t="s">
        <v>3403</v>
      </c>
    </row>
    <row r="6848" spans="1:4">
      <c r="A6848" s="16">
        <v>2201000000</v>
      </c>
      <c r="B6848" s="16">
        <v>290734777</v>
      </c>
      <c r="C6848" s="16" t="s">
        <v>3415</v>
      </c>
      <c r="D6848" s="16" t="s">
        <v>3403</v>
      </c>
    </row>
    <row r="6849" spans="1:4">
      <c r="A6849" s="16">
        <v>5010100000</v>
      </c>
      <c r="B6849" s="16">
        <v>-1052711</v>
      </c>
      <c r="C6849" s="16" t="s">
        <v>3406</v>
      </c>
      <c r="D6849" s="16" t="s">
        <v>3407</v>
      </c>
    </row>
    <row r="6850" spans="1:4">
      <c r="A6850" s="16">
        <v>4612000000</v>
      </c>
      <c r="B6850" s="16">
        <v>-2293738</v>
      </c>
      <c r="C6850" s="16" t="s">
        <v>3428</v>
      </c>
      <c r="D6850" s="16" t="s">
        <v>3403</v>
      </c>
    </row>
    <row r="6851" spans="1:4">
      <c r="A6851" s="16">
        <v>6700200000</v>
      </c>
      <c r="B6851" s="16">
        <v>-73818411</v>
      </c>
      <c r="C6851" s="16" t="s">
        <v>3404</v>
      </c>
      <c r="D6851" s="16" t="s">
        <v>3409</v>
      </c>
    </row>
    <row r="6852" spans="1:4">
      <c r="A6852" s="16">
        <v>6700200000</v>
      </c>
      <c r="B6852" s="16">
        <v>0</v>
      </c>
      <c r="C6852" s="16" t="s">
        <v>3404</v>
      </c>
      <c r="D6852" s="16" t="s">
        <v>3409</v>
      </c>
    </row>
    <row r="6853" spans="1:4">
      <c r="A6853" s="16">
        <v>3100000000</v>
      </c>
      <c r="B6853" s="16">
        <v>0</v>
      </c>
      <c r="C6853" s="16" t="s">
        <v>3402</v>
      </c>
      <c r="D6853" s="16" t="s">
        <v>3403</v>
      </c>
    </row>
    <row r="6854" spans="1:4">
      <c r="A6854" s="16">
        <v>5010000010</v>
      </c>
      <c r="B6854" s="16">
        <v>0</v>
      </c>
      <c r="C6854" s="16" t="s">
        <v>3406</v>
      </c>
      <c r="D6854" s="16" t="s">
        <v>3411</v>
      </c>
    </row>
    <row r="6855" spans="1:4">
      <c r="A6855" s="16">
        <v>6610100000</v>
      </c>
      <c r="B6855" s="16">
        <v>0</v>
      </c>
      <c r="C6855" s="16" t="s">
        <v>3413</v>
      </c>
      <c r="D6855" s="16" t="s">
        <v>3414</v>
      </c>
    </row>
    <row r="6856" spans="1:4">
      <c r="A6856" s="16">
        <v>6032000000</v>
      </c>
      <c r="B6856" s="16">
        <v>-99800</v>
      </c>
      <c r="C6856" s="16" t="s">
        <v>3429</v>
      </c>
      <c r="D6856" s="16" t="s">
        <v>3430</v>
      </c>
    </row>
    <row r="6857" spans="1:4">
      <c r="A6857" s="16">
        <v>6700700000</v>
      </c>
      <c r="B6857" s="16">
        <v>0</v>
      </c>
      <c r="C6857" s="16" t="s">
        <v>3404</v>
      </c>
      <c r="D6857" s="16" t="s">
        <v>3409</v>
      </c>
    </row>
    <row r="6858" spans="1:4">
      <c r="A6858" s="16">
        <v>6030000000</v>
      </c>
      <c r="B6858" s="16">
        <v>0</v>
      </c>
      <c r="C6858" s="16" t="s">
        <v>3420</v>
      </c>
      <c r="D6858" s="16" t="s">
        <v>3423</v>
      </c>
    </row>
    <row r="6859" spans="1:4">
      <c r="A6859" s="16">
        <v>5010000000</v>
      </c>
      <c r="B6859" s="16">
        <v>0</v>
      </c>
      <c r="C6859" s="16" t="s">
        <v>3406</v>
      </c>
      <c r="D6859" s="16" t="s">
        <v>3411</v>
      </c>
    </row>
    <row r="6860" spans="1:4">
      <c r="A6860" s="16">
        <v>2500000000</v>
      </c>
      <c r="B6860" s="16">
        <v>0</v>
      </c>
      <c r="C6860" s="16" t="s">
        <v>3412</v>
      </c>
      <c r="D6860" s="16" t="s">
        <v>3403</v>
      </c>
    </row>
    <row r="6861" spans="1:4">
      <c r="A6861" s="16">
        <v>6700700000</v>
      </c>
      <c r="B6861" s="16">
        <v>0</v>
      </c>
      <c r="C6861" s="16" t="s">
        <v>3404</v>
      </c>
      <c r="D6861" s="16" t="s">
        <v>3409</v>
      </c>
    </row>
    <row r="6862" spans="1:4">
      <c r="A6862" s="16">
        <v>6700100000</v>
      </c>
      <c r="B6862" s="16">
        <v>0</v>
      </c>
      <c r="C6862" s="16" t="s">
        <v>3404</v>
      </c>
      <c r="D6862" s="16" t="s">
        <v>3410</v>
      </c>
    </row>
    <row r="6863" spans="1:4">
      <c r="A6863" s="16">
        <v>2201200030</v>
      </c>
      <c r="B6863" s="16">
        <v>-2897012</v>
      </c>
      <c r="C6863" s="16" t="s">
        <v>3415</v>
      </c>
      <c r="D6863" s="16" t="s">
        <v>3403</v>
      </c>
    </row>
    <row r="6864" spans="1:4">
      <c r="A6864" s="16">
        <v>5010000000</v>
      </c>
      <c r="B6864" s="16">
        <v>0</v>
      </c>
      <c r="C6864" s="16" t="s">
        <v>3406</v>
      </c>
      <c r="D6864" s="16" t="s">
        <v>3411</v>
      </c>
    </row>
    <row r="6865" spans="1:4">
      <c r="A6865" s="16">
        <v>3100000000</v>
      </c>
      <c r="B6865" s="16">
        <v>0</v>
      </c>
      <c r="C6865" s="16" t="s">
        <v>3402</v>
      </c>
      <c r="D6865" s="16" t="s">
        <v>3403</v>
      </c>
    </row>
    <row r="6866" spans="1:4">
      <c r="A6866" s="16">
        <v>6032000000</v>
      </c>
      <c r="B6866" s="16">
        <v>0</v>
      </c>
      <c r="C6866" s="16" t="s">
        <v>3429</v>
      </c>
      <c r="D6866" s="16" t="s">
        <v>3430</v>
      </c>
    </row>
    <row r="6867" spans="1:4">
      <c r="A6867" s="16">
        <v>6700200000</v>
      </c>
      <c r="B6867" s="16">
        <v>-290734777</v>
      </c>
      <c r="C6867" s="16" t="s">
        <v>3404</v>
      </c>
      <c r="D6867" s="16" t="s">
        <v>3409</v>
      </c>
    </row>
    <row r="6868" spans="1:4">
      <c r="A6868" s="16">
        <v>3102000000</v>
      </c>
      <c r="B6868" s="16">
        <v>0</v>
      </c>
      <c r="C6868" s="16" t="s">
        <v>3424</v>
      </c>
      <c r="D6868" s="16" t="s">
        <v>3403</v>
      </c>
    </row>
    <row r="6869" spans="1:4">
      <c r="A6869" s="16">
        <v>3710000000</v>
      </c>
      <c r="B6869" s="16">
        <v>0</v>
      </c>
      <c r="C6869" s="16" t="s">
        <v>3402</v>
      </c>
      <c r="D6869" s="16" t="s">
        <v>3403</v>
      </c>
    </row>
    <row r="6870" spans="1:4">
      <c r="A6870" s="16">
        <v>4203000000</v>
      </c>
      <c r="B6870" s="16">
        <v>0</v>
      </c>
      <c r="C6870" s="16" t="s">
        <v>3408</v>
      </c>
      <c r="D6870" s="16" t="s">
        <v>3403</v>
      </c>
    </row>
    <row r="6871" spans="1:4">
      <c r="A6871" s="16">
        <v>6700500000</v>
      </c>
      <c r="B6871" s="16">
        <v>0</v>
      </c>
      <c r="C6871" s="16" t="s">
        <v>3404</v>
      </c>
      <c r="D6871" s="16" t="s">
        <v>3405</v>
      </c>
    </row>
    <row r="6872" spans="1:4">
      <c r="A6872" s="16">
        <v>3030000000</v>
      </c>
      <c r="B6872" s="16">
        <v>0</v>
      </c>
      <c r="C6872" s="16" t="s">
        <v>3402</v>
      </c>
      <c r="D6872" s="16" t="s">
        <v>3403</v>
      </c>
    </row>
    <row r="6873" spans="1:4">
      <c r="A6873" s="16">
        <v>5010000000</v>
      </c>
      <c r="B6873" s="16">
        <v>0</v>
      </c>
      <c r="C6873" s="16" t="s">
        <v>3406</v>
      </c>
      <c r="D6873" s="16" t="s">
        <v>3411</v>
      </c>
    </row>
    <row r="6874" spans="1:4">
      <c r="A6874" s="16">
        <v>6700500000</v>
      </c>
      <c r="B6874" s="16">
        <v>0</v>
      </c>
      <c r="C6874" s="16" t="s">
        <v>3404</v>
      </c>
      <c r="D6874" s="16" t="s">
        <v>3405</v>
      </c>
    </row>
    <row r="6875" spans="1:4">
      <c r="A6875" s="16">
        <v>5050000000</v>
      </c>
      <c r="B6875" s="16">
        <v>0</v>
      </c>
      <c r="C6875" s="16" t="s">
        <v>3406</v>
      </c>
      <c r="D6875" s="16" t="s">
        <v>3422</v>
      </c>
    </row>
    <row r="6876" spans="1:4">
      <c r="A6876" s="16">
        <v>6610100000</v>
      </c>
      <c r="B6876" s="16">
        <v>0</v>
      </c>
      <c r="C6876" s="16" t="s">
        <v>3413</v>
      </c>
      <c r="D6876" s="16" t="s">
        <v>3414</v>
      </c>
    </row>
    <row r="6877" spans="1:4">
      <c r="A6877" s="16">
        <v>5010100010</v>
      </c>
      <c r="B6877" s="16">
        <v>0</v>
      </c>
      <c r="C6877" s="16" t="s">
        <v>3406</v>
      </c>
      <c r="D6877" s="16" t="s">
        <v>3407</v>
      </c>
    </row>
    <row r="6878" spans="1:4">
      <c r="A6878" s="16">
        <v>6102000000</v>
      </c>
      <c r="B6878" s="16">
        <v>0</v>
      </c>
      <c r="C6878" s="16" t="s">
        <v>3425</v>
      </c>
      <c r="D6878" s="16" t="s">
        <v>3426</v>
      </c>
    </row>
    <row r="6879" spans="1:4">
      <c r="A6879" s="16">
        <v>6160000000</v>
      </c>
      <c r="B6879" s="16">
        <v>0</v>
      </c>
      <c r="C6879" s="16" t="s">
        <v>3416</v>
      </c>
      <c r="D6879" s="16" t="s">
        <v>3417</v>
      </c>
    </row>
    <row r="6880" spans="1:4">
      <c r="A6880" s="16">
        <v>6104001000</v>
      </c>
      <c r="B6880" s="16">
        <v>0</v>
      </c>
      <c r="C6880" s="16" t="s">
        <v>3427</v>
      </c>
      <c r="D6880" s="16" t="s">
        <v>3417</v>
      </c>
    </row>
    <row r="6881" spans="1:4">
      <c r="A6881" s="16">
        <v>6030000000</v>
      </c>
      <c r="B6881" s="16">
        <v>0</v>
      </c>
      <c r="C6881" s="16" t="s">
        <v>3420</v>
      </c>
      <c r="D6881" s="16" t="s">
        <v>3423</v>
      </c>
    </row>
    <row r="6882" spans="1:4">
      <c r="A6882" s="16">
        <v>6700700000</v>
      </c>
      <c r="B6882" s="16">
        <v>0</v>
      </c>
      <c r="C6882" s="16" t="s">
        <v>3404</v>
      </c>
      <c r="D6882" s="16" t="s">
        <v>3409</v>
      </c>
    </row>
    <row r="6883" spans="1:4">
      <c r="A6883" s="16">
        <v>6700500000</v>
      </c>
      <c r="B6883" s="16">
        <v>0</v>
      </c>
      <c r="C6883" s="16" t="s">
        <v>3404</v>
      </c>
      <c r="D6883" s="16" t="s">
        <v>3405</v>
      </c>
    </row>
    <row r="6884" spans="1:4">
      <c r="A6884" s="16">
        <v>6700600000</v>
      </c>
      <c r="B6884" s="16">
        <v>0</v>
      </c>
      <c r="C6884" s="16" t="s">
        <v>3404</v>
      </c>
      <c r="D6884" s="16" t="s">
        <v>3409</v>
      </c>
    </row>
    <row r="6885" spans="1:4">
      <c r="A6885" s="16">
        <v>6700400000</v>
      </c>
      <c r="B6885" s="16">
        <v>0</v>
      </c>
      <c r="C6885" s="16" t="s">
        <v>3404</v>
      </c>
      <c r="D6885" s="16" t="s">
        <v>3405</v>
      </c>
    </row>
    <row r="6886" spans="1:4">
      <c r="A6886" s="16">
        <v>3032000000</v>
      </c>
      <c r="B6886" s="16">
        <v>817</v>
      </c>
      <c r="C6886" s="16" t="s">
        <v>3424</v>
      </c>
      <c r="D6886" s="16" t="s">
        <v>3403</v>
      </c>
    </row>
    <row r="6887" spans="1:4">
      <c r="A6887" s="16">
        <v>6032000000</v>
      </c>
      <c r="B6887" s="16">
        <v>-817</v>
      </c>
      <c r="C6887" s="16" t="s">
        <v>3429</v>
      </c>
      <c r="D6887" s="16" t="s">
        <v>3430</v>
      </c>
    </row>
    <row r="6888" spans="1:4">
      <c r="A6888" s="16">
        <v>2500000000</v>
      </c>
      <c r="B6888" s="16">
        <v>0</v>
      </c>
      <c r="C6888" s="16" t="s">
        <v>3412</v>
      </c>
      <c r="D6888" s="16" t="s">
        <v>3403</v>
      </c>
    </row>
    <row r="6889" spans="1:4">
      <c r="A6889" s="16">
        <v>5010100000</v>
      </c>
      <c r="B6889" s="16">
        <v>0</v>
      </c>
      <c r="C6889" s="16" t="s">
        <v>3406</v>
      </c>
      <c r="D6889" s="16" t="s">
        <v>3407</v>
      </c>
    </row>
    <row r="6890" spans="1:4">
      <c r="A6890" s="16">
        <v>6700200000</v>
      </c>
      <c r="B6890" s="16">
        <v>0</v>
      </c>
      <c r="C6890" s="16" t="s">
        <v>3404</v>
      </c>
      <c r="D6890" s="16" t="s">
        <v>3409</v>
      </c>
    </row>
    <row r="6891" spans="1:4">
      <c r="A6891" s="16">
        <v>6700100000</v>
      </c>
      <c r="B6891" s="16">
        <v>0</v>
      </c>
      <c r="C6891" s="16" t="s">
        <v>3404</v>
      </c>
      <c r="D6891" s="16" t="s">
        <v>3410</v>
      </c>
    </row>
    <row r="6892" spans="1:4">
      <c r="A6892" s="16">
        <v>6100000020</v>
      </c>
      <c r="B6892" s="16">
        <v>0</v>
      </c>
      <c r="C6892" s="16" t="s">
        <v>3416</v>
      </c>
      <c r="D6892" s="16" t="s">
        <v>3417</v>
      </c>
    </row>
    <row r="6893" spans="1:4">
      <c r="A6893" s="16">
        <v>3810000000</v>
      </c>
      <c r="B6893" s="16">
        <v>0</v>
      </c>
      <c r="C6893" s="16" t="s">
        <v>3402</v>
      </c>
      <c r="D6893" s="16" t="s">
        <v>3403</v>
      </c>
    </row>
    <row r="6894" spans="1:4">
      <c r="A6894" s="16">
        <v>3102000000</v>
      </c>
      <c r="B6894" s="16">
        <v>-1851444</v>
      </c>
      <c r="C6894" s="16" t="s">
        <v>3424</v>
      </c>
      <c r="D6894" s="16" t="s">
        <v>3403</v>
      </c>
    </row>
    <row r="6895" spans="1:4">
      <c r="A6895" s="16">
        <v>6102000000</v>
      </c>
      <c r="B6895" s="16">
        <v>1851444</v>
      </c>
      <c r="C6895" s="16" t="s">
        <v>3425</v>
      </c>
      <c r="D6895" s="16" t="s">
        <v>3426</v>
      </c>
    </row>
    <row r="6896" spans="1:4">
      <c r="A6896" s="16">
        <v>6700200000</v>
      </c>
      <c r="B6896" s="16">
        <v>0</v>
      </c>
      <c r="C6896" s="16" t="s">
        <v>3404</v>
      </c>
      <c r="D6896" s="16" t="s">
        <v>3409</v>
      </c>
    </row>
    <row r="6897" spans="1:4">
      <c r="A6897" s="16">
        <v>6700000000</v>
      </c>
      <c r="B6897" s="16">
        <v>0</v>
      </c>
      <c r="C6897" s="16" t="s">
        <v>3404</v>
      </c>
      <c r="D6897" s="16" t="s">
        <v>3405</v>
      </c>
    </row>
    <row r="6898" spans="1:4">
      <c r="A6898" s="16">
        <v>6700200000</v>
      </c>
      <c r="B6898" s="16">
        <v>0</v>
      </c>
      <c r="C6898" s="16" t="s">
        <v>3404</v>
      </c>
      <c r="D6898" s="16" t="s">
        <v>3409</v>
      </c>
    </row>
    <row r="6899" spans="1:4">
      <c r="A6899" s="16">
        <v>6700000000</v>
      </c>
      <c r="B6899" s="16">
        <v>0</v>
      </c>
      <c r="C6899" s="16" t="s">
        <v>3404</v>
      </c>
      <c r="D6899" s="16" t="s">
        <v>3405</v>
      </c>
    </row>
    <row r="6900" spans="1:4">
      <c r="A6900" s="16">
        <v>6700600000</v>
      </c>
      <c r="B6900" s="16">
        <v>0</v>
      </c>
      <c r="C6900" s="16" t="s">
        <v>3404</v>
      </c>
      <c r="D6900" s="16" t="s">
        <v>3409</v>
      </c>
    </row>
    <row r="6901" spans="1:4">
      <c r="A6901" s="16">
        <v>6700400000</v>
      </c>
      <c r="B6901" s="16">
        <v>0</v>
      </c>
      <c r="C6901" s="16" t="s">
        <v>3404</v>
      </c>
      <c r="D6901" s="16" t="s">
        <v>3405</v>
      </c>
    </row>
    <row r="6902" spans="1:4">
      <c r="A6902" s="16">
        <v>6104000000</v>
      </c>
      <c r="B6902" s="16">
        <v>0</v>
      </c>
      <c r="C6902" s="16" t="s">
        <v>3416</v>
      </c>
      <c r="D6902" s="16" t="s">
        <v>3417</v>
      </c>
    </row>
    <row r="6903" spans="1:4">
      <c r="A6903" s="16">
        <v>3103000000</v>
      </c>
      <c r="B6903" s="16">
        <v>0</v>
      </c>
      <c r="C6903" s="16" t="s">
        <v>3402</v>
      </c>
      <c r="D6903" s="16" t="s">
        <v>3403</v>
      </c>
    </row>
    <row r="6904" spans="1:4">
      <c r="A6904" s="16">
        <v>2750010000</v>
      </c>
      <c r="B6904" s="16">
        <v>0</v>
      </c>
      <c r="C6904" s="16" t="s">
        <v>3419</v>
      </c>
      <c r="D6904" s="16" t="s">
        <v>3403</v>
      </c>
    </row>
    <row r="6905" spans="1:4">
      <c r="A6905" s="16">
        <v>6610100100</v>
      </c>
      <c r="B6905" s="16">
        <v>0</v>
      </c>
      <c r="C6905" s="16" t="s">
        <v>3413</v>
      </c>
      <c r="D6905" s="16" t="s">
        <v>3414</v>
      </c>
    </row>
    <row r="6906" spans="1:4">
      <c r="A6906" s="16">
        <v>3102000000</v>
      </c>
      <c r="B6906" s="16">
        <v>1553818</v>
      </c>
      <c r="C6906" s="16" t="s">
        <v>3424</v>
      </c>
      <c r="D6906" s="16" t="s">
        <v>3403</v>
      </c>
    </row>
    <row r="6907" spans="1:4">
      <c r="A6907" s="16">
        <v>6102000000</v>
      </c>
      <c r="B6907" s="16">
        <v>-1553818</v>
      </c>
      <c r="C6907" s="16" t="s">
        <v>3425</v>
      </c>
      <c r="D6907" s="16" t="s">
        <v>3426</v>
      </c>
    </row>
    <row r="6908" spans="1:4">
      <c r="A6908" s="16">
        <v>5010100010</v>
      </c>
      <c r="B6908" s="16">
        <v>0</v>
      </c>
      <c r="C6908" s="16" t="s">
        <v>3406</v>
      </c>
      <c r="D6908" s="16" t="s">
        <v>3407</v>
      </c>
    </row>
    <row r="6909" spans="1:4">
      <c r="A6909" s="16">
        <v>3710000000</v>
      </c>
      <c r="B6909" s="16">
        <v>0</v>
      </c>
      <c r="C6909" s="16" t="s">
        <v>3402</v>
      </c>
      <c r="D6909" s="16" t="s">
        <v>3403</v>
      </c>
    </row>
    <row r="6910" spans="1:4">
      <c r="A6910" s="16">
        <v>2201300000</v>
      </c>
      <c r="B6910" s="16">
        <v>0</v>
      </c>
      <c r="C6910" s="16" t="s">
        <v>3415</v>
      </c>
      <c r="D6910" s="16" t="s">
        <v>3403</v>
      </c>
    </row>
    <row r="6911" spans="1:4">
      <c r="A6911" s="16">
        <v>6700600000</v>
      </c>
      <c r="B6911" s="16">
        <v>0</v>
      </c>
      <c r="C6911" s="16" t="s">
        <v>3404</v>
      </c>
      <c r="D6911" s="16" t="s">
        <v>3409</v>
      </c>
    </row>
    <row r="6912" spans="1:4">
      <c r="A6912" s="16">
        <v>6700200000</v>
      </c>
      <c r="B6912" s="16">
        <v>0</v>
      </c>
      <c r="C6912" s="16" t="s">
        <v>3404</v>
      </c>
      <c r="D6912" s="16" t="s">
        <v>3409</v>
      </c>
    </row>
    <row r="6913" spans="1:4">
      <c r="A6913" s="16">
        <v>6700000000</v>
      </c>
      <c r="B6913" s="16">
        <v>0</v>
      </c>
      <c r="C6913" s="16" t="s">
        <v>3404</v>
      </c>
      <c r="D6913" s="16" t="s">
        <v>3405</v>
      </c>
    </row>
    <row r="6914" spans="1:4">
      <c r="A6914" s="16">
        <v>6610100000</v>
      </c>
      <c r="B6914" s="16">
        <v>0</v>
      </c>
      <c r="C6914" s="16" t="s">
        <v>3413</v>
      </c>
      <c r="D6914" s="16" t="s">
        <v>3414</v>
      </c>
    </row>
    <row r="6915" spans="1:4">
      <c r="A6915" s="16">
        <v>4203000000</v>
      </c>
      <c r="B6915" s="16">
        <v>0</v>
      </c>
      <c r="C6915" s="16" t="s">
        <v>3408</v>
      </c>
      <c r="D6915" s="16" t="s">
        <v>3403</v>
      </c>
    </row>
    <row r="6916" spans="1:4">
      <c r="A6916" s="16">
        <v>3102000000</v>
      </c>
      <c r="B6916" s="16">
        <v>0</v>
      </c>
      <c r="C6916" s="16" t="s">
        <v>3424</v>
      </c>
      <c r="D6916" s="16" t="s">
        <v>3403</v>
      </c>
    </row>
    <row r="6917" spans="1:4">
      <c r="A6917" s="16">
        <v>6102000000</v>
      </c>
      <c r="B6917" s="16">
        <v>0</v>
      </c>
      <c r="C6917" s="16" t="s">
        <v>3425</v>
      </c>
      <c r="D6917" s="16" t="s">
        <v>3426</v>
      </c>
    </row>
    <row r="6918" spans="1:4">
      <c r="A6918" s="16">
        <v>6100000000</v>
      </c>
      <c r="B6918" s="16">
        <v>0</v>
      </c>
      <c r="C6918" s="16" t="s">
        <v>3427</v>
      </c>
      <c r="D6918" s="16" t="s">
        <v>3417</v>
      </c>
    </row>
    <row r="6919" spans="1:4">
      <c r="A6919" s="16">
        <v>3100000000</v>
      </c>
      <c r="B6919" s="16">
        <v>0</v>
      </c>
      <c r="C6919" s="16" t="s">
        <v>3402</v>
      </c>
      <c r="D6919" s="16" t="s">
        <v>3403</v>
      </c>
    </row>
    <row r="6920" spans="1:4">
      <c r="A6920" s="16">
        <v>2500000000</v>
      </c>
      <c r="B6920" s="16">
        <v>0</v>
      </c>
      <c r="C6920" s="16" t="s">
        <v>3412</v>
      </c>
      <c r="D6920" s="16" t="s">
        <v>3403</v>
      </c>
    </row>
    <row r="6921" spans="1:4">
      <c r="A6921" s="16">
        <v>5010100000</v>
      </c>
      <c r="B6921" s="16">
        <v>0</v>
      </c>
      <c r="C6921" s="16" t="s">
        <v>3406</v>
      </c>
      <c r="D6921" s="16" t="s">
        <v>3407</v>
      </c>
    </row>
    <row r="6922" spans="1:4">
      <c r="A6922" s="16">
        <v>5010000010</v>
      </c>
      <c r="B6922" s="16">
        <v>0</v>
      </c>
      <c r="C6922" s="16" t="s">
        <v>3406</v>
      </c>
      <c r="D6922" s="16" t="s">
        <v>3411</v>
      </c>
    </row>
    <row r="6923" spans="1:4">
      <c r="A6923" s="16">
        <v>3710000000</v>
      </c>
      <c r="B6923" s="16">
        <v>0</v>
      </c>
      <c r="C6923" s="16" t="s">
        <v>3402</v>
      </c>
      <c r="D6923" s="16" t="s">
        <v>3403</v>
      </c>
    </row>
    <row r="6924" spans="1:4">
      <c r="A6924" s="16">
        <v>6700700000</v>
      </c>
      <c r="B6924" s="16">
        <v>0</v>
      </c>
      <c r="C6924" s="16" t="s">
        <v>3404</v>
      </c>
      <c r="D6924" s="16" t="s">
        <v>3409</v>
      </c>
    </row>
    <row r="6925" spans="1:4">
      <c r="A6925" s="16">
        <v>6700500000</v>
      </c>
      <c r="B6925" s="16">
        <v>0</v>
      </c>
      <c r="C6925" s="16" t="s">
        <v>3404</v>
      </c>
      <c r="D6925" s="16" t="s">
        <v>3405</v>
      </c>
    </row>
    <row r="6926" spans="1:4">
      <c r="A6926" s="16">
        <v>6610100000</v>
      </c>
      <c r="B6926" s="16">
        <v>67877</v>
      </c>
      <c r="C6926" s="16" t="s">
        <v>3413</v>
      </c>
      <c r="D6926" s="16" t="s">
        <v>3414</v>
      </c>
    </row>
    <row r="6927" spans="1:4">
      <c r="A6927" s="16">
        <v>4203000000</v>
      </c>
      <c r="B6927" s="16">
        <v>-67877</v>
      </c>
      <c r="C6927" s="16" t="s">
        <v>3408</v>
      </c>
      <c r="D6927" s="16" t="s">
        <v>3403</v>
      </c>
    </row>
    <row r="6928" spans="1:4">
      <c r="A6928" s="16">
        <v>6700200000</v>
      </c>
      <c r="B6928" s="16">
        <v>0</v>
      </c>
      <c r="C6928" s="16" t="s">
        <v>3404</v>
      </c>
      <c r="D6928" s="16" t="s">
        <v>3409</v>
      </c>
    </row>
    <row r="6929" spans="1:4">
      <c r="A6929" s="16">
        <v>2201200030</v>
      </c>
      <c r="B6929" s="16">
        <v>0</v>
      </c>
      <c r="C6929" s="16" t="s">
        <v>3415</v>
      </c>
      <c r="D6929" s="16" t="s">
        <v>3403</v>
      </c>
    </row>
    <row r="6930" spans="1:4">
      <c r="A6930" s="16">
        <v>6700700000</v>
      </c>
      <c r="B6930" s="16">
        <v>0</v>
      </c>
      <c r="C6930" s="16" t="s">
        <v>3404</v>
      </c>
      <c r="D6930" s="16" t="s">
        <v>3409</v>
      </c>
    </row>
    <row r="6931" spans="1:4">
      <c r="A6931" s="16">
        <v>6700500000</v>
      </c>
      <c r="B6931" s="16">
        <v>0</v>
      </c>
      <c r="C6931" s="16" t="s">
        <v>3404</v>
      </c>
      <c r="D6931" s="16" t="s">
        <v>3405</v>
      </c>
    </row>
    <row r="6932" spans="1:4">
      <c r="A6932" s="16">
        <v>2203000000</v>
      </c>
      <c r="B6932" s="16">
        <v>0</v>
      </c>
      <c r="C6932" s="16" t="s">
        <v>3415</v>
      </c>
      <c r="D6932" s="16" t="s">
        <v>3403</v>
      </c>
    </row>
    <row r="6933" spans="1:4">
      <c r="A6933" s="16">
        <v>6060110000</v>
      </c>
      <c r="B6933" s="16">
        <v>0</v>
      </c>
      <c r="C6933" s="16" t="s">
        <v>3420</v>
      </c>
      <c r="D6933" s="16" t="s">
        <v>3421</v>
      </c>
    </row>
    <row r="6934" spans="1:4">
      <c r="A6934" s="16">
        <v>2201000000</v>
      </c>
      <c r="B6934" s="16">
        <v>0</v>
      </c>
      <c r="C6934" s="16" t="s">
        <v>3415</v>
      </c>
      <c r="D6934" s="16" t="s">
        <v>3403</v>
      </c>
    </row>
    <row r="6935" spans="1:4">
      <c r="A6935" s="16">
        <v>6700200000</v>
      </c>
      <c r="B6935" s="16">
        <v>0</v>
      </c>
      <c r="C6935" s="16" t="s">
        <v>3404</v>
      </c>
      <c r="D6935" s="16" t="s">
        <v>3409</v>
      </c>
    </row>
    <row r="6936" spans="1:4">
      <c r="A6936" s="16">
        <v>6700200000</v>
      </c>
      <c r="B6936" s="16">
        <v>0</v>
      </c>
      <c r="C6936" s="16" t="s">
        <v>3404</v>
      </c>
      <c r="D6936" s="16" t="s">
        <v>3409</v>
      </c>
    </row>
    <row r="6937" spans="1:4">
      <c r="A6937" s="16">
        <v>6700100000</v>
      </c>
      <c r="B6937" s="16">
        <v>0</v>
      </c>
      <c r="C6937" s="16" t="s">
        <v>3404</v>
      </c>
      <c r="D6937" s="16" t="s">
        <v>3410</v>
      </c>
    </row>
    <row r="6938" spans="1:4">
      <c r="A6938" s="16">
        <v>2500000000</v>
      </c>
      <c r="B6938" s="16">
        <v>0</v>
      </c>
      <c r="C6938" s="16" t="s">
        <v>3412</v>
      </c>
      <c r="D6938" s="16" t="s">
        <v>3403</v>
      </c>
    </row>
    <row r="6939" spans="1:4">
      <c r="A6939" s="16">
        <v>5010000000</v>
      </c>
      <c r="B6939" s="16">
        <v>0</v>
      </c>
      <c r="C6939" s="16" t="s">
        <v>3406</v>
      </c>
      <c r="D6939" s="16" t="s">
        <v>3411</v>
      </c>
    </row>
    <row r="6940" spans="1:4">
      <c r="A6940" s="16">
        <v>6150000000</v>
      </c>
      <c r="B6940" s="16">
        <v>0</v>
      </c>
      <c r="C6940" s="16" t="s">
        <v>3416</v>
      </c>
      <c r="D6940" s="16" t="s">
        <v>3417</v>
      </c>
    </row>
    <row r="6941" spans="1:4">
      <c r="A6941" s="16">
        <v>3510000000</v>
      </c>
      <c r="B6941" s="16">
        <v>0</v>
      </c>
      <c r="C6941" s="16" t="s">
        <v>3402</v>
      </c>
      <c r="D6941" s="16" t="s">
        <v>3403</v>
      </c>
    </row>
    <row r="6942" spans="1:4">
      <c r="A6942" s="16">
        <v>2500000000</v>
      </c>
      <c r="B6942" s="16">
        <v>1301702</v>
      </c>
      <c r="C6942" s="16" t="s">
        <v>3412</v>
      </c>
      <c r="D6942" s="16" t="s">
        <v>3403</v>
      </c>
    </row>
    <row r="6943" spans="1:4">
      <c r="A6943" s="16">
        <v>5010100000</v>
      </c>
      <c r="B6943" s="16">
        <v>-1301702</v>
      </c>
      <c r="C6943" s="16" t="s">
        <v>3406</v>
      </c>
      <c r="D6943" s="16" t="s">
        <v>3407</v>
      </c>
    </row>
    <row r="6944" spans="1:4">
      <c r="A6944" s="16">
        <v>6700200000</v>
      </c>
      <c r="B6944" s="16">
        <v>0</v>
      </c>
      <c r="C6944" s="16" t="s">
        <v>3404</v>
      </c>
      <c r="D6944" s="16" t="s">
        <v>3409</v>
      </c>
    </row>
    <row r="6945" spans="1:4">
      <c r="A6945" s="16">
        <v>6700000000</v>
      </c>
      <c r="B6945" s="16">
        <v>0</v>
      </c>
      <c r="C6945" s="16" t="s">
        <v>3404</v>
      </c>
      <c r="D6945" s="16" t="s">
        <v>3405</v>
      </c>
    </row>
    <row r="6946" spans="1:4">
      <c r="A6946" s="16">
        <v>6700600000</v>
      </c>
      <c r="B6946" s="16">
        <v>0</v>
      </c>
      <c r="C6946" s="16" t="s">
        <v>3404</v>
      </c>
      <c r="D6946" s="16" t="s">
        <v>3409</v>
      </c>
    </row>
    <row r="6947" spans="1:4">
      <c r="A6947" s="16">
        <v>6700400000</v>
      </c>
      <c r="B6947" s="16">
        <v>0</v>
      </c>
      <c r="C6947" s="16" t="s">
        <v>3404</v>
      </c>
      <c r="D6947" s="16" t="s">
        <v>3405</v>
      </c>
    </row>
    <row r="6948" spans="1:4">
      <c r="A6948" s="16">
        <v>3102000000</v>
      </c>
      <c r="B6948" s="16">
        <v>0</v>
      </c>
      <c r="C6948" s="16" t="s">
        <v>3424</v>
      </c>
      <c r="D6948" s="16" t="s">
        <v>3403</v>
      </c>
    </row>
    <row r="6949" spans="1:4">
      <c r="A6949" s="16">
        <v>6102000000</v>
      </c>
      <c r="B6949" s="16">
        <v>0</v>
      </c>
      <c r="C6949" s="16" t="s">
        <v>3425</v>
      </c>
      <c r="D6949" s="16" t="s">
        <v>3426</v>
      </c>
    </row>
    <row r="6950" spans="1:4">
      <c r="A6950" s="16">
        <v>6700700000</v>
      </c>
      <c r="B6950" s="16">
        <v>0</v>
      </c>
      <c r="C6950" s="16" t="s">
        <v>3404</v>
      </c>
      <c r="D6950" s="16" t="s">
        <v>3409</v>
      </c>
    </row>
    <row r="6951" spans="1:4">
      <c r="A6951" s="16">
        <v>6700500000</v>
      </c>
      <c r="B6951" s="16">
        <v>0</v>
      </c>
      <c r="C6951" s="16" t="s">
        <v>3404</v>
      </c>
      <c r="D6951" s="16" t="s">
        <v>3405</v>
      </c>
    </row>
    <row r="6952" spans="1:4">
      <c r="A6952" s="16">
        <v>6104000000</v>
      </c>
      <c r="B6952" s="16">
        <v>0</v>
      </c>
      <c r="C6952" s="16" t="s">
        <v>3427</v>
      </c>
      <c r="D6952" s="16" t="s">
        <v>3417</v>
      </c>
    </row>
    <row r="6953" spans="1:4">
      <c r="A6953" s="16">
        <v>3103000000</v>
      </c>
      <c r="B6953" s="16">
        <v>0</v>
      </c>
      <c r="C6953" s="16" t="s">
        <v>3402</v>
      </c>
      <c r="D6953" s="16" t="s">
        <v>3403</v>
      </c>
    </row>
    <row r="6954" spans="1:4">
      <c r="A6954" s="16">
        <v>6700600000</v>
      </c>
      <c r="B6954" s="16">
        <v>0</v>
      </c>
      <c r="C6954" s="16" t="s">
        <v>3404</v>
      </c>
      <c r="D6954" s="16" t="s">
        <v>3409</v>
      </c>
    </row>
    <row r="6955" spans="1:4">
      <c r="A6955" s="16">
        <v>6700400000</v>
      </c>
      <c r="B6955" s="16">
        <v>0</v>
      </c>
      <c r="C6955" s="16" t="s">
        <v>3404</v>
      </c>
      <c r="D6955" s="16" t="s">
        <v>3405</v>
      </c>
    </row>
    <row r="6956" spans="1:4">
      <c r="A6956" s="16">
        <v>2500000000</v>
      </c>
      <c r="B6956" s="16">
        <v>0</v>
      </c>
      <c r="C6956" s="16" t="s">
        <v>3412</v>
      </c>
      <c r="D6956" s="16" t="s">
        <v>3403</v>
      </c>
    </row>
    <row r="6957" spans="1:4">
      <c r="A6957" s="16">
        <v>5010000000</v>
      </c>
      <c r="B6957" s="16">
        <v>0</v>
      </c>
      <c r="C6957" s="16" t="s">
        <v>3406</v>
      </c>
      <c r="D6957" s="16" t="s">
        <v>3411</v>
      </c>
    </row>
    <row r="6958" spans="1:4">
      <c r="A6958" s="16">
        <v>3102000000</v>
      </c>
      <c r="B6958" s="16">
        <v>0</v>
      </c>
      <c r="C6958" s="16" t="s">
        <v>3424</v>
      </c>
      <c r="D6958" s="16" t="s">
        <v>3403</v>
      </c>
    </row>
    <row r="6959" spans="1:4">
      <c r="A6959" s="16">
        <v>6102000000</v>
      </c>
      <c r="B6959" s="16">
        <v>0</v>
      </c>
      <c r="C6959" s="16" t="s">
        <v>3425</v>
      </c>
      <c r="D6959" s="16" t="s">
        <v>3426</v>
      </c>
    </row>
    <row r="6960" spans="1:4">
      <c r="A6960" s="16">
        <v>6610000000</v>
      </c>
      <c r="B6960" s="16">
        <v>4094</v>
      </c>
      <c r="C6960" s="16" t="s">
        <v>3413</v>
      </c>
      <c r="D6960" s="16" t="s">
        <v>3418</v>
      </c>
    </row>
    <row r="6961" spans="1:4">
      <c r="A6961" s="16">
        <v>4203000000</v>
      </c>
      <c r="B6961" s="16">
        <v>-4094</v>
      </c>
      <c r="C6961" s="16" t="s">
        <v>3408</v>
      </c>
      <c r="D6961" s="16" t="s">
        <v>3403</v>
      </c>
    </row>
    <row r="6962" spans="1:4">
      <c r="A6962" s="16">
        <v>2500000000</v>
      </c>
      <c r="B6962" s="16">
        <v>0</v>
      </c>
      <c r="C6962" s="16" t="s">
        <v>3412</v>
      </c>
      <c r="D6962" s="16" t="s">
        <v>3403</v>
      </c>
    </row>
    <row r="6963" spans="1:4">
      <c r="A6963" s="16">
        <v>5010000000</v>
      </c>
      <c r="B6963" s="16">
        <v>0</v>
      </c>
      <c r="C6963" s="16" t="s">
        <v>3406</v>
      </c>
      <c r="D6963" s="16" t="s">
        <v>3411</v>
      </c>
    </row>
    <row r="6964" spans="1:4">
      <c r="A6964" s="16">
        <v>6700600000</v>
      </c>
      <c r="B6964" s="16">
        <v>0</v>
      </c>
      <c r="C6964" s="16" t="s">
        <v>3404</v>
      </c>
      <c r="D6964" s="16" t="s">
        <v>3409</v>
      </c>
    </row>
    <row r="6965" spans="1:4">
      <c r="A6965" s="16">
        <v>6700400000</v>
      </c>
      <c r="B6965" s="16">
        <v>0</v>
      </c>
      <c r="C6965" s="16" t="s">
        <v>3404</v>
      </c>
      <c r="D6965" s="16" t="s">
        <v>3405</v>
      </c>
    </row>
    <row r="6966" spans="1:4">
      <c r="A6966" s="16">
        <v>6100000000</v>
      </c>
      <c r="B6966" s="16">
        <v>497579</v>
      </c>
      <c r="C6966" s="16" t="s">
        <v>3427</v>
      </c>
      <c r="D6966" s="16" t="s">
        <v>3417</v>
      </c>
    </row>
    <row r="6967" spans="1:4">
      <c r="A6967" s="16">
        <v>3100000000</v>
      </c>
      <c r="B6967" s="16">
        <v>-497579</v>
      </c>
      <c r="C6967" s="16" t="s">
        <v>3402</v>
      </c>
      <c r="D6967" s="16" t="s">
        <v>3403</v>
      </c>
    </row>
    <row r="6968" spans="1:4">
      <c r="A6968" s="16">
        <v>6700200000</v>
      </c>
      <c r="B6968" s="16">
        <v>0</v>
      </c>
      <c r="C6968" s="16" t="s">
        <v>3404</v>
      </c>
      <c r="D6968" s="16" t="s">
        <v>3409</v>
      </c>
    </row>
    <row r="6969" spans="1:4">
      <c r="A6969" s="16">
        <v>6700100000</v>
      </c>
      <c r="B6969" s="16">
        <v>0</v>
      </c>
      <c r="C6969" s="16" t="s">
        <v>3404</v>
      </c>
      <c r="D6969" s="16" t="s">
        <v>3410</v>
      </c>
    </row>
    <row r="6970" spans="1:4">
      <c r="A6970" s="16">
        <v>2500000000</v>
      </c>
      <c r="B6970" s="16">
        <v>0</v>
      </c>
      <c r="C6970" s="16" t="s">
        <v>3412</v>
      </c>
      <c r="D6970" s="16" t="s">
        <v>3403</v>
      </c>
    </row>
    <row r="6971" spans="1:4">
      <c r="A6971" s="16">
        <v>5010100000</v>
      </c>
      <c r="B6971" s="16">
        <v>0</v>
      </c>
      <c r="C6971" s="16" t="s">
        <v>3406</v>
      </c>
      <c r="D6971" s="16" t="s">
        <v>3407</v>
      </c>
    </row>
    <row r="6972" spans="1:4">
      <c r="A6972" s="16">
        <v>2750010000</v>
      </c>
      <c r="B6972" s="16">
        <v>0</v>
      </c>
      <c r="C6972" s="16" t="s">
        <v>3419</v>
      </c>
      <c r="D6972" s="16" t="s">
        <v>3403</v>
      </c>
    </row>
    <row r="6973" spans="1:4">
      <c r="A6973" s="16">
        <v>6610000100</v>
      </c>
      <c r="B6973" s="16">
        <v>0</v>
      </c>
      <c r="C6973" s="16" t="s">
        <v>3413</v>
      </c>
      <c r="D6973" s="16" t="s">
        <v>3418</v>
      </c>
    </row>
    <row r="6974" spans="1:4">
      <c r="A6974" s="16">
        <v>3032000000</v>
      </c>
      <c r="B6974" s="16">
        <v>0</v>
      </c>
      <c r="C6974" s="16" t="s">
        <v>3424</v>
      </c>
      <c r="D6974" s="16" t="s">
        <v>3403</v>
      </c>
    </row>
    <row r="6975" spans="1:4">
      <c r="A6975" s="16">
        <v>6032000000</v>
      </c>
      <c r="B6975" s="16">
        <v>0</v>
      </c>
      <c r="C6975" s="16" t="s">
        <v>3429</v>
      </c>
      <c r="D6975" s="16" t="s">
        <v>3430</v>
      </c>
    </row>
    <row r="6976" spans="1:4">
      <c r="A6976" s="16">
        <v>6700200000</v>
      </c>
      <c r="B6976" s="16">
        <v>0</v>
      </c>
      <c r="C6976" s="16" t="s">
        <v>3404</v>
      </c>
      <c r="D6976" s="16" t="s">
        <v>3409</v>
      </c>
    </row>
    <row r="6977" spans="1:4">
      <c r="A6977" s="16">
        <v>6700100000</v>
      </c>
      <c r="B6977" s="16">
        <v>0</v>
      </c>
      <c r="C6977" s="16" t="s">
        <v>3404</v>
      </c>
      <c r="D6977" s="16" t="s">
        <v>3410</v>
      </c>
    </row>
    <row r="6978" spans="1:4">
      <c r="A6978" s="16">
        <v>2750010000</v>
      </c>
      <c r="B6978" s="16">
        <v>10463</v>
      </c>
      <c r="C6978" s="16" t="s">
        <v>3419</v>
      </c>
      <c r="D6978" s="16" t="s">
        <v>3403</v>
      </c>
    </row>
    <row r="6979" spans="1:4">
      <c r="A6979" s="16">
        <v>6610100100</v>
      </c>
      <c r="B6979" s="16">
        <v>-10463</v>
      </c>
      <c r="C6979" s="16" t="s">
        <v>3413</v>
      </c>
      <c r="D6979" s="16" t="s">
        <v>3414</v>
      </c>
    </row>
    <row r="6980" spans="1:4">
      <c r="A6980" s="16">
        <v>6610000000</v>
      </c>
      <c r="B6980" s="16">
        <v>0</v>
      </c>
      <c r="C6980" s="16" t="s">
        <v>3413</v>
      </c>
      <c r="D6980" s="16" t="s">
        <v>3418</v>
      </c>
    </row>
    <row r="6981" spans="1:4">
      <c r="A6981" s="16">
        <v>4203000000</v>
      </c>
      <c r="B6981" s="16">
        <v>0</v>
      </c>
      <c r="C6981" s="16" t="s">
        <v>3408</v>
      </c>
      <c r="D6981" s="16" t="s">
        <v>3403</v>
      </c>
    </row>
    <row r="6982" spans="1:4">
      <c r="A6982" s="16">
        <v>2201000000</v>
      </c>
      <c r="B6982" s="16">
        <v>0</v>
      </c>
      <c r="C6982" s="16" t="s">
        <v>3415</v>
      </c>
      <c r="D6982" s="16" t="s">
        <v>3403</v>
      </c>
    </row>
    <row r="6983" spans="1:4">
      <c r="A6983" s="16">
        <v>6700200000</v>
      </c>
      <c r="B6983" s="16">
        <v>0</v>
      </c>
      <c r="C6983" s="16" t="s">
        <v>3404</v>
      </c>
      <c r="D6983" s="16" t="s">
        <v>3409</v>
      </c>
    </row>
    <row r="6984" spans="1:4">
      <c r="A6984" s="16">
        <v>2500000000</v>
      </c>
      <c r="B6984" s="16">
        <v>0</v>
      </c>
      <c r="C6984" s="16" t="s">
        <v>3412</v>
      </c>
      <c r="D6984" s="16" t="s">
        <v>3403</v>
      </c>
    </row>
    <row r="6985" spans="1:4">
      <c r="A6985" s="16">
        <v>5010000000</v>
      </c>
      <c r="B6985" s="16">
        <v>0</v>
      </c>
      <c r="C6985" s="16" t="s">
        <v>3406</v>
      </c>
      <c r="D6985" s="16" t="s">
        <v>3411</v>
      </c>
    </row>
    <row r="6986" spans="1:4">
      <c r="A6986" s="16">
        <v>6060010000</v>
      </c>
      <c r="B6986" s="16">
        <v>48552</v>
      </c>
      <c r="C6986" s="16" t="s">
        <v>3420</v>
      </c>
      <c r="D6986" s="16" t="s">
        <v>3421</v>
      </c>
    </row>
    <row r="6987" spans="1:4">
      <c r="A6987" s="16">
        <v>5052000000</v>
      </c>
      <c r="B6987" s="16">
        <v>-48552</v>
      </c>
      <c r="C6987" s="16" t="s">
        <v>3406</v>
      </c>
      <c r="D6987" s="16" t="s">
        <v>3422</v>
      </c>
    </row>
    <row r="6988" spans="1:4">
      <c r="A6988" s="16">
        <v>6610000000</v>
      </c>
      <c r="B6988" s="16">
        <v>0</v>
      </c>
      <c r="C6988" s="16" t="s">
        <v>3413</v>
      </c>
      <c r="D6988" s="16" t="s">
        <v>3418</v>
      </c>
    </row>
    <row r="6989" spans="1:4">
      <c r="A6989" s="16">
        <v>4203000000</v>
      </c>
      <c r="B6989" s="16">
        <v>0</v>
      </c>
      <c r="C6989" s="16" t="s">
        <v>3408</v>
      </c>
      <c r="D6989" s="16" t="s">
        <v>3403</v>
      </c>
    </row>
    <row r="6990" spans="1:4">
      <c r="A6990" s="16">
        <v>6610100000</v>
      </c>
      <c r="B6990" s="16">
        <v>0</v>
      </c>
      <c r="C6990" s="16" t="s">
        <v>3413</v>
      </c>
      <c r="D6990" s="16" t="s">
        <v>3414</v>
      </c>
    </row>
    <row r="6991" spans="1:4">
      <c r="A6991" s="16">
        <v>4203000000</v>
      </c>
      <c r="B6991" s="16">
        <v>0</v>
      </c>
      <c r="C6991" s="16" t="s">
        <v>3408</v>
      </c>
      <c r="D6991" s="16" t="s">
        <v>3403</v>
      </c>
    </row>
    <row r="6992" spans="1:4">
      <c r="A6992" s="16">
        <v>5010100010</v>
      </c>
      <c r="B6992" s="16">
        <v>0</v>
      </c>
      <c r="C6992" s="16" t="s">
        <v>3406</v>
      </c>
      <c r="D6992" s="16" t="s">
        <v>3407</v>
      </c>
    </row>
    <row r="6993" spans="1:4">
      <c r="A6993" s="16">
        <v>3710000000</v>
      </c>
      <c r="B6993" s="16">
        <v>0</v>
      </c>
      <c r="C6993" s="16" t="s">
        <v>3402</v>
      </c>
      <c r="D6993" s="16" t="s">
        <v>3403</v>
      </c>
    </row>
    <row r="6994" spans="1:4">
      <c r="A6994" s="16">
        <v>6700200000</v>
      </c>
      <c r="B6994" s="16">
        <v>0</v>
      </c>
      <c r="C6994" s="16" t="s">
        <v>3404</v>
      </c>
      <c r="D6994" s="16" t="s">
        <v>3409</v>
      </c>
    </row>
    <row r="6995" spans="1:4">
      <c r="A6995" s="16">
        <v>6700000000</v>
      </c>
      <c r="B6995" s="16">
        <v>0</v>
      </c>
      <c r="C6995" s="16" t="s">
        <v>3404</v>
      </c>
      <c r="D6995" s="16" t="s">
        <v>3405</v>
      </c>
    </row>
    <row r="6996" spans="1:4">
      <c r="A6996" s="16">
        <v>5050000000</v>
      </c>
      <c r="B6996" s="16">
        <v>0</v>
      </c>
      <c r="C6996" s="16" t="s">
        <v>3406</v>
      </c>
      <c r="D6996" s="16" t="s">
        <v>3422</v>
      </c>
    </row>
    <row r="6997" spans="1:4">
      <c r="A6997" s="16">
        <v>3800000000</v>
      </c>
      <c r="B6997" s="16">
        <v>0</v>
      </c>
      <c r="C6997" s="16" t="s">
        <v>3402</v>
      </c>
      <c r="D6997" s="16" t="s">
        <v>3403</v>
      </c>
    </row>
    <row r="6998" spans="1:4">
      <c r="A6998" s="16">
        <v>6700200000</v>
      </c>
      <c r="B6998" s="16">
        <v>0</v>
      </c>
      <c r="C6998" s="16" t="s">
        <v>3404</v>
      </c>
      <c r="D6998" s="16" t="s">
        <v>3409</v>
      </c>
    </row>
    <row r="6999" spans="1:4">
      <c r="A6999" s="16">
        <v>6700000000</v>
      </c>
      <c r="B6999" s="16">
        <v>0</v>
      </c>
      <c r="C6999" s="16" t="s">
        <v>3404</v>
      </c>
      <c r="D6999" s="16" t="s">
        <v>3405</v>
      </c>
    </row>
    <row r="7000" spans="1:4">
      <c r="A7000" s="16">
        <v>6700600000</v>
      </c>
      <c r="B7000" s="16">
        <v>0</v>
      </c>
      <c r="C7000" s="16" t="s">
        <v>3404</v>
      </c>
      <c r="D7000" s="16" t="s">
        <v>3409</v>
      </c>
    </row>
    <row r="7001" spans="1:4">
      <c r="A7001" s="16">
        <v>6700400000</v>
      </c>
      <c r="B7001" s="16">
        <v>0</v>
      </c>
      <c r="C7001" s="16" t="s">
        <v>3404</v>
      </c>
      <c r="D7001" s="16" t="s">
        <v>3405</v>
      </c>
    </row>
    <row r="7002" spans="1:4">
      <c r="A7002" s="16">
        <v>3032000000</v>
      </c>
      <c r="B7002" s="16">
        <v>0</v>
      </c>
      <c r="C7002" s="16" t="s">
        <v>3424</v>
      </c>
      <c r="D7002" s="16" t="s">
        <v>3403</v>
      </c>
    </row>
    <row r="7003" spans="1:4">
      <c r="A7003" s="16">
        <v>6032000000</v>
      </c>
      <c r="B7003" s="16">
        <v>0</v>
      </c>
      <c r="C7003" s="16" t="s">
        <v>3429</v>
      </c>
      <c r="D7003" s="16" t="s">
        <v>3430</v>
      </c>
    </row>
    <row r="7004" spans="1:4">
      <c r="A7004" s="16">
        <v>6610100000</v>
      </c>
      <c r="B7004" s="16">
        <v>379</v>
      </c>
      <c r="C7004" s="16" t="s">
        <v>3413</v>
      </c>
      <c r="D7004" s="16" t="s">
        <v>3414</v>
      </c>
    </row>
    <row r="7005" spans="1:4">
      <c r="A7005" s="16">
        <v>4203000000</v>
      </c>
      <c r="B7005" s="16">
        <v>-379</v>
      </c>
      <c r="C7005" s="16" t="s">
        <v>3408</v>
      </c>
      <c r="D7005" s="16" t="s">
        <v>3403</v>
      </c>
    </row>
    <row r="7006" spans="1:4">
      <c r="A7006" s="16">
        <v>3102000000</v>
      </c>
      <c r="B7006" s="16">
        <v>0</v>
      </c>
      <c r="C7006" s="16" t="s">
        <v>3424</v>
      </c>
      <c r="D7006" s="16" t="s">
        <v>3403</v>
      </c>
    </row>
    <row r="7007" spans="1:4">
      <c r="A7007" s="16">
        <v>6102000000</v>
      </c>
      <c r="B7007" s="16">
        <v>0</v>
      </c>
      <c r="C7007" s="16" t="s">
        <v>3425</v>
      </c>
      <c r="D7007" s="16" t="s">
        <v>3426</v>
      </c>
    </row>
    <row r="7008" spans="1:4">
      <c r="A7008" s="16">
        <v>6700200000</v>
      </c>
      <c r="B7008" s="16">
        <v>0</v>
      </c>
      <c r="C7008" s="16" t="s">
        <v>3404</v>
      </c>
      <c r="D7008" s="16" t="s">
        <v>3409</v>
      </c>
    </row>
    <row r="7009" spans="1:4">
      <c r="A7009" s="16">
        <v>6700100000</v>
      </c>
      <c r="B7009" s="16">
        <v>0</v>
      </c>
      <c r="C7009" s="16" t="s">
        <v>3404</v>
      </c>
      <c r="D7009" s="16" t="s">
        <v>3410</v>
      </c>
    </row>
    <row r="7010" spans="1:4">
      <c r="A7010" s="16">
        <v>6100000020</v>
      </c>
      <c r="B7010" s="16">
        <v>0</v>
      </c>
      <c r="C7010" s="16" t="s">
        <v>3416</v>
      </c>
      <c r="D7010" s="16" t="s">
        <v>3417</v>
      </c>
    </row>
    <row r="7011" spans="1:4">
      <c r="A7011" s="16">
        <v>3810000000</v>
      </c>
      <c r="B7011" s="16">
        <v>0</v>
      </c>
      <c r="C7011" s="16" t="s">
        <v>3402</v>
      </c>
      <c r="D7011" s="16" t="s">
        <v>3403</v>
      </c>
    </row>
    <row r="7012" spans="1:4">
      <c r="A7012" s="16">
        <v>6700200000</v>
      </c>
      <c r="B7012" s="16">
        <v>0</v>
      </c>
      <c r="C7012" s="16" t="s">
        <v>3404</v>
      </c>
      <c r="D7012" s="16" t="s">
        <v>3409</v>
      </c>
    </row>
    <row r="7013" spans="1:4">
      <c r="A7013" s="16">
        <v>6700000000</v>
      </c>
      <c r="B7013" s="16">
        <v>0</v>
      </c>
      <c r="C7013" s="16" t="s">
        <v>3404</v>
      </c>
      <c r="D7013" s="16" t="s">
        <v>3405</v>
      </c>
    </row>
    <row r="7014" spans="1:4">
      <c r="A7014" s="16">
        <v>6104000000</v>
      </c>
      <c r="B7014" s="16">
        <v>0</v>
      </c>
      <c r="C7014" s="16" t="s">
        <v>3416</v>
      </c>
      <c r="D7014" s="16" t="s">
        <v>3417</v>
      </c>
    </row>
    <row r="7015" spans="1:4">
      <c r="A7015" s="16">
        <v>3103000000</v>
      </c>
      <c r="B7015" s="16">
        <v>0</v>
      </c>
      <c r="C7015" s="16" t="s">
        <v>3402</v>
      </c>
      <c r="D7015" s="16" t="s">
        <v>3403</v>
      </c>
    </row>
    <row r="7016" spans="1:4">
      <c r="A7016" s="16">
        <v>2203000000</v>
      </c>
      <c r="B7016" s="16">
        <v>0</v>
      </c>
      <c r="C7016" s="16" t="s">
        <v>3415</v>
      </c>
      <c r="D7016" s="16" t="s">
        <v>3403</v>
      </c>
    </row>
    <row r="7017" spans="1:4">
      <c r="A7017" s="16">
        <v>6060110000</v>
      </c>
      <c r="B7017" s="16">
        <v>0</v>
      </c>
      <c r="C7017" s="16" t="s">
        <v>3420</v>
      </c>
      <c r="D7017" s="16" t="s">
        <v>3421</v>
      </c>
    </row>
    <row r="7018" spans="1:4">
      <c r="A7018" s="16">
        <v>5010000010</v>
      </c>
      <c r="B7018" s="16">
        <v>0</v>
      </c>
      <c r="C7018" s="16" t="s">
        <v>3406</v>
      </c>
      <c r="D7018" s="16" t="s">
        <v>3411</v>
      </c>
    </row>
    <row r="7019" spans="1:4">
      <c r="A7019" s="16">
        <v>3710000000</v>
      </c>
      <c r="B7019" s="16">
        <v>0</v>
      </c>
      <c r="C7019" s="16" t="s">
        <v>3402</v>
      </c>
      <c r="D7019" s="16" t="s">
        <v>3403</v>
      </c>
    </row>
    <row r="7020" spans="1:4">
      <c r="A7020" s="16">
        <v>2500000000</v>
      </c>
      <c r="B7020" s="16">
        <v>0</v>
      </c>
      <c r="C7020" s="16" t="s">
        <v>3412</v>
      </c>
      <c r="D7020" s="16" t="s">
        <v>3403</v>
      </c>
    </row>
    <row r="7021" spans="1:4">
      <c r="A7021" s="16">
        <v>5010000000</v>
      </c>
      <c r="B7021" s="16">
        <v>0</v>
      </c>
      <c r="C7021" s="16" t="s">
        <v>3406</v>
      </c>
      <c r="D7021" s="16" t="s">
        <v>3411</v>
      </c>
    </row>
    <row r="7022" spans="1:4">
      <c r="A7022" s="16">
        <v>6700600000</v>
      </c>
      <c r="B7022" s="16">
        <v>0</v>
      </c>
      <c r="C7022" s="16" t="s">
        <v>3404</v>
      </c>
      <c r="D7022" s="16" t="s">
        <v>3409</v>
      </c>
    </row>
    <row r="7023" spans="1:4">
      <c r="A7023" s="16">
        <v>6700400000</v>
      </c>
      <c r="B7023" s="16">
        <v>0</v>
      </c>
      <c r="C7023" s="16" t="s">
        <v>3404</v>
      </c>
      <c r="D7023" s="16" t="s">
        <v>3405</v>
      </c>
    </row>
    <row r="7024" spans="1:4">
      <c r="A7024" s="16">
        <v>6100000000</v>
      </c>
      <c r="B7024" s="16">
        <v>797138</v>
      </c>
      <c r="C7024" s="16" t="s">
        <v>3416</v>
      </c>
      <c r="D7024" s="16" t="s">
        <v>3417</v>
      </c>
    </row>
    <row r="7025" spans="1:4">
      <c r="A7025" s="16">
        <v>3100000000</v>
      </c>
      <c r="B7025" s="16">
        <v>-797138</v>
      </c>
      <c r="C7025" s="16" t="s">
        <v>3402</v>
      </c>
      <c r="D7025" s="16" t="s">
        <v>3403</v>
      </c>
    </row>
    <row r="7026" spans="1:4">
      <c r="A7026" s="16">
        <v>3102000000</v>
      </c>
      <c r="B7026" s="16">
        <v>0</v>
      </c>
      <c r="C7026" s="16" t="s">
        <v>3424</v>
      </c>
      <c r="D7026" s="16" t="s">
        <v>3403</v>
      </c>
    </row>
    <row r="7027" spans="1:4">
      <c r="A7027" s="16">
        <v>6102000000</v>
      </c>
      <c r="B7027" s="16">
        <v>0</v>
      </c>
      <c r="C7027" s="16" t="s">
        <v>3425</v>
      </c>
      <c r="D7027" s="16" t="s">
        <v>3426</v>
      </c>
    </row>
    <row r="7028" spans="1:4">
      <c r="A7028" s="16">
        <v>2201000000</v>
      </c>
      <c r="B7028" s="16">
        <v>0</v>
      </c>
      <c r="C7028" s="16" t="s">
        <v>3415</v>
      </c>
      <c r="D7028" s="16" t="s">
        <v>3403</v>
      </c>
    </row>
    <row r="7029" spans="1:4">
      <c r="A7029" s="16">
        <v>6700200000</v>
      </c>
      <c r="B7029" s="16">
        <v>0</v>
      </c>
      <c r="C7029" s="16" t="s">
        <v>3404</v>
      </c>
      <c r="D7029" s="16" t="s">
        <v>3409</v>
      </c>
    </row>
    <row r="7030" spans="1:4">
      <c r="A7030" s="16">
        <v>2203000000</v>
      </c>
      <c r="B7030" s="16">
        <v>0</v>
      </c>
      <c r="C7030" s="16" t="s">
        <v>3415</v>
      </c>
      <c r="D7030" s="16" t="s">
        <v>3403</v>
      </c>
    </row>
    <row r="7031" spans="1:4">
      <c r="A7031" s="16">
        <v>6060110000</v>
      </c>
      <c r="B7031" s="16">
        <v>0</v>
      </c>
      <c r="C7031" s="16" t="s">
        <v>3420</v>
      </c>
      <c r="D7031" s="16" t="s">
        <v>3421</v>
      </c>
    </row>
    <row r="7032" spans="1:4">
      <c r="A7032" s="16">
        <v>6104001000</v>
      </c>
      <c r="B7032" s="16">
        <v>0</v>
      </c>
      <c r="C7032" s="16" t="s">
        <v>3416</v>
      </c>
      <c r="D7032" s="16" t="s">
        <v>3417</v>
      </c>
    </row>
    <row r="7033" spans="1:4">
      <c r="A7033" s="16">
        <v>3103001000</v>
      </c>
      <c r="B7033" s="16">
        <v>0</v>
      </c>
      <c r="C7033" s="16" t="s">
        <v>3402</v>
      </c>
      <c r="D7033" s="16" t="s">
        <v>3403</v>
      </c>
    </row>
    <row r="7034" spans="1:4">
      <c r="A7034" s="16">
        <v>3102000000</v>
      </c>
      <c r="B7034" s="16">
        <v>0</v>
      </c>
      <c r="C7034" s="16" t="s">
        <v>3424</v>
      </c>
      <c r="D7034" s="16" t="s">
        <v>3403</v>
      </c>
    </row>
    <row r="7035" spans="1:4">
      <c r="A7035" s="16">
        <v>6102000000</v>
      </c>
      <c r="B7035" s="16">
        <v>0</v>
      </c>
      <c r="C7035" s="16" t="s">
        <v>3425</v>
      </c>
      <c r="D7035" s="16" t="s">
        <v>3426</v>
      </c>
    </row>
    <row r="7036" spans="1:4">
      <c r="A7036" s="16">
        <v>6610000000</v>
      </c>
      <c r="B7036" s="16">
        <v>0</v>
      </c>
      <c r="C7036" s="16" t="s">
        <v>3413</v>
      </c>
      <c r="D7036" s="16" t="s">
        <v>3418</v>
      </c>
    </row>
    <row r="7037" spans="1:4">
      <c r="A7037" s="16">
        <v>4203000000</v>
      </c>
      <c r="B7037" s="16">
        <v>0</v>
      </c>
      <c r="C7037" s="16" t="s">
        <v>3408</v>
      </c>
      <c r="D7037" s="16" t="s">
        <v>3403</v>
      </c>
    </row>
    <row r="7038" spans="1:4">
      <c r="A7038" s="16">
        <v>6700200000</v>
      </c>
      <c r="B7038" s="16">
        <v>0</v>
      </c>
      <c r="C7038" s="16" t="s">
        <v>3404</v>
      </c>
      <c r="D7038" s="16" t="s">
        <v>3409</v>
      </c>
    </row>
    <row r="7039" spans="1:4">
      <c r="A7039" s="16">
        <v>2201200030</v>
      </c>
      <c r="B7039" s="16">
        <v>0</v>
      </c>
      <c r="C7039" s="16" t="s">
        <v>3415</v>
      </c>
      <c r="D7039" s="16" t="s">
        <v>3403</v>
      </c>
    </row>
    <row r="7040" spans="1:4">
      <c r="A7040" s="16">
        <v>2203000010</v>
      </c>
      <c r="B7040" s="16">
        <v>0</v>
      </c>
      <c r="C7040" s="16" t="s">
        <v>3415</v>
      </c>
      <c r="D7040" s="16" t="s">
        <v>3403</v>
      </c>
    </row>
    <row r="7041" spans="1:4">
      <c r="A7041" s="16">
        <v>4612000000</v>
      </c>
      <c r="B7041" s="16">
        <v>0</v>
      </c>
      <c r="C7041" s="16" t="s">
        <v>3428</v>
      </c>
      <c r="D7041" s="16" t="s">
        <v>3403</v>
      </c>
    </row>
    <row r="7042" spans="1:4">
      <c r="A7042" s="16">
        <v>6700600000</v>
      </c>
      <c r="B7042" s="16">
        <v>0</v>
      </c>
      <c r="C7042" s="16" t="s">
        <v>3404</v>
      </c>
      <c r="D7042" s="16" t="s">
        <v>3409</v>
      </c>
    </row>
    <row r="7043" spans="1:4">
      <c r="A7043" s="16">
        <v>6700400000</v>
      </c>
      <c r="B7043" s="16">
        <v>0</v>
      </c>
      <c r="C7043" s="16" t="s">
        <v>3404</v>
      </c>
      <c r="D7043" s="16" t="s">
        <v>3405</v>
      </c>
    </row>
    <row r="7044" spans="1:4">
      <c r="A7044" s="16">
        <v>5010100010</v>
      </c>
      <c r="B7044" s="16">
        <v>54659</v>
      </c>
      <c r="C7044" s="16" t="s">
        <v>3406</v>
      </c>
      <c r="D7044" s="16" t="s">
        <v>3407</v>
      </c>
    </row>
    <row r="7045" spans="1:4">
      <c r="A7045" s="16">
        <v>3710000000</v>
      </c>
      <c r="B7045" s="16">
        <v>-54659</v>
      </c>
      <c r="C7045" s="16" t="s">
        <v>3402</v>
      </c>
      <c r="D7045" s="16" t="s">
        <v>3403</v>
      </c>
    </row>
    <row r="7046" spans="1:4">
      <c r="A7046" s="16">
        <v>6700200000</v>
      </c>
      <c r="B7046" s="16">
        <v>0</v>
      </c>
      <c r="C7046" s="16" t="s">
        <v>3404</v>
      </c>
      <c r="D7046" s="16" t="s">
        <v>3409</v>
      </c>
    </row>
    <row r="7047" spans="1:4">
      <c r="A7047" s="16">
        <v>6700100000</v>
      </c>
      <c r="B7047" s="16">
        <v>0</v>
      </c>
      <c r="C7047" s="16" t="s">
        <v>3404</v>
      </c>
      <c r="D7047" s="16" t="s">
        <v>3410</v>
      </c>
    </row>
    <row r="7048" spans="1:4">
      <c r="A7048" s="16">
        <v>6610000000</v>
      </c>
      <c r="B7048" s="16">
        <v>0</v>
      </c>
      <c r="C7048" s="16" t="s">
        <v>3413</v>
      </c>
      <c r="D7048" s="16" t="s">
        <v>3418</v>
      </c>
    </row>
    <row r="7049" spans="1:4">
      <c r="A7049" s="16">
        <v>4203000000</v>
      </c>
      <c r="B7049" s="16">
        <v>0</v>
      </c>
      <c r="C7049" s="16" t="s">
        <v>3408</v>
      </c>
      <c r="D7049" s="16" t="s">
        <v>3403</v>
      </c>
    </row>
    <row r="7050" spans="1:4">
      <c r="A7050" s="16">
        <v>2750010000</v>
      </c>
      <c r="B7050" s="16">
        <v>0</v>
      </c>
      <c r="C7050" s="16" t="s">
        <v>3419</v>
      </c>
      <c r="D7050" s="16" t="s">
        <v>3403</v>
      </c>
    </row>
    <row r="7051" spans="1:4">
      <c r="A7051" s="16">
        <v>6610100100</v>
      </c>
      <c r="B7051" s="16">
        <v>0</v>
      </c>
      <c r="C7051" s="16" t="s">
        <v>3413</v>
      </c>
      <c r="D7051" s="16" t="s">
        <v>3414</v>
      </c>
    </row>
    <row r="7052" spans="1:4">
      <c r="A7052" s="16">
        <v>2203000000</v>
      </c>
      <c r="B7052" s="16">
        <v>0</v>
      </c>
      <c r="C7052" s="16" t="s">
        <v>3415</v>
      </c>
      <c r="D7052" s="16" t="s">
        <v>3403</v>
      </c>
    </row>
    <row r="7053" spans="1:4">
      <c r="A7053" s="16">
        <v>6060110000</v>
      </c>
      <c r="B7053" s="16">
        <v>0</v>
      </c>
      <c r="C7053" s="16" t="s">
        <v>3420</v>
      </c>
      <c r="D7053" s="16" t="s">
        <v>3421</v>
      </c>
    </row>
    <row r="7054" spans="1:4">
      <c r="A7054" s="16">
        <v>6150000000</v>
      </c>
      <c r="B7054" s="16">
        <v>0</v>
      </c>
      <c r="C7054" s="16" t="s">
        <v>3416</v>
      </c>
      <c r="D7054" s="16" t="s">
        <v>3417</v>
      </c>
    </row>
    <row r="7055" spans="1:4">
      <c r="A7055" s="16">
        <v>3510000000</v>
      </c>
      <c r="B7055" s="16">
        <v>0</v>
      </c>
      <c r="C7055" s="16" t="s">
        <v>3402</v>
      </c>
      <c r="D7055" s="16" t="s">
        <v>3403</v>
      </c>
    </row>
    <row r="7056" spans="1:4">
      <c r="A7056" s="16">
        <v>2500000000</v>
      </c>
      <c r="B7056" s="16">
        <v>0</v>
      </c>
      <c r="C7056" s="16" t="s">
        <v>3412</v>
      </c>
      <c r="D7056" s="16" t="s">
        <v>3403</v>
      </c>
    </row>
    <row r="7057" spans="1:4">
      <c r="A7057" s="16">
        <v>5010100000</v>
      </c>
      <c r="B7057" s="16">
        <v>0</v>
      </c>
      <c r="C7057" s="16" t="s">
        <v>3406</v>
      </c>
      <c r="D7057" s="16" t="s">
        <v>3407</v>
      </c>
    </row>
    <row r="7058" spans="1:4">
      <c r="A7058" s="16">
        <v>5010100010</v>
      </c>
      <c r="B7058" s="16">
        <v>0</v>
      </c>
      <c r="C7058" s="16" t="s">
        <v>3406</v>
      </c>
      <c r="D7058" s="16" t="s">
        <v>3407</v>
      </c>
    </row>
    <row r="7059" spans="1:4">
      <c r="A7059" s="16">
        <v>3710000000</v>
      </c>
      <c r="B7059" s="16">
        <v>0</v>
      </c>
      <c r="C7059" s="16" t="s">
        <v>3402</v>
      </c>
      <c r="D7059" s="16" t="s">
        <v>3403</v>
      </c>
    </row>
    <row r="7060" spans="1:4">
      <c r="A7060" s="16">
        <v>6610000000</v>
      </c>
      <c r="B7060" s="16">
        <v>0</v>
      </c>
      <c r="C7060" s="16" t="s">
        <v>3413</v>
      </c>
      <c r="D7060" s="16" t="s">
        <v>3418</v>
      </c>
    </row>
    <row r="7061" spans="1:4">
      <c r="A7061" s="16">
        <v>4203000000</v>
      </c>
      <c r="B7061" s="16">
        <v>0</v>
      </c>
      <c r="C7061" s="16" t="s">
        <v>3408</v>
      </c>
      <c r="D7061" s="16" t="s">
        <v>3403</v>
      </c>
    </row>
    <row r="7062" spans="1:4">
      <c r="A7062" s="16">
        <v>5050010000</v>
      </c>
      <c r="B7062" s="16">
        <v>21752</v>
      </c>
      <c r="C7062" s="16" t="s">
        <v>3406</v>
      </c>
      <c r="D7062" s="16" t="s">
        <v>3422</v>
      </c>
    </row>
    <row r="7063" spans="1:4">
      <c r="A7063" s="16">
        <v>5050000000</v>
      </c>
      <c r="B7063" s="16">
        <v>-21752</v>
      </c>
      <c r="C7063" s="16" t="s">
        <v>3406</v>
      </c>
      <c r="D7063" s="16" t="s">
        <v>3422</v>
      </c>
    </row>
    <row r="7064" spans="1:4">
      <c r="A7064" s="16">
        <v>3032000000</v>
      </c>
      <c r="B7064" s="16">
        <v>0</v>
      </c>
      <c r="C7064" s="16" t="s">
        <v>3424</v>
      </c>
      <c r="D7064" s="16" t="s">
        <v>3403</v>
      </c>
    </row>
    <row r="7065" spans="1:4">
      <c r="A7065" s="16">
        <v>6032000000</v>
      </c>
      <c r="B7065" s="16">
        <v>0</v>
      </c>
      <c r="C7065" s="16" t="s">
        <v>3429</v>
      </c>
      <c r="D7065" s="16" t="s">
        <v>3430</v>
      </c>
    </row>
    <row r="7066" spans="1:4">
      <c r="A7066" s="16">
        <v>2500000000</v>
      </c>
      <c r="B7066" s="16">
        <v>0</v>
      </c>
      <c r="C7066" s="16" t="s">
        <v>3412</v>
      </c>
      <c r="D7066" s="16" t="s">
        <v>3403</v>
      </c>
    </row>
    <row r="7067" spans="1:4">
      <c r="A7067" s="16">
        <v>5010100000</v>
      </c>
      <c r="B7067" s="16">
        <v>0</v>
      </c>
      <c r="C7067" s="16" t="s">
        <v>3406</v>
      </c>
      <c r="D7067" s="16" t="s">
        <v>3407</v>
      </c>
    </row>
    <row r="7068" spans="1:4">
      <c r="A7068" s="16">
        <v>6700200000</v>
      </c>
      <c r="B7068" s="16">
        <v>0</v>
      </c>
      <c r="C7068" s="16" t="s">
        <v>3404</v>
      </c>
      <c r="D7068" s="16" t="s">
        <v>3409</v>
      </c>
    </row>
    <row r="7069" spans="1:4">
      <c r="A7069" s="16">
        <v>6700000000</v>
      </c>
      <c r="B7069" s="16">
        <v>0</v>
      </c>
      <c r="C7069" s="16" t="s">
        <v>3404</v>
      </c>
      <c r="D7069" s="16" t="s">
        <v>3405</v>
      </c>
    </row>
    <row r="7070" spans="1:4">
      <c r="A7070" s="16">
        <v>3102000000</v>
      </c>
      <c r="B7070" s="16">
        <v>0</v>
      </c>
      <c r="C7070" s="16" t="s">
        <v>3424</v>
      </c>
      <c r="D7070" s="16" t="s">
        <v>3403</v>
      </c>
    </row>
    <row r="7071" spans="1:4">
      <c r="A7071" s="16">
        <v>6102000000</v>
      </c>
      <c r="B7071" s="16">
        <v>0</v>
      </c>
      <c r="C7071" s="16" t="s">
        <v>3425</v>
      </c>
      <c r="D7071" s="16" t="s">
        <v>3426</v>
      </c>
    </row>
    <row r="7072" spans="1:4">
      <c r="A7072" s="16">
        <v>6700700000</v>
      </c>
      <c r="B7072" s="16">
        <v>0</v>
      </c>
      <c r="C7072" s="16" t="s">
        <v>3404</v>
      </c>
      <c r="D7072" s="16" t="s">
        <v>3409</v>
      </c>
    </row>
    <row r="7073" spans="1:4">
      <c r="A7073" s="16">
        <v>6700500000</v>
      </c>
      <c r="B7073" s="16">
        <v>0</v>
      </c>
      <c r="C7073" s="16" t="s">
        <v>3404</v>
      </c>
      <c r="D7073" s="16" t="s">
        <v>3405</v>
      </c>
    </row>
    <row r="7074" spans="1:4">
      <c r="A7074" s="16">
        <v>6100000020</v>
      </c>
      <c r="B7074" s="16">
        <v>1727926</v>
      </c>
      <c r="C7074" s="16" t="s">
        <v>3416</v>
      </c>
      <c r="D7074" s="16" t="s">
        <v>3417</v>
      </c>
    </row>
    <row r="7075" spans="1:4">
      <c r="A7075" s="16">
        <v>3810000000</v>
      </c>
      <c r="B7075" s="16">
        <v>-1727926</v>
      </c>
      <c r="C7075" s="16" t="s">
        <v>3402</v>
      </c>
      <c r="D7075" s="16" t="s">
        <v>3403</v>
      </c>
    </row>
    <row r="7076" spans="1:4">
      <c r="A7076" s="16">
        <v>6700200000</v>
      </c>
      <c r="B7076" s="16">
        <v>0</v>
      </c>
      <c r="C7076" s="16" t="s">
        <v>3404</v>
      </c>
      <c r="D7076" s="16" t="s">
        <v>3409</v>
      </c>
    </row>
    <row r="7077" spans="1:4">
      <c r="A7077" s="16">
        <v>6700100000</v>
      </c>
      <c r="B7077" s="16">
        <v>0</v>
      </c>
      <c r="C7077" s="16" t="s">
        <v>3404</v>
      </c>
      <c r="D7077" s="16" t="s">
        <v>3410</v>
      </c>
    </row>
    <row r="7078" spans="1:4">
      <c r="A7078" s="16">
        <v>2750010000</v>
      </c>
      <c r="B7078" s="16">
        <v>0</v>
      </c>
      <c r="C7078" s="16" t="s">
        <v>3419</v>
      </c>
      <c r="D7078" s="16" t="s">
        <v>3403</v>
      </c>
    </row>
    <row r="7079" spans="1:4">
      <c r="A7079" s="16">
        <v>6610000100</v>
      </c>
      <c r="B7079" s="16">
        <v>0</v>
      </c>
      <c r="C7079" s="16" t="s">
        <v>3413</v>
      </c>
      <c r="D7079" s="16" t="s">
        <v>3418</v>
      </c>
    </row>
    <row r="7080" spans="1:4">
      <c r="A7080" s="16">
        <v>6700200000</v>
      </c>
      <c r="B7080" s="16">
        <v>0</v>
      </c>
      <c r="C7080" s="16" t="s">
        <v>3404</v>
      </c>
      <c r="D7080" s="16" t="s">
        <v>3409</v>
      </c>
    </row>
    <row r="7081" spans="1:4">
      <c r="A7081" s="16">
        <v>6700100000</v>
      </c>
      <c r="B7081" s="16">
        <v>0</v>
      </c>
      <c r="C7081" s="16" t="s">
        <v>3404</v>
      </c>
      <c r="D7081" s="16" t="s">
        <v>3410</v>
      </c>
    </row>
    <row r="7082" spans="1:4">
      <c r="A7082" s="16">
        <v>6100000000</v>
      </c>
      <c r="B7082" s="16">
        <v>0</v>
      </c>
      <c r="C7082" s="16" t="s">
        <v>3416</v>
      </c>
      <c r="D7082" s="16" t="s">
        <v>3417</v>
      </c>
    </row>
    <row r="7083" spans="1:4">
      <c r="A7083" s="16">
        <v>4010100000</v>
      </c>
      <c r="B7083" s="16">
        <v>0</v>
      </c>
      <c r="C7083" s="16" t="s">
        <v>3431</v>
      </c>
      <c r="D7083" s="16" t="s">
        <v>3403</v>
      </c>
    </row>
    <row r="7084" spans="1:4">
      <c r="A7084" s="16">
        <v>2500000000</v>
      </c>
      <c r="B7084" s="16">
        <v>0</v>
      </c>
      <c r="C7084" s="16" t="s">
        <v>3412</v>
      </c>
      <c r="D7084" s="16" t="s">
        <v>3403</v>
      </c>
    </row>
    <row r="7085" spans="1:4">
      <c r="A7085" s="16">
        <v>5010100000</v>
      </c>
      <c r="B7085" s="16">
        <v>0</v>
      </c>
      <c r="C7085" s="16" t="s">
        <v>3406</v>
      </c>
      <c r="D7085" s="16" t="s">
        <v>3407</v>
      </c>
    </row>
    <row r="7086" spans="1:4">
      <c r="A7086" s="16">
        <v>2750010000</v>
      </c>
      <c r="B7086" s="16">
        <v>0</v>
      </c>
      <c r="C7086" s="16" t="s">
        <v>3419</v>
      </c>
      <c r="D7086" s="16" t="s">
        <v>3403</v>
      </c>
    </row>
    <row r="7087" spans="1:4">
      <c r="A7087" s="16">
        <v>6610000100</v>
      </c>
      <c r="B7087" s="16">
        <v>0</v>
      </c>
      <c r="C7087" s="16" t="s">
        <v>3413</v>
      </c>
      <c r="D7087" s="16" t="s">
        <v>3418</v>
      </c>
    </row>
    <row r="7088" spans="1:4">
      <c r="A7088" s="16">
        <v>6610100000</v>
      </c>
      <c r="B7088" s="16">
        <v>0</v>
      </c>
      <c r="C7088" s="16" t="s">
        <v>3413</v>
      </c>
      <c r="D7088" s="16" t="s">
        <v>3414</v>
      </c>
    </row>
    <row r="7089" spans="1:4">
      <c r="A7089" s="16">
        <v>4203000000</v>
      </c>
      <c r="B7089" s="16">
        <v>0</v>
      </c>
      <c r="C7089" s="16" t="s">
        <v>3408</v>
      </c>
      <c r="D7089" s="16" t="s">
        <v>3403</v>
      </c>
    </row>
    <row r="7090" spans="1:4">
      <c r="A7090" s="16">
        <v>2500000000</v>
      </c>
      <c r="B7090" s="16">
        <v>0</v>
      </c>
      <c r="C7090" s="16" t="s">
        <v>3412</v>
      </c>
      <c r="D7090" s="16" t="s">
        <v>3403</v>
      </c>
    </row>
    <row r="7091" spans="1:4">
      <c r="A7091" s="16">
        <v>5010000000</v>
      </c>
      <c r="B7091" s="16">
        <v>0</v>
      </c>
      <c r="C7091" s="16" t="s">
        <v>3406</v>
      </c>
      <c r="D7091" s="16" t="s">
        <v>3411</v>
      </c>
    </row>
    <row r="7092" spans="1:4">
      <c r="A7092" s="16">
        <v>6610100000</v>
      </c>
      <c r="B7092" s="16">
        <v>0</v>
      </c>
      <c r="C7092" s="16" t="s">
        <v>3413</v>
      </c>
      <c r="D7092" s="16" t="s">
        <v>3414</v>
      </c>
    </row>
    <row r="7093" spans="1:4">
      <c r="A7093" s="16">
        <v>4203000000</v>
      </c>
      <c r="B7093" s="16">
        <v>0</v>
      </c>
      <c r="C7093" s="16" t="s">
        <v>3408</v>
      </c>
      <c r="D7093" s="16" t="s">
        <v>3403</v>
      </c>
    </row>
    <row r="7094" spans="1:4">
      <c r="A7094" s="16">
        <v>3102000000</v>
      </c>
      <c r="B7094" s="16">
        <v>0</v>
      </c>
      <c r="C7094" s="16" t="s">
        <v>3424</v>
      </c>
      <c r="D7094" s="16" t="s">
        <v>3403</v>
      </c>
    </row>
    <row r="7095" spans="1:4">
      <c r="A7095" s="16">
        <v>6102000000</v>
      </c>
      <c r="B7095" s="16">
        <v>0</v>
      </c>
      <c r="C7095" s="16" t="s">
        <v>3425</v>
      </c>
      <c r="D7095" s="16" t="s">
        <v>3426</v>
      </c>
    </row>
    <row r="7096" spans="1:4">
      <c r="A7096" s="16">
        <v>6100000000</v>
      </c>
      <c r="B7096" s="16">
        <v>0</v>
      </c>
      <c r="C7096" s="16" t="s">
        <v>3416</v>
      </c>
      <c r="D7096" s="16" t="s">
        <v>3417</v>
      </c>
    </row>
    <row r="7097" spans="1:4">
      <c r="A7097" s="16">
        <v>3100000000</v>
      </c>
      <c r="B7097" s="16">
        <v>0</v>
      </c>
      <c r="C7097" s="16" t="s">
        <v>3402</v>
      </c>
      <c r="D7097" s="16" t="s">
        <v>3403</v>
      </c>
    </row>
    <row r="7098" spans="1:4">
      <c r="A7098" s="16">
        <v>4611000000</v>
      </c>
      <c r="B7098" s="16">
        <v>1872766</v>
      </c>
      <c r="C7098" s="16" t="s">
        <v>3428</v>
      </c>
      <c r="D7098" s="16" t="s">
        <v>3403</v>
      </c>
    </row>
    <row r="7099" spans="1:4">
      <c r="A7099" s="16">
        <v>3800000010</v>
      </c>
      <c r="B7099" s="16">
        <v>-1872766</v>
      </c>
      <c r="C7099" s="16" t="s">
        <v>3402</v>
      </c>
      <c r="D7099" s="16" t="s">
        <v>3403</v>
      </c>
    </row>
    <row r="7100" spans="1:4">
      <c r="A7100" s="16">
        <v>6700200000</v>
      </c>
      <c r="B7100" s="16">
        <v>0</v>
      </c>
      <c r="C7100" s="16" t="s">
        <v>3404</v>
      </c>
      <c r="D7100" s="16" t="s">
        <v>3409</v>
      </c>
    </row>
    <row r="7101" spans="1:4">
      <c r="A7101" s="16">
        <v>6700100000</v>
      </c>
      <c r="B7101" s="16">
        <v>0</v>
      </c>
      <c r="C7101" s="16" t="s">
        <v>3404</v>
      </c>
      <c r="D7101" s="16" t="s">
        <v>3410</v>
      </c>
    </row>
    <row r="7102" spans="1:4">
      <c r="A7102" s="16">
        <v>2201000000</v>
      </c>
      <c r="B7102" s="16">
        <v>0</v>
      </c>
      <c r="C7102" s="16" t="s">
        <v>3415</v>
      </c>
      <c r="D7102" s="16" t="s">
        <v>3403</v>
      </c>
    </row>
    <row r="7103" spans="1:4">
      <c r="A7103" s="16">
        <v>6700200000</v>
      </c>
      <c r="B7103" s="16">
        <v>0</v>
      </c>
      <c r="C7103" s="16" t="s">
        <v>3404</v>
      </c>
      <c r="D7103" s="16" t="s">
        <v>3409</v>
      </c>
    </row>
    <row r="7104" spans="1:4">
      <c r="A7104" s="16">
        <v>6060010000</v>
      </c>
      <c r="B7104" s="16">
        <v>0</v>
      </c>
      <c r="C7104" s="16" t="s">
        <v>3420</v>
      </c>
      <c r="D7104" s="16" t="s">
        <v>3421</v>
      </c>
    </row>
    <row r="7105" spans="1:4">
      <c r="A7105" s="16">
        <v>5052000000</v>
      </c>
      <c r="B7105" s="16">
        <v>0</v>
      </c>
      <c r="C7105" s="16" t="s">
        <v>3406</v>
      </c>
      <c r="D7105" s="16" t="s">
        <v>3422</v>
      </c>
    </row>
    <row r="7106" spans="1:4">
      <c r="A7106" s="16">
        <v>2203000000</v>
      </c>
      <c r="B7106" s="16">
        <v>0</v>
      </c>
      <c r="C7106" s="16" t="s">
        <v>3415</v>
      </c>
      <c r="D7106" s="16" t="s">
        <v>3403</v>
      </c>
    </row>
    <row r="7107" spans="1:4">
      <c r="A7107" s="16">
        <v>6060110000</v>
      </c>
      <c r="B7107" s="16">
        <v>0</v>
      </c>
      <c r="C7107" s="16" t="s">
        <v>3420</v>
      </c>
      <c r="D7107" s="16" t="s">
        <v>3421</v>
      </c>
    </row>
    <row r="7108" spans="1:4">
      <c r="A7108" s="16">
        <v>2203000000</v>
      </c>
      <c r="B7108" s="16">
        <v>0</v>
      </c>
      <c r="C7108" s="16" t="s">
        <v>3415</v>
      </c>
      <c r="D7108" s="16" t="s">
        <v>3403</v>
      </c>
    </row>
    <row r="7109" spans="1:4">
      <c r="A7109" s="16">
        <v>6060110000</v>
      </c>
      <c r="B7109" s="16">
        <v>0</v>
      </c>
      <c r="C7109" s="16" t="s">
        <v>3420</v>
      </c>
      <c r="D7109" s="16" t="s">
        <v>3421</v>
      </c>
    </row>
    <row r="7110" spans="1:4">
      <c r="A7110" s="16">
        <v>6100000000</v>
      </c>
      <c r="B7110" s="16">
        <v>209090</v>
      </c>
      <c r="C7110" s="16" t="s">
        <v>3416</v>
      </c>
      <c r="D7110" s="16" t="s">
        <v>3417</v>
      </c>
    </row>
    <row r="7111" spans="1:4">
      <c r="A7111" s="16">
        <v>3100000000</v>
      </c>
      <c r="B7111" s="16">
        <v>-209090</v>
      </c>
      <c r="C7111" s="16" t="s">
        <v>3402</v>
      </c>
      <c r="D7111" s="16" t="s">
        <v>3403</v>
      </c>
    </row>
    <row r="7112" spans="1:4">
      <c r="A7112" s="16">
        <v>6700700000</v>
      </c>
      <c r="B7112" s="16">
        <v>0</v>
      </c>
      <c r="C7112" s="16" t="s">
        <v>3404</v>
      </c>
      <c r="D7112" s="16" t="s">
        <v>3409</v>
      </c>
    </row>
    <row r="7113" spans="1:4">
      <c r="A7113" s="16">
        <v>6700500000</v>
      </c>
      <c r="B7113" s="16">
        <v>0</v>
      </c>
      <c r="C7113" s="16" t="s">
        <v>3404</v>
      </c>
      <c r="D7113" s="16" t="s">
        <v>3405</v>
      </c>
    </row>
    <row r="7114" spans="1:4">
      <c r="A7114" s="16">
        <v>3032000000</v>
      </c>
      <c r="B7114" s="16">
        <v>0</v>
      </c>
      <c r="C7114" s="16" t="s">
        <v>3424</v>
      </c>
      <c r="D7114" s="16" t="s">
        <v>3403</v>
      </c>
    </row>
    <row r="7115" spans="1:4">
      <c r="A7115" s="16">
        <v>6032000000</v>
      </c>
      <c r="B7115" s="16">
        <v>0</v>
      </c>
      <c r="C7115" s="16" t="s">
        <v>3429</v>
      </c>
      <c r="D7115" s="16" t="s">
        <v>3430</v>
      </c>
    </row>
    <row r="7116" spans="1:4">
      <c r="A7116" s="16">
        <v>2750010000</v>
      </c>
      <c r="B7116" s="16">
        <v>0</v>
      </c>
      <c r="C7116" s="16" t="s">
        <v>3419</v>
      </c>
      <c r="D7116" s="16" t="s">
        <v>3403</v>
      </c>
    </row>
    <row r="7117" spans="1:4">
      <c r="A7117" s="16">
        <v>6610100100</v>
      </c>
      <c r="B7117" s="16">
        <v>0</v>
      </c>
      <c r="C7117" s="16" t="s">
        <v>3413</v>
      </c>
      <c r="D7117" s="16" t="s">
        <v>3414</v>
      </c>
    </row>
    <row r="7118" spans="1:4">
      <c r="A7118" s="16">
        <v>2500000000</v>
      </c>
      <c r="B7118" s="16">
        <v>0</v>
      </c>
      <c r="C7118" s="16" t="s">
        <v>3412</v>
      </c>
      <c r="D7118" s="16" t="s">
        <v>3403</v>
      </c>
    </row>
    <row r="7119" spans="1:4">
      <c r="A7119" s="16">
        <v>5010100000</v>
      </c>
      <c r="B7119" s="16">
        <v>0</v>
      </c>
      <c r="C7119" s="16" t="s">
        <v>3406</v>
      </c>
      <c r="D7119" s="16" t="s">
        <v>3407</v>
      </c>
    </row>
    <row r="7120" spans="1:4">
      <c r="A7120" s="16">
        <v>6700600000</v>
      </c>
      <c r="B7120" s="16">
        <v>0</v>
      </c>
      <c r="C7120" s="16" t="s">
        <v>3404</v>
      </c>
      <c r="D7120" s="16" t="s">
        <v>3409</v>
      </c>
    </row>
    <row r="7121" spans="1:4">
      <c r="A7121" s="16">
        <v>6700400000</v>
      </c>
      <c r="B7121" s="16">
        <v>0</v>
      </c>
      <c r="C7121" s="16" t="s">
        <v>3404</v>
      </c>
      <c r="D7121" s="16" t="s">
        <v>3405</v>
      </c>
    </row>
    <row r="7122" spans="1:4">
      <c r="A7122" s="16">
        <v>6700600000</v>
      </c>
      <c r="B7122" s="16">
        <v>22671</v>
      </c>
      <c r="C7122" s="16" t="s">
        <v>3404</v>
      </c>
      <c r="D7122" s="16" t="s">
        <v>3409</v>
      </c>
    </row>
    <row r="7123" spans="1:4">
      <c r="A7123" s="16">
        <v>6700400000</v>
      </c>
      <c r="B7123" s="16">
        <v>-22671</v>
      </c>
      <c r="C7123" s="16" t="s">
        <v>3404</v>
      </c>
      <c r="D7123" s="16" t="s">
        <v>3405</v>
      </c>
    </row>
    <row r="7124" spans="1:4">
      <c r="A7124" s="16">
        <v>6104000000</v>
      </c>
      <c r="B7124" s="16">
        <v>0</v>
      </c>
      <c r="C7124" s="16" t="s">
        <v>3427</v>
      </c>
      <c r="D7124" s="16" t="s">
        <v>3417</v>
      </c>
    </row>
    <row r="7125" spans="1:4">
      <c r="A7125" s="16">
        <v>3103000000</v>
      </c>
      <c r="B7125" s="16">
        <v>0</v>
      </c>
      <c r="C7125" s="16" t="s">
        <v>3402</v>
      </c>
      <c r="D7125" s="16" t="s">
        <v>3403</v>
      </c>
    </row>
    <row r="7126" spans="1:4">
      <c r="A7126" s="16">
        <v>6700200000</v>
      </c>
      <c r="B7126" s="16">
        <v>0</v>
      </c>
      <c r="C7126" s="16" t="s">
        <v>3404</v>
      </c>
      <c r="D7126" s="16" t="s">
        <v>3409</v>
      </c>
    </row>
    <row r="7127" spans="1:4">
      <c r="A7127" s="16">
        <v>6700100000</v>
      </c>
      <c r="B7127" s="16">
        <v>0</v>
      </c>
      <c r="C7127" s="16" t="s">
        <v>3404</v>
      </c>
      <c r="D7127" s="16" t="s">
        <v>3410</v>
      </c>
    </row>
    <row r="7128" spans="1:4">
      <c r="A7128" s="16">
        <v>2500000000</v>
      </c>
      <c r="B7128" s="16">
        <v>0</v>
      </c>
      <c r="C7128" s="16" t="s">
        <v>3412</v>
      </c>
      <c r="D7128" s="16" t="s">
        <v>3403</v>
      </c>
    </row>
    <row r="7129" spans="1:4">
      <c r="A7129" s="16">
        <v>5010000000</v>
      </c>
      <c r="B7129" s="16">
        <v>0</v>
      </c>
      <c r="C7129" s="16" t="s">
        <v>3406</v>
      </c>
      <c r="D7129" s="16" t="s">
        <v>3411</v>
      </c>
    </row>
    <row r="7130" spans="1:4">
      <c r="A7130" s="16">
        <v>5052010000</v>
      </c>
      <c r="B7130" s="16">
        <v>0</v>
      </c>
      <c r="C7130" s="16" t="s">
        <v>3406</v>
      </c>
      <c r="D7130" s="16" t="s">
        <v>3422</v>
      </c>
    </row>
    <row r="7131" spans="1:4">
      <c r="A7131" s="16">
        <v>5052000000</v>
      </c>
      <c r="B7131" s="16">
        <v>0</v>
      </c>
      <c r="C7131" s="16" t="s">
        <v>3406</v>
      </c>
      <c r="D7131" s="16" t="s">
        <v>3422</v>
      </c>
    </row>
    <row r="7132" spans="1:4">
      <c r="A7132" s="16">
        <v>6700200000</v>
      </c>
      <c r="B7132" s="16">
        <v>0</v>
      </c>
      <c r="C7132" s="16" t="s">
        <v>3404</v>
      </c>
      <c r="D7132" s="16" t="s">
        <v>3409</v>
      </c>
    </row>
    <row r="7133" spans="1:4">
      <c r="A7133" s="16">
        <v>6700000000</v>
      </c>
      <c r="B7133" s="16">
        <v>0</v>
      </c>
      <c r="C7133" s="16" t="s">
        <v>3404</v>
      </c>
      <c r="D7133" s="16" t="s">
        <v>3405</v>
      </c>
    </row>
    <row r="7134" spans="1:4">
      <c r="A7134" s="16">
        <v>6700200000</v>
      </c>
      <c r="B7134" s="16">
        <v>0</v>
      </c>
      <c r="C7134" s="16" t="s">
        <v>3404</v>
      </c>
      <c r="D7134" s="16" t="s">
        <v>3409</v>
      </c>
    </row>
    <row r="7135" spans="1:4">
      <c r="A7135" s="16">
        <v>6700000000</v>
      </c>
      <c r="B7135" s="16">
        <v>0</v>
      </c>
      <c r="C7135" s="16" t="s">
        <v>3404</v>
      </c>
      <c r="D7135" s="16" t="s">
        <v>3405</v>
      </c>
    </row>
    <row r="7136" spans="1:4">
      <c r="A7136" s="16">
        <v>5010000010</v>
      </c>
      <c r="B7136" s="16">
        <v>0</v>
      </c>
      <c r="C7136" s="16" t="s">
        <v>3406</v>
      </c>
      <c r="D7136" s="16" t="s">
        <v>3411</v>
      </c>
    </row>
    <row r="7137" spans="1:4">
      <c r="A7137" s="16">
        <v>3710000000</v>
      </c>
      <c r="B7137" s="16">
        <v>0</v>
      </c>
      <c r="C7137" s="16" t="s">
        <v>3402</v>
      </c>
      <c r="D7137" s="16" t="s">
        <v>3403</v>
      </c>
    </row>
    <row r="7138" spans="1:4">
      <c r="A7138" s="16">
        <v>5050000000</v>
      </c>
      <c r="B7138" s="16">
        <v>13585278</v>
      </c>
      <c r="C7138" s="16" t="s">
        <v>3406</v>
      </c>
      <c r="D7138" s="16" t="s">
        <v>3422</v>
      </c>
    </row>
    <row r="7139" spans="1:4">
      <c r="A7139" s="16">
        <v>3800000000</v>
      </c>
      <c r="B7139" s="16">
        <v>-13585278</v>
      </c>
      <c r="C7139" s="16" t="s">
        <v>3402</v>
      </c>
      <c r="D7139" s="16" t="s">
        <v>3403</v>
      </c>
    </row>
    <row r="7140" spans="1:4">
      <c r="A7140" s="16">
        <v>3102000000</v>
      </c>
      <c r="B7140" s="16">
        <v>0</v>
      </c>
      <c r="C7140" s="16" t="s">
        <v>3424</v>
      </c>
      <c r="D7140" s="16" t="s">
        <v>3403</v>
      </c>
    </row>
    <row r="7141" spans="1:4">
      <c r="A7141" s="16">
        <v>6102000000</v>
      </c>
      <c r="B7141" s="16">
        <v>0</v>
      </c>
      <c r="C7141" s="16" t="s">
        <v>3425</v>
      </c>
      <c r="D7141" s="16" t="s">
        <v>3426</v>
      </c>
    </row>
    <row r="7142" spans="1:4">
      <c r="A7142" s="16">
        <v>6700600000</v>
      </c>
      <c r="B7142" s="16">
        <v>0</v>
      </c>
      <c r="C7142" s="16" t="s">
        <v>3404</v>
      </c>
      <c r="D7142" s="16" t="s">
        <v>3409</v>
      </c>
    </row>
    <row r="7143" spans="1:4">
      <c r="A7143" s="16">
        <v>6700400000</v>
      </c>
      <c r="B7143" s="16">
        <v>0</v>
      </c>
      <c r="C7143" s="16" t="s">
        <v>3404</v>
      </c>
      <c r="D7143" s="16" t="s">
        <v>3405</v>
      </c>
    </row>
    <row r="7144" spans="1:4">
      <c r="A7144" s="16">
        <v>3032000000</v>
      </c>
      <c r="B7144" s="16">
        <v>0</v>
      </c>
      <c r="C7144" s="16" t="s">
        <v>3424</v>
      </c>
      <c r="D7144" s="16" t="s">
        <v>3403</v>
      </c>
    </row>
    <row r="7145" spans="1:4">
      <c r="A7145" s="16">
        <v>6032000000</v>
      </c>
      <c r="B7145" s="16">
        <v>0</v>
      </c>
      <c r="C7145" s="16" t="s">
        <v>3429</v>
      </c>
      <c r="D7145" s="16" t="s">
        <v>3430</v>
      </c>
    </row>
    <row r="7146" spans="1:4">
      <c r="A7146" s="16">
        <v>6700200000</v>
      </c>
      <c r="B7146" s="16">
        <v>0</v>
      </c>
      <c r="C7146" s="16" t="s">
        <v>3404</v>
      </c>
      <c r="D7146" s="16" t="s">
        <v>3409</v>
      </c>
    </row>
    <row r="7147" spans="1:4">
      <c r="A7147" s="16">
        <v>6700100000</v>
      </c>
      <c r="B7147" s="16">
        <v>0</v>
      </c>
      <c r="C7147" s="16" t="s">
        <v>3404</v>
      </c>
      <c r="D7147" s="16" t="s">
        <v>3410</v>
      </c>
    </row>
    <row r="7148" spans="1:4">
      <c r="A7148" s="16">
        <v>6030000000</v>
      </c>
      <c r="B7148" s="16">
        <v>2212872</v>
      </c>
      <c r="C7148" s="16" t="s">
        <v>3420</v>
      </c>
      <c r="D7148" s="16" t="s">
        <v>3423</v>
      </c>
    </row>
    <row r="7149" spans="1:4">
      <c r="A7149" s="16">
        <v>3030000000</v>
      </c>
      <c r="B7149" s="16">
        <v>-2212872</v>
      </c>
      <c r="C7149" s="16" t="s">
        <v>3402</v>
      </c>
      <c r="D7149" s="16" t="s">
        <v>3403</v>
      </c>
    </row>
    <row r="7150" spans="1:4">
      <c r="A7150" s="16">
        <v>5050000000</v>
      </c>
      <c r="B7150" s="16">
        <v>0</v>
      </c>
      <c r="C7150" s="16" t="s">
        <v>3406</v>
      </c>
      <c r="D7150" s="16" t="s">
        <v>3422</v>
      </c>
    </row>
    <row r="7151" spans="1:4">
      <c r="A7151" s="16">
        <v>3800000000</v>
      </c>
      <c r="B7151" s="16">
        <v>0</v>
      </c>
      <c r="C7151" s="16" t="s">
        <v>3402</v>
      </c>
      <c r="D7151" s="16" t="s">
        <v>3403</v>
      </c>
    </row>
    <row r="7152" spans="1:4">
      <c r="A7152" s="16">
        <v>3032000000</v>
      </c>
      <c r="B7152" s="16">
        <v>0</v>
      </c>
      <c r="C7152" s="16" t="s">
        <v>3424</v>
      </c>
      <c r="D7152" s="16" t="s">
        <v>3403</v>
      </c>
    </row>
    <row r="7153" spans="1:4">
      <c r="A7153" s="16">
        <v>6032000000</v>
      </c>
      <c r="B7153" s="16">
        <v>0</v>
      </c>
      <c r="C7153" s="16" t="s">
        <v>3429</v>
      </c>
      <c r="D7153" s="16" t="s">
        <v>3430</v>
      </c>
    </row>
    <row r="7154" spans="1:4">
      <c r="A7154" s="16">
        <v>6610000000</v>
      </c>
      <c r="B7154" s="16">
        <v>-2703</v>
      </c>
      <c r="C7154" s="16" t="s">
        <v>3413</v>
      </c>
      <c r="D7154" s="16" t="s">
        <v>3418</v>
      </c>
    </row>
    <row r="7155" spans="1:4">
      <c r="A7155" s="16">
        <v>4203000000</v>
      </c>
      <c r="B7155" s="16">
        <v>2703</v>
      </c>
      <c r="C7155" s="16" t="s">
        <v>3408</v>
      </c>
      <c r="D7155" s="16" t="s">
        <v>3403</v>
      </c>
    </row>
    <row r="7156" spans="1:4">
      <c r="A7156" s="16">
        <v>6150000000</v>
      </c>
      <c r="B7156" s="16">
        <v>0</v>
      </c>
      <c r="C7156" s="16" t="s">
        <v>3416</v>
      </c>
      <c r="D7156" s="16" t="s">
        <v>3417</v>
      </c>
    </row>
    <row r="7157" spans="1:4">
      <c r="A7157" s="16">
        <v>3510000000</v>
      </c>
      <c r="B7157" s="16">
        <v>0</v>
      </c>
      <c r="C7157" s="16" t="s">
        <v>3402</v>
      </c>
      <c r="D7157" s="16" t="s">
        <v>3403</v>
      </c>
    </row>
    <row r="7158" spans="1:4">
      <c r="A7158" s="16">
        <v>6610100000</v>
      </c>
      <c r="B7158" s="16">
        <v>0</v>
      </c>
      <c r="C7158" s="16" t="s">
        <v>3413</v>
      </c>
      <c r="D7158" s="16" t="s">
        <v>3414</v>
      </c>
    </row>
    <row r="7159" spans="1:4">
      <c r="A7159" s="16">
        <v>4203000000</v>
      </c>
      <c r="B7159" s="16">
        <v>0</v>
      </c>
      <c r="C7159" s="16" t="s">
        <v>3408</v>
      </c>
      <c r="D7159" s="16" t="s">
        <v>3403</v>
      </c>
    </row>
    <row r="7160" spans="1:4">
      <c r="A7160" s="16">
        <v>6700200000</v>
      </c>
      <c r="B7160" s="16">
        <v>0</v>
      </c>
      <c r="C7160" s="16" t="s">
        <v>3404</v>
      </c>
      <c r="D7160" s="16" t="s">
        <v>3409</v>
      </c>
    </row>
    <row r="7161" spans="1:4">
      <c r="A7161" s="16">
        <v>6700000000</v>
      </c>
      <c r="B7161" s="16">
        <v>0</v>
      </c>
      <c r="C7161" s="16" t="s">
        <v>3404</v>
      </c>
      <c r="D7161" s="16" t="s">
        <v>3405</v>
      </c>
    </row>
    <row r="7162" spans="1:4">
      <c r="A7162" s="16">
        <v>5010000010</v>
      </c>
      <c r="B7162" s="16">
        <v>0</v>
      </c>
      <c r="C7162" s="16" t="s">
        <v>3406</v>
      </c>
      <c r="D7162" s="16" t="s">
        <v>3411</v>
      </c>
    </row>
    <row r="7163" spans="1:4">
      <c r="A7163" s="16">
        <v>3710000000</v>
      </c>
      <c r="B7163" s="16">
        <v>0</v>
      </c>
      <c r="C7163" s="16" t="s">
        <v>3402</v>
      </c>
      <c r="D7163" s="16" t="s">
        <v>3403</v>
      </c>
    </row>
    <row r="7164" spans="1:4">
      <c r="A7164" s="16">
        <v>6700600000</v>
      </c>
      <c r="B7164" s="16">
        <v>0</v>
      </c>
      <c r="C7164" s="16" t="s">
        <v>3404</v>
      </c>
      <c r="D7164" s="16" t="s">
        <v>3409</v>
      </c>
    </row>
    <row r="7165" spans="1:4">
      <c r="A7165" s="16">
        <v>6700400000</v>
      </c>
      <c r="B7165" s="16">
        <v>0</v>
      </c>
      <c r="C7165" s="16" t="s">
        <v>3404</v>
      </c>
      <c r="D7165" s="16" t="s">
        <v>3405</v>
      </c>
    </row>
    <row r="7166" spans="1:4">
      <c r="A7166" s="16">
        <v>2201000000</v>
      </c>
      <c r="B7166" s="16">
        <v>0</v>
      </c>
      <c r="C7166" s="16" t="s">
        <v>3415</v>
      </c>
      <c r="D7166" s="16" t="s">
        <v>3403</v>
      </c>
    </row>
    <row r="7167" spans="1:4">
      <c r="A7167" s="16">
        <v>6700200000</v>
      </c>
      <c r="B7167" s="16">
        <v>0</v>
      </c>
      <c r="C7167" s="16" t="s">
        <v>3404</v>
      </c>
      <c r="D7167" s="16" t="s">
        <v>3409</v>
      </c>
    </row>
    <row r="7168" spans="1:4">
      <c r="A7168" s="16">
        <v>3032000000</v>
      </c>
      <c r="B7168" s="16">
        <v>0</v>
      </c>
      <c r="C7168" s="16" t="s">
        <v>3424</v>
      </c>
      <c r="D7168" s="16" t="s">
        <v>3403</v>
      </c>
    </row>
    <row r="7169" spans="1:4">
      <c r="A7169" s="16">
        <v>6032000000</v>
      </c>
      <c r="B7169" s="16">
        <v>0</v>
      </c>
      <c r="C7169" s="16" t="s">
        <v>3429</v>
      </c>
      <c r="D7169" s="16" t="s">
        <v>3430</v>
      </c>
    </row>
    <row r="7170" spans="1:4">
      <c r="A7170" s="16">
        <v>6030000000</v>
      </c>
      <c r="B7170" s="16">
        <v>118167</v>
      </c>
      <c r="C7170" s="16" t="s">
        <v>3420</v>
      </c>
      <c r="D7170" s="16" t="s">
        <v>3423</v>
      </c>
    </row>
    <row r="7171" spans="1:4">
      <c r="A7171" s="16">
        <v>3030000000</v>
      </c>
      <c r="B7171" s="16">
        <v>-118167</v>
      </c>
      <c r="C7171" s="16" t="s">
        <v>3402</v>
      </c>
      <c r="D7171" s="16" t="s">
        <v>3403</v>
      </c>
    </row>
    <row r="7172" spans="1:4">
      <c r="A7172" s="16">
        <v>6700200000</v>
      </c>
      <c r="B7172" s="16">
        <v>0</v>
      </c>
      <c r="C7172" s="16" t="s">
        <v>3404</v>
      </c>
      <c r="D7172" s="16" t="s">
        <v>3409</v>
      </c>
    </row>
    <row r="7173" spans="1:4">
      <c r="A7173" s="16">
        <v>6700100000</v>
      </c>
      <c r="B7173" s="16">
        <v>0</v>
      </c>
      <c r="C7173" s="16" t="s">
        <v>3404</v>
      </c>
      <c r="D7173" s="16" t="s">
        <v>3410</v>
      </c>
    </row>
    <row r="7174" spans="1:4">
      <c r="A7174" s="16">
        <v>6610100000</v>
      </c>
      <c r="B7174" s="16">
        <v>14064549</v>
      </c>
      <c r="C7174" s="16" t="s">
        <v>3413</v>
      </c>
      <c r="D7174" s="16" t="s">
        <v>3414</v>
      </c>
    </row>
    <row r="7175" spans="1:4">
      <c r="A7175" s="16">
        <v>4203000000</v>
      </c>
      <c r="B7175" s="16">
        <v>-14064549</v>
      </c>
      <c r="C7175" s="16" t="s">
        <v>3408</v>
      </c>
      <c r="D7175" s="16" t="s">
        <v>3403</v>
      </c>
    </row>
    <row r="7176" spans="1:4">
      <c r="A7176" s="16">
        <v>6700200000</v>
      </c>
      <c r="B7176" s="16">
        <v>0</v>
      </c>
      <c r="C7176" s="16" t="s">
        <v>3404</v>
      </c>
      <c r="D7176" s="16" t="s">
        <v>3409</v>
      </c>
    </row>
    <row r="7177" spans="1:4">
      <c r="A7177" s="16">
        <v>6700100000</v>
      </c>
      <c r="B7177" s="16">
        <v>0</v>
      </c>
      <c r="C7177" s="16" t="s">
        <v>3404</v>
      </c>
      <c r="D7177" s="16" t="s">
        <v>3410</v>
      </c>
    </row>
    <row r="7178" spans="1:4">
      <c r="A7178" s="16">
        <v>2500000000</v>
      </c>
      <c r="B7178" s="16">
        <v>0</v>
      </c>
      <c r="C7178" s="16" t="s">
        <v>3412</v>
      </c>
      <c r="D7178" s="16" t="s">
        <v>3403</v>
      </c>
    </row>
    <row r="7179" spans="1:4">
      <c r="A7179" s="16">
        <v>5010100000</v>
      </c>
      <c r="B7179" s="16">
        <v>0</v>
      </c>
      <c r="C7179" s="16" t="s">
        <v>3406</v>
      </c>
      <c r="D7179" s="16" t="s">
        <v>3407</v>
      </c>
    </row>
    <row r="7180" spans="1:4">
      <c r="A7180" s="16">
        <v>6100000000</v>
      </c>
      <c r="B7180" s="16">
        <v>0</v>
      </c>
      <c r="C7180" s="16" t="s">
        <v>3416</v>
      </c>
      <c r="D7180" s="16" t="s">
        <v>3417</v>
      </c>
    </row>
    <row r="7181" spans="1:4">
      <c r="A7181" s="16">
        <v>3100000000</v>
      </c>
      <c r="B7181" s="16">
        <v>0</v>
      </c>
      <c r="C7181" s="16" t="s">
        <v>3402</v>
      </c>
      <c r="D7181" s="16" t="s">
        <v>3403</v>
      </c>
    </row>
    <row r="7182" spans="1:4">
      <c r="A7182" s="16">
        <v>6610100000</v>
      </c>
      <c r="B7182" s="16">
        <v>0</v>
      </c>
      <c r="C7182" s="16" t="s">
        <v>3413</v>
      </c>
      <c r="D7182" s="16" t="s">
        <v>3414</v>
      </c>
    </row>
    <row r="7183" spans="1:4">
      <c r="A7183" s="16">
        <v>4203000000</v>
      </c>
      <c r="B7183" s="16">
        <v>0</v>
      </c>
      <c r="C7183" s="16" t="s">
        <v>3408</v>
      </c>
      <c r="D7183" s="16" t="s">
        <v>3403</v>
      </c>
    </row>
    <row r="7184" spans="1:4">
      <c r="A7184" s="16">
        <v>3102000000</v>
      </c>
      <c r="B7184" s="16">
        <v>0</v>
      </c>
      <c r="C7184" s="16" t="s">
        <v>3424</v>
      </c>
      <c r="D7184" s="16" t="s">
        <v>3403</v>
      </c>
    </row>
    <row r="7185" spans="1:4">
      <c r="A7185" s="16">
        <v>6102000000</v>
      </c>
      <c r="B7185" s="16">
        <v>0</v>
      </c>
      <c r="C7185" s="16" t="s">
        <v>3425</v>
      </c>
      <c r="D7185" s="16" t="s">
        <v>3426</v>
      </c>
    </row>
    <row r="7186" spans="1:4">
      <c r="A7186" s="16">
        <v>6610000000</v>
      </c>
      <c r="B7186" s="16">
        <v>0</v>
      </c>
      <c r="C7186" s="16" t="s">
        <v>3413</v>
      </c>
      <c r="D7186" s="16" t="s">
        <v>3418</v>
      </c>
    </row>
    <row r="7187" spans="1:4">
      <c r="A7187" s="16">
        <v>4203000000</v>
      </c>
      <c r="B7187" s="16">
        <v>0</v>
      </c>
      <c r="C7187" s="16" t="s">
        <v>3408</v>
      </c>
      <c r="D7187" s="16" t="s">
        <v>3403</v>
      </c>
    </row>
    <row r="7188" spans="1:4">
      <c r="A7188" s="16">
        <v>6700700000</v>
      </c>
      <c r="B7188" s="16">
        <v>0</v>
      </c>
      <c r="C7188" s="16" t="s">
        <v>3404</v>
      </c>
      <c r="D7188" s="16" t="s">
        <v>3409</v>
      </c>
    </row>
    <row r="7189" spans="1:4">
      <c r="A7189" s="16">
        <v>6700500000</v>
      </c>
      <c r="B7189" s="16">
        <v>0</v>
      </c>
      <c r="C7189" s="16" t="s">
        <v>3404</v>
      </c>
      <c r="D7189" s="16" t="s">
        <v>3405</v>
      </c>
    </row>
    <row r="7190" spans="1:4">
      <c r="A7190" s="16">
        <v>6610000000</v>
      </c>
      <c r="B7190" s="16">
        <v>0</v>
      </c>
      <c r="C7190" s="16" t="s">
        <v>3413</v>
      </c>
      <c r="D7190" s="16" t="s">
        <v>3418</v>
      </c>
    </row>
    <row r="7191" spans="1:4">
      <c r="A7191" s="16">
        <v>4203000000</v>
      </c>
      <c r="B7191" s="16">
        <v>0</v>
      </c>
      <c r="C7191" s="16" t="s">
        <v>3408</v>
      </c>
      <c r="D7191" s="16" t="s">
        <v>3403</v>
      </c>
    </row>
    <row r="7192" spans="1:4">
      <c r="A7192" s="16">
        <v>6700200000</v>
      </c>
      <c r="B7192" s="16">
        <v>0</v>
      </c>
      <c r="C7192" s="16" t="s">
        <v>3404</v>
      </c>
      <c r="D7192" s="16" t="s">
        <v>3409</v>
      </c>
    </row>
    <row r="7193" spans="1:4">
      <c r="A7193" s="16">
        <v>6700000000</v>
      </c>
      <c r="B7193" s="16">
        <v>0</v>
      </c>
      <c r="C7193" s="16" t="s">
        <v>3404</v>
      </c>
      <c r="D7193" s="16" t="s">
        <v>3405</v>
      </c>
    </row>
    <row r="7194" spans="1:4">
      <c r="A7194" s="16">
        <v>6104000000</v>
      </c>
      <c r="B7194" s="16">
        <v>0</v>
      </c>
      <c r="C7194" s="16" t="s">
        <v>3416</v>
      </c>
      <c r="D7194" s="16" t="s">
        <v>3417</v>
      </c>
    </row>
    <row r="7195" spans="1:4">
      <c r="A7195" s="16">
        <v>3103000000</v>
      </c>
      <c r="B7195" s="16">
        <v>0</v>
      </c>
      <c r="C7195" s="16" t="s">
        <v>3402</v>
      </c>
      <c r="D7195" s="16" t="s">
        <v>3403</v>
      </c>
    </row>
    <row r="7196" spans="1:4">
      <c r="A7196" s="16">
        <v>6700700000</v>
      </c>
      <c r="B7196" s="16">
        <v>0</v>
      </c>
      <c r="C7196" s="16" t="s">
        <v>3404</v>
      </c>
      <c r="D7196" s="16" t="s">
        <v>3409</v>
      </c>
    </row>
    <row r="7197" spans="1:4">
      <c r="A7197" s="16">
        <v>6700500000</v>
      </c>
      <c r="B7197" s="16">
        <v>0</v>
      </c>
      <c r="C7197" s="16" t="s">
        <v>3404</v>
      </c>
      <c r="D7197" s="16" t="s">
        <v>3405</v>
      </c>
    </row>
    <row r="7198" spans="1:4">
      <c r="A7198" s="16">
        <v>3032000000</v>
      </c>
      <c r="B7198" s="16">
        <v>0</v>
      </c>
      <c r="C7198" s="16" t="s">
        <v>3424</v>
      </c>
      <c r="D7198" s="16" t="s">
        <v>3403</v>
      </c>
    </row>
    <row r="7199" spans="1:4">
      <c r="A7199" s="16">
        <v>6032000000</v>
      </c>
      <c r="B7199" s="16">
        <v>0</v>
      </c>
      <c r="C7199" s="16" t="s">
        <v>3429</v>
      </c>
      <c r="D7199" s="16" t="s">
        <v>3430</v>
      </c>
    </row>
    <row r="7200" spans="1:4">
      <c r="A7200" s="16">
        <v>2500000000</v>
      </c>
      <c r="B7200" s="16">
        <v>0</v>
      </c>
      <c r="C7200" s="16" t="s">
        <v>3412</v>
      </c>
      <c r="D7200" s="16" t="s">
        <v>3403</v>
      </c>
    </row>
    <row r="7201" spans="1:4">
      <c r="A7201" s="16">
        <v>5010100000</v>
      </c>
      <c r="B7201" s="16">
        <v>0</v>
      </c>
      <c r="C7201" s="16" t="s">
        <v>3406</v>
      </c>
      <c r="D7201" s="16" t="s">
        <v>3407</v>
      </c>
    </row>
    <row r="7202" spans="1:4">
      <c r="A7202" s="16">
        <v>6700200000</v>
      </c>
      <c r="B7202" s="16">
        <v>0</v>
      </c>
      <c r="C7202" s="16" t="s">
        <v>3404</v>
      </c>
      <c r="D7202" s="16" t="s">
        <v>3409</v>
      </c>
    </row>
    <row r="7203" spans="1:4">
      <c r="A7203" s="16">
        <v>6700100000</v>
      </c>
      <c r="B7203" s="16">
        <v>0</v>
      </c>
      <c r="C7203" s="16" t="s">
        <v>3404</v>
      </c>
      <c r="D7203" s="16" t="s">
        <v>3410</v>
      </c>
    </row>
    <row r="7204" spans="1:4">
      <c r="A7204" s="16">
        <v>5010100010</v>
      </c>
      <c r="B7204" s="16">
        <v>0</v>
      </c>
      <c r="C7204" s="16" t="s">
        <v>3406</v>
      </c>
      <c r="D7204" s="16" t="s">
        <v>3407</v>
      </c>
    </row>
    <row r="7205" spans="1:4">
      <c r="A7205" s="16">
        <v>3710000000</v>
      </c>
      <c r="B7205" s="16">
        <v>0</v>
      </c>
      <c r="C7205" s="16" t="s">
        <v>3402</v>
      </c>
      <c r="D7205" s="16" t="s">
        <v>3403</v>
      </c>
    </row>
    <row r="7206" spans="1:4">
      <c r="A7206" s="16">
        <v>6610000000</v>
      </c>
      <c r="B7206" s="16">
        <v>0</v>
      </c>
      <c r="C7206" s="16" t="s">
        <v>3413</v>
      </c>
      <c r="D7206" s="16" t="s">
        <v>3418</v>
      </c>
    </row>
    <row r="7207" spans="1:4">
      <c r="A7207" s="16">
        <v>4203000000</v>
      </c>
      <c r="B7207" s="16">
        <v>0</v>
      </c>
      <c r="C7207" s="16" t="s">
        <v>3408</v>
      </c>
      <c r="D7207" s="16" t="s">
        <v>3403</v>
      </c>
    </row>
    <row r="7208" spans="1:4">
      <c r="A7208" s="16">
        <v>6060010000</v>
      </c>
      <c r="B7208" s="16">
        <v>8</v>
      </c>
      <c r="C7208" s="16" t="s">
        <v>3420</v>
      </c>
      <c r="D7208" s="16" t="s">
        <v>3421</v>
      </c>
    </row>
    <row r="7209" spans="1:4">
      <c r="A7209" s="16">
        <v>5052000000</v>
      </c>
      <c r="B7209" s="16">
        <v>-8</v>
      </c>
      <c r="C7209" s="16" t="s">
        <v>3406</v>
      </c>
      <c r="D7209" s="16" t="s">
        <v>3422</v>
      </c>
    </row>
    <row r="7210" spans="1:4">
      <c r="A7210" s="16">
        <v>5050010000</v>
      </c>
      <c r="B7210" s="16">
        <v>0</v>
      </c>
      <c r="C7210" s="16" t="s">
        <v>3406</v>
      </c>
      <c r="D7210" s="16" t="s">
        <v>3422</v>
      </c>
    </row>
    <row r="7211" spans="1:4">
      <c r="A7211" s="16">
        <v>5050000000</v>
      </c>
      <c r="B7211" s="16">
        <v>0</v>
      </c>
      <c r="C7211" s="16" t="s">
        <v>3406</v>
      </c>
      <c r="D7211" s="16" t="s">
        <v>3422</v>
      </c>
    </row>
    <row r="7212" spans="1:4">
      <c r="A7212" s="16">
        <v>6104001000</v>
      </c>
      <c r="B7212" s="16">
        <v>0</v>
      </c>
      <c r="C7212" s="16" t="s">
        <v>3416</v>
      </c>
      <c r="D7212" s="16" t="s">
        <v>3417</v>
      </c>
    </row>
    <row r="7213" spans="1:4">
      <c r="A7213" s="16">
        <v>3103001000</v>
      </c>
      <c r="B7213" s="16">
        <v>0</v>
      </c>
      <c r="C7213" s="16" t="s">
        <v>3402</v>
      </c>
      <c r="D7213" s="16" t="s">
        <v>3403</v>
      </c>
    </row>
    <row r="7214" spans="1:4">
      <c r="A7214" s="16">
        <v>6100000000</v>
      </c>
      <c r="B7214" s="16">
        <v>0</v>
      </c>
      <c r="C7214" s="16" t="s">
        <v>3416</v>
      </c>
      <c r="D7214" s="16" t="s">
        <v>3417</v>
      </c>
    </row>
    <row r="7215" spans="1:4">
      <c r="A7215" s="16">
        <v>3100000000</v>
      </c>
      <c r="B7215" s="16">
        <v>0</v>
      </c>
      <c r="C7215" s="16" t="s">
        <v>3402</v>
      </c>
      <c r="D7215" s="16" t="s">
        <v>3403</v>
      </c>
    </row>
    <row r="7216" spans="1:4">
      <c r="A7216" s="16">
        <v>6700200000</v>
      </c>
      <c r="B7216" s="16">
        <v>0</v>
      </c>
      <c r="C7216" s="16" t="s">
        <v>3404</v>
      </c>
      <c r="D7216" s="16" t="s">
        <v>3409</v>
      </c>
    </row>
    <row r="7217" spans="1:4">
      <c r="A7217" s="16">
        <v>6700000000</v>
      </c>
      <c r="B7217" s="16">
        <v>0</v>
      </c>
      <c r="C7217" s="16" t="s">
        <v>3404</v>
      </c>
      <c r="D7217" s="16" t="s">
        <v>3405</v>
      </c>
    </row>
    <row r="7218" spans="1:4">
      <c r="A7218" s="16">
        <v>2750010000</v>
      </c>
      <c r="B7218" s="16">
        <v>42</v>
      </c>
      <c r="C7218" s="16" t="s">
        <v>3419</v>
      </c>
      <c r="D7218" s="16" t="s">
        <v>3403</v>
      </c>
    </row>
    <row r="7219" spans="1:4">
      <c r="A7219" s="16">
        <v>6610100100</v>
      </c>
      <c r="B7219" s="16">
        <v>-42</v>
      </c>
      <c r="C7219" s="16" t="s">
        <v>3413</v>
      </c>
      <c r="D7219" s="16" t="s">
        <v>3414</v>
      </c>
    </row>
    <row r="7220" spans="1:4">
      <c r="A7220" s="16">
        <v>6104000000</v>
      </c>
      <c r="B7220" s="16">
        <v>0</v>
      </c>
      <c r="C7220" s="16" t="s">
        <v>3416</v>
      </c>
      <c r="D7220" s="16" t="s">
        <v>3417</v>
      </c>
    </row>
    <row r="7221" spans="1:4">
      <c r="A7221" s="16">
        <v>3103000000</v>
      </c>
      <c r="B7221" s="16">
        <v>0</v>
      </c>
      <c r="C7221" s="16" t="s">
        <v>3402</v>
      </c>
      <c r="D7221" s="16" t="s">
        <v>3403</v>
      </c>
    </row>
    <row r="7222" spans="1:4">
      <c r="A7222" s="16">
        <v>2500000000</v>
      </c>
      <c r="B7222" s="16">
        <v>0</v>
      </c>
      <c r="C7222" s="16" t="s">
        <v>3412</v>
      </c>
      <c r="D7222" s="16" t="s">
        <v>3403</v>
      </c>
    </row>
    <row r="7223" spans="1:4">
      <c r="A7223" s="16">
        <v>5010100000</v>
      </c>
      <c r="B7223" s="16">
        <v>0</v>
      </c>
      <c r="C7223" s="16" t="s">
        <v>3406</v>
      </c>
      <c r="D7223" s="16" t="s">
        <v>3407</v>
      </c>
    </row>
    <row r="7224" spans="1:4">
      <c r="A7224" s="16">
        <v>2500000000</v>
      </c>
      <c r="B7224" s="16">
        <v>1022368</v>
      </c>
      <c r="C7224" s="16" t="s">
        <v>3412</v>
      </c>
      <c r="D7224" s="16" t="s">
        <v>3403</v>
      </c>
    </row>
    <row r="7225" spans="1:4">
      <c r="A7225" s="16">
        <v>5010000000</v>
      </c>
      <c r="B7225" s="16">
        <v>-1022368</v>
      </c>
      <c r="C7225" s="16" t="s">
        <v>3406</v>
      </c>
      <c r="D7225" s="16" t="s">
        <v>3411</v>
      </c>
    </row>
    <row r="7226" spans="1:4">
      <c r="A7226" s="16">
        <v>6700200000</v>
      </c>
      <c r="B7226" s="16">
        <v>0</v>
      </c>
      <c r="C7226" s="16" t="s">
        <v>3404</v>
      </c>
      <c r="D7226" s="16" t="s">
        <v>3409</v>
      </c>
    </row>
    <row r="7227" spans="1:4">
      <c r="A7227" s="16">
        <v>6700100000</v>
      </c>
      <c r="B7227" s="16">
        <v>0</v>
      </c>
      <c r="C7227" s="16" t="s">
        <v>3404</v>
      </c>
      <c r="D7227" s="16" t="s">
        <v>3410</v>
      </c>
    </row>
    <row r="7228" spans="1:4">
      <c r="A7228" s="16">
        <v>6610100000</v>
      </c>
      <c r="B7228" s="16">
        <v>0</v>
      </c>
      <c r="C7228" s="16" t="s">
        <v>3413</v>
      </c>
      <c r="D7228" s="16" t="s">
        <v>3414</v>
      </c>
    </row>
    <row r="7229" spans="1:4">
      <c r="A7229" s="16">
        <v>4203000000</v>
      </c>
      <c r="B7229" s="16">
        <v>0</v>
      </c>
      <c r="C7229" s="16" t="s">
        <v>3408</v>
      </c>
      <c r="D7229" s="16" t="s">
        <v>3403</v>
      </c>
    </row>
    <row r="7230" spans="1:4">
      <c r="A7230" s="16">
        <v>2201300000</v>
      </c>
      <c r="B7230" s="16">
        <v>-278876</v>
      </c>
      <c r="C7230" s="16" t="s">
        <v>3415</v>
      </c>
      <c r="D7230" s="16" t="s">
        <v>3403</v>
      </c>
    </row>
    <row r="7231" spans="1:4">
      <c r="A7231" s="16">
        <v>6700600000</v>
      </c>
      <c r="B7231" s="16">
        <v>278876</v>
      </c>
      <c r="C7231" s="16" t="s">
        <v>3404</v>
      </c>
      <c r="D7231" s="16" t="s">
        <v>3409</v>
      </c>
    </row>
    <row r="7232" spans="1:4">
      <c r="A7232" s="16">
        <v>3102000000</v>
      </c>
      <c r="B7232" s="16">
        <v>0</v>
      </c>
      <c r="C7232" s="16" t="s">
        <v>3424</v>
      </c>
      <c r="D7232" s="16" t="s">
        <v>3403</v>
      </c>
    </row>
    <row r="7233" spans="1:4">
      <c r="A7233" s="16">
        <v>6102000000</v>
      </c>
      <c r="B7233" s="16">
        <v>0</v>
      </c>
      <c r="C7233" s="16" t="s">
        <v>3425</v>
      </c>
      <c r="D7233" s="16" t="s">
        <v>3426</v>
      </c>
    </row>
    <row r="7234" spans="1:4">
      <c r="A7234" s="16">
        <v>6700700000</v>
      </c>
      <c r="B7234" s="16">
        <v>0</v>
      </c>
      <c r="C7234" s="16" t="s">
        <v>3404</v>
      </c>
      <c r="D7234" s="16" t="s">
        <v>3409</v>
      </c>
    </row>
    <row r="7235" spans="1:4">
      <c r="A7235" s="16">
        <v>6700500000</v>
      </c>
      <c r="B7235" s="16">
        <v>0</v>
      </c>
      <c r="C7235" s="16" t="s">
        <v>3404</v>
      </c>
      <c r="D7235" s="16" t="s">
        <v>3405</v>
      </c>
    </row>
    <row r="7236" spans="1:4">
      <c r="A7236" s="16">
        <v>6104001000</v>
      </c>
      <c r="B7236" s="16">
        <v>0</v>
      </c>
      <c r="C7236" s="16" t="s">
        <v>3416</v>
      </c>
      <c r="D7236" s="16" t="s">
        <v>3417</v>
      </c>
    </row>
    <row r="7237" spans="1:4">
      <c r="A7237" s="16">
        <v>3103001000</v>
      </c>
      <c r="B7237" s="16">
        <v>0</v>
      </c>
      <c r="C7237" s="16" t="s">
        <v>3402</v>
      </c>
      <c r="D7237" s="16" t="s">
        <v>3403</v>
      </c>
    </row>
    <row r="7238" spans="1:4">
      <c r="A7238" s="16">
        <v>6030000000</v>
      </c>
      <c r="B7238" s="16">
        <v>0</v>
      </c>
      <c r="C7238" s="16" t="s">
        <v>3420</v>
      </c>
      <c r="D7238" s="16" t="s">
        <v>3423</v>
      </c>
    </row>
    <row r="7239" spans="1:4">
      <c r="A7239" s="16">
        <v>3030000000</v>
      </c>
      <c r="B7239" s="16">
        <v>0</v>
      </c>
      <c r="C7239" s="16" t="s">
        <v>3402</v>
      </c>
      <c r="D7239" s="16" t="s">
        <v>3403</v>
      </c>
    </row>
    <row r="7240" spans="1:4">
      <c r="A7240" s="16">
        <v>2201000000</v>
      </c>
      <c r="B7240" s="16">
        <v>0</v>
      </c>
      <c r="C7240" s="16" t="s">
        <v>3415</v>
      </c>
      <c r="D7240" s="16" t="s">
        <v>3403</v>
      </c>
    </row>
    <row r="7241" spans="1:4">
      <c r="A7241" s="16">
        <v>6700200000</v>
      </c>
      <c r="B7241" s="16">
        <v>0</v>
      </c>
      <c r="C7241" s="16" t="s">
        <v>3404</v>
      </c>
      <c r="D7241" s="16" t="s">
        <v>3409</v>
      </c>
    </row>
    <row r="7242" spans="1:4">
      <c r="A7242" s="16">
        <v>2750010000</v>
      </c>
      <c r="B7242" s="16">
        <v>0</v>
      </c>
      <c r="C7242" s="16" t="s">
        <v>3419</v>
      </c>
      <c r="D7242" s="16" t="s">
        <v>3403</v>
      </c>
    </row>
    <row r="7243" spans="1:4">
      <c r="A7243" s="16">
        <v>6610000100</v>
      </c>
      <c r="B7243" s="16">
        <v>0</v>
      </c>
      <c r="C7243" s="16" t="s">
        <v>3413</v>
      </c>
      <c r="D7243" s="16" t="s">
        <v>3418</v>
      </c>
    </row>
    <row r="7244" spans="1:4">
      <c r="A7244" s="16">
        <v>6700200000</v>
      </c>
      <c r="B7244" s="16">
        <v>0</v>
      </c>
      <c r="C7244" s="16" t="s">
        <v>3404</v>
      </c>
      <c r="D7244" s="16" t="s">
        <v>3409</v>
      </c>
    </row>
    <row r="7245" spans="1:4">
      <c r="A7245" s="16">
        <v>2201200030</v>
      </c>
      <c r="B7245" s="16">
        <v>0</v>
      </c>
      <c r="C7245" s="16" t="s">
        <v>3415</v>
      </c>
      <c r="D7245" s="16" t="s">
        <v>3403</v>
      </c>
    </row>
    <row r="7246" spans="1:4">
      <c r="A7246" s="16">
        <v>6100000000</v>
      </c>
      <c r="B7246" s="16">
        <v>0</v>
      </c>
      <c r="C7246" s="16" t="s">
        <v>3416</v>
      </c>
      <c r="D7246" s="16" t="s">
        <v>3417</v>
      </c>
    </row>
    <row r="7247" spans="1:4">
      <c r="A7247" s="16">
        <v>3100000000</v>
      </c>
      <c r="B7247" s="16">
        <v>0</v>
      </c>
      <c r="C7247" s="16" t="s">
        <v>3402</v>
      </c>
      <c r="D7247" s="16" t="s">
        <v>3403</v>
      </c>
    </row>
    <row r="7248" spans="1:4">
      <c r="A7248" s="16">
        <v>3032000000</v>
      </c>
      <c r="B7248" s="16">
        <v>0</v>
      </c>
      <c r="C7248" s="16" t="s">
        <v>3424</v>
      </c>
      <c r="D7248" s="16" t="s">
        <v>3403</v>
      </c>
    </row>
    <row r="7249" spans="1:4">
      <c r="A7249" s="16">
        <v>6032000000</v>
      </c>
      <c r="B7249" s="16">
        <v>0</v>
      </c>
      <c r="C7249" s="16" t="s">
        <v>3429</v>
      </c>
      <c r="D7249" s="16" t="s">
        <v>3430</v>
      </c>
    </row>
    <row r="7250" spans="1:4">
      <c r="A7250" s="16">
        <v>2750010000</v>
      </c>
      <c r="B7250" s="16">
        <v>0</v>
      </c>
      <c r="C7250" s="16" t="s">
        <v>3419</v>
      </c>
      <c r="D7250" s="16" t="s">
        <v>3403</v>
      </c>
    </row>
    <row r="7251" spans="1:4">
      <c r="A7251" s="16">
        <v>6610000100</v>
      </c>
      <c r="B7251" s="16">
        <v>0</v>
      </c>
      <c r="C7251" s="16" t="s">
        <v>3413</v>
      </c>
      <c r="D7251" s="16" t="s">
        <v>3418</v>
      </c>
    </row>
    <row r="7252" spans="1:4">
      <c r="A7252" s="16">
        <v>6700200000</v>
      </c>
      <c r="B7252" s="16">
        <v>0</v>
      </c>
      <c r="C7252" s="16" t="s">
        <v>3404</v>
      </c>
      <c r="D7252" s="16" t="s">
        <v>3409</v>
      </c>
    </row>
    <row r="7253" spans="1:4">
      <c r="A7253" s="16">
        <v>6700000000</v>
      </c>
      <c r="B7253" s="16">
        <v>0</v>
      </c>
      <c r="C7253" s="16" t="s">
        <v>3404</v>
      </c>
      <c r="D7253" s="16" t="s">
        <v>3405</v>
      </c>
    </row>
    <row r="7254" spans="1:4">
      <c r="A7254" s="16">
        <v>6610000000</v>
      </c>
      <c r="B7254" s="16">
        <v>0</v>
      </c>
      <c r="C7254" s="16" t="s">
        <v>3413</v>
      </c>
      <c r="D7254" s="16" t="s">
        <v>3418</v>
      </c>
    </row>
    <row r="7255" spans="1:4">
      <c r="A7255" s="16">
        <v>4203000000</v>
      </c>
      <c r="B7255" s="16">
        <v>0</v>
      </c>
      <c r="C7255" s="16" t="s">
        <v>3408</v>
      </c>
      <c r="D7255" s="16" t="s">
        <v>3403</v>
      </c>
    </row>
    <row r="7256" spans="1:4">
      <c r="A7256" s="16">
        <v>2750010000</v>
      </c>
      <c r="B7256" s="16">
        <v>0</v>
      </c>
      <c r="C7256" s="16" t="s">
        <v>3419</v>
      </c>
      <c r="D7256" s="16" t="s">
        <v>3403</v>
      </c>
    </row>
    <row r="7257" spans="1:4">
      <c r="A7257" s="16">
        <v>6610100100</v>
      </c>
      <c r="B7257" s="16">
        <v>0</v>
      </c>
      <c r="C7257" s="16" t="s">
        <v>3413</v>
      </c>
      <c r="D7257" s="16" t="s">
        <v>3414</v>
      </c>
    </row>
    <row r="7258" spans="1:4">
      <c r="A7258" s="16">
        <v>6700200000</v>
      </c>
      <c r="B7258" s="16">
        <v>0</v>
      </c>
      <c r="C7258" s="16" t="s">
        <v>3404</v>
      </c>
      <c r="D7258" s="16" t="s">
        <v>3409</v>
      </c>
    </row>
    <row r="7259" spans="1:4">
      <c r="A7259" s="16">
        <v>6700000000</v>
      </c>
      <c r="B7259" s="16">
        <v>0</v>
      </c>
      <c r="C7259" s="16" t="s">
        <v>3404</v>
      </c>
      <c r="D7259" s="16" t="s">
        <v>3405</v>
      </c>
    </row>
    <row r="7260" spans="1:4">
      <c r="A7260" s="16">
        <v>2750010000</v>
      </c>
      <c r="B7260" s="16">
        <v>0</v>
      </c>
      <c r="C7260" s="16" t="s">
        <v>3419</v>
      </c>
      <c r="D7260" s="16" t="s">
        <v>3403</v>
      </c>
    </row>
    <row r="7261" spans="1:4">
      <c r="A7261" s="16">
        <v>6610000100</v>
      </c>
      <c r="B7261" s="16">
        <v>0</v>
      </c>
      <c r="C7261" s="16" t="s">
        <v>3413</v>
      </c>
      <c r="D7261" s="16" t="s">
        <v>3418</v>
      </c>
    </row>
    <row r="7262" spans="1:4">
      <c r="A7262" s="16">
        <v>6700200000</v>
      </c>
      <c r="B7262" s="16">
        <v>0</v>
      </c>
      <c r="C7262" s="16" t="s">
        <v>3404</v>
      </c>
      <c r="D7262" s="16" t="s">
        <v>3409</v>
      </c>
    </row>
    <row r="7263" spans="1:4">
      <c r="A7263" s="16">
        <v>6700100000</v>
      </c>
      <c r="B7263" s="16">
        <v>0</v>
      </c>
      <c r="C7263" s="16" t="s">
        <v>3404</v>
      </c>
      <c r="D7263" s="16" t="s">
        <v>3410</v>
      </c>
    </row>
    <row r="7264" spans="1:4">
      <c r="A7264" s="16">
        <v>5010100010</v>
      </c>
      <c r="B7264" s="16">
        <v>0</v>
      </c>
      <c r="C7264" s="16" t="s">
        <v>3406</v>
      </c>
      <c r="D7264" s="16" t="s">
        <v>3407</v>
      </c>
    </row>
    <row r="7265" spans="1:4">
      <c r="A7265" s="16">
        <v>3710000000</v>
      </c>
      <c r="B7265" s="16">
        <v>0</v>
      </c>
      <c r="C7265" s="16" t="s">
        <v>3402</v>
      </c>
      <c r="D7265" s="16" t="s">
        <v>3403</v>
      </c>
    </row>
    <row r="7266" spans="1:4">
      <c r="A7266" s="16">
        <v>6700700000</v>
      </c>
      <c r="B7266" s="16">
        <v>0</v>
      </c>
      <c r="C7266" s="16" t="s">
        <v>3404</v>
      </c>
      <c r="D7266" s="16" t="s">
        <v>3409</v>
      </c>
    </row>
    <row r="7267" spans="1:4">
      <c r="A7267" s="16">
        <v>6700500000</v>
      </c>
      <c r="B7267" s="16">
        <v>0</v>
      </c>
      <c r="C7267" s="16" t="s">
        <v>3404</v>
      </c>
      <c r="D7267" s="16" t="s">
        <v>3405</v>
      </c>
    </row>
    <row r="7268" spans="1:4">
      <c r="A7268" s="16">
        <v>6610000000</v>
      </c>
      <c r="B7268" s="16">
        <v>0</v>
      </c>
      <c r="C7268" s="16" t="s">
        <v>3413</v>
      </c>
      <c r="D7268" s="16" t="s">
        <v>3418</v>
      </c>
    </row>
    <row r="7269" spans="1:4">
      <c r="A7269" s="16">
        <v>4203000000</v>
      </c>
      <c r="B7269" s="16">
        <v>0</v>
      </c>
      <c r="C7269" s="16" t="s">
        <v>3408</v>
      </c>
      <c r="D7269" s="16" t="s">
        <v>3403</v>
      </c>
    </row>
    <row r="7270" spans="1:4">
      <c r="A7270" s="16">
        <v>3032000000</v>
      </c>
      <c r="B7270" s="16">
        <v>0</v>
      </c>
      <c r="C7270" s="16" t="s">
        <v>3424</v>
      </c>
      <c r="D7270" s="16" t="s">
        <v>3403</v>
      </c>
    </row>
    <row r="7271" spans="1:4">
      <c r="A7271" s="16">
        <v>6032000000</v>
      </c>
      <c r="B7271" s="16">
        <v>0</v>
      </c>
      <c r="C7271" s="16" t="s">
        <v>3429</v>
      </c>
      <c r="D7271" s="16" t="s">
        <v>3430</v>
      </c>
    </row>
    <row r="7272" spans="1:4">
      <c r="A7272" s="16">
        <v>6610000000</v>
      </c>
      <c r="B7272" s="16">
        <v>0</v>
      </c>
      <c r="C7272" s="16" t="s">
        <v>3413</v>
      </c>
      <c r="D7272" s="16" t="s">
        <v>3418</v>
      </c>
    </row>
    <row r="7273" spans="1:4">
      <c r="A7273" s="16">
        <v>4203000000</v>
      </c>
      <c r="B7273" s="16">
        <v>0</v>
      </c>
      <c r="C7273" s="16" t="s">
        <v>3408</v>
      </c>
      <c r="D7273" s="16" t="s">
        <v>3403</v>
      </c>
    </row>
    <row r="7274" spans="1:4">
      <c r="A7274" s="16">
        <v>3032000000</v>
      </c>
      <c r="B7274" s="16">
        <v>0</v>
      </c>
      <c r="C7274" s="16" t="s">
        <v>3424</v>
      </c>
      <c r="D7274" s="16" t="s">
        <v>3403</v>
      </c>
    </row>
    <row r="7275" spans="1:4">
      <c r="A7275" s="16">
        <v>6032000000</v>
      </c>
      <c r="B7275" s="16">
        <v>0</v>
      </c>
      <c r="C7275" s="16" t="s">
        <v>3429</v>
      </c>
      <c r="D7275" s="16" t="s">
        <v>3430</v>
      </c>
    </row>
    <row r="7276" spans="1:4">
      <c r="A7276" s="16">
        <v>6060010000</v>
      </c>
      <c r="B7276" s="16">
        <v>0</v>
      </c>
      <c r="C7276" s="16" t="s">
        <v>3420</v>
      </c>
      <c r="D7276" s="16" t="s">
        <v>3421</v>
      </c>
    </row>
    <row r="7277" spans="1:4">
      <c r="A7277" s="16">
        <v>5052000000</v>
      </c>
      <c r="B7277" s="16">
        <v>0</v>
      </c>
      <c r="C7277" s="16" t="s">
        <v>3406</v>
      </c>
      <c r="D7277" s="16" t="s">
        <v>3422</v>
      </c>
    </row>
    <row r="7278" spans="1:4">
      <c r="A7278" s="16">
        <v>2203000010</v>
      </c>
      <c r="B7278" s="16">
        <v>0</v>
      </c>
      <c r="C7278" s="16" t="s">
        <v>3415</v>
      </c>
      <c r="D7278" s="16" t="s">
        <v>3403</v>
      </c>
    </row>
    <row r="7279" spans="1:4">
      <c r="A7279" s="16">
        <v>4612000000</v>
      </c>
      <c r="B7279" s="16">
        <v>0</v>
      </c>
      <c r="C7279" s="16" t="s">
        <v>3428</v>
      </c>
      <c r="D7279" s="16" t="s">
        <v>3403</v>
      </c>
    </row>
    <row r="7280" spans="1:4">
      <c r="A7280" s="16">
        <v>2500000000</v>
      </c>
      <c r="B7280" s="16">
        <v>0</v>
      </c>
      <c r="C7280" s="16" t="s">
        <v>3412</v>
      </c>
      <c r="D7280" s="16" t="s">
        <v>3403</v>
      </c>
    </row>
    <row r="7281" spans="1:4">
      <c r="A7281" s="16">
        <v>5010000000</v>
      </c>
      <c r="B7281" s="16">
        <v>0</v>
      </c>
      <c r="C7281" s="16" t="s">
        <v>3406</v>
      </c>
      <c r="D7281" s="16" t="s">
        <v>3411</v>
      </c>
    </row>
    <row r="7282" spans="1:4">
      <c r="A7282" s="16">
        <v>2750010000</v>
      </c>
      <c r="B7282" s="16">
        <v>0</v>
      </c>
      <c r="C7282" s="16" t="s">
        <v>3419</v>
      </c>
      <c r="D7282" s="16" t="s">
        <v>3403</v>
      </c>
    </row>
    <row r="7283" spans="1:4">
      <c r="A7283" s="16">
        <v>6610100100</v>
      </c>
      <c r="B7283" s="16">
        <v>0</v>
      </c>
      <c r="C7283" s="16" t="s">
        <v>3413</v>
      </c>
      <c r="D7283" s="16" t="s">
        <v>3414</v>
      </c>
    </row>
    <row r="7284" spans="1:4">
      <c r="A7284" s="16">
        <v>6104000000</v>
      </c>
      <c r="B7284" s="16">
        <v>0</v>
      </c>
      <c r="C7284" s="16" t="s">
        <v>3416</v>
      </c>
      <c r="D7284" s="16" t="s">
        <v>3417</v>
      </c>
    </row>
    <row r="7285" spans="1:4">
      <c r="A7285" s="16">
        <v>3103000000</v>
      </c>
      <c r="B7285" s="16">
        <v>0</v>
      </c>
      <c r="C7285" s="16" t="s">
        <v>3402</v>
      </c>
      <c r="D7285" s="16" t="s">
        <v>3403</v>
      </c>
    </row>
    <row r="7286" spans="1:4">
      <c r="A7286" s="16">
        <v>2500000000</v>
      </c>
      <c r="B7286" s="16">
        <v>0</v>
      </c>
      <c r="C7286" s="16" t="s">
        <v>3412</v>
      </c>
      <c r="D7286" s="16" t="s">
        <v>3403</v>
      </c>
    </row>
    <row r="7287" spans="1:4">
      <c r="A7287" s="16">
        <v>5010000000</v>
      </c>
      <c r="B7287" s="16">
        <v>0</v>
      </c>
      <c r="C7287" s="16" t="s">
        <v>3406</v>
      </c>
      <c r="D7287" s="16" t="s">
        <v>3411</v>
      </c>
    </row>
    <row r="7288" spans="1:4">
      <c r="A7288" s="16">
        <v>5050010000</v>
      </c>
      <c r="B7288" s="16">
        <v>92659396</v>
      </c>
      <c r="C7288" s="16" t="s">
        <v>3406</v>
      </c>
      <c r="D7288" s="16" t="s">
        <v>3422</v>
      </c>
    </row>
    <row r="7289" spans="1:4">
      <c r="A7289" s="16">
        <v>5050000000</v>
      </c>
      <c r="B7289" s="16">
        <v>-92659396</v>
      </c>
      <c r="C7289" s="16" t="s">
        <v>3406</v>
      </c>
      <c r="D7289" s="16" t="s">
        <v>3422</v>
      </c>
    </row>
    <row r="7290" spans="1:4">
      <c r="A7290" s="16">
        <v>5010000010</v>
      </c>
      <c r="B7290" s="16">
        <v>0</v>
      </c>
      <c r="C7290" s="16" t="s">
        <v>3406</v>
      </c>
      <c r="D7290" s="16" t="s">
        <v>3411</v>
      </c>
    </row>
    <row r="7291" spans="1:4">
      <c r="A7291" s="16">
        <v>3710000000</v>
      </c>
      <c r="B7291" s="16">
        <v>0</v>
      </c>
      <c r="C7291" s="16" t="s">
        <v>3402</v>
      </c>
      <c r="D7291" s="16" t="s">
        <v>3403</v>
      </c>
    </row>
    <row r="7292" spans="1:4">
      <c r="A7292" s="16">
        <v>6610000000</v>
      </c>
      <c r="B7292" s="16">
        <v>0</v>
      </c>
      <c r="C7292" s="16" t="s">
        <v>3413</v>
      </c>
      <c r="D7292" s="16" t="s">
        <v>3418</v>
      </c>
    </row>
    <row r="7293" spans="1:4">
      <c r="A7293" s="16">
        <v>4203000000</v>
      </c>
      <c r="B7293" s="16">
        <v>0</v>
      </c>
      <c r="C7293" s="16" t="s">
        <v>3408</v>
      </c>
      <c r="D7293" s="16" t="s">
        <v>3403</v>
      </c>
    </row>
    <row r="7294" spans="1:4">
      <c r="A7294" s="16">
        <v>6610100000</v>
      </c>
      <c r="B7294" s="16">
        <v>0</v>
      </c>
      <c r="C7294" s="16" t="s">
        <v>3413</v>
      </c>
      <c r="D7294" s="16" t="s">
        <v>3414</v>
      </c>
    </row>
    <row r="7295" spans="1:4">
      <c r="A7295" s="16">
        <v>4203000000</v>
      </c>
      <c r="B7295" s="16">
        <v>0</v>
      </c>
      <c r="C7295" s="16" t="s">
        <v>3408</v>
      </c>
      <c r="D7295" s="16" t="s">
        <v>3403</v>
      </c>
    </row>
    <row r="7296" spans="1:4">
      <c r="A7296" s="16">
        <v>2201000000</v>
      </c>
      <c r="B7296" s="16">
        <v>3781871</v>
      </c>
      <c r="C7296" s="16" t="s">
        <v>3415</v>
      </c>
      <c r="D7296" s="16" t="s">
        <v>3403</v>
      </c>
    </row>
    <row r="7297" spans="1:4">
      <c r="A7297" s="16">
        <v>6700200000</v>
      </c>
      <c r="B7297" s="16">
        <v>-3781871</v>
      </c>
      <c r="C7297" s="16" t="s">
        <v>3404</v>
      </c>
      <c r="D7297" s="16" t="s">
        <v>3409</v>
      </c>
    </row>
    <row r="7298" spans="1:4">
      <c r="A7298" s="16">
        <v>2500000000</v>
      </c>
      <c r="B7298" s="16">
        <v>0</v>
      </c>
      <c r="C7298" s="16" t="s">
        <v>3412</v>
      </c>
      <c r="D7298" s="16" t="s">
        <v>3403</v>
      </c>
    </row>
    <row r="7299" spans="1:4">
      <c r="A7299" s="16">
        <v>5010100000</v>
      </c>
      <c r="B7299" s="16">
        <v>0</v>
      </c>
      <c r="C7299" s="16" t="s">
        <v>3406</v>
      </c>
      <c r="D7299" s="16" t="s">
        <v>3407</v>
      </c>
    </row>
    <row r="7300" spans="1:4">
      <c r="A7300" s="16">
        <v>5010000010</v>
      </c>
      <c r="B7300" s="16">
        <v>0</v>
      </c>
      <c r="C7300" s="16" t="s">
        <v>3406</v>
      </c>
      <c r="D7300" s="16" t="s">
        <v>3411</v>
      </c>
    </row>
    <row r="7301" spans="1:4">
      <c r="A7301" s="16">
        <v>3710000000</v>
      </c>
      <c r="B7301" s="16">
        <v>0</v>
      </c>
      <c r="C7301" s="16" t="s">
        <v>3402</v>
      </c>
      <c r="D7301" s="16" t="s">
        <v>3403</v>
      </c>
    </row>
    <row r="7302" spans="1:4">
      <c r="A7302" s="16">
        <v>2750010000</v>
      </c>
      <c r="B7302" s="16">
        <v>0</v>
      </c>
      <c r="C7302" s="16" t="s">
        <v>3419</v>
      </c>
      <c r="D7302" s="16" t="s">
        <v>3403</v>
      </c>
    </row>
    <row r="7303" spans="1:4">
      <c r="A7303" s="16">
        <v>6610100100</v>
      </c>
      <c r="B7303" s="16">
        <v>0</v>
      </c>
      <c r="C7303" s="16" t="s">
        <v>3413</v>
      </c>
      <c r="D7303" s="16" t="s">
        <v>3414</v>
      </c>
    </row>
    <row r="7304" spans="1:4">
      <c r="A7304" s="16">
        <v>6610100000</v>
      </c>
      <c r="B7304" s="16">
        <v>0</v>
      </c>
      <c r="C7304" s="16" t="s">
        <v>3413</v>
      </c>
      <c r="D7304" s="16" t="s">
        <v>3414</v>
      </c>
    </row>
    <row r="7305" spans="1:4">
      <c r="A7305" s="16">
        <v>4203000000</v>
      </c>
      <c r="B7305" s="16">
        <v>0</v>
      </c>
      <c r="C7305" s="16" t="s">
        <v>3408</v>
      </c>
      <c r="D7305" s="16" t="s">
        <v>3403</v>
      </c>
    </row>
    <row r="7306" spans="1:4">
      <c r="A7306" s="16">
        <v>6700600000</v>
      </c>
      <c r="B7306" s="16">
        <v>0</v>
      </c>
      <c r="C7306" s="16" t="s">
        <v>3404</v>
      </c>
      <c r="D7306" s="16" t="s">
        <v>3409</v>
      </c>
    </row>
    <row r="7307" spans="1:4">
      <c r="A7307" s="16">
        <v>6700400000</v>
      </c>
      <c r="B7307" s="16">
        <v>0</v>
      </c>
      <c r="C7307" s="16" t="s">
        <v>3404</v>
      </c>
      <c r="D7307" s="16" t="s">
        <v>3405</v>
      </c>
    </row>
    <row r="7308" spans="1:4">
      <c r="A7308" s="16">
        <v>6610000000</v>
      </c>
      <c r="B7308" s="16">
        <v>0</v>
      </c>
      <c r="C7308" s="16" t="s">
        <v>3413</v>
      </c>
      <c r="D7308" s="16" t="s">
        <v>3418</v>
      </c>
    </row>
    <row r="7309" spans="1:4">
      <c r="A7309" s="16">
        <v>4203000000</v>
      </c>
      <c r="B7309" s="16">
        <v>0</v>
      </c>
      <c r="C7309" s="16" t="s">
        <v>3408</v>
      </c>
      <c r="D7309" s="16" t="s">
        <v>3403</v>
      </c>
    </row>
    <row r="7310" spans="1:4">
      <c r="A7310" s="16">
        <v>6700200000</v>
      </c>
      <c r="B7310" s="16">
        <v>0</v>
      </c>
      <c r="C7310" s="16" t="s">
        <v>3404</v>
      </c>
      <c r="D7310" s="16" t="s">
        <v>3409</v>
      </c>
    </row>
    <row r="7311" spans="1:4">
      <c r="A7311" s="16">
        <v>6700000000</v>
      </c>
      <c r="B7311" s="16">
        <v>0</v>
      </c>
      <c r="C7311" s="16" t="s">
        <v>3404</v>
      </c>
      <c r="D7311" s="16" t="s">
        <v>3405</v>
      </c>
    </row>
    <row r="7312" spans="1:4">
      <c r="A7312" s="16">
        <v>6700700000</v>
      </c>
      <c r="B7312" s="16">
        <v>0</v>
      </c>
      <c r="C7312" s="16" t="s">
        <v>3404</v>
      </c>
      <c r="D7312" s="16" t="s">
        <v>3409</v>
      </c>
    </row>
    <row r="7313" spans="1:4">
      <c r="A7313" s="16">
        <v>2500000000</v>
      </c>
      <c r="B7313" s="16">
        <v>0</v>
      </c>
      <c r="C7313" s="16" t="s">
        <v>3412</v>
      </c>
      <c r="D7313" s="16" t="s">
        <v>3403</v>
      </c>
    </row>
    <row r="7314" spans="1:4">
      <c r="A7314" s="16">
        <v>6700600000</v>
      </c>
      <c r="B7314" s="16">
        <v>0</v>
      </c>
      <c r="C7314" s="16" t="s">
        <v>3404</v>
      </c>
      <c r="D7314" s="16" t="s">
        <v>3409</v>
      </c>
    </row>
    <row r="7315" spans="1:4">
      <c r="A7315" s="16">
        <v>3800000000</v>
      </c>
      <c r="B7315" s="16">
        <v>0</v>
      </c>
      <c r="C7315" s="16" t="s">
        <v>3402</v>
      </c>
      <c r="D7315" s="16" t="s">
        <v>3403</v>
      </c>
    </row>
    <row r="7316" spans="1:4">
      <c r="A7316" s="16">
        <v>4203000000</v>
      </c>
      <c r="B7316" s="16">
        <v>0</v>
      </c>
      <c r="C7316" s="16" t="s">
        <v>3408</v>
      </c>
      <c r="D7316" s="16" t="s">
        <v>3403</v>
      </c>
    </row>
    <row r="7317" spans="1:4">
      <c r="A7317" s="16">
        <v>3710000000</v>
      </c>
      <c r="B7317" s="16">
        <v>0</v>
      </c>
      <c r="C7317" s="16" t="s">
        <v>3402</v>
      </c>
      <c r="D7317" s="16" t="s">
        <v>3403</v>
      </c>
    </row>
    <row r="7318" spans="1:4">
      <c r="A7318" s="16">
        <v>6610100000</v>
      </c>
      <c r="B7318" s="16">
        <v>0</v>
      </c>
      <c r="C7318" s="16" t="s">
        <v>3413</v>
      </c>
      <c r="D7318" s="16" t="s">
        <v>3414</v>
      </c>
    </row>
    <row r="7319" spans="1:4">
      <c r="A7319" s="16">
        <v>4010000000</v>
      </c>
      <c r="B7319" s="16">
        <v>0</v>
      </c>
      <c r="C7319" s="16" t="s">
        <v>3431</v>
      </c>
      <c r="D7319" s="16" t="s">
        <v>3403</v>
      </c>
    </row>
    <row r="7320" spans="1:4">
      <c r="A7320" s="16">
        <v>6700200000</v>
      </c>
      <c r="B7320" s="16">
        <v>0</v>
      </c>
      <c r="C7320" s="16" t="s">
        <v>3404</v>
      </c>
      <c r="D7320" s="16" t="s">
        <v>3409</v>
      </c>
    </row>
    <row r="7321" spans="1:4">
      <c r="A7321" s="16">
        <v>3103001000</v>
      </c>
      <c r="B7321" s="16">
        <v>0</v>
      </c>
      <c r="C7321" s="16" t="s">
        <v>3402</v>
      </c>
      <c r="D7321" s="16" t="s">
        <v>3403</v>
      </c>
    </row>
    <row r="7322" spans="1:4">
      <c r="A7322" s="16">
        <v>3030000000</v>
      </c>
      <c r="B7322" s="16">
        <v>0</v>
      </c>
      <c r="C7322" s="16" t="s">
        <v>3402</v>
      </c>
      <c r="D7322" s="16" t="s">
        <v>3403</v>
      </c>
    </row>
    <row r="7323" spans="1:4">
      <c r="A7323" s="16">
        <v>6700500000</v>
      </c>
      <c r="B7323" s="16">
        <v>0</v>
      </c>
      <c r="C7323" s="16" t="s">
        <v>3404</v>
      </c>
      <c r="D7323" s="16" t="s">
        <v>3405</v>
      </c>
    </row>
    <row r="7324" spans="1:4">
      <c r="A7324" s="16">
        <v>3102000000</v>
      </c>
      <c r="B7324" s="16">
        <v>0</v>
      </c>
      <c r="C7324" s="16" t="s">
        <v>3424</v>
      </c>
      <c r="D7324" s="16" t="s">
        <v>3403</v>
      </c>
    </row>
    <row r="7325" spans="1:4">
      <c r="A7325" s="16">
        <v>5010100000</v>
      </c>
      <c r="B7325" s="16">
        <v>0</v>
      </c>
      <c r="C7325" s="16" t="s">
        <v>3406</v>
      </c>
      <c r="D7325" s="16" t="s">
        <v>3407</v>
      </c>
    </row>
    <row r="7326" spans="1:4">
      <c r="A7326" s="16">
        <v>6104000000</v>
      </c>
      <c r="B7326" s="16">
        <v>0</v>
      </c>
      <c r="C7326" s="16" t="s">
        <v>3416</v>
      </c>
      <c r="D7326" s="16" t="s">
        <v>3417</v>
      </c>
    </row>
    <row r="7327" spans="1:4">
      <c r="A7327" s="16">
        <v>6150000000</v>
      </c>
      <c r="B7327" s="16">
        <v>335550</v>
      </c>
      <c r="C7327" s="16" t="s">
        <v>3416</v>
      </c>
      <c r="D7327" s="16" t="s">
        <v>3417</v>
      </c>
    </row>
    <row r="7328" spans="1:4">
      <c r="A7328" s="16">
        <v>6700400000</v>
      </c>
      <c r="B7328" s="16">
        <v>0</v>
      </c>
      <c r="C7328" s="16" t="s">
        <v>3404</v>
      </c>
      <c r="D7328" s="16" t="s">
        <v>3405</v>
      </c>
    </row>
    <row r="7329" spans="1:4">
      <c r="A7329" s="16">
        <v>6610000000</v>
      </c>
      <c r="B7329" s="16">
        <v>417</v>
      </c>
      <c r="C7329" s="16" t="s">
        <v>3413</v>
      </c>
      <c r="D7329" s="16" t="s">
        <v>3418</v>
      </c>
    </row>
    <row r="7330" spans="1:4">
      <c r="A7330" s="16">
        <v>4203000000</v>
      </c>
      <c r="B7330" s="16">
        <v>0</v>
      </c>
      <c r="C7330" s="16" t="s">
        <v>3408</v>
      </c>
      <c r="D7330" s="16" t="s">
        <v>3403</v>
      </c>
    </row>
    <row r="7331" spans="1:4">
      <c r="A7331" s="16">
        <v>3102000000</v>
      </c>
      <c r="B7331" s="16">
        <v>0</v>
      </c>
      <c r="C7331" s="16" t="s">
        <v>3424</v>
      </c>
      <c r="D7331" s="16" t="s">
        <v>3403</v>
      </c>
    </row>
    <row r="7332" spans="1:4">
      <c r="A7332" s="16">
        <v>2500000000</v>
      </c>
      <c r="B7332" s="16">
        <v>0</v>
      </c>
      <c r="C7332" s="16" t="s">
        <v>3412</v>
      </c>
      <c r="D7332" s="16" t="s">
        <v>3403</v>
      </c>
    </row>
    <row r="7333" spans="1:4">
      <c r="A7333" s="16">
        <v>6700700000</v>
      </c>
      <c r="B7333" s="16">
        <v>0</v>
      </c>
      <c r="C7333" s="16" t="s">
        <v>3404</v>
      </c>
      <c r="D7333" s="16" t="s">
        <v>3409</v>
      </c>
    </row>
    <row r="7334" spans="1:4">
      <c r="A7334" s="16">
        <v>6030000000</v>
      </c>
      <c r="B7334" s="16">
        <v>0</v>
      </c>
      <c r="C7334" s="16" t="s">
        <v>3420</v>
      </c>
      <c r="D7334" s="16" t="s">
        <v>3423</v>
      </c>
    </row>
    <row r="7335" spans="1:4">
      <c r="A7335" s="16">
        <v>6700200000</v>
      </c>
      <c r="B7335" s="16">
        <v>0</v>
      </c>
      <c r="C7335" s="16" t="s">
        <v>3404</v>
      </c>
      <c r="D7335" s="16" t="s">
        <v>3409</v>
      </c>
    </row>
    <row r="7336" spans="1:4">
      <c r="A7336" s="16">
        <v>6700000000</v>
      </c>
      <c r="B7336" s="16">
        <v>0</v>
      </c>
      <c r="C7336" s="16" t="s">
        <v>3404</v>
      </c>
      <c r="D7336" s="16" t="s">
        <v>3405</v>
      </c>
    </row>
    <row r="7337" spans="1:4">
      <c r="A7337" s="16">
        <v>2201000000</v>
      </c>
      <c r="B7337" s="16">
        <v>0</v>
      </c>
      <c r="C7337" s="16" t="s">
        <v>3415</v>
      </c>
      <c r="D7337" s="16" t="s">
        <v>3403</v>
      </c>
    </row>
    <row r="7338" spans="1:4">
      <c r="A7338" s="16">
        <v>6102000000</v>
      </c>
      <c r="B7338" s="16">
        <v>0</v>
      </c>
      <c r="C7338" s="16" t="s">
        <v>3425</v>
      </c>
      <c r="D7338" s="16" t="s">
        <v>3426</v>
      </c>
    </row>
    <row r="7339" spans="1:4">
      <c r="A7339" s="16">
        <v>3103000000</v>
      </c>
      <c r="B7339" s="16">
        <v>0</v>
      </c>
      <c r="C7339" s="16" t="s">
        <v>3402</v>
      </c>
      <c r="D7339" s="16" t="s">
        <v>3403</v>
      </c>
    </row>
    <row r="7340" spans="1:4">
      <c r="A7340" s="16">
        <v>5010100010</v>
      </c>
      <c r="B7340" s="16">
        <v>0</v>
      </c>
      <c r="C7340" s="16" t="s">
        <v>3406</v>
      </c>
      <c r="D7340" s="16" t="s">
        <v>3407</v>
      </c>
    </row>
    <row r="7341" spans="1:4">
      <c r="A7341" s="16">
        <v>3510000000</v>
      </c>
      <c r="B7341" s="16">
        <v>-335550</v>
      </c>
      <c r="C7341" s="16" t="s">
        <v>3402</v>
      </c>
      <c r="D7341" s="16" t="s">
        <v>3403</v>
      </c>
    </row>
    <row r="7342" spans="1:4">
      <c r="A7342" s="16">
        <v>6700200000</v>
      </c>
      <c r="B7342" s="16">
        <v>0</v>
      </c>
      <c r="C7342" s="16" t="s">
        <v>3404</v>
      </c>
      <c r="D7342" s="16" t="s">
        <v>3409</v>
      </c>
    </row>
    <row r="7343" spans="1:4">
      <c r="A7343" s="16">
        <v>2500000000</v>
      </c>
      <c r="B7343" s="16">
        <v>0</v>
      </c>
      <c r="C7343" s="16" t="s">
        <v>3412</v>
      </c>
      <c r="D7343" s="16" t="s">
        <v>3403</v>
      </c>
    </row>
    <row r="7344" spans="1:4">
      <c r="A7344" s="16">
        <v>4203000000</v>
      </c>
      <c r="B7344" s="16">
        <v>-417</v>
      </c>
      <c r="C7344" s="16" t="s">
        <v>3408</v>
      </c>
      <c r="D7344" s="16" t="s">
        <v>3403</v>
      </c>
    </row>
    <row r="7345" spans="1:4">
      <c r="A7345" s="16">
        <v>6700200000</v>
      </c>
      <c r="B7345" s="16">
        <v>0</v>
      </c>
      <c r="C7345" s="16" t="s">
        <v>3404</v>
      </c>
      <c r="D7345" s="16" t="s">
        <v>3409</v>
      </c>
    </row>
    <row r="7346" spans="1:4">
      <c r="A7346" s="16">
        <v>6102000000</v>
      </c>
      <c r="B7346" s="16">
        <v>0</v>
      </c>
      <c r="C7346" s="16" t="s">
        <v>3425</v>
      </c>
      <c r="D7346" s="16" t="s">
        <v>3426</v>
      </c>
    </row>
    <row r="7347" spans="1:4">
      <c r="A7347" s="16">
        <v>5010000000</v>
      </c>
      <c r="B7347" s="16">
        <v>0</v>
      </c>
      <c r="C7347" s="16" t="s">
        <v>3406</v>
      </c>
      <c r="D7347" s="16" t="s">
        <v>3411</v>
      </c>
    </row>
    <row r="7348" spans="1:4">
      <c r="A7348" s="16">
        <v>6700200000</v>
      </c>
      <c r="B7348" s="16">
        <v>344885086</v>
      </c>
      <c r="C7348" s="16" t="s">
        <v>3404</v>
      </c>
      <c r="D7348" s="16" t="s">
        <v>3409</v>
      </c>
    </row>
    <row r="7349" spans="1:4">
      <c r="A7349" s="16">
        <v>6700500000</v>
      </c>
      <c r="B7349" s="16">
        <v>0</v>
      </c>
      <c r="C7349" s="16" t="s">
        <v>3404</v>
      </c>
      <c r="D7349" s="16" t="s">
        <v>3405</v>
      </c>
    </row>
    <row r="7350" spans="1:4">
      <c r="A7350" s="16">
        <v>3030000000</v>
      </c>
      <c r="B7350" s="16">
        <v>0</v>
      </c>
      <c r="C7350" s="16" t="s">
        <v>3402</v>
      </c>
      <c r="D7350" s="16" t="s">
        <v>3403</v>
      </c>
    </row>
    <row r="7351" spans="1:4">
      <c r="A7351" s="16">
        <v>6700000000</v>
      </c>
      <c r="B7351" s="16">
        <v>0</v>
      </c>
      <c r="C7351" s="16" t="s">
        <v>3404</v>
      </c>
      <c r="D7351" s="16" t="s">
        <v>3405</v>
      </c>
    </row>
    <row r="7352" spans="1:4">
      <c r="A7352" s="16">
        <v>2203000000</v>
      </c>
      <c r="B7352" s="16">
        <v>0</v>
      </c>
      <c r="C7352" s="16" t="s">
        <v>3415</v>
      </c>
      <c r="D7352" s="16" t="s">
        <v>3403</v>
      </c>
    </row>
    <row r="7353" spans="1:4">
      <c r="A7353" s="16">
        <v>6610000000</v>
      </c>
      <c r="B7353" s="16">
        <v>0</v>
      </c>
      <c r="C7353" s="16" t="s">
        <v>3413</v>
      </c>
      <c r="D7353" s="16" t="s">
        <v>3418</v>
      </c>
    </row>
    <row r="7354" spans="1:4">
      <c r="A7354" s="16">
        <v>2500000000</v>
      </c>
      <c r="B7354" s="16">
        <v>0</v>
      </c>
      <c r="C7354" s="16" t="s">
        <v>3412</v>
      </c>
      <c r="D7354" s="16" t="s">
        <v>3403</v>
      </c>
    </row>
    <row r="7355" spans="1:4">
      <c r="A7355" s="16">
        <v>6700200000</v>
      </c>
      <c r="B7355" s="16">
        <v>0</v>
      </c>
      <c r="C7355" s="16" t="s">
        <v>3404</v>
      </c>
      <c r="D7355" s="16" t="s">
        <v>3409</v>
      </c>
    </row>
    <row r="7356" spans="1:4">
      <c r="A7356" s="16">
        <v>2500000000</v>
      </c>
      <c r="B7356" s="16">
        <v>0</v>
      </c>
      <c r="C7356" s="16" t="s">
        <v>3412</v>
      </c>
      <c r="D7356" s="16" t="s">
        <v>3403</v>
      </c>
    </row>
    <row r="7357" spans="1:4">
      <c r="A7357" s="16">
        <v>2750010000</v>
      </c>
      <c r="B7357" s="16">
        <v>0</v>
      </c>
      <c r="C7357" s="16" t="s">
        <v>3419</v>
      </c>
      <c r="D7357" s="16" t="s">
        <v>3403</v>
      </c>
    </row>
    <row r="7358" spans="1:4">
      <c r="A7358" s="16">
        <v>3710000000</v>
      </c>
      <c r="B7358" s="16">
        <v>0</v>
      </c>
      <c r="C7358" s="16" t="s">
        <v>3402</v>
      </c>
      <c r="D7358" s="16" t="s">
        <v>3403</v>
      </c>
    </row>
    <row r="7359" spans="1:4">
      <c r="A7359" s="16">
        <v>6700000000</v>
      </c>
      <c r="B7359" s="16">
        <v>0</v>
      </c>
      <c r="C7359" s="16" t="s">
        <v>3404</v>
      </c>
      <c r="D7359" s="16" t="s">
        <v>3405</v>
      </c>
    </row>
    <row r="7360" spans="1:4">
      <c r="A7360" s="16">
        <v>6700600000</v>
      </c>
      <c r="B7360" s="16">
        <v>0</v>
      </c>
      <c r="C7360" s="16" t="s">
        <v>3404</v>
      </c>
      <c r="D7360" s="16" t="s">
        <v>3409</v>
      </c>
    </row>
    <row r="7361" spans="1:4">
      <c r="A7361" s="16">
        <v>5010000000</v>
      </c>
      <c r="B7361" s="16">
        <v>0</v>
      </c>
      <c r="C7361" s="16" t="s">
        <v>3406</v>
      </c>
      <c r="D7361" s="16" t="s">
        <v>3411</v>
      </c>
    </row>
    <row r="7362" spans="1:4">
      <c r="A7362" s="16">
        <v>6610000000</v>
      </c>
      <c r="B7362" s="16">
        <v>0</v>
      </c>
      <c r="C7362" s="16" t="s">
        <v>3413</v>
      </c>
      <c r="D7362" s="16" t="s">
        <v>3418</v>
      </c>
    </row>
    <row r="7363" spans="1:4">
      <c r="A7363" s="16">
        <v>6700000000</v>
      </c>
      <c r="B7363" s="16">
        <v>0</v>
      </c>
      <c r="C7363" s="16" t="s">
        <v>3404</v>
      </c>
      <c r="D7363" s="16" t="s">
        <v>3405</v>
      </c>
    </row>
    <row r="7364" spans="1:4">
      <c r="A7364" s="16">
        <v>6700000000</v>
      </c>
      <c r="B7364" s="16">
        <v>-344885086</v>
      </c>
      <c r="C7364" s="16" t="s">
        <v>3404</v>
      </c>
      <c r="D7364" s="16" t="s">
        <v>3405</v>
      </c>
    </row>
    <row r="7365" spans="1:4">
      <c r="A7365" s="16">
        <v>6610100000</v>
      </c>
      <c r="B7365" s="16">
        <v>0</v>
      </c>
      <c r="C7365" s="16" t="s">
        <v>3413</v>
      </c>
      <c r="D7365" s="16" t="s">
        <v>3414</v>
      </c>
    </row>
    <row r="7366" spans="1:4">
      <c r="A7366" s="16">
        <v>6060110000</v>
      </c>
      <c r="B7366" s="16">
        <v>0</v>
      </c>
      <c r="C7366" s="16" t="s">
        <v>3420</v>
      </c>
      <c r="D7366" s="16" t="s">
        <v>3421</v>
      </c>
    </row>
    <row r="7367" spans="1:4">
      <c r="A7367" s="16">
        <v>4203000000</v>
      </c>
      <c r="B7367" s="16">
        <v>0</v>
      </c>
      <c r="C7367" s="16" t="s">
        <v>3408</v>
      </c>
      <c r="D7367" s="16" t="s">
        <v>3403</v>
      </c>
    </row>
    <row r="7368" spans="1:4">
      <c r="A7368" s="16">
        <v>5010000000</v>
      </c>
      <c r="B7368" s="16">
        <v>0</v>
      </c>
      <c r="C7368" s="16" t="s">
        <v>3406</v>
      </c>
      <c r="D7368" s="16" t="s">
        <v>3411</v>
      </c>
    </row>
    <row r="7369" spans="1:4">
      <c r="A7369" s="16">
        <v>2500000000</v>
      </c>
      <c r="B7369" s="16">
        <v>0</v>
      </c>
      <c r="C7369" s="16" t="s">
        <v>3412</v>
      </c>
      <c r="D7369" s="16" t="s">
        <v>3403</v>
      </c>
    </row>
    <row r="7370" spans="1:4">
      <c r="A7370" s="16">
        <v>2500000000</v>
      </c>
      <c r="B7370" s="16">
        <v>0</v>
      </c>
      <c r="C7370" s="16" t="s">
        <v>3412</v>
      </c>
      <c r="D7370" s="16" t="s">
        <v>3403</v>
      </c>
    </row>
    <row r="7371" spans="1:4">
      <c r="A7371" s="16">
        <v>5010100000</v>
      </c>
      <c r="B7371" s="16">
        <v>0</v>
      </c>
      <c r="C7371" s="16" t="s">
        <v>3406</v>
      </c>
      <c r="D7371" s="16" t="s">
        <v>3407</v>
      </c>
    </row>
    <row r="7372" spans="1:4">
      <c r="A7372" s="16">
        <v>6610000100</v>
      </c>
      <c r="B7372" s="16">
        <v>0</v>
      </c>
      <c r="C7372" s="16" t="s">
        <v>3413</v>
      </c>
      <c r="D7372" s="16" t="s">
        <v>3418</v>
      </c>
    </row>
    <row r="7373" spans="1:4">
      <c r="A7373" s="16">
        <v>6700400000</v>
      </c>
      <c r="B7373" s="16">
        <v>0</v>
      </c>
      <c r="C7373" s="16" t="s">
        <v>3404</v>
      </c>
      <c r="D7373" s="16" t="s">
        <v>3405</v>
      </c>
    </row>
    <row r="7374" spans="1:4">
      <c r="A7374" s="16">
        <v>6700200000</v>
      </c>
      <c r="B7374" s="16">
        <v>0</v>
      </c>
      <c r="C7374" s="16" t="s">
        <v>3404</v>
      </c>
      <c r="D7374" s="16" t="s">
        <v>3409</v>
      </c>
    </row>
    <row r="7375" spans="1:4">
      <c r="A7375" s="16">
        <v>4203000000</v>
      </c>
      <c r="B7375" s="16">
        <v>0</v>
      </c>
      <c r="C7375" s="16" t="s">
        <v>3408</v>
      </c>
      <c r="D7375" s="16" t="s">
        <v>3403</v>
      </c>
    </row>
    <row r="7376" spans="1:4">
      <c r="A7376" s="16">
        <v>6700200000</v>
      </c>
      <c r="B7376" s="16">
        <v>0</v>
      </c>
      <c r="C7376" s="16" t="s">
        <v>3404</v>
      </c>
      <c r="D7376" s="16" t="s">
        <v>3409</v>
      </c>
    </row>
    <row r="7377" spans="1:4">
      <c r="A7377" s="16">
        <v>6700200000</v>
      </c>
      <c r="B7377" s="16">
        <v>0</v>
      </c>
      <c r="C7377" s="16" t="s">
        <v>3404</v>
      </c>
      <c r="D7377" s="16" t="s">
        <v>3409</v>
      </c>
    </row>
    <row r="7378" spans="1:4">
      <c r="A7378" s="16">
        <v>3102000000</v>
      </c>
      <c r="B7378" s="16">
        <v>0</v>
      </c>
      <c r="C7378" s="16" t="s">
        <v>3424</v>
      </c>
      <c r="D7378" s="16" t="s">
        <v>3403</v>
      </c>
    </row>
    <row r="7379" spans="1:4">
      <c r="A7379" s="16">
        <v>2750010000</v>
      </c>
      <c r="B7379" s="16">
        <v>0</v>
      </c>
      <c r="C7379" s="16" t="s">
        <v>3419</v>
      </c>
      <c r="D7379" s="16" t="s">
        <v>3403</v>
      </c>
    </row>
    <row r="7380" spans="1:4">
      <c r="A7380" s="16">
        <v>6100000000</v>
      </c>
      <c r="B7380" s="16">
        <v>0</v>
      </c>
      <c r="C7380" s="16" t="s">
        <v>3416</v>
      </c>
      <c r="D7380" s="16" t="s">
        <v>3417</v>
      </c>
    </row>
    <row r="7381" spans="1:4">
      <c r="A7381" s="16">
        <v>6030000000</v>
      </c>
      <c r="B7381" s="16">
        <v>0</v>
      </c>
      <c r="C7381" s="16" t="s">
        <v>3420</v>
      </c>
      <c r="D7381" s="16" t="s">
        <v>3423</v>
      </c>
    </row>
    <row r="7382" spans="1:4">
      <c r="A7382" s="16">
        <v>3032000000</v>
      </c>
      <c r="B7382" s="16">
        <v>0</v>
      </c>
      <c r="C7382" s="16" t="s">
        <v>3424</v>
      </c>
      <c r="D7382" s="16" t="s">
        <v>3403</v>
      </c>
    </row>
    <row r="7383" spans="1:4">
      <c r="A7383" s="16">
        <v>2500000000</v>
      </c>
      <c r="B7383" s="16">
        <v>1820244</v>
      </c>
      <c r="C7383" s="16" t="s">
        <v>3412</v>
      </c>
      <c r="D7383" s="16" t="s">
        <v>3403</v>
      </c>
    </row>
    <row r="7384" spans="1:4">
      <c r="A7384" s="16">
        <v>4203000000</v>
      </c>
      <c r="B7384" s="16">
        <v>0</v>
      </c>
      <c r="C7384" s="16" t="s">
        <v>3408</v>
      </c>
      <c r="D7384" s="16" t="s">
        <v>3403</v>
      </c>
    </row>
    <row r="7385" spans="1:4">
      <c r="A7385" s="16">
        <v>6700700000</v>
      </c>
      <c r="B7385" s="16">
        <v>0</v>
      </c>
      <c r="C7385" s="16" t="s">
        <v>3404</v>
      </c>
      <c r="D7385" s="16" t="s">
        <v>3409</v>
      </c>
    </row>
    <row r="7386" spans="1:4">
      <c r="A7386" s="16">
        <v>5010000000</v>
      </c>
      <c r="B7386" s="16">
        <v>0</v>
      </c>
      <c r="C7386" s="16" t="s">
        <v>3406</v>
      </c>
      <c r="D7386" s="16" t="s">
        <v>3411</v>
      </c>
    </row>
    <row r="7387" spans="1:4">
      <c r="A7387" s="16">
        <v>5010000000</v>
      </c>
      <c r="B7387" s="16">
        <v>0</v>
      </c>
      <c r="C7387" s="16" t="s">
        <v>3406</v>
      </c>
      <c r="D7387" s="16" t="s">
        <v>3411</v>
      </c>
    </row>
    <row r="7388" spans="1:4">
      <c r="A7388" s="16">
        <v>2500000000</v>
      </c>
      <c r="B7388" s="16">
        <v>0</v>
      </c>
      <c r="C7388" s="16" t="s">
        <v>3412</v>
      </c>
      <c r="D7388" s="16" t="s">
        <v>3403</v>
      </c>
    </row>
    <row r="7389" spans="1:4">
      <c r="A7389" s="16">
        <v>6030000000</v>
      </c>
      <c r="B7389" s="16">
        <v>30606</v>
      </c>
      <c r="C7389" s="16" t="s">
        <v>3432</v>
      </c>
      <c r="D7389" s="16" t="s">
        <v>3423</v>
      </c>
    </row>
    <row r="7390" spans="1:4">
      <c r="A7390" s="16">
        <v>6700600000</v>
      </c>
      <c r="B7390" s="16">
        <v>0</v>
      </c>
      <c r="C7390" s="16" t="s">
        <v>3404</v>
      </c>
      <c r="D7390" s="16" t="s">
        <v>3409</v>
      </c>
    </row>
    <row r="7391" spans="1:4">
      <c r="A7391" s="16">
        <v>2500000000</v>
      </c>
      <c r="B7391" s="16">
        <v>0</v>
      </c>
      <c r="C7391" s="16" t="s">
        <v>3412</v>
      </c>
      <c r="D7391" s="16" t="s">
        <v>3403</v>
      </c>
    </row>
    <row r="7392" spans="1:4">
      <c r="A7392" s="16">
        <v>6610100000</v>
      </c>
      <c r="B7392" s="16">
        <v>0</v>
      </c>
      <c r="C7392" s="16" t="s">
        <v>3413</v>
      </c>
      <c r="D7392" s="16" t="s">
        <v>3414</v>
      </c>
    </row>
    <row r="7393" spans="1:4">
      <c r="A7393" s="16">
        <v>2201200030</v>
      </c>
      <c r="B7393" s="16">
        <v>0</v>
      </c>
      <c r="C7393" s="16" t="s">
        <v>3415</v>
      </c>
      <c r="D7393" s="16" t="s">
        <v>3403</v>
      </c>
    </row>
    <row r="7394" spans="1:4">
      <c r="A7394" s="16">
        <v>6700000000</v>
      </c>
      <c r="B7394" s="16">
        <v>0</v>
      </c>
      <c r="C7394" s="16" t="s">
        <v>3404</v>
      </c>
      <c r="D7394" s="16" t="s">
        <v>3405</v>
      </c>
    </row>
    <row r="7395" spans="1:4">
      <c r="A7395" s="16">
        <v>2201200030</v>
      </c>
      <c r="B7395" s="16">
        <v>0</v>
      </c>
      <c r="C7395" s="16" t="s">
        <v>3415</v>
      </c>
      <c r="D7395" s="16" t="s">
        <v>3403</v>
      </c>
    </row>
    <row r="7396" spans="1:4">
      <c r="A7396" s="16">
        <v>6102000000</v>
      </c>
      <c r="B7396" s="16">
        <v>0</v>
      </c>
      <c r="C7396" s="16" t="s">
        <v>3425</v>
      </c>
      <c r="D7396" s="16" t="s">
        <v>3426</v>
      </c>
    </row>
    <row r="7397" spans="1:4">
      <c r="A7397" s="16">
        <v>6700200000</v>
      </c>
      <c r="B7397" s="16">
        <v>0</v>
      </c>
      <c r="C7397" s="16" t="s">
        <v>3404</v>
      </c>
      <c r="D7397" s="16" t="s">
        <v>3409</v>
      </c>
    </row>
    <row r="7398" spans="1:4">
      <c r="A7398" s="16">
        <v>6610100100</v>
      </c>
      <c r="B7398" s="16">
        <v>0</v>
      </c>
      <c r="C7398" s="16" t="s">
        <v>3413</v>
      </c>
      <c r="D7398" s="16" t="s">
        <v>3414</v>
      </c>
    </row>
    <row r="7399" spans="1:4">
      <c r="A7399" s="16">
        <v>3100000000</v>
      </c>
      <c r="B7399" s="16">
        <v>0</v>
      </c>
      <c r="C7399" s="16" t="s">
        <v>3402</v>
      </c>
      <c r="D7399" s="16" t="s">
        <v>3403</v>
      </c>
    </row>
    <row r="7400" spans="1:4">
      <c r="A7400" s="16">
        <v>3030000000</v>
      </c>
      <c r="B7400" s="16">
        <v>0</v>
      </c>
      <c r="C7400" s="16" t="s">
        <v>3402</v>
      </c>
      <c r="D7400" s="16" t="s">
        <v>3403</v>
      </c>
    </row>
    <row r="7401" spans="1:4">
      <c r="A7401" s="16">
        <v>6032000000</v>
      </c>
      <c r="B7401" s="16">
        <v>0</v>
      </c>
      <c r="C7401" s="16" t="s">
        <v>3429</v>
      </c>
      <c r="D7401" s="16" t="s">
        <v>3430</v>
      </c>
    </row>
    <row r="7402" spans="1:4">
      <c r="A7402" s="16">
        <v>5010100000</v>
      </c>
      <c r="B7402" s="16">
        <v>-1820244</v>
      </c>
      <c r="C7402" s="16" t="s">
        <v>3406</v>
      </c>
      <c r="D7402" s="16" t="s">
        <v>3407</v>
      </c>
    </row>
    <row r="7403" spans="1:4">
      <c r="A7403" s="16">
        <v>6100000000</v>
      </c>
      <c r="B7403" s="16">
        <v>1405113</v>
      </c>
      <c r="C7403" s="16" t="s">
        <v>3416</v>
      </c>
      <c r="D7403" s="16" t="s">
        <v>3417</v>
      </c>
    </row>
    <row r="7404" spans="1:4">
      <c r="A7404" s="16">
        <v>6700500000</v>
      </c>
      <c r="B7404" s="16">
        <v>0</v>
      </c>
      <c r="C7404" s="16" t="s">
        <v>3404</v>
      </c>
      <c r="D7404" s="16" t="s">
        <v>3405</v>
      </c>
    </row>
    <row r="7405" spans="1:4">
      <c r="A7405" s="16">
        <v>2201000000</v>
      </c>
      <c r="B7405" s="16">
        <v>0</v>
      </c>
      <c r="C7405" s="16" t="s">
        <v>3415</v>
      </c>
      <c r="D7405" s="16" t="s">
        <v>3403</v>
      </c>
    </row>
    <row r="7406" spans="1:4">
      <c r="A7406" s="16">
        <v>5010000000</v>
      </c>
      <c r="B7406" s="16">
        <v>0</v>
      </c>
      <c r="C7406" s="16" t="s">
        <v>3406</v>
      </c>
      <c r="D7406" s="16" t="s">
        <v>3411</v>
      </c>
    </row>
    <row r="7407" spans="1:4">
      <c r="A7407" s="16">
        <v>3030000000</v>
      </c>
      <c r="B7407" s="16">
        <v>-30606</v>
      </c>
      <c r="C7407" s="16" t="s">
        <v>3402</v>
      </c>
      <c r="D7407" s="16" t="s">
        <v>3403</v>
      </c>
    </row>
    <row r="7408" spans="1:4">
      <c r="A7408" s="16">
        <v>6700400000</v>
      </c>
      <c r="B7408" s="16">
        <v>0</v>
      </c>
      <c r="C7408" s="16" t="s">
        <v>3404</v>
      </c>
      <c r="D7408" s="16" t="s">
        <v>3405</v>
      </c>
    </row>
    <row r="7409" spans="1:4">
      <c r="A7409" s="16">
        <v>5010000010</v>
      </c>
      <c r="B7409" s="16">
        <v>0</v>
      </c>
      <c r="C7409" s="16" t="s">
        <v>3406</v>
      </c>
      <c r="D7409" s="16" t="s">
        <v>3411</v>
      </c>
    </row>
    <row r="7410" spans="1:4">
      <c r="A7410" s="16">
        <v>2500000000</v>
      </c>
      <c r="B7410" s="16">
        <v>0</v>
      </c>
      <c r="C7410" s="16" t="s">
        <v>3412</v>
      </c>
      <c r="D7410" s="16" t="s">
        <v>3403</v>
      </c>
    </row>
    <row r="7411" spans="1:4">
      <c r="A7411" s="16">
        <v>5010100000</v>
      </c>
      <c r="B7411" s="16">
        <v>0</v>
      </c>
      <c r="C7411" s="16" t="s">
        <v>3406</v>
      </c>
      <c r="D7411" s="16" t="s">
        <v>3407</v>
      </c>
    </row>
    <row r="7412" spans="1:4">
      <c r="A7412" s="16">
        <v>4203000000</v>
      </c>
      <c r="B7412" s="16">
        <v>0</v>
      </c>
      <c r="C7412" s="16" t="s">
        <v>3408</v>
      </c>
      <c r="D7412" s="16" t="s">
        <v>3403</v>
      </c>
    </row>
    <row r="7413" spans="1:4">
      <c r="A7413" s="16">
        <v>6700700000</v>
      </c>
      <c r="B7413" s="16">
        <v>0</v>
      </c>
      <c r="C7413" s="16" t="s">
        <v>3404</v>
      </c>
      <c r="D7413" s="16" t="s">
        <v>3409</v>
      </c>
    </row>
    <row r="7414" spans="1:4">
      <c r="A7414" s="16">
        <v>6610100000</v>
      </c>
      <c r="B7414" s="16">
        <v>4212289</v>
      </c>
      <c r="C7414" s="16" t="s">
        <v>3413</v>
      </c>
      <c r="D7414" s="16" t="s">
        <v>3414</v>
      </c>
    </row>
    <row r="7415" spans="1:4">
      <c r="A7415" s="16">
        <v>6700000000</v>
      </c>
      <c r="B7415" s="16">
        <v>0</v>
      </c>
      <c r="C7415" s="16" t="s">
        <v>3404</v>
      </c>
      <c r="D7415" s="16" t="s">
        <v>3405</v>
      </c>
    </row>
    <row r="7416" spans="1:4">
      <c r="A7416" s="16">
        <v>3032000000</v>
      </c>
      <c r="B7416" s="16">
        <v>0</v>
      </c>
      <c r="C7416" s="16" t="s">
        <v>3424</v>
      </c>
      <c r="D7416" s="16" t="s">
        <v>3403</v>
      </c>
    </row>
    <row r="7417" spans="1:4">
      <c r="A7417" s="16">
        <v>2500000000</v>
      </c>
      <c r="B7417" s="16">
        <v>0</v>
      </c>
      <c r="C7417" s="16" t="s">
        <v>3412</v>
      </c>
      <c r="D7417" s="16" t="s">
        <v>3403</v>
      </c>
    </row>
    <row r="7418" spans="1:4">
      <c r="A7418" s="16">
        <v>3100000000</v>
      </c>
      <c r="B7418" s="16">
        <v>-1405113</v>
      </c>
      <c r="C7418" s="16" t="s">
        <v>3402</v>
      </c>
      <c r="D7418" s="16" t="s">
        <v>3403</v>
      </c>
    </row>
    <row r="7419" spans="1:4">
      <c r="A7419" s="16">
        <v>6700600000</v>
      </c>
      <c r="B7419" s="16">
        <v>0</v>
      </c>
      <c r="C7419" s="16" t="s">
        <v>3404</v>
      </c>
      <c r="D7419" s="16" t="s">
        <v>3409</v>
      </c>
    </row>
    <row r="7420" spans="1:4">
      <c r="A7420" s="16">
        <v>6100000020</v>
      </c>
      <c r="B7420" s="16">
        <v>0</v>
      </c>
      <c r="C7420" s="16" t="s">
        <v>3416</v>
      </c>
      <c r="D7420" s="16" t="s">
        <v>3417</v>
      </c>
    </row>
    <row r="7421" spans="1:4">
      <c r="A7421" s="16">
        <v>6700200000</v>
      </c>
      <c r="B7421" s="16">
        <v>0</v>
      </c>
      <c r="C7421" s="16" t="s">
        <v>3404</v>
      </c>
      <c r="D7421" s="16" t="s">
        <v>3409</v>
      </c>
    </row>
    <row r="7422" spans="1:4">
      <c r="A7422" s="16">
        <v>3710000000</v>
      </c>
      <c r="B7422" s="16">
        <v>0</v>
      </c>
      <c r="C7422" s="16" t="s">
        <v>3402</v>
      </c>
      <c r="D7422" s="16" t="s">
        <v>3403</v>
      </c>
    </row>
    <row r="7423" spans="1:4">
      <c r="A7423" s="16">
        <v>5010000000</v>
      </c>
      <c r="B7423" s="16">
        <v>0</v>
      </c>
      <c r="C7423" s="16" t="s">
        <v>3406</v>
      </c>
      <c r="D7423" s="16" t="s">
        <v>3411</v>
      </c>
    </row>
    <row r="7424" spans="1:4">
      <c r="A7424" s="16">
        <v>6700200000</v>
      </c>
      <c r="B7424" s="16">
        <v>0</v>
      </c>
      <c r="C7424" s="16" t="s">
        <v>3404</v>
      </c>
      <c r="D7424" s="16" t="s">
        <v>3409</v>
      </c>
    </row>
    <row r="7425" spans="1:4">
      <c r="A7425" s="16">
        <v>6700200000</v>
      </c>
      <c r="B7425" s="16">
        <v>0</v>
      </c>
      <c r="C7425" s="16" t="s">
        <v>3404</v>
      </c>
      <c r="D7425" s="16" t="s">
        <v>3409</v>
      </c>
    </row>
    <row r="7426" spans="1:4">
      <c r="A7426" s="16">
        <v>6700500000</v>
      </c>
      <c r="B7426" s="16">
        <v>0</v>
      </c>
      <c r="C7426" s="16" t="s">
        <v>3404</v>
      </c>
      <c r="D7426" s="16" t="s">
        <v>3405</v>
      </c>
    </row>
    <row r="7427" spans="1:4">
      <c r="A7427" s="16">
        <v>5052010000</v>
      </c>
      <c r="B7427" s="16">
        <v>0</v>
      </c>
      <c r="C7427" s="16" t="s">
        <v>3406</v>
      </c>
      <c r="D7427" s="16" t="s">
        <v>3422</v>
      </c>
    </row>
    <row r="7428" spans="1:4">
      <c r="A7428" s="16">
        <v>4203000000</v>
      </c>
      <c r="B7428" s="16">
        <v>-4212289</v>
      </c>
      <c r="C7428" s="16" t="s">
        <v>3408</v>
      </c>
      <c r="D7428" s="16" t="s">
        <v>3403</v>
      </c>
    </row>
    <row r="7429" spans="1:4">
      <c r="A7429" s="16">
        <v>2500000000</v>
      </c>
      <c r="B7429" s="16">
        <v>46075</v>
      </c>
      <c r="C7429" s="16" t="s">
        <v>3412</v>
      </c>
      <c r="D7429" s="16" t="s">
        <v>3403</v>
      </c>
    </row>
    <row r="7430" spans="1:4">
      <c r="A7430" s="16">
        <v>6032000000</v>
      </c>
      <c r="B7430" s="16">
        <v>0</v>
      </c>
      <c r="C7430" s="16" t="s">
        <v>3429</v>
      </c>
      <c r="D7430" s="16" t="s">
        <v>3430</v>
      </c>
    </row>
    <row r="7431" spans="1:4">
      <c r="A7431" s="16">
        <v>2201400000</v>
      </c>
      <c r="B7431" s="16">
        <v>-767629</v>
      </c>
      <c r="C7431" s="16" t="s">
        <v>3415</v>
      </c>
      <c r="D7431" s="16" t="s">
        <v>3403</v>
      </c>
    </row>
    <row r="7432" spans="1:4">
      <c r="A7432" s="16">
        <v>6700200000</v>
      </c>
      <c r="B7432" s="16">
        <v>0</v>
      </c>
      <c r="C7432" s="16" t="s">
        <v>3404</v>
      </c>
      <c r="D7432" s="16" t="s">
        <v>3409</v>
      </c>
    </row>
    <row r="7433" spans="1:4">
      <c r="A7433" s="16">
        <v>6610100000</v>
      </c>
      <c r="B7433" s="16">
        <v>0</v>
      </c>
      <c r="C7433" s="16" t="s">
        <v>3413</v>
      </c>
      <c r="D7433" s="16" t="s">
        <v>3414</v>
      </c>
    </row>
    <row r="7434" spans="1:4">
      <c r="A7434" s="16">
        <v>6700200000</v>
      </c>
      <c r="B7434" s="16">
        <v>282290</v>
      </c>
      <c r="C7434" s="16" t="s">
        <v>3404</v>
      </c>
      <c r="D7434" s="16" t="s">
        <v>3409</v>
      </c>
    </row>
    <row r="7435" spans="1:4">
      <c r="A7435" s="16">
        <v>5010000000</v>
      </c>
      <c r="B7435" s="16">
        <v>0</v>
      </c>
      <c r="C7435" s="16" t="s">
        <v>3406</v>
      </c>
      <c r="D7435" s="16" t="s">
        <v>3411</v>
      </c>
    </row>
    <row r="7436" spans="1:4">
      <c r="A7436" s="16">
        <v>6700400000</v>
      </c>
      <c r="B7436" s="16">
        <v>0</v>
      </c>
      <c r="C7436" s="16" t="s">
        <v>3404</v>
      </c>
      <c r="D7436" s="16" t="s">
        <v>3405</v>
      </c>
    </row>
    <row r="7437" spans="1:4">
      <c r="A7437" s="16">
        <v>6610100000</v>
      </c>
      <c r="B7437" s="16">
        <v>499</v>
      </c>
      <c r="C7437" s="16" t="s">
        <v>3413</v>
      </c>
      <c r="D7437" s="16" t="s">
        <v>3414</v>
      </c>
    </row>
    <row r="7438" spans="1:4">
      <c r="A7438" s="16">
        <v>6700200000</v>
      </c>
      <c r="B7438" s="16">
        <v>0</v>
      </c>
      <c r="C7438" s="16" t="s">
        <v>3404</v>
      </c>
      <c r="D7438" s="16" t="s">
        <v>3409</v>
      </c>
    </row>
    <row r="7439" spans="1:4">
      <c r="A7439" s="16">
        <v>3810000000</v>
      </c>
      <c r="B7439" s="16">
        <v>0</v>
      </c>
      <c r="C7439" s="16" t="s">
        <v>3402</v>
      </c>
      <c r="D7439" s="16" t="s">
        <v>3403</v>
      </c>
    </row>
    <row r="7440" spans="1:4">
      <c r="A7440" s="16">
        <v>6700200000</v>
      </c>
      <c r="B7440" s="16">
        <v>0</v>
      </c>
      <c r="C7440" s="16" t="s">
        <v>3404</v>
      </c>
      <c r="D7440" s="16" t="s">
        <v>3409</v>
      </c>
    </row>
    <row r="7441" spans="1:4">
      <c r="A7441" s="16">
        <v>3032000000</v>
      </c>
      <c r="B7441" s="16">
        <v>0</v>
      </c>
      <c r="C7441" s="16" t="s">
        <v>3424</v>
      </c>
      <c r="D7441" s="16" t="s">
        <v>3403</v>
      </c>
    </row>
    <row r="7442" spans="1:4">
      <c r="A7442" s="16">
        <v>6700000000</v>
      </c>
      <c r="B7442" s="16">
        <v>0</v>
      </c>
      <c r="C7442" s="16" t="s">
        <v>3404</v>
      </c>
      <c r="D7442" s="16" t="s">
        <v>3405</v>
      </c>
    </row>
    <row r="7443" spans="1:4">
      <c r="A7443" s="16">
        <v>3102000000</v>
      </c>
      <c r="B7443" s="16">
        <v>0</v>
      </c>
      <c r="C7443" s="16" t="s">
        <v>3424</v>
      </c>
      <c r="D7443" s="16" t="s">
        <v>3403</v>
      </c>
    </row>
    <row r="7444" spans="1:4">
      <c r="A7444" s="16">
        <v>6700100000</v>
      </c>
      <c r="B7444" s="16">
        <v>0</v>
      </c>
      <c r="C7444" s="16" t="s">
        <v>3404</v>
      </c>
      <c r="D7444" s="16" t="s">
        <v>3410</v>
      </c>
    </row>
    <row r="7445" spans="1:4">
      <c r="A7445" s="16">
        <v>5052000000</v>
      </c>
      <c r="B7445" s="16">
        <v>0</v>
      </c>
      <c r="C7445" s="16" t="s">
        <v>3406</v>
      </c>
      <c r="D7445" s="16" t="s">
        <v>3422</v>
      </c>
    </row>
    <row r="7446" spans="1:4">
      <c r="A7446" s="16">
        <v>6610000000</v>
      </c>
      <c r="B7446" s="16">
        <v>0</v>
      </c>
      <c r="C7446" s="16" t="s">
        <v>3413</v>
      </c>
      <c r="D7446" s="16" t="s">
        <v>3418</v>
      </c>
    </row>
    <row r="7447" spans="1:4">
      <c r="A7447" s="16">
        <v>5010100000</v>
      </c>
      <c r="B7447" s="16">
        <v>-46075</v>
      </c>
      <c r="C7447" s="16" t="s">
        <v>3406</v>
      </c>
      <c r="D7447" s="16" t="s">
        <v>3407</v>
      </c>
    </row>
    <row r="7448" spans="1:4">
      <c r="A7448" s="16">
        <v>6700700000</v>
      </c>
      <c r="B7448" s="16">
        <v>767629</v>
      </c>
      <c r="C7448" s="16" t="s">
        <v>3404</v>
      </c>
      <c r="D7448" s="16" t="s">
        <v>3409</v>
      </c>
    </row>
    <row r="7449" spans="1:4">
      <c r="A7449" s="16">
        <v>6700100000</v>
      </c>
      <c r="B7449" s="16">
        <v>0</v>
      </c>
      <c r="C7449" s="16" t="s">
        <v>3404</v>
      </c>
      <c r="D7449" s="16" t="s">
        <v>3410</v>
      </c>
    </row>
    <row r="7450" spans="1:4">
      <c r="A7450" s="16">
        <v>3102000000</v>
      </c>
      <c r="B7450" s="16">
        <v>0</v>
      </c>
      <c r="C7450" s="16" t="s">
        <v>3424</v>
      </c>
      <c r="D7450" s="16" t="s">
        <v>3403</v>
      </c>
    </row>
    <row r="7451" spans="1:4">
      <c r="A7451" s="16">
        <v>4203000000</v>
      </c>
      <c r="B7451" s="16">
        <v>0</v>
      </c>
      <c r="C7451" s="16" t="s">
        <v>3408</v>
      </c>
      <c r="D7451" s="16" t="s">
        <v>3403</v>
      </c>
    </row>
    <row r="7452" spans="1:4">
      <c r="A7452" s="16">
        <v>2201200030</v>
      </c>
      <c r="B7452" s="16">
        <v>-282290</v>
      </c>
      <c r="C7452" s="16" t="s">
        <v>3415</v>
      </c>
      <c r="D7452" s="16" t="s">
        <v>3403</v>
      </c>
    </row>
    <row r="7453" spans="1:4">
      <c r="A7453" s="16">
        <v>6700700000</v>
      </c>
      <c r="B7453" s="16">
        <v>0</v>
      </c>
      <c r="C7453" s="16" t="s">
        <v>3404</v>
      </c>
      <c r="D7453" s="16" t="s">
        <v>3409</v>
      </c>
    </row>
    <row r="7454" spans="1:4">
      <c r="A7454" s="16">
        <v>4203000000</v>
      </c>
      <c r="B7454" s="16">
        <v>-499</v>
      </c>
      <c r="C7454" s="16" t="s">
        <v>3408</v>
      </c>
      <c r="D7454" s="16" t="s">
        <v>3403</v>
      </c>
    </row>
    <row r="7455" spans="1:4">
      <c r="A7455" s="16">
        <v>6700000000</v>
      </c>
      <c r="B7455" s="16">
        <v>0</v>
      </c>
      <c r="C7455" s="16" t="s">
        <v>3404</v>
      </c>
      <c r="D7455" s="16" t="s">
        <v>3405</v>
      </c>
    </row>
    <row r="7456" spans="1:4">
      <c r="A7456" s="16">
        <v>2500000000</v>
      </c>
      <c r="B7456" s="16">
        <v>3351</v>
      </c>
      <c r="C7456" s="16" t="s">
        <v>3412</v>
      </c>
      <c r="D7456" s="16" t="s">
        <v>3403</v>
      </c>
    </row>
    <row r="7457" spans="1:4">
      <c r="A7457" s="16">
        <v>6700000000</v>
      </c>
      <c r="B7457" s="16">
        <v>0</v>
      </c>
      <c r="C7457" s="16" t="s">
        <v>3404</v>
      </c>
      <c r="D7457" s="16" t="s">
        <v>3405</v>
      </c>
    </row>
    <row r="7458" spans="1:4">
      <c r="A7458" s="16">
        <v>5010100010</v>
      </c>
      <c r="B7458" s="16">
        <v>0</v>
      </c>
      <c r="C7458" s="16" t="s">
        <v>3406</v>
      </c>
      <c r="D7458" s="16" t="s">
        <v>3407</v>
      </c>
    </row>
    <row r="7459" spans="1:4">
      <c r="A7459" s="16">
        <v>6032000000</v>
      </c>
      <c r="B7459" s="16">
        <v>0</v>
      </c>
      <c r="C7459" s="16" t="s">
        <v>3429</v>
      </c>
      <c r="D7459" s="16" t="s">
        <v>3430</v>
      </c>
    </row>
    <row r="7460" spans="1:4">
      <c r="A7460" s="16">
        <v>6700200000</v>
      </c>
      <c r="B7460" s="16">
        <v>19295</v>
      </c>
      <c r="C7460" s="16" t="s">
        <v>3404</v>
      </c>
      <c r="D7460" s="16" t="s">
        <v>3409</v>
      </c>
    </row>
    <row r="7461" spans="1:4">
      <c r="A7461" s="16">
        <v>6102000000</v>
      </c>
      <c r="B7461" s="16">
        <v>0</v>
      </c>
      <c r="C7461" s="16" t="s">
        <v>3425</v>
      </c>
      <c r="D7461" s="16" t="s">
        <v>3426</v>
      </c>
    </row>
    <row r="7462" spans="1:4">
      <c r="A7462" s="16">
        <v>6104000000</v>
      </c>
      <c r="B7462" s="16">
        <v>0</v>
      </c>
      <c r="C7462" s="16" t="s">
        <v>3427</v>
      </c>
      <c r="D7462" s="16" t="s">
        <v>3417</v>
      </c>
    </row>
    <row r="7463" spans="1:4">
      <c r="A7463" s="16">
        <v>4203000000</v>
      </c>
      <c r="B7463" s="16">
        <v>0</v>
      </c>
      <c r="C7463" s="16" t="s">
        <v>3408</v>
      </c>
      <c r="D7463" s="16" t="s">
        <v>3403</v>
      </c>
    </row>
    <row r="7464" spans="1:4">
      <c r="A7464" s="16">
        <v>3102000000</v>
      </c>
      <c r="B7464" s="16">
        <v>0</v>
      </c>
      <c r="C7464" s="16" t="s">
        <v>3424</v>
      </c>
      <c r="D7464" s="16" t="s">
        <v>3403</v>
      </c>
    </row>
    <row r="7465" spans="1:4">
      <c r="A7465" s="16">
        <v>6102000000</v>
      </c>
      <c r="B7465" s="16">
        <v>0</v>
      </c>
      <c r="C7465" s="16" t="s">
        <v>3425</v>
      </c>
      <c r="D7465" s="16" t="s">
        <v>3426</v>
      </c>
    </row>
    <row r="7466" spans="1:4">
      <c r="A7466" s="16">
        <v>2500000000</v>
      </c>
      <c r="B7466" s="16">
        <v>0</v>
      </c>
      <c r="C7466" s="16" t="s">
        <v>3412</v>
      </c>
      <c r="D7466" s="16" t="s">
        <v>3403</v>
      </c>
    </row>
    <row r="7467" spans="1:4">
      <c r="A7467" s="16">
        <v>6700500000</v>
      </c>
      <c r="B7467" s="16">
        <v>0</v>
      </c>
      <c r="C7467" s="16" t="s">
        <v>3404</v>
      </c>
      <c r="D7467" s="16" t="s">
        <v>3405</v>
      </c>
    </row>
    <row r="7468" spans="1:4">
      <c r="A7468" s="16">
        <v>6700200000</v>
      </c>
      <c r="B7468" s="16">
        <v>0</v>
      </c>
      <c r="C7468" s="16" t="s">
        <v>3404</v>
      </c>
      <c r="D7468" s="16" t="s">
        <v>3409</v>
      </c>
    </row>
    <row r="7469" spans="1:4">
      <c r="A7469" s="16">
        <v>5010000000</v>
      </c>
      <c r="B7469" s="16">
        <v>-3351</v>
      </c>
      <c r="C7469" s="16" t="s">
        <v>3406</v>
      </c>
      <c r="D7469" s="16" t="s">
        <v>3411</v>
      </c>
    </row>
    <row r="7470" spans="1:4">
      <c r="A7470" s="16">
        <v>3710000000</v>
      </c>
      <c r="B7470" s="16">
        <v>0</v>
      </c>
      <c r="C7470" s="16" t="s">
        <v>3402</v>
      </c>
      <c r="D7470" s="16" t="s">
        <v>3403</v>
      </c>
    </row>
    <row r="7471" spans="1:4">
      <c r="A7471" s="16">
        <v>2500000000</v>
      </c>
      <c r="B7471" s="16">
        <v>0</v>
      </c>
      <c r="C7471" s="16" t="s">
        <v>3412</v>
      </c>
      <c r="D7471" s="16" t="s">
        <v>3403</v>
      </c>
    </row>
    <row r="7472" spans="1:4">
      <c r="A7472" s="16">
        <v>6700100000</v>
      </c>
      <c r="B7472" s="16">
        <v>-19295</v>
      </c>
      <c r="C7472" s="16" t="s">
        <v>3404</v>
      </c>
      <c r="D7472" s="16" t="s">
        <v>3410</v>
      </c>
    </row>
    <row r="7473" spans="1:4">
      <c r="A7473" s="16">
        <v>6610100000</v>
      </c>
      <c r="B7473" s="16">
        <v>0</v>
      </c>
      <c r="C7473" s="16" t="s">
        <v>3413</v>
      </c>
      <c r="D7473" s="16" t="s">
        <v>3414</v>
      </c>
    </row>
    <row r="7474" spans="1:4">
      <c r="A7474" s="16">
        <v>2750010000</v>
      </c>
      <c r="B7474" s="16">
        <v>0</v>
      </c>
      <c r="C7474" s="16" t="s">
        <v>3419</v>
      </c>
      <c r="D7474" s="16" t="s">
        <v>3403</v>
      </c>
    </row>
    <row r="7475" spans="1:4">
      <c r="A7475" s="16">
        <v>5050010000</v>
      </c>
      <c r="B7475" s="16">
        <v>0</v>
      </c>
      <c r="C7475" s="16" t="s">
        <v>3406</v>
      </c>
      <c r="D7475" s="16" t="s">
        <v>3422</v>
      </c>
    </row>
    <row r="7476" spans="1:4">
      <c r="A7476" s="16">
        <v>3103000000</v>
      </c>
      <c r="B7476" s="16">
        <v>0</v>
      </c>
      <c r="C7476" s="16" t="s">
        <v>3402</v>
      </c>
      <c r="D7476" s="16" t="s">
        <v>3403</v>
      </c>
    </row>
    <row r="7477" spans="1:4">
      <c r="A7477" s="16">
        <v>6102000000</v>
      </c>
      <c r="B7477" s="16">
        <v>0</v>
      </c>
      <c r="C7477" s="16" t="s">
        <v>3425</v>
      </c>
      <c r="D7477" s="16" t="s">
        <v>3426</v>
      </c>
    </row>
    <row r="7478" spans="1:4">
      <c r="A7478" s="16">
        <v>6700700000</v>
      </c>
      <c r="B7478" s="16">
        <v>0</v>
      </c>
      <c r="C7478" s="16" t="s">
        <v>3404</v>
      </c>
      <c r="D7478" s="16" t="s">
        <v>3409</v>
      </c>
    </row>
    <row r="7479" spans="1:4">
      <c r="A7479" s="16">
        <v>6100000000</v>
      </c>
      <c r="B7479" s="16">
        <v>0</v>
      </c>
      <c r="C7479" s="16" t="s">
        <v>3427</v>
      </c>
      <c r="D7479" s="16" t="s">
        <v>3417</v>
      </c>
    </row>
    <row r="7480" spans="1:4">
      <c r="A7480" s="16">
        <v>5010100000</v>
      </c>
      <c r="B7480" s="16">
        <v>0</v>
      </c>
      <c r="C7480" s="16" t="s">
        <v>3406</v>
      </c>
      <c r="D7480" s="16" t="s">
        <v>3407</v>
      </c>
    </row>
    <row r="7481" spans="1:4">
      <c r="A7481" s="16">
        <v>6700100000</v>
      </c>
      <c r="B7481" s="16">
        <v>0</v>
      </c>
      <c r="C7481" s="16" t="s">
        <v>3404</v>
      </c>
      <c r="D7481" s="16" t="s">
        <v>3410</v>
      </c>
    </row>
    <row r="7482" spans="1:4">
      <c r="A7482" s="16">
        <v>5010100000</v>
      </c>
      <c r="B7482" s="16">
        <v>0</v>
      </c>
      <c r="C7482" s="16" t="s">
        <v>3406</v>
      </c>
      <c r="D7482" s="16" t="s">
        <v>3407</v>
      </c>
    </row>
    <row r="7483" spans="1:4">
      <c r="A7483" s="16">
        <v>3102000000</v>
      </c>
      <c r="B7483" s="16">
        <v>0</v>
      </c>
      <c r="C7483" s="16" t="s">
        <v>3424</v>
      </c>
      <c r="D7483" s="16" t="s">
        <v>3403</v>
      </c>
    </row>
    <row r="7484" spans="1:4">
      <c r="A7484" s="16">
        <v>4203000000</v>
      </c>
      <c r="B7484" s="16">
        <v>0</v>
      </c>
      <c r="C7484" s="16" t="s">
        <v>3408</v>
      </c>
      <c r="D7484" s="16" t="s">
        <v>3403</v>
      </c>
    </row>
    <row r="7485" spans="1:4">
      <c r="A7485" s="16">
        <v>6610000100</v>
      </c>
      <c r="B7485" s="16">
        <v>0</v>
      </c>
      <c r="C7485" s="16" t="s">
        <v>3413</v>
      </c>
      <c r="D7485" s="16" t="s">
        <v>3418</v>
      </c>
    </row>
    <row r="7486" spans="1:4">
      <c r="A7486" s="16">
        <v>5050000000</v>
      </c>
      <c r="B7486" s="16">
        <v>0</v>
      </c>
      <c r="C7486" s="16" t="s">
        <v>3406</v>
      </c>
      <c r="D7486" s="16" t="s">
        <v>3422</v>
      </c>
    </row>
    <row r="7487" spans="1:4">
      <c r="A7487" s="16">
        <v>6700600000</v>
      </c>
      <c r="B7487" s="16">
        <v>0</v>
      </c>
      <c r="C7487" s="16" t="s">
        <v>3404</v>
      </c>
      <c r="D7487" s="16" t="s">
        <v>3409</v>
      </c>
    </row>
    <row r="7488" spans="1:4">
      <c r="A7488" s="16">
        <v>6700500000</v>
      </c>
      <c r="B7488" s="16">
        <v>0</v>
      </c>
      <c r="C7488" s="16" t="s">
        <v>3404</v>
      </c>
      <c r="D7488" s="16" t="s">
        <v>3405</v>
      </c>
    </row>
    <row r="7489" spans="1:4">
      <c r="A7489" s="16">
        <v>3100000000</v>
      </c>
      <c r="B7489" s="16">
        <v>0</v>
      </c>
      <c r="C7489" s="16" t="s">
        <v>3402</v>
      </c>
      <c r="D7489" s="16" t="s">
        <v>3403</v>
      </c>
    </row>
    <row r="7490" spans="1:4">
      <c r="A7490" s="16">
        <v>6100000020</v>
      </c>
      <c r="B7490" s="16">
        <v>0</v>
      </c>
      <c r="C7490" s="16" t="s">
        <v>3416</v>
      </c>
      <c r="D7490" s="16" t="s">
        <v>3417</v>
      </c>
    </row>
    <row r="7491" spans="1:4">
      <c r="A7491" s="16">
        <v>2750010000</v>
      </c>
      <c r="B7491" s="16">
        <v>0</v>
      </c>
      <c r="C7491" s="16" t="s">
        <v>3419</v>
      </c>
      <c r="D7491" s="16" t="s">
        <v>3403</v>
      </c>
    </row>
    <row r="7492" spans="1:4">
      <c r="A7492" s="16">
        <v>6030000000</v>
      </c>
      <c r="B7492" s="16">
        <v>29782</v>
      </c>
      <c r="C7492" s="16" t="s">
        <v>3420</v>
      </c>
      <c r="D7492" s="16" t="s">
        <v>3423</v>
      </c>
    </row>
    <row r="7493" spans="1:4">
      <c r="A7493" s="16">
        <v>6102000000</v>
      </c>
      <c r="B7493" s="16">
        <v>0</v>
      </c>
      <c r="C7493" s="16" t="s">
        <v>3425</v>
      </c>
      <c r="D7493" s="16" t="s">
        <v>3426</v>
      </c>
    </row>
    <row r="7494" spans="1:4">
      <c r="A7494" s="16">
        <v>6104001000</v>
      </c>
      <c r="B7494" s="16">
        <v>0</v>
      </c>
      <c r="C7494" s="16" t="s">
        <v>3416</v>
      </c>
      <c r="D7494" s="16" t="s">
        <v>3417</v>
      </c>
    </row>
    <row r="7495" spans="1:4">
      <c r="A7495" s="16">
        <v>3032000000</v>
      </c>
      <c r="B7495" s="16">
        <v>0</v>
      </c>
      <c r="C7495" s="16" t="s">
        <v>3424</v>
      </c>
      <c r="D7495" s="16" t="s">
        <v>3403</v>
      </c>
    </row>
    <row r="7496" spans="1:4">
      <c r="A7496" s="16">
        <v>6700400000</v>
      </c>
      <c r="B7496" s="16">
        <v>0</v>
      </c>
      <c r="C7496" s="16" t="s">
        <v>3404</v>
      </c>
      <c r="D7496" s="16" t="s">
        <v>3405</v>
      </c>
    </row>
    <row r="7497" spans="1:4">
      <c r="A7497" s="16">
        <v>6030000000</v>
      </c>
      <c r="B7497" s="16">
        <v>0</v>
      </c>
      <c r="C7497" s="16" t="s">
        <v>3420</v>
      </c>
      <c r="D7497" s="16" t="s">
        <v>3423</v>
      </c>
    </row>
    <row r="7498" spans="1:4">
      <c r="A7498" s="16">
        <v>6100000020</v>
      </c>
      <c r="B7498" s="16">
        <v>0</v>
      </c>
      <c r="C7498" s="16" t="s">
        <v>3416</v>
      </c>
      <c r="D7498" s="16" t="s">
        <v>3417</v>
      </c>
    </row>
    <row r="7499" spans="1:4">
      <c r="A7499" s="16">
        <v>3810000000</v>
      </c>
      <c r="B7499" s="16">
        <v>0</v>
      </c>
      <c r="C7499" s="16" t="s">
        <v>3402</v>
      </c>
      <c r="D7499" s="16" t="s">
        <v>3403</v>
      </c>
    </row>
    <row r="7500" spans="1:4">
      <c r="A7500" s="16">
        <v>6700200000</v>
      </c>
      <c r="B7500" s="16">
        <v>0</v>
      </c>
      <c r="C7500" s="16" t="s">
        <v>3404</v>
      </c>
      <c r="D7500" s="16" t="s">
        <v>3409</v>
      </c>
    </row>
    <row r="7501" spans="1:4">
      <c r="A7501" s="16">
        <v>6610000100</v>
      </c>
      <c r="B7501" s="16">
        <v>0</v>
      </c>
      <c r="C7501" s="16" t="s">
        <v>3413</v>
      </c>
      <c r="D7501" s="16" t="s">
        <v>3418</v>
      </c>
    </row>
    <row r="7502" spans="1:4">
      <c r="A7502" s="16">
        <v>3030000000</v>
      </c>
      <c r="B7502" s="16">
        <v>-29782</v>
      </c>
      <c r="C7502" s="16" t="s">
        <v>3402</v>
      </c>
      <c r="D7502" s="16" t="s">
        <v>3403</v>
      </c>
    </row>
    <row r="7503" spans="1:4">
      <c r="A7503" s="16">
        <v>6104000000</v>
      </c>
      <c r="B7503" s="16">
        <v>0</v>
      </c>
      <c r="C7503" s="16" t="s">
        <v>3416</v>
      </c>
      <c r="D7503" s="16" t="s">
        <v>3417</v>
      </c>
    </row>
    <row r="7504" spans="1:4">
      <c r="A7504" s="16">
        <v>6610000000</v>
      </c>
      <c r="B7504" s="16">
        <v>0</v>
      </c>
      <c r="C7504" s="16" t="s">
        <v>3413</v>
      </c>
      <c r="D7504" s="16" t="s">
        <v>3418</v>
      </c>
    </row>
    <row r="7505" spans="1:4">
      <c r="A7505" s="16">
        <v>3103001000</v>
      </c>
      <c r="B7505" s="16">
        <v>0</v>
      </c>
      <c r="C7505" s="16" t="s">
        <v>3402</v>
      </c>
      <c r="D7505" s="16" t="s">
        <v>3403</v>
      </c>
    </row>
    <row r="7506" spans="1:4">
      <c r="A7506" s="16">
        <v>6032000000</v>
      </c>
      <c r="B7506" s="16">
        <v>0</v>
      </c>
      <c r="C7506" s="16" t="s">
        <v>3429</v>
      </c>
      <c r="D7506" s="16" t="s">
        <v>3430</v>
      </c>
    </row>
    <row r="7507" spans="1:4">
      <c r="A7507" s="16">
        <v>2201000000</v>
      </c>
      <c r="B7507" s="16">
        <v>0</v>
      </c>
      <c r="C7507" s="16" t="s">
        <v>3415</v>
      </c>
      <c r="D7507" s="16" t="s">
        <v>3403</v>
      </c>
    </row>
    <row r="7508" spans="1:4">
      <c r="A7508" s="16">
        <v>6610000000</v>
      </c>
      <c r="B7508" s="16">
        <v>4884183</v>
      </c>
      <c r="C7508" s="16" t="s">
        <v>3413</v>
      </c>
      <c r="D7508" s="16" t="s">
        <v>3418</v>
      </c>
    </row>
    <row r="7509" spans="1:4">
      <c r="A7509" s="16">
        <v>5010000010</v>
      </c>
      <c r="B7509" s="16">
        <v>0</v>
      </c>
      <c r="C7509" s="16" t="s">
        <v>3406</v>
      </c>
      <c r="D7509" s="16" t="s">
        <v>3411</v>
      </c>
    </row>
    <row r="7510" spans="1:4">
      <c r="A7510" s="16">
        <v>3030000000</v>
      </c>
      <c r="B7510" s="16">
        <v>0</v>
      </c>
      <c r="C7510" s="16" t="s">
        <v>3402</v>
      </c>
      <c r="D7510" s="16" t="s">
        <v>3403</v>
      </c>
    </row>
    <row r="7511" spans="1:4">
      <c r="A7511" s="16">
        <v>6104000000</v>
      </c>
      <c r="B7511" s="16">
        <v>0</v>
      </c>
      <c r="C7511" s="16" t="s">
        <v>3416</v>
      </c>
      <c r="D7511" s="16" t="s">
        <v>3417</v>
      </c>
    </row>
    <row r="7512" spans="1:4">
      <c r="A7512" s="16">
        <v>3810000000</v>
      </c>
      <c r="B7512" s="16">
        <v>0</v>
      </c>
      <c r="C7512" s="16" t="s">
        <v>3402</v>
      </c>
      <c r="D7512" s="16" t="s">
        <v>3403</v>
      </c>
    </row>
    <row r="7513" spans="1:4">
      <c r="A7513" s="16">
        <v>6700000000</v>
      </c>
      <c r="B7513" s="16">
        <v>0</v>
      </c>
      <c r="C7513" s="16" t="s">
        <v>3404</v>
      </c>
      <c r="D7513" s="16" t="s">
        <v>3405</v>
      </c>
    </row>
    <row r="7514" spans="1:4">
      <c r="A7514" s="16">
        <v>3102000000</v>
      </c>
      <c r="B7514" s="16">
        <v>0</v>
      </c>
      <c r="C7514" s="16" t="s">
        <v>3424</v>
      </c>
      <c r="D7514" s="16" t="s">
        <v>3403</v>
      </c>
    </row>
    <row r="7515" spans="1:4">
      <c r="A7515" s="16">
        <v>2750010000</v>
      </c>
      <c r="B7515" s="16">
        <v>0</v>
      </c>
      <c r="C7515" s="16" t="s">
        <v>3419</v>
      </c>
      <c r="D7515" s="16" t="s">
        <v>3403</v>
      </c>
    </row>
    <row r="7516" spans="1:4">
      <c r="A7516" s="16">
        <v>6030000000</v>
      </c>
      <c r="B7516" s="16">
        <v>1503</v>
      </c>
      <c r="C7516" s="16" t="s">
        <v>3432</v>
      </c>
      <c r="D7516" s="16" t="s">
        <v>3423</v>
      </c>
    </row>
    <row r="7517" spans="1:4">
      <c r="A7517" s="16">
        <v>3103000000</v>
      </c>
      <c r="B7517" s="16">
        <v>0</v>
      </c>
      <c r="C7517" s="16" t="s">
        <v>3402</v>
      </c>
      <c r="D7517" s="16" t="s">
        <v>3403</v>
      </c>
    </row>
    <row r="7518" spans="1:4">
      <c r="A7518" s="16">
        <v>6100000020</v>
      </c>
      <c r="B7518" s="16">
        <v>0</v>
      </c>
      <c r="C7518" s="16" t="s">
        <v>3416</v>
      </c>
      <c r="D7518" s="16" t="s">
        <v>3417</v>
      </c>
    </row>
    <row r="7519" spans="1:4">
      <c r="A7519" s="16">
        <v>6700700000</v>
      </c>
      <c r="B7519" s="16">
        <v>0</v>
      </c>
      <c r="C7519" s="16" t="s">
        <v>3404</v>
      </c>
      <c r="D7519" s="16" t="s">
        <v>3409</v>
      </c>
    </row>
    <row r="7520" spans="1:4">
      <c r="A7520" s="16">
        <v>4203000000</v>
      </c>
      <c r="B7520" s="16">
        <v>0</v>
      </c>
      <c r="C7520" s="16" t="s">
        <v>3408</v>
      </c>
      <c r="D7520" s="16" t="s">
        <v>3403</v>
      </c>
    </row>
    <row r="7521" spans="1:4">
      <c r="A7521" s="16">
        <v>2500000000</v>
      </c>
      <c r="B7521" s="16">
        <v>0</v>
      </c>
      <c r="C7521" s="16" t="s">
        <v>3412</v>
      </c>
      <c r="D7521" s="16" t="s">
        <v>3403</v>
      </c>
    </row>
    <row r="7522" spans="1:4">
      <c r="A7522" s="16">
        <v>6700200000</v>
      </c>
      <c r="B7522" s="16">
        <v>0</v>
      </c>
      <c r="C7522" s="16" t="s">
        <v>3404</v>
      </c>
      <c r="D7522" s="16" t="s">
        <v>3409</v>
      </c>
    </row>
    <row r="7523" spans="1:4">
      <c r="A7523" s="16">
        <v>2201000000</v>
      </c>
      <c r="B7523" s="16">
        <v>434334</v>
      </c>
      <c r="C7523" s="16" t="s">
        <v>3415</v>
      </c>
      <c r="D7523" s="16" t="s">
        <v>3403</v>
      </c>
    </row>
    <row r="7524" spans="1:4">
      <c r="A7524" s="16">
        <v>6700200000</v>
      </c>
      <c r="B7524" s="16">
        <v>0</v>
      </c>
      <c r="C7524" s="16" t="s">
        <v>3404</v>
      </c>
      <c r="D7524" s="16" t="s">
        <v>3409</v>
      </c>
    </row>
    <row r="7525" spans="1:4">
      <c r="A7525" s="16">
        <v>6700200000</v>
      </c>
      <c r="B7525" s="16">
        <v>0</v>
      </c>
      <c r="C7525" s="16" t="s">
        <v>3404</v>
      </c>
      <c r="D7525" s="16" t="s">
        <v>3409</v>
      </c>
    </row>
    <row r="7526" spans="1:4">
      <c r="A7526" s="16">
        <v>4203000000</v>
      </c>
      <c r="B7526" s="16">
        <v>-4884183</v>
      </c>
      <c r="C7526" s="16" t="s">
        <v>3408</v>
      </c>
      <c r="D7526" s="16" t="s">
        <v>3403</v>
      </c>
    </row>
    <row r="7527" spans="1:4">
      <c r="A7527" s="16">
        <v>2201000030</v>
      </c>
      <c r="B7527" s="16">
        <v>691960</v>
      </c>
      <c r="C7527" s="16" t="s">
        <v>3415</v>
      </c>
      <c r="D7527" s="16" t="s">
        <v>3403</v>
      </c>
    </row>
    <row r="7528" spans="1:4">
      <c r="A7528" s="16">
        <v>6700200000</v>
      </c>
      <c r="B7528" s="16">
        <v>-691960</v>
      </c>
      <c r="C7528" s="16" t="s">
        <v>3404</v>
      </c>
      <c r="D7528" s="16" t="s">
        <v>3409</v>
      </c>
    </row>
    <row r="7529" spans="1:4">
      <c r="A7529" s="16">
        <v>6700200000</v>
      </c>
      <c r="B7529" s="16">
        <v>0</v>
      </c>
      <c r="C7529" s="16" t="s">
        <v>3404</v>
      </c>
      <c r="D7529" s="16" t="s">
        <v>3409</v>
      </c>
    </row>
    <row r="7530" spans="1:4">
      <c r="A7530" s="16">
        <v>6700100000</v>
      </c>
      <c r="B7530" s="16">
        <v>0</v>
      </c>
      <c r="C7530" s="16" t="s">
        <v>3404</v>
      </c>
      <c r="D7530" s="16" t="s">
        <v>3410</v>
      </c>
    </row>
    <row r="7531" spans="1:4">
      <c r="A7531" s="16">
        <v>5010000010</v>
      </c>
      <c r="B7531" s="16">
        <v>0</v>
      </c>
      <c r="C7531" s="16" t="s">
        <v>3406</v>
      </c>
      <c r="D7531" s="16" t="s">
        <v>3411</v>
      </c>
    </row>
    <row r="7532" spans="1:4">
      <c r="A7532" s="16">
        <v>3710000000</v>
      </c>
      <c r="B7532" s="16">
        <v>0</v>
      </c>
      <c r="C7532" s="16" t="s">
        <v>3402</v>
      </c>
      <c r="D7532" s="16" t="s">
        <v>3403</v>
      </c>
    </row>
    <row r="7533" spans="1:4">
      <c r="A7533" s="16">
        <v>5010100010</v>
      </c>
      <c r="B7533" s="16">
        <v>0</v>
      </c>
      <c r="C7533" s="16" t="s">
        <v>3406</v>
      </c>
      <c r="D7533" s="16" t="s">
        <v>3407</v>
      </c>
    </row>
    <row r="7534" spans="1:4">
      <c r="A7534" s="16">
        <v>3710000000</v>
      </c>
      <c r="B7534" s="16">
        <v>0</v>
      </c>
      <c r="C7534" s="16" t="s">
        <v>3402</v>
      </c>
      <c r="D7534" s="16" t="s">
        <v>3403</v>
      </c>
    </row>
    <row r="7535" spans="1:4">
      <c r="A7535" s="16">
        <v>3102000000</v>
      </c>
      <c r="B7535" s="16">
        <v>0</v>
      </c>
      <c r="C7535" s="16" t="s">
        <v>3424</v>
      </c>
      <c r="D7535" s="16" t="s">
        <v>3403</v>
      </c>
    </row>
    <row r="7536" spans="1:4">
      <c r="A7536" s="16">
        <v>6102000000</v>
      </c>
      <c r="B7536" s="16">
        <v>0</v>
      </c>
      <c r="C7536" s="16" t="s">
        <v>3425</v>
      </c>
      <c r="D7536" s="16" t="s">
        <v>3426</v>
      </c>
    </row>
    <row r="7537" spans="1:4">
      <c r="A7537" s="16">
        <v>6700600000</v>
      </c>
      <c r="B7537" s="16">
        <v>0</v>
      </c>
      <c r="C7537" s="16" t="s">
        <v>3404</v>
      </c>
      <c r="D7537" s="16" t="s">
        <v>3409</v>
      </c>
    </row>
    <row r="7538" spans="1:4">
      <c r="A7538" s="16">
        <v>6700400000</v>
      </c>
      <c r="B7538" s="16">
        <v>0</v>
      </c>
      <c r="C7538" s="16" t="s">
        <v>3404</v>
      </c>
      <c r="D7538" s="16" t="s">
        <v>3405</v>
      </c>
    </row>
    <row r="7539" spans="1:4">
      <c r="A7539" s="16">
        <v>6700200000</v>
      </c>
      <c r="B7539" s="16">
        <v>0</v>
      </c>
      <c r="C7539" s="16" t="s">
        <v>3404</v>
      </c>
      <c r="D7539" s="16" t="s">
        <v>3409</v>
      </c>
    </row>
    <row r="7540" spans="1:4">
      <c r="A7540" s="16">
        <v>6700000000</v>
      </c>
      <c r="B7540" s="16">
        <v>0</v>
      </c>
      <c r="C7540" s="16" t="s">
        <v>3404</v>
      </c>
      <c r="D7540" s="16" t="s">
        <v>3405</v>
      </c>
    </row>
    <row r="7541" spans="1:4">
      <c r="A7541" s="16">
        <v>2201400000</v>
      </c>
      <c r="B7541" s="16">
        <v>0</v>
      </c>
      <c r="C7541" s="16" t="s">
        <v>3415</v>
      </c>
      <c r="D7541" s="16" t="s">
        <v>3403</v>
      </c>
    </row>
    <row r="7542" spans="1:4">
      <c r="A7542" s="16">
        <v>6700700000</v>
      </c>
      <c r="B7542" s="16">
        <v>0</v>
      </c>
      <c r="C7542" s="16" t="s">
        <v>3404</v>
      </c>
      <c r="D7542" s="16" t="s">
        <v>3409</v>
      </c>
    </row>
    <row r="7543" spans="1:4">
      <c r="A7543" s="16">
        <v>6104001000</v>
      </c>
      <c r="B7543" s="16">
        <v>0</v>
      </c>
      <c r="C7543" s="16" t="s">
        <v>3427</v>
      </c>
      <c r="D7543" s="16" t="s">
        <v>3417</v>
      </c>
    </row>
    <row r="7544" spans="1:4">
      <c r="A7544" s="16">
        <v>3103001000</v>
      </c>
      <c r="B7544" s="16">
        <v>0</v>
      </c>
      <c r="C7544" s="16" t="s">
        <v>3402</v>
      </c>
      <c r="D7544" s="16" t="s">
        <v>3403</v>
      </c>
    </row>
    <row r="7545" spans="1:4">
      <c r="A7545" s="16">
        <v>5010100010</v>
      </c>
      <c r="B7545" s="16">
        <v>0</v>
      </c>
      <c r="C7545" s="16" t="s">
        <v>3406</v>
      </c>
      <c r="D7545" s="16" t="s">
        <v>3407</v>
      </c>
    </row>
    <row r="7546" spans="1:4">
      <c r="A7546" s="16">
        <v>3710000000</v>
      </c>
      <c r="B7546" s="16">
        <v>0</v>
      </c>
      <c r="C7546" s="16" t="s">
        <v>3402</v>
      </c>
      <c r="D7546" s="16" t="s">
        <v>3403</v>
      </c>
    </row>
    <row r="7547" spans="1:4">
      <c r="A7547" s="16">
        <v>6700700000</v>
      </c>
      <c r="B7547" s="16">
        <v>0</v>
      </c>
      <c r="C7547" s="16" t="s">
        <v>3404</v>
      </c>
      <c r="D7547" s="16" t="s">
        <v>3409</v>
      </c>
    </row>
    <row r="7548" spans="1:4">
      <c r="A7548" s="16">
        <v>6700500000</v>
      </c>
      <c r="B7548" s="16">
        <v>0</v>
      </c>
      <c r="C7548" s="16" t="s">
        <v>3404</v>
      </c>
      <c r="D7548" s="16" t="s">
        <v>3405</v>
      </c>
    </row>
    <row r="7549" spans="1:4">
      <c r="A7549" s="16">
        <v>6610000000</v>
      </c>
      <c r="B7549" s="16">
        <v>0</v>
      </c>
      <c r="C7549" s="16" t="s">
        <v>3413</v>
      </c>
      <c r="D7549" s="16" t="s">
        <v>3418</v>
      </c>
    </row>
    <row r="7550" spans="1:4">
      <c r="A7550" s="16">
        <v>4203000000</v>
      </c>
      <c r="B7550" s="16">
        <v>0</v>
      </c>
      <c r="C7550" s="16" t="s">
        <v>3408</v>
      </c>
      <c r="D7550" s="16" t="s">
        <v>3403</v>
      </c>
    </row>
    <row r="7551" spans="1:4">
      <c r="A7551" s="16">
        <v>2750010000</v>
      </c>
      <c r="B7551" s="16">
        <v>0</v>
      </c>
      <c r="C7551" s="16" t="s">
        <v>3419</v>
      </c>
      <c r="D7551" s="16" t="s">
        <v>3403</v>
      </c>
    </row>
    <row r="7552" spans="1:4">
      <c r="A7552" s="16">
        <v>6610000100</v>
      </c>
      <c r="B7552" s="16">
        <v>0</v>
      </c>
      <c r="C7552" s="16" t="s">
        <v>3413</v>
      </c>
      <c r="D7552" s="16" t="s">
        <v>3418</v>
      </c>
    </row>
    <row r="7553" spans="1:4">
      <c r="A7553" s="16">
        <v>2500000000</v>
      </c>
      <c r="B7553" s="16">
        <v>0</v>
      </c>
      <c r="C7553" s="16" t="s">
        <v>3412</v>
      </c>
      <c r="D7553" s="16" t="s">
        <v>3403</v>
      </c>
    </row>
    <row r="7554" spans="1:4">
      <c r="A7554" s="16">
        <v>5010000000</v>
      </c>
      <c r="B7554" s="16">
        <v>0</v>
      </c>
      <c r="C7554" s="16" t="s">
        <v>3406</v>
      </c>
      <c r="D7554" s="16" t="s">
        <v>3411</v>
      </c>
    </row>
    <row r="7555" spans="1:4">
      <c r="A7555" s="16">
        <v>5010100010</v>
      </c>
      <c r="B7555" s="16">
        <v>0</v>
      </c>
      <c r="C7555" s="16" t="s">
        <v>3406</v>
      </c>
      <c r="D7555" s="16" t="s">
        <v>3407</v>
      </c>
    </row>
    <row r="7556" spans="1:4">
      <c r="A7556" s="16">
        <v>3710000000</v>
      </c>
      <c r="B7556" s="16">
        <v>0</v>
      </c>
      <c r="C7556" s="16" t="s">
        <v>3402</v>
      </c>
      <c r="D7556" s="16" t="s">
        <v>3403</v>
      </c>
    </row>
    <row r="7557" spans="1:4">
      <c r="A7557" s="16">
        <v>6700600000</v>
      </c>
      <c r="B7557" s="16">
        <v>0</v>
      </c>
      <c r="C7557" s="16" t="s">
        <v>3404</v>
      </c>
      <c r="D7557" s="16" t="s">
        <v>3409</v>
      </c>
    </row>
    <row r="7558" spans="1:4">
      <c r="A7558" s="16">
        <v>6700400000</v>
      </c>
      <c r="B7558" s="16">
        <v>0</v>
      </c>
      <c r="C7558" s="16" t="s">
        <v>3404</v>
      </c>
      <c r="D7558" s="16" t="s">
        <v>3405</v>
      </c>
    </row>
    <row r="7559" spans="1:4">
      <c r="A7559" s="16">
        <v>6700700000</v>
      </c>
      <c r="B7559" s="16">
        <v>0</v>
      </c>
      <c r="C7559" s="16" t="s">
        <v>3404</v>
      </c>
      <c r="D7559" s="16" t="s">
        <v>3409</v>
      </c>
    </row>
    <row r="7560" spans="1:4">
      <c r="A7560" s="16">
        <v>6700500000</v>
      </c>
      <c r="B7560" s="16">
        <v>0</v>
      </c>
      <c r="C7560" s="16" t="s">
        <v>3404</v>
      </c>
      <c r="D7560" s="16" t="s">
        <v>3405</v>
      </c>
    </row>
    <row r="7561" spans="1:4">
      <c r="A7561" s="16">
        <v>6700200000</v>
      </c>
      <c r="B7561" s="16">
        <v>0</v>
      </c>
      <c r="C7561" s="16" t="s">
        <v>3404</v>
      </c>
      <c r="D7561" s="16" t="s">
        <v>3409</v>
      </c>
    </row>
    <row r="7562" spans="1:4">
      <c r="A7562" s="16">
        <v>6700100000</v>
      </c>
      <c r="B7562" s="16">
        <v>0</v>
      </c>
      <c r="C7562" s="16" t="s">
        <v>3404</v>
      </c>
      <c r="D7562" s="16" t="s">
        <v>3410</v>
      </c>
    </row>
    <row r="7563" spans="1:4">
      <c r="A7563" s="16">
        <v>3102000000</v>
      </c>
      <c r="B7563" s="16">
        <v>-154</v>
      </c>
      <c r="C7563" s="16" t="s">
        <v>3424</v>
      </c>
      <c r="D7563" s="16" t="s">
        <v>3403</v>
      </c>
    </row>
    <row r="7564" spans="1:4">
      <c r="A7564" s="16">
        <v>6102000000</v>
      </c>
      <c r="B7564" s="16">
        <v>154</v>
      </c>
      <c r="C7564" s="16" t="s">
        <v>3425</v>
      </c>
      <c r="D7564" s="16" t="s">
        <v>3426</v>
      </c>
    </row>
    <row r="7565" spans="1:4">
      <c r="A7565" s="16">
        <v>6700700000</v>
      </c>
      <c r="B7565" s="16">
        <v>0</v>
      </c>
      <c r="C7565" s="16" t="s">
        <v>3404</v>
      </c>
      <c r="D7565" s="16" t="s">
        <v>3409</v>
      </c>
    </row>
    <row r="7566" spans="1:4">
      <c r="A7566" s="16">
        <v>6700500000</v>
      </c>
      <c r="B7566" s="16">
        <v>0</v>
      </c>
      <c r="C7566" s="16" t="s">
        <v>3404</v>
      </c>
      <c r="D7566" s="16" t="s">
        <v>3405</v>
      </c>
    </row>
    <row r="7567" spans="1:4">
      <c r="A7567" s="16">
        <v>6610100000</v>
      </c>
      <c r="B7567" s="16">
        <v>0</v>
      </c>
      <c r="C7567" s="16" t="s">
        <v>3413</v>
      </c>
      <c r="D7567" s="16" t="s">
        <v>3414</v>
      </c>
    </row>
    <row r="7568" spans="1:4">
      <c r="A7568" s="16">
        <v>4203000000</v>
      </c>
      <c r="B7568" s="16">
        <v>0</v>
      </c>
      <c r="C7568" s="16" t="s">
        <v>3408</v>
      </c>
      <c r="D7568" s="16" t="s">
        <v>3403</v>
      </c>
    </row>
    <row r="7569" spans="1:4">
      <c r="A7569" s="16">
        <v>3102000000</v>
      </c>
      <c r="B7569" s="16">
        <v>0</v>
      </c>
      <c r="C7569" s="16" t="s">
        <v>3424</v>
      </c>
      <c r="D7569" s="16" t="s">
        <v>3403</v>
      </c>
    </row>
    <row r="7570" spans="1:4">
      <c r="A7570" s="16">
        <v>6102000000</v>
      </c>
      <c r="B7570" s="16">
        <v>0</v>
      </c>
      <c r="C7570" s="16" t="s">
        <v>3425</v>
      </c>
      <c r="D7570" s="16" t="s">
        <v>3426</v>
      </c>
    </row>
    <row r="7571" spans="1:4">
      <c r="A7571" s="16">
        <v>2500000000</v>
      </c>
      <c r="B7571" s="16">
        <v>5018738</v>
      </c>
      <c r="C7571" s="16" t="s">
        <v>3412</v>
      </c>
      <c r="D7571" s="16" t="s">
        <v>3403</v>
      </c>
    </row>
    <row r="7572" spans="1:4">
      <c r="A7572" s="16">
        <v>5010100000</v>
      </c>
      <c r="B7572" s="16">
        <v>-5018738</v>
      </c>
      <c r="C7572" s="16" t="s">
        <v>3406</v>
      </c>
      <c r="D7572" s="16" t="s">
        <v>3407</v>
      </c>
    </row>
    <row r="7573" spans="1:4">
      <c r="A7573" s="16">
        <v>6610100000</v>
      </c>
      <c r="B7573" s="16">
        <v>0</v>
      </c>
      <c r="C7573" s="16" t="s">
        <v>3413</v>
      </c>
      <c r="D7573" s="16" t="s">
        <v>3414</v>
      </c>
    </row>
    <row r="7574" spans="1:4">
      <c r="A7574" s="16">
        <v>4203000000</v>
      </c>
      <c r="B7574" s="16">
        <v>0</v>
      </c>
      <c r="C7574" s="16" t="s">
        <v>3408</v>
      </c>
      <c r="D7574" s="16" t="s">
        <v>3403</v>
      </c>
    </row>
    <row r="7575" spans="1:4">
      <c r="A7575" s="16">
        <v>5050000000</v>
      </c>
      <c r="B7575" s="16">
        <v>0</v>
      </c>
      <c r="C7575" s="16" t="s">
        <v>3406</v>
      </c>
      <c r="D7575" s="16" t="s">
        <v>3422</v>
      </c>
    </row>
    <row r="7576" spans="1:4">
      <c r="A7576" s="16">
        <v>3800000000</v>
      </c>
      <c r="B7576" s="16">
        <v>0</v>
      </c>
      <c r="C7576" s="16" t="s">
        <v>3402</v>
      </c>
      <c r="D7576" s="16" t="s">
        <v>3403</v>
      </c>
    </row>
    <row r="7577" spans="1:4">
      <c r="A7577" s="16">
        <v>6700200000</v>
      </c>
      <c r="B7577" s="16">
        <v>0</v>
      </c>
      <c r="C7577" s="16" t="s">
        <v>3404</v>
      </c>
      <c r="D7577" s="16" t="s">
        <v>3409</v>
      </c>
    </row>
    <row r="7578" spans="1:4">
      <c r="A7578" s="16">
        <v>6700000000</v>
      </c>
      <c r="B7578" s="16">
        <v>0</v>
      </c>
      <c r="C7578" s="16" t="s">
        <v>3404</v>
      </c>
      <c r="D7578" s="16" t="s">
        <v>3405</v>
      </c>
    </row>
    <row r="7579" spans="1:4">
      <c r="A7579" s="16">
        <v>2750010000</v>
      </c>
      <c r="B7579" s="16">
        <v>0</v>
      </c>
      <c r="C7579" s="16" t="s">
        <v>3419</v>
      </c>
      <c r="D7579" s="16" t="s">
        <v>3403</v>
      </c>
    </row>
    <row r="7580" spans="1:4">
      <c r="A7580" s="16">
        <v>6610100100</v>
      </c>
      <c r="B7580" s="16">
        <v>0</v>
      </c>
      <c r="C7580" s="16" t="s">
        <v>3413</v>
      </c>
      <c r="D7580" s="16" t="s">
        <v>3414</v>
      </c>
    </row>
    <row r="7581" spans="1:4">
      <c r="A7581" s="16">
        <v>2203000000</v>
      </c>
      <c r="B7581" s="16">
        <v>0</v>
      </c>
      <c r="C7581" s="16" t="s">
        <v>3415</v>
      </c>
      <c r="D7581" s="16" t="s">
        <v>3403</v>
      </c>
    </row>
    <row r="7582" spans="1:4">
      <c r="A7582" s="16">
        <v>6060110000</v>
      </c>
      <c r="B7582" s="16">
        <v>0</v>
      </c>
      <c r="C7582" s="16" t="s">
        <v>3420</v>
      </c>
      <c r="D7582" s="16" t="s">
        <v>3421</v>
      </c>
    </row>
    <row r="7583" spans="1:4">
      <c r="A7583" s="16">
        <v>2201000000</v>
      </c>
      <c r="B7583" s="16">
        <v>16056322</v>
      </c>
      <c r="C7583" s="16" t="s">
        <v>3415</v>
      </c>
      <c r="D7583" s="16" t="s">
        <v>3403</v>
      </c>
    </row>
    <row r="7584" spans="1:4">
      <c r="A7584" s="16">
        <v>6700200000</v>
      </c>
      <c r="B7584" s="16">
        <v>-16056322</v>
      </c>
      <c r="C7584" s="16" t="s">
        <v>3404</v>
      </c>
      <c r="D7584" s="16" t="s">
        <v>3409</v>
      </c>
    </row>
    <row r="7585" spans="1:4">
      <c r="A7585" s="16">
        <v>6700700000</v>
      </c>
      <c r="B7585" s="16">
        <v>0</v>
      </c>
      <c r="C7585" s="16" t="s">
        <v>3404</v>
      </c>
      <c r="D7585" s="16" t="s">
        <v>3409</v>
      </c>
    </row>
    <row r="7586" spans="1:4">
      <c r="A7586" s="16">
        <v>6700500000</v>
      </c>
      <c r="B7586" s="16">
        <v>0</v>
      </c>
      <c r="C7586" s="16" t="s">
        <v>3404</v>
      </c>
      <c r="D7586" s="16" t="s">
        <v>3405</v>
      </c>
    </row>
    <row r="7587" spans="1:4">
      <c r="A7587" s="16">
        <v>6700200000</v>
      </c>
      <c r="B7587" s="16">
        <v>0</v>
      </c>
      <c r="C7587" s="16" t="s">
        <v>3404</v>
      </c>
      <c r="D7587" s="16" t="s">
        <v>3409</v>
      </c>
    </row>
    <row r="7588" spans="1:4">
      <c r="A7588" s="16">
        <v>6700100000</v>
      </c>
      <c r="B7588" s="16">
        <v>0</v>
      </c>
      <c r="C7588" s="16" t="s">
        <v>3404</v>
      </c>
      <c r="D7588" s="16" t="s">
        <v>3410</v>
      </c>
    </row>
    <row r="7589" spans="1:4">
      <c r="A7589" s="16">
        <v>2201000000</v>
      </c>
      <c r="B7589" s="16">
        <v>0</v>
      </c>
      <c r="C7589" s="16" t="s">
        <v>3415</v>
      </c>
      <c r="D7589" s="16" t="s">
        <v>3403</v>
      </c>
    </row>
    <row r="7590" spans="1:4">
      <c r="A7590" s="16">
        <v>6700200000</v>
      </c>
      <c r="B7590" s="16">
        <v>0</v>
      </c>
      <c r="C7590" s="16" t="s">
        <v>3404</v>
      </c>
      <c r="D7590" s="16" t="s">
        <v>3409</v>
      </c>
    </row>
    <row r="7591" spans="1:4">
      <c r="A7591" s="16">
        <v>6700200000</v>
      </c>
      <c r="B7591" s="16">
        <v>0</v>
      </c>
      <c r="C7591" s="16" t="s">
        <v>3404</v>
      </c>
      <c r="D7591" s="16" t="s">
        <v>3409</v>
      </c>
    </row>
    <row r="7592" spans="1:4">
      <c r="A7592" s="16">
        <v>6700000000</v>
      </c>
      <c r="B7592" s="16">
        <v>0</v>
      </c>
      <c r="C7592" s="16" t="s">
        <v>3404</v>
      </c>
      <c r="D7592" s="16" t="s">
        <v>3405</v>
      </c>
    </row>
    <row r="7593" spans="1:4">
      <c r="A7593" s="16">
        <v>3102000000</v>
      </c>
      <c r="B7593" s="16">
        <v>0</v>
      </c>
      <c r="C7593" s="16" t="s">
        <v>3424</v>
      </c>
      <c r="D7593" s="16" t="s">
        <v>3403</v>
      </c>
    </row>
    <row r="7594" spans="1:4">
      <c r="A7594" s="16">
        <v>6102000000</v>
      </c>
      <c r="B7594" s="16">
        <v>0</v>
      </c>
      <c r="C7594" s="16" t="s">
        <v>3425</v>
      </c>
      <c r="D7594" s="16" t="s">
        <v>3426</v>
      </c>
    </row>
    <row r="7595" spans="1:4">
      <c r="A7595" s="16">
        <v>5010000010</v>
      </c>
      <c r="B7595" s="16">
        <v>0</v>
      </c>
      <c r="C7595" s="16" t="s">
        <v>3406</v>
      </c>
      <c r="D7595" s="16" t="s">
        <v>3411</v>
      </c>
    </row>
    <row r="7596" spans="1:4">
      <c r="A7596" s="16">
        <v>3710000000</v>
      </c>
      <c r="B7596" s="16">
        <v>0</v>
      </c>
      <c r="C7596" s="16" t="s">
        <v>3402</v>
      </c>
      <c r="D7596" s="16" t="s">
        <v>3403</v>
      </c>
    </row>
    <row r="7597" spans="1:4">
      <c r="A7597" s="16">
        <v>6610000000</v>
      </c>
      <c r="B7597" s="16">
        <v>0</v>
      </c>
      <c r="C7597" s="16" t="s">
        <v>3413</v>
      </c>
      <c r="D7597" s="16" t="s">
        <v>3418</v>
      </c>
    </row>
    <row r="7598" spans="1:4">
      <c r="A7598" s="16">
        <v>4203000000</v>
      </c>
      <c r="B7598" s="16">
        <v>0</v>
      </c>
      <c r="C7598" s="16" t="s">
        <v>3408</v>
      </c>
      <c r="D7598" s="16" t="s">
        <v>3403</v>
      </c>
    </row>
    <row r="7599" spans="1:4">
      <c r="A7599" s="16">
        <v>6100000020</v>
      </c>
      <c r="B7599" s="16">
        <v>1515870</v>
      </c>
      <c r="C7599" s="16" t="s">
        <v>3416</v>
      </c>
      <c r="D7599" s="16" t="s">
        <v>3417</v>
      </c>
    </row>
    <row r="7600" spans="1:4">
      <c r="A7600" s="16">
        <v>3810000000</v>
      </c>
      <c r="B7600" s="16">
        <v>-1515870</v>
      </c>
      <c r="C7600" s="16" t="s">
        <v>3402</v>
      </c>
      <c r="D7600" s="16" t="s">
        <v>3403</v>
      </c>
    </row>
    <row r="7601" spans="1:4">
      <c r="A7601" s="16">
        <v>4611000000</v>
      </c>
      <c r="B7601" s="16">
        <v>33217</v>
      </c>
      <c r="C7601" s="16" t="s">
        <v>3428</v>
      </c>
      <c r="D7601" s="16" t="s">
        <v>3403</v>
      </c>
    </row>
    <row r="7602" spans="1:4">
      <c r="A7602" s="16">
        <v>3800000010</v>
      </c>
      <c r="B7602" s="16">
        <v>-33217</v>
      </c>
      <c r="C7602" s="16" t="s">
        <v>3402</v>
      </c>
      <c r="D7602" s="16" t="s">
        <v>3403</v>
      </c>
    </row>
    <row r="7603" spans="1:4">
      <c r="A7603" s="16">
        <v>3102000000</v>
      </c>
      <c r="B7603" s="16">
        <v>0</v>
      </c>
      <c r="C7603" s="16" t="s">
        <v>3424</v>
      </c>
      <c r="D7603" s="16" t="s">
        <v>3403</v>
      </c>
    </row>
    <row r="7604" spans="1:4">
      <c r="A7604" s="16">
        <v>6102000000</v>
      </c>
      <c r="B7604" s="16">
        <v>0</v>
      </c>
      <c r="C7604" s="16" t="s">
        <v>3425</v>
      </c>
      <c r="D7604" s="16" t="s">
        <v>3426</v>
      </c>
    </row>
    <row r="7605" spans="1:4">
      <c r="A7605" s="16">
        <v>2500000000</v>
      </c>
      <c r="B7605" s="16">
        <v>0</v>
      </c>
      <c r="C7605" s="16" t="s">
        <v>3412</v>
      </c>
      <c r="D7605" s="16" t="s">
        <v>3403</v>
      </c>
    </row>
    <row r="7606" spans="1:4">
      <c r="A7606" s="16">
        <v>5010000000</v>
      </c>
      <c r="B7606" s="16">
        <v>0</v>
      </c>
      <c r="C7606" s="16" t="s">
        <v>3406</v>
      </c>
      <c r="D7606" s="16" t="s">
        <v>3411</v>
      </c>
    </row>
    <row r="7607" spans="1:4">
      <c r="A7607" s="16">
        <v>6030000000</v>
      </c>
      <c r="B7607" s="16">
        <v>0</v>
      </c>
      <c r="C7607" s="16" t="s">
        <v>3420</v>
      </c>
      <c r="D7607" s="16" t="s">
        <v>3423</v>
      </c>
    </row>
    <row r="7608" spans="1:4">
      <c r="A7608" s="16">
        <v>3030000000</v>
      </c>
      <c r="B7608" s="16">
        <v>0</v>
      </c>
      <c r="C7608" s="16" t="s">
        <v>3402</v>
      </c>
      <c r="D7608" s="16" t="s">
        <v>3403</v>
      </c>
    </row>
    <row r="7609" spans="1:4">
      <c r="A7609" s="16">
        <v>6700200000</v>
      </c>
      <c r="B7609" s="16">
        <v>0</v>
      </c>
      <c r="C7609" s="16" t="s">
        <v>3404</v>
      </c>
      <c r="D7609" s="16" t="s">
        <v>3409</v>
      </c>
    </row>
    <row r="7610" spans="1:4">
      <c r="A7610" s="16">
        <v>6700000000</v>
      </c>
      <c r="B7610" s="16">
        <v>0</v>
      </c>
      <c r="C7610" s="16" t="s">
        <v>3404</v>
      </c>
      <c r="D7610" s="16" t="s">
        <v>3405</v>
      </c>
    </row>
    <row r="7611" spans="1:4">
      <c r="A7611" s="16">
        <v>6100000020</v>
      </c>
      <c r="B7611" s="16">
        <v>0</v>
      </c>
      <c r="C7611" s="16" t="s">
        <v>3416</v>
      </c>
      <c r="D7611" s="16" t="s">
        <v>3417</v>
      </c>
    </row>
    <row r="7612" spans="1:4">
      <c r="A7612" s="16">
        <v>3810000000</v>
      </c>
      <c r="B7612" s="16">
        <v>0</v>
      </c>
      <c r="C7612" s="16" t="s">
        <v>3402</v>
      </c>
      <c r="D7612" s="16" t="s">
        <v>3403</v>
      </c>
    </row>
    <row r="7613" spans="1:4">
      <c r="A7613" s="16">
        <v>5052010000</v>
      </c>
      <c r="B7613" s="16">
        <v>0</v>
      </c>
      <c r="C7613" s="16" t="s">
        <v>3406</v>
      </c>
      <c r="D7613" s="16" t="s">
        <v>3422</v>
      </c>
    </row>
    <row r="7614" spans="1:4">
      <c r="A7614" s="16">
        <v>5052000000</v>
      </c>
      <c r="B7614" s="16">
        <v>0</v>
      </c>
      <c r="C7614" s="16" t="s">
        <v>3406</v>
      </c>
      <c r="D7614" s="16" t="s">
        <v>3422</v>
      </c>
    </row>
    <row r="7615" spans="1:4">
      <c r="A7615" s="16">
        <v>6100000000</v>
      </c>
      <c r="B7615" s="16">
        <v>0</v>
      </c>
      <c r="C7615" s="16" t="s">
        <v>3416</v>
      </c>
      <c r="D7615" s="16" t="s">
        <v>3417</v>
      </c>
    </row>
    <row r="7616" spans="1:4">
      <c r="A7616" s="16">
        <v>3100000000</v>
      </c>
      <c r="B7616" s="16">
        <v>0</v>
      </c>
      <c r="C7616" s="16" t="s">
        <v>3402</v>
      </c>
      <c r="D7616" s="16" t="s">
        <v>3403</v>
      </c>
    </row>
    <row r="7617" spans="1:4">
      <c r="A7617" s="16">
        <v>2500000000</v>
      </c>
      <c r="B7617" s="16">
        <v>0</v>
      </c>
      <c r="C7617" s="16" t="s">
        <v>3412</v>
      </c>
      <c r="D7617" s="16" t="s">
        <v>3403</v>
      </c>
    </row>
    <row r="7618" spans="1:4">
      <c r="A7618" s="16">
        <v>5010100000</v>
      </c>
      <c r="B7618" s="16">
        <v>0</v>
      </c>
      <c r="C7618" s="16" t="s">
        <v>3406</v>
      </c>
      <c r="D7618" s="16" t="s">
        <v>3407</v>
      </c>
    </row>
    <row r="7619" spans="1:4">
      <c r="A7619" s="16">
        <v>6700700000</v>
      </c>
      <c r="B7619" s="16">
        <v>0</v>
      </c>
      <c r="C7619" s="16" t="s">
        <v>3404</v>
      </c>
      <c r="D7619" s="16" t="s">
        <v>3409</v>
      </c>
    </row>
    <row r="7620" spans="1:4">
      <c r="A7620" s="16">
        <v>6700500000</v>
      </c>
      <c r="B7620" s="16">
        <v>0</v>
      </c>
      <c r="C7620" s="16" t="s">
        <v>3404</v>
      </c>
      <c r="D7620" s="16" t="s">
        <v>3405</v>
      </c>
    </row>
    <row r="7621" spans="1:4">
      <c r="A7621" s="16">
        <v>3102000000</v>
      </c>
      <c r="B7621" s="16">
        <v>0</v>
      </c>
      <c r="C7621" s="16" t="s">
        <v>3424</v>
      </c>
      <c r="D7621" s="16" t="s">
        <v>3403</v>
      </c>
    </row>
    <row r="7622" spans="1:4">
      <c r="A7622" s="16">
        <v>6102000000</v>
      </c>
      <c r="B7622" s="16">
        <v>0</v>
      </c>
      <c r="C7622" s="16" t="s">
        <v>3425</v>
      </c>
      <c r="D7622" s="16" t="s">
        <v>3426</v>
      </c>
    </row>
    <row r="7623" spans="1:4">
      <c r="A7623" s="16">
        <v>6100000000</v>
      </c>
      <c r="B7623" s="16">
        <v>3124165</v>
      </c>
      <c r="C7623" s="16" t="s">
        <v>3416</v>
      </c>
      <c r="D7623" s="16" t="s">
        <v>3417</v>
      </c>
    </row>
    <row r="7624" spans="1:4">
      <c r="A7624" s="16">
        <v>3100000000</v>
      </c>
      <c r="B7624" s="16">
        <v>-3124165</v>
      </c>
      <c r="C7624" s="16" t="s">
        <v>3402</v>
      </c>
      <c r="D7624" s="16" t="s">
        <v>3403</v>
      </c>
    </row>
    <row r="7625" spans="1:4">
      <c r="A7625" s="16">
        <v>6610100000</v>
      </c>
      <c r="B7625" s="16">
        <v>0</v>
      </c>
      <c r="C7625" s="16" t="s">
        <v>3413</v>
      </c>
      <c r="D7625" s="16" t="s">
        <v>3414</v>
      </c>
    </row>
    <row r="7626" spans="1:4">
      <c r="A7626" s="16">
        <v>4203000000</v>
      </c>
      <c r="B7626" s="16">
        <v>0</v>
      </c>
      <c r="C7626" s="16" t="s">
        <v>3408</v>
      </c>
      <c r="D7626" s="16" t="s">
        <v>3403</v>
      </c>
    </row>
    <row r="7627" spans="1:4">
      <c r="A7627" s="16">
        <v>6700200000</v>
      </c>
      <c r="B7627" s="16">
        <v>0</v>
      </c>
      <c r="C7627" s="16" t="s">
        <v>3404</v>
      </c>
      <c r="D7627" s="16" t="s">
        <v>3409</v>
      </c>
    </row>
    <row r="7628" spans="1:4">
      <c r="A7628" s="16">
        <v>2201200030</v>
      </c>
      <c r="B7628" s="16">
        <v>0</v>
      </c>
      <c r="C7628" s="16" t="s">
        <v>3415</v>
      </c>
      <c r="D7628" s="16" t="s">
        <v>3403</v>
      </c>
    </row>
    <row r="7629" spans="1:4">
      <c r="A7629" s="16">
        <v>6700200000</v>
      </c>
      <c r="B7629" s="16">
        <v>0</v>
      </c>
      <c r="C7629" s="16" t="s">
        <v>3404</v>
      </c>
      <c r="D7629" s="16" t="s">
        <v>3409</v>
      </c>
    </row>
    <row r="7630" spans="1:4">
      <c r="A7630" s="16">
        <v>6700000000</v>
      </c>
      <c r="B7630" s="16">
        <v>0</v>
      </c>
      <c r="C7630" s="16" t="s">
        <v>3404</v>
      </c>
      <c r="D7630" s="16" t="s">
        <v>3405</v>
      </c>
    </row>
    <row r="7631" spans="1:4">
      <c r="A7631" s="16">
        <v>3032000000</v>
      </c>
      <c r="B7631" s="16">
        <v>3</v>
      </c>
      <c r="C7631" s="16" t="s">
        <v>3424</v>
      </c>
      <c r="D7631" s="16" t="s">
        <v>3403</v>
      </c>
    </row>
    <row r="7632" spans="1:4">
      <c r="A7632" s="16">
        <v>6032000000</v>
      </c>
      <c r="B7632" s="16">
        <v>-3</v>
      </c>
      <c r="C7632" s="16" t="s">
        <v>3429</v>
      </c>
      <c r="D7632" s="16" t="s">
        <v>3430</v>
      </c>
    </row>
    <row r="7633" spans="1:4">
      <c r="A7633" s="16">
        <v>6030000000</v>
      </c>
      <c r="B7633" s="16">
        <v>0</v>
      </c>
      <c r="C7633" s="16" t="s">
        <v>3432</v>
      </c>
      <c r="D7633" s="16" t="s">
        <v>3423</v>
      </c>
    </row>
    <row r="7634" spans="1:4">
      <c r="A7634" s="16">
        <v>3030000000</v>
      </c>
      <c r="B7634" s="16">
        <v>0</v>
      </c>
      <c r="C7634" s="16" t="s">
        <v>3402</v>
      </c>
      <c r="D7634" s="16" t="s">
        <v>3403</v>
      </c>
    </row>
    <row r="7635" spans="1:4">
      <c r="A7635" s="16">
        <v>3102000000</v>
      </c>
      <c r="B7635" s="16">
        <v>0</v>
      </c>
      <c r="C7635" s="16" t="s">
        <v>3424</v>
      </c>
      <c r="D7635" s="16" t="s">
        <v>3403</v>
      </c>
    </row>
    <row r="7636" spans="1:4">
      <c r="A7636" s="16">
        <v>6102000000</v>
      </c>
      <c r="B7636" s="16">
        <v>0</v>
      </c>
      <c r="C7636" s="16" t="s">
        <v>3425</v>
      </c>
      <c r="D7636" s="16" t="s">
        <v>3426</v>
      </c>
    </row>
    <row r="7637" spans="1:4">
      <c r="A7637" s="16">
        <v>6104000000</v>
      </c>
      <c r="B7637" s="16">
        <v>7731347</v>
      </c>
      <c r="C7637" s="16" t="s">
        <v>3427</v>
      </c>
      <c r="D7637" s="16" t="s">
        <v>3417</v>
      </c>
    </row>
    <row r="7638" spans="1:4">
      <c r="A7638" s="16">
        <v>3103000000</v>
      </c>
      <c r="B7638" s="16">
        <v>-7731347</v>
      </c>
      <c r="C7638" s="16" t="s">
        <v>3402</v>
      </c>
      <c r="D7638" s="16" t="s">
        <v>3403</v>
      </c>
    </row>
    <row r="7639" spans="1:4">
      <c r="A7639" s="16">
        <v>6104000000</v>
      </c>
      <c r="B7639" s="16">
        <v>0</v>
      </c>
      <c r="C7639" s="16" t="s">
        <v>3427</v>
      </c>
      <c r="D7639" s="16" t="s">
        <v>3417</v>
      </c>
    </row>
    <row r="7640" spans="1:4">
      <c r="A7640" s="16">
        <v>3103000000</v>
      </c>
      <c r="B7640" s="16">
        <v>0</v>
      </c>
      <c r="C7640" s="16" t="s">
        <v>3402</v>
      </c>
      <c r="D7640" s="16" t="s">
        <v>3403</v>
      </c>
    </row>
    <row r="7641" spans="1:4">
      <c r="A7641" s="16">
        <v>2500000000</v>
      </c>
      <c r="B7641" s="16">
        <v>83</v>
      </c>
      <c r="C7641" s="16" t="s">
        <v>3412</v>
      </c>
      <c r="D7641" s="16" t="s">
        <v>3403</v>
      </c>
    </row>
    <row r="7642" spans="1:4">
      <c r="A7642" s="16">
        <v>5010000000</v>
      </c>
      <c r="B7642" s="16">
        <v>-83</v>
      </c>
      <c r="C7642" s="16" t="s">
        <v>3406</v>
      </c>
      <c r="D7642" s="16" t="s">
        <v>3411</v>
      </c>
    </row>
    <row r="7643" spans="1:4">
      <c r="A7643" s="16">
        <v>6700700000</v>
      </c>
      <c r="B7643" s="16">
        <v>0</v>
      </c>
      <c r="C7643" s="16" t="s">
        <v>3404</v>
      </c>
      <c r="D7643" s="16" t="s">
        <v>3409</v>
      </c>
    </row>
    <row r="7644" spans="1:4">
      <c r="A7644" s="16">
        <v>6700500000</v>
      </c>
      <c r="B7644" s="16">
        <v>0</v>
      </c>
      <c r="C7644" s="16" t="s">
        <v>3404</v>
      </c>
      <c r="D7644" s="16" t="s">
        <v>3405</v>
      </c>
    </row>
    <row r="7645" spans="1:4">
      <c r="A7645" s="16">
        <v>6700200000</v>
      </c>
      <c r="B7645" s="16">
        <v>0</v>
      </c>
      <c r="C7645" s="16" t="s">
        <v>3404</v>
      </c>
      <c r="D7645" s="16" t="s">
        <v>3409</v>
      </c>
    </row>
    <row r="7646" spans="1:4">
      <c r="A7646" s="16">
        <v>6700100000</v>
      </c>
      <c r="B7646" s="16">
        <v>0</v>
      </c>
      <c r="C7646" s="16" t="s">
        <v>3404</v>
      </c>
      <c r="D7646" s="16" t="s">
        <v>3410</v>
      </c>
    </row>
    <row r="7647" spans="1:4">
      <c r="A7647" s="16">
        <v>6610100000</v>
      </c>
      <c r="B7647" s="16">
        <v>3286</v>
      </c>
      <c r="C7647" s="16" t="s">
        <v>3413</v>
      </c>
      <c r="D7647" s="16" t="s">
        <v>3414</v>
      </c>
    </row>
    <row r="7648" spans="1:4">
      <c r="A7648" s="16">
        <v>4203000000</v>
      </c>
      <c r="B7648" s="16">
        <v>-3286</v>
      </c>
      <c r="C7648" s="16" t="s">
        <v>3408</v>
      </c>
      <c r="D7648" s="16" t="s">
        <v>3403</v>
      </c>
    </row>
    <row r="7649" spans="1:4">
      <c r="A7649" s="16">
        <v>2201000030</v>
      </c>
      <c r="B7649" s="16">
        <v>0</v>
      </c>
      <c r="C7649" s="16" t="s">
        <v>3415</v>
      </c>
      <c r="D7649" s="16" t="s">
        <v>3403</v>
      </c>
    </row>
    <row r="7650" spans="1:4">
      <c r="A7650" s="16">
        <v>6700200000</v>
      </c>
      <c r="B7650" s="16">
        <v>0</v>
      </c>
      <c r="C7650" s="16" t="s">
        <v>3404</v>
      </c>
      <c r="D7650" s="16" t="s">
        <v>3409</v>
      </c>
    </row>
    <row r="7651" spans="1:4">
      <c r="A7651" s="16">
        <v>6700200000</v>
      </c>
      <c r="B7651" s="16">
        <v>0</v>
      </c>
      <c r="C7651" s="16" t="s">
        <v>3404</v>
      </c>
      <c r="D7651" s="16" t="s">
        <v>3409</v>
      </c>
    </row>
    <row r="7652" spans="1:4">
      <c r="A7652" s="16">
        <v>6700000000</v>
      </c>
      <c r="B7652" s="16">
        <v>0</v>
      </c>
      <c r="C7652" s="16" t="s">
        <v>3404</v>
      </c>
      <c r="D7652" s="16" t="s">
        <v>3405</v>
      </c>
    </row>
    <row r="7653" spans="1:4">
      <c r="A7653" s="16">
        <v>6700600000</v>
      </c>
      <c r="B7653" s="16">
        <v>0</v>
      </c>
      <c r="C7653" s="16" t="s">
        <v>3404</v>
      </c>
      <c r="D7653" s="16" t="s">
        <v>3409</v>
      </c>
    </row>
    <row r="7654" spans="1:4">
      <c r="A7654" s="16">
        <v>6700400000</v>
      </c>
      <c r="B7654" s="16">
        <v>0</v>
      </c>
      <c r="C7654" s="16" t="s">
        <v>3404</v>
      </c>
      <c r="D7654" s="16" t="s">
        <v>3405</v>
      </c>
    </row>
    <row r="7655" spans="1:4">
      <c r="A7655" s="16">
        <v>2500000000</v>
      </c>
      <c r="B7655" s="16">
        <v>0</v>
      </c>
      <c r="C7655" s="16" t="s">
        <v>3412</v>
      </c>
      <c r="D7655" s="16" t="s">
        <v>3403</v>
      </c>
    </row>
    <row r="7656" spans="1:4">
      <c r="A7656" s="16">
        <v>5010000000</v>
      </c>
      <c r="B7656" s="16">
        <v>0</v>
      </c>
      <c r="C7656" s="16" t="s">
        <v>3406</v>
      </c>
      <c r="D7656" s="16" t="s">
        <v>3411</v>
      </c>
    </row>
    <row r="7657" spans="1:4">
      <c r="A7657" s="16">
        <v>2201000000</v>
      </c>
      <c r="B7657" s="16">
        <v>2589150</v>
      </c>
      <c r="C7657" s="16" t="s">
        <v>3415</v>
      </c>
      <c r="D7657" s="16" t="s">
        <v>3403</v>
      </c>
    </row>
    <row r="7658" spans="1:4">
      <c r="A7658" s="16">
        <v>6700200000</v>
      </c>
      <c r="B7658" s="16">
        <v>-2589150</v>
      </c>
      <c r="C7658" s="16" t="s">
        <v>3404</v>
      </c>
      <c r="D7658" s="16" t="s">
        <v>3409</v>
      </c>
    </row>
    <row r="7659" spans="1:4">
      <c r="A7659" s="16">
        <v>6700200000</v>
      </c>
      <c r="B7659" s="16">
        <v>0</v>
      </c>
      <c r="C7659" s="16" t="s">
        <v>3404</v>
      </c>
      <c r="D7659" s="16" t="s">
        <v>3409</v>
      </c>
    </row>
    <row r="7660" spans="1:4">
      <c r="A7660" s="16">
        <v>6700100000</v>
      </c>
      <c r="B7660" s="16">
        <v>0</v>
      </c>
      <c r="C7660" s="16" t="s">
        <v>3404</v>
      </c>
      <c r="D7660" s="16" t="s">
        <v>3410</v>
      </c>
    </row>
    <row r="7661" spans="1:4">
      <c r="A7661" s="16">
        <v>2500000000</v>
      </c>
      <c r="B7661" s="16">
        <v>25295</v>
      </c>
      <c r="C7661" s="16" t="s">
        <v>3412</v>
      </c>
      <c r="D7661" s="16" t="s">
        <v>3403</v>
      </c>
    </row>
    <row r="7662" spans="1:4">
      <c r="A7662" s="16">
        <v>5010100000</v>
      </c>
      <c r="B7662" s="16">
        <v>-25295</v>
      </c>
      <c r="C7662" s="16" t="s">
        <v>3406</v>
      </c>
      <c r="D7662" s="16" t="s">
        <v>3407</v>
      </c>
    </row>
    <row r="7663" spans="1:4">
      <c r="A7663" s="16">
        <v>6610100000</v>
      </c>
      <c r="B7663" s="16">
        <v>0</v>
      </c>
      <c r="C7663" s="16" t="s">
        <v>3413</v>
      </c>
      <c r="D7663" s="16" t="s">
        <v>3414</v>
      </c>
    </row>
    <row r="7664" spans="1:4">
      <c r="A7664" s="16">
        <v>3102000000</v>
      </c>
      <c r="B7664" s="16">
        <v>0</v>
      </c>
      <c r="C7664" s="16" t="s">
        <v>3424</v>
      </c>
      <c r="D7664" s="16" t="s">
        <v>3403</v>
      </c>
    </row>
    <row r="7665" spans="1:4">
      <c r="A7665" s="16">
        <v>6700200000</v>
      </c>
      <c r="B7665" s="16">
        <v>-725720</v>
      </c>
      <c r="C7665" s="16" t="s">
        <v>3404</v>
      </c>
      <c r="D7665" s="16" t="s">
        <v>3409</v>
      </c>
    </row>
    <row r="7666" spans="1:4">
      <c r="A7666" s="16">
        <v>5010100010</v>
      </c>
      <c r="B7666" s="16">
        <v>0</v>
      </c>
      <c r="C7666" s="16" t="s">
        <v>3406</v>
      </c>
      <c r="D7666" s="16" t="s">
        <v>3407</v>
      </c>
    </row>
    <row r="7667" spans="1:4">
      <c r="A7667" s="16">
        <v>6100000000</v>
      </c>
      <c r="B7667" s="16">
        <v>0</v>
      </c>
      <c r="C7667" s="16" t="s">
        <v>3416</v>
      </c>
      <c r="D7667" s="16" t="s">
        <v>3417</v>
      </c>
    </row>
    <row r="7668" spans="1:4">
      <c r="A7668" s="16">
        <v>3032000000</v>
      </c>
      <c r="B7668" s="16">
        <v>0</v>
      </c>
      <c r="C7668" s="16" t="s">
        <v>3424</v>
      </c>
      <c r="D7668" s="16" t="s">
        <v>3403</v>
      </c>
    </row>
    <row r="7669" spans="1:4">
      <c r="A7669" s="16">
        <v>5050010000</v>
      </c>
      <c r="B7669" s="16">
        <v>0</v>
      </c>
      <c r="C7669" s="16" t="s">
        <v>3406</v>
      </c>
      <c r="D7669" s="16" t="s">
        <v>3422</v>
      </c>
    </row>
    <row r="7670" spans="1:4">
      <c r="A7670" s="16">
        <v>6700200000</v>
      </c>
      <c r="B7670" s="16">
        <v>0</v>
      </c>
      <c r="C7670" s="16" t="s">
        <v>3404</v>
      </c>
      <c r="D7670" s="16" t="s">
        <v>3409</v>
      </c>
    </row>
    <row r="7671" spans="1:4">
      <c r="A7671" s="16">
        <v>6100000000</v>
      </c>
      <c r="B7671" s="16">
        <v>0</v>
      </c>
      <c r="C7671" s="16" t="s">
        <v>3427</v>
      </c>
      <c r="D7671" s="16" t="s">
        <v>3417</v>
      </c>
    </row>
    <row r="7672" spans="1:4">
      <c r="A7672" s="16">
        <v>6700200000</v>
      </c>
      <c r="B7672" s="16">
        <v>0</v>
      </c>
      <c r="C7672" s="16" t="s">
        <v>3404</v>
      </c>
      <c r="D7672" s="16" t="s">
        <v>3409</v>
      </c>
    </row>
    <row r="7673" spans="1:4">
      <c r="A7673" s="16">
        <v>6700600000</v>
      </c>
      <c r="B7673" s="16">
        <v>0</v>
      </c>
      <c r="C7673" s="16" t="s">
        <v>3404</v>
      </c>
      <c r="D7673" s="16" t="s">
        <v>3409</v>
      </c>
    </row>
    <row r="7674" spans="1:4">
      <c r="A7674" s="16">
        <v>4203000000</v>
      </c>
      <c r="B7674" s="16">
        <v>0</v>
      </c>
      <c r="C7674" s="16" t="s">
        <v>3408</v>
      </c>
      <c r="D7674" s="16" t="s">
        <v>3403</v>
      </c>
    </row>
    <row r="7675" spans="1:4">
      <c r="A7675" s="16">
        <v>6102000000</v>
      </c>
      <c r="B7675" s="16">
        <v>0</v>
      </c>
      <c r="C7675" s="16" t="s">
        <v>3425</v>
      </c>
      <c r="D7675" s="16" t="s">
        <v>3426</v>
      </c>
    </row>
    <row r="7676" spans="1:4">
      <c r="A7676" s="16">
        <v>2201200030</v>
      </c>
      <c r="B7676" s="16">
        <v>725720</v>
      </c>
      <c r="C7676" s="16" t="s">
        <v>3415</v>
      </c>
      <c r="D7676" s="16" t="s">
        <v>3403</v>
      </c>
    </row>
    <row r="7677" spans="1:4">
      <c r="A7677" s="16">
        <v>3710000000</v>
      </c>
      <c r="B7677" s="16">
        <v>0</v>
      </c>
      <c r="C7677" s="16" t="s">
        <v>3402</v>
      </c>
      <c r="D7677" s="16" t="s">
        <v>3403</v>
      </c>
    </row>
    <row r="7678" spans="1:4">
      <c r="A7678" s="16">
        <v>3100000000</v>
      </c>
      <c r="B7678" s="16">
        <v>0</v>
      </c>
      <c r="C7678" s="16" t="s">
        <v>3402</v>
      </c>
      <c r="D7678" s="16" t="s">
        <v>3403</v>
      </c>
    </row>
    <row r="7679" spans="1:4">
      <c r="A7679" s="16">
        <v>6032000000</v>
      </c>
      <c r="B7679" s="16">
        <v>0</v>
      </c>
      <c r="C7679" s="16" t="s">
        <v>3429</v>
      </c>
      <c r="D7679" s="16" t="s">
        <v>3430</v>
      </c>
    </row>
    <row r="7680" spans="1:4">
      <c r="A7680" s="16">
        <v>5050000000</v>
      </c>
      <c r="B7680" s="16">
        <v>0</v>
      </c>
      <c r="C7680" s="16" t="s">
        <v>3406</v>
      </c>
      <c r="D7680" s="16" t="s">
        <v>3422</v>
      </c>
    </row>
    <row r="7681" spans="1:4">
      <c r="A7681" s="16">
        <v>6700100000</v>
      </c>
      <c r="B7681" s="16">
        <v>0</v>
      </c>
      <c r="C7681" s="16" t="s">
        <v>3404</v>
      </c>
      <c r="D7681" s="16" t="s">
        <v>3410</v>
      </c>
    </row>
    <row r="7682" spans="1:4">
      <c r="A7682" s="16">
        <v>3100000000</v>
      </c>
      <c r="B7682" s="16">
        <v>0</v>
      </c>
      <c r="C7682" s="16" t="s">
        <v>3402</v>
      </c>
      <c r="D7682" s="16" t="s">
        <v>3403</v>
      </c>
    </row>
    <row r="7683" spans="1:4">
      <c r="A7683" s="16">
        <v>6700000000</v>
      </c>
      <c r="B7683" s="16">
        <v>0</v>
      </c>
      <c r="C7683" s="16" t="s">
        <v>3404</v>
      </c>
      <c r="D7683" s="16" t="s">
        <v>3405</v>
      </c>
    </row>
    <row r="7684" spans="1:4">
      <c r="A7684" s="16">
        <v>6700400000</v>
      </c>
      <c r="B7684" s="16">
        <v>0</v>
      </c>
      <c r="C7684" s="16" t="s">
        <v>3404</v>
      </c>
      <c r="D7684" s="16" t="s">
        <v>3405</v>
      </c>
    </row>
    <row r="7685" spans="1:4">
      <c r="A7685" s="16">
        <v>3710000000</v>
      </c>
      <c r="B7685" s="16">
        <v>0</v>
      </c>
      <c r="C7685" s="16" t="s">
        <v>3402</v>
      </c>
      <c r="D7685" s="16" t="s">
        <v>3403</v>
      </c>
    </row>
    <row r="7686" spans="1:4">
      <c r="A7686" s="16">
        <v>5052010000</v>
      </c>
      <c r="B7686" s="16">
        <v>0</v>
      </c>
      <c r="C7686" s="16" t="s">
        <v>3406</v>
      </c>
      <c r="D7686" s="16" t="s">
        <v>3422</v>
      </c>
    </row>
    <row r="7687" spans="1:4">
      <c r="A7687" s="16">
        <v>2203000000</v>
      </c>
      <c r="B7687" s="16">
        <v>2220720</v>
      </c>
      <c r="C7687" s="16" t="s">
        <v>3415</v>
      </c>
      <c r="D7687" s="16" t="s">
        <v>3403</v>
      </c>
    </row>
    <row r="7688" spans="1:4">
      <c r="A7688" s="16">
        <v>6700200000</v>
      </c>
      <c r="B7688" s="16">
        <v>0</v>
      </c>
      <c r="C7688" s="16" t="s">
        <v>3404</v>
      </c>
      <c r="D7688" s="16" t="s">
        <v>3409</v>
      </c>
    </row>
    <row r="7689" spans="1:4">
      <c r="A7689" s="16">
        <v>6700200000</v>
      </c>
      <c r="B7689" s="16">
        <v>0</v>
      </c>
      <c r="C7689" s="16" t="s">
        <v>3404</v>
      </c>
      <c r="D7689" s="16" t="s">
        <v>3409</v>
      </c>
    </row>
    <row r="7690" spans="1:4">
      <c r="A7690" s="16">
        <v>3103000000</v>
      </c>
      <c r="B7690" s="16">
        <v>0</v>
      </c>
      <c r="C7690" s="16" t="s">
        <v>3402</v>
      </c>
      <c r="D7690" s="16" t="s">
        <v>3403</v>
      </c>
    </row>
    <row r="7691" spans="1:4">
      <c r="A7691" s="16">
        <v>2500000000</v>
      </c>
      <c r="B7691" s="16">
        <v>18848</v>
      </c>
      <c r="C7691" s="16" t="s">
        <v>3412</v>
      </c>
      <c r="D7691" s="16" t="s">
        <v>3403</v>
      </c>
    </row>
    <row r="7692" spans="1:4">
      <c r="A7692" s="16">
        <v>5010000010</v>
      </c>
      <c r="B7692" s="16">
        <v>0</v>
      </c>
      <c r="C7692" s="16" t="s">
        <v>3406</v>
      </c>
      <c r="D7692" s="16" t="s">
        <v>3411</v>
      </c>
    </row>
    <row r="7693" spans="1:4">
      <c r="A7693" s="16">
        <v>2750010000</v>
      </c>
      <c r="B7693" s="16">
        <v>0</v>
      </c>
      <c r="C7693" s="16" t="s">
        <v>3419</v>
      </c>
      <c r="D7693" s="16" t="s">
        <v>3403</v>
      </c>
    </row>
    <row r="7694" spans="1:4">
      <c r="A7694" s="16">
        <v>6610100000</v>
      </c>
      <c r="B7694" s="16">
        <v>0</v>
      </c>
      <c r="C7694" s="16" t="s">
        <v>3413</v>
      </c>
      <c r="D7694" s="16" t="s">
        <v>3414</v>
      </c>
    </row>
    <row r="7695" spans="1:4">
      <c r="A7695" s="16">
        <v>6700200000</v>
      </c>
      <c r="B7695" s="16">
        <v>0</v>
      </c>
      <c r="C7695" s="16" t="s">
        <v>3404</v>
      </c>
      <c r="D7695" s="16" t="s">
        <v>3409</v>
      </c>
    </row>
    <row r="7696" spans="1:4">
      <c r="A7696" s="16">
        <v>6100000000</v>
      </c>
      <c r="B7696" s="16">
        <v>1043569256</v>
      </c>
      <c r="C7696" s="16" t="s">
        <v>3416</v>
      </c>
      <c r="D7696" s="16" t="s">
        <v>3417</v>
      </c>
    </row>
    <row r="7697" spans="1:4">
      <c r="A7697" s="16">
        <v>2203000000</v>
      </c>
      <c r="B7697" s="16">
        <v>0</v>
      </c>
      <c r="C7697" s="16" t="s">
        <v>3415</v>
      </c>
      <c r="D7697" s="16" t="s">
        <v>3403</v>
      </c>
    </row>
    <row r="7698" spans="1:4">
      <c r="A7698" s="16">
        <v>6102000000</v>
      </c>
      <c r="B7698" s="16">
        <v>0</v>
      </c>
      <c r="C7698" s="16" t="s">
        <v>3425</v>
      </c>
      <c r="D7698" s="16" t="s">
        <v>3426</v>
      </c>
    </row>
    <row r="7699" spans="1:4">
      <c r="A7699" s="16">
        <v>6700200000</v>
      </c>
      <c r="B7699" s="16">
        <v>0</v>
      </c>
      <c r="C7699" s="16" t="s">
        <v>3404</v>
      </c>
      <c r="D7699" s="16" t="s">
        <v>3409</v>
      </c>
    </row>
    <row r="7700" spans="1:4">
      <c r="A7700" s="16">
        <v>6610000100</v>
      </c>
      <c r="B7700" s="16">
        <v>0</v>
      </c>
      <c r="C7700" s="16" t="s">
        <v>3413</v>
      </c>
      <c r="D7700" s="16" t="s">
        <v>3418</v>
      </c>
    </row>
    <row r="7701" spans="1:4">
      <c r="A7701" s="16">
        <v>3030000000</v>
      </c>
      <c r="B7701" s="16">
        <v>-1503</v>
      </c>
      <c r="C7701" s="16" t="s">
        <v>3402</v>
      </c>
      <c r="D7701" s="16" t="s">
        <v>3403</v>
      </c>
    </row>
    <row r="7702" spans="1:4">
      <c r="A7702" s="16">
        <v>3810000000</v>
      </c>
      <c r="B7702" s="16">
        <v>0</v>
      </c>
      <c r="C7702" s="16" t="s">
        <v>3402</v>
      </c>
      <c r="D7702" s="16" t="s">
        <v>3403</v>
      </c>
    </row>
    <row r="7703" spans="1:4">
      <c r="A7703" s="16">
        <v>6700500000</v>
      </c>
      <c r="B7703" s="16">
        <v>0</v>
      </c>
      <c r="C7703" s="16" t="s">
        <v>3404</v>
      </c>
      <c r="D7703" s="16" t="s">
        <v>3405</v>
      </c>
    </row>
    <row r="7704" spans="1:4">
      <c r="A7704" s="16">
        <v>6700700000</v>
      </c>
      <c r="B7704" s="16">
        <v>0</v>
      </c>
      <c r="C7704" s="16" t="s">
        <v>3404</v>
      </c>
      <c r="D7704" s="16" t="s">
        <v>3409</v>
      </c>
    </row>
    <row r="7705" spans="1:4">
      <c r="A7705" s="16">
        <v>5010000000</v>
      </c>
      <c r="B7705" s="16">
        <v>0</v>
      </c>
      <c r="C7705" s="16" t="s">
        <v>3406</v>
      </c>
      <c r="D7705" s="16" t="s">
        <v>3411</v>
      </c>
    </row>
    <row r="7706" spans="1:4">
      <c r="A7706" s="16">
        <v>6150000000</v>
      </c>
      <c r="B7706" s="16">
        <v>0</v>
      </c>
      <c r="C7706" s="16" t="s">
        <v>3416</v>
      </c>
      <c r="D7706" s="16" t="s">
        <v>3417</v>
      </c>
    </row>
    <row r="7707" spans="1:4">
      <c r="A7707" s="16">
        <v>3102000000</v>
      </c>
      <c r="B7707" s="16">
        <v>0</v>
      </c>
      <c r="C7707" s="16" t="s">
        <v>3424</v>
      </c>
      <c r="D7707" s="16" t="s">
        <v>3403</v>
      </c>
    </row>
    <row r="7708" spans="1:4">
      <c r="A7708" s="16">
        <v>6700200000</v>
      </c>
      <c r="B7708" s="16">
        <v>-434334</v>
      </c>
      <c r="C7708" s="16" t="s">
        <v>3404</v>
      </c>
      <c r="D7708" s="16" t="s">
        <v>3409</v>
      </c>
    </row>
    <row r="7709" spans="1:4">
      <c r="A7709" s="16">
        <v>6700000000</v>
      </c>
      <c r="B7709" s="16">
        <v>0</v>
      </c>
      <c r="C7709" s="16" t="s">
        <v>3404</v>
      </c>
      <c r="D7709" s="16" t="s">
        <v>3405</v>
      </c>
    </row>
    <row r="7710" spans="1:4">
      <c r="A7710" s="16">
        <v>2201200030</v>
      </c>
      <c r="B7710" s="16">
        <v>0</v>
      </c>
      <c r="C7710" s="16" t="s">
        <v>3415</v>
      </c>
      <c r="D7710" s="16" t="s">
        <v>3403</v>
      </c>
    </row>
    <row r="7711" spans="1:4">
      <c r="A7711" s="16">
        <v>2500000000</v>
      </c>
      <c r="B7711" s="16">
        <v>0</v>
      </c>
      <c r="C7711" s="16" t="s">
        <v>3412</v>
      </c>
      <c r="D7711" s="16" t="s">
        <v>3403</v>
      </c>
    </row>
    <row r="7712" spans="1:4">
      <c r="A7712" s="16">
        <v>6700200000</v>
      </c>
      <c r="B7712" s="16">
        <v>0</v>
      </c>
      <c r="C7712" s="16" t="s">
        <v>3404</v>
      </c>
      <c r="D7712" s="16" t="s">
        <v>3409</v>
      </c>
    </row>
    <row r="7713" spans="1:4">
      <c r="A7713" s="16">
        <v>3102000000</v>
      </c>
      <c r="B7713" s="16">
        <v>0</v>
      </c>
      <c r="C7713" s="16" t="s">
        <v>3424</v>
      </c>
      <c r="D7713" s="16" t="s">
        <v>3403</v>
      </c>
    </row>
    <row r="7714" spans="1:4">
      <c r="A7714" s="16">
        <v>5052000000</v>
      </c>
      <c r="B7714" s="16">
        <v>0</v>
      </c>
      <c r="C7714" s="16" t="s">
        <v>3406</v>
      </c>
      <c r="D7714" s="16" t="s">
        <v>3422</v>
      </c>
    </row>
    <row r="7715" spans="1:4">
      <c r="A7715" s="16">
        <v>2750010000</v>
      </c>
      <c r="B7715" s="16">
        <v>0</v>
      </c>
      <c r="C7715" s="16" t="s">
        <v>3419</v>
      </c>
      <c r="D7715" s="16" t="s">
        <v>3403</v>
      </c>
    </row>
    <row r="7716" spans="1:4">
      <c r="A7716" s="16">
        <v>6060110000</v>
      </c>
      <c r="B7716" s="16">
        <v>-2220720</v>
      </c>
      <c r="C7716" s="16" t="s">
        <v>3420</v>
      </c>
      <c r="D7716" s="16" t="s">
        <v>3421</v>
      </c>
    </row>
    <row r="7717" spans="1:4">
      <c r="A7717" s="16">
        <v>2201200030</v>
      </c>
      <c r="B7717" s="16">
        <v>0</v>
      </c>
      <c r="C7717" s="16" t="s">
        <v>3415</v>
      </c>
      <c r="D7717" s="16" t="s">
        <v>3403</v>
      </c>
    </row>
    <row r="7718" spans="1:4">
      <c r="A7718" s="16">
        <v>6700000000</v>
      </c>
      <c r="B7718" s="16">
        <v>0</v>
      </c>
      <c r="C7718" s="16" t="s">
        <v>3404</v>
      </c>
      <c r="D7718" s="16" t="s">
        <v>3405</v>
      </c>
    </row>
    <row r="7719" spans="1:4">
      <c r="A7719" s="16">
        <v>2500000000</v>
      </c>
      <c r="B7719" s="16">
        <v>0</v>
      </c>
      <c r="C7719" s="16" t="s">
        <v>3412</v>
      </c>
      <c r="D7719" s="16" t="s">
        <v>3403</v>
      </c>
    </row>
    <row r="7720" spans="1:4">
      <c r="A7720" s="16">
        <v>5010100000</v>
      </c>
      <c r="B7720" s="16">
        <v>-18848</v>
      </c>
      <c r="C7720" s="16" t="s">
        <v>3406</v>
      </c>
      <c r="D7720" s="16" t="s">
        <v>3407</v>
      </c>
    </row>
    <row r="7721" spans="1:4">
      <c r="A7721" s="16">
        <v>3710000000</v>
      </c>
      <c r="B7721" s="16">
        <v>0</v>
      </c>
      <c r="C7721" s="16" t="s">
        <v>3402</v>
      </c>
      <c r="D7721" s="16" t="s">
        <v>3403</v>
      </c>
    </row>
    <row r="7722" spans="1:4">
      <c r="A7722" s="16">
        <v>6610100100</v>
      </c>
      <c r="B7722" s="16">
        <v>0</v>
      </c>
      <c r="C7722" s="16" t="s">
        <v>3413</v>
      </c>
      <c r="D7722" s="16" t="s">
        <v>3414</v>
      </c>
    </row>
    <row r="7723" spans="1:4">
      <c r="A7723" s="16">
        <v>4203000000</v>
      </c>
      <c r="B7723" s="16">
        <v>0</v>
      </c>
      <c r="C7723" s="16" t="s">
        <v>3408</v>
      </c>
      <c r="D7723" s="16" t="s">
        <v>3403</v>
      </c>
    </row>
    <row r="7724" spans="1:4">
      <c r="A7724" s="16">
        <v>2201200030</v>
      </c>
      <c r="B7724" s="16">
        <v>0</v>
      </c>
      <c r="C7724" s="16" t="s">
        <v>3415</v>
      </c>
      <c r="D7724" s="16" t="s">
        <v>3403</v>
      </c>
    </row>
    <row r="7725" spans="1:4">
      <c r="A7725" s="16">
        <v>3100000000</v>
      </c>
      <c r="B7725" s="16">
        <v>-1043569256</v>
      </c>
      <c r="C7725" s="16" t="s">
        <v>3402</v>
      </c>
      <c r="D7725" s="16" t="s">
        <v>3403</v>
      </c>
    </row>
    <row r="7726" spans="1:4">
      <c r="A7726" s="16">
        <v>6060110000</v>
      </c>
      <c r="B7726" s="16">
        <v>0</v>
      </c>
      <c r="C7726" s="16" t="s">
        <v>3420</v>
      </c>
      <c r="D7726" s="16" t="s">
        <v>3421</v>
      </c>
    </row>
    <row r="7727" spans="1:4">
      <c r="A7727" s="16">
        <v>6700200000</v>
      </c>
      <c r="B7727" s="16">
        <v>2098344</v>
      </c>
      <c r="C7727" s="16" t="s">
        <v>3404</v>
      </c>
      <c r="D7727" s="16" t="s">
        <v>3409</v>
      </c>
    </row>
    <row r="7728" spans="1:4">
      <c r="A7728" s="16">
        <v>6700000000</v>
      </c>
      <c r="B7728" s="16">
        <v>0</v>
      </c>
      <c r="C7728" s="16" t="s">
        <v>3404</v>
      </c>
      <c r="D7728" s="16" t="s">
        <v>3405</v>
      </c>
    </row>
    <row r="7729" spans="1:4">
      <c r="A7729" s="16">
        <v>6150000000</v>
      </c>
      <c r="B7729" s="16">
        <v>0</v>
      </c>
      <c r="C7729" s="16" t="s">
        <v>3416</v>
      </c>
      <c r="D7729" s="16" t="s">
        <v>3417</v>
      </c>
    </row>
    <row r="7730" spans="1:4">
      <c r="A7730" s="16">
        <v>5052000000</v>
      </c>
      <c r="B7730" s="16">
        <v>0</v>
      </c>
      <c r="C7730" s="16" t="s">
        <v>3406</v>
      </c>
      <c r="D7730" s="16" t="s">
        <v>3422</v>
      </c>
    </row>
    <row r="7731" spans="1:4">
      <c r="A7731" s="16">
        <v>6700500000</v>
      </c>
      <c r="B7731" s="16">
        <v>0</v>
      </c>
      <c r="C7731" s="16" t="s">
        <v>3404</v>
      </c>
      <c r="D7731" s="16" t="s">
        <v>3405</v>
      </c>
    </row>
    <row r="7732" spans="1:4">
      <c r="A7732" s="16">
        <v>2750010000</v>
      </c>
      <c r="B7732" s="16">
        <v>0</v>
      </c>
      <c r="C7732" s="16" t="s">
        <v>3419</v>
      </c>
      <c r="D7732" s="16" t="s">
        <v>3403</v>
      </c>
    </row>
    <row r="7733" spans="1:4">
      <c r="A7733" s="16">
        <v>6104001000</v>
      </c>
      <c r="B7733" s="16">
        <v>0</v>
      </c>
      <c r="C7733" s="16" t="s">
        <v>3416</v>
      </c>
      <c r="D7733" s="16" t="s">
        <v>3417</v>
      </c>
    </row>
    <row r="7734" spans="1:4">
      <c r="A7734" s="16">
        <v>3510000000</v>
      </c>
      <c r="B7734" s="16">
        <v>0</v>
      </c>
      <c r="C7734" s="16" t="s">
        <v>3402</v>
      </c>
      <c r="D7734" s="16" t="s">
        <v>3403</v>
      </c>
    </row>
    <row r="7735" spans="1:4">
      <c r="A7735" s="16">
        <v>2201000030</v>
      </c>
      <c r="B7735" s="16">
        <v>8752810</v>
      </c>
      <c r="C7735" s="16" t="s">
        <v>3415</v>
      </c>
      <c r="D7735" s="16" t="s">
        <v>3403</v>
      </c>
    </row>
    <row r="7736" spans="1:4">
      <c r="A7736" s="16">
        <v>5010000010</v>
      </c>
      <c r="B7736" s="16">
        <v>0</v>
      </c>
      <c r="C7736" s="16" t="s">
        <v>3406</v>
      </c>
      <c r="D7736" s="16" t="s">
        <v>3411</v>
      </c>
    </row>
    <row r="7737" spans="1:4">
      <c r="A7737" s="16">
        <v>6102000000</v>
      </c>
      <c r="B7737" s="16">
        <v>0</v>
      </c>
      <c r="C7737" s="16" t="s">
        <v>3425</v>
      </c>
      <c r="D7737" s="16" t="s">
        <v>3426</v>
      </c>
    </row>
    <row r="7738" spans="1:4">
      <c r="A7738" s="16">
        <v>2750010000</v>
      </c>
      <c r="B7738" s="16">
        <v>0</v>
      </c>
      <c r="C7738" s="16" t="s">
        <v>3419</v>
      </c>
      <c r="D7738" s="16" t="s">
        <v>3403</v>
      </c>
    </row>
    <row r="7739" spans="1:4">
      <c r="A7739" s="16">
        <v>6030000000</v>
      </c>
      <c r="B7739" s="16">
        <v>0</v>
      </c>
      <c r="C7739" s="16" t="s">
        <v>3420</v>
      </c>
      <c r="D7739" s="16" t="s">
        <v>3423</v>
      </c>
    </row>
    <row r="7740" spans="1:4">
      <c r="A7740" s="16">
        <v>6700700000</v>
      </c>
      <c r="B7740" s="16">
        <v>0</v>
      </c>
      <c r="C7740" s="16" t="s">
        <v>3404</v>
      </c>
      <c r="D7740" s="16" t="s">
        <v>3409</v>
      </c>
    </row>
    <row r="7741" spans="1:4">
      <c r="A7741" s="16">
        <v>5010100000</v>
      </c>
      <c r="B7741" s="16">
        <v>0</v>
      </c>
      <c r="C7741" s="16" t="s">
        <v>3406</v>
      </c>
      <c r="D7741" s="16" t="s">
        <v>3407</v>
      </c>
    </row>
    <row r="7742" spans="1:4">
      <c r="A7742" s="16">
        <v>6700000000</v>
      </c>
      <c r="B7742" s="16">
        <v>0</v>
      </c>
      <c r="C7742" s="16" t="s">
        <v>3404</v>
      </c>
      <c r="D7742" s="16" t="s">
        <v>3405</v>
      </c>
    </row>
    <row r="7743" spans="1:4">
      <c r="A7743" s="16">
        <v>6102000000</v>
      </c>
      <c r="B7743" s="16">
        <v>0</v>
      </c>
      <c r="C7743" s="16" t="s">
        <v>3425</v>
      </c>
      <c r="D7743" s="16" t="s">
        <v>3426</v>
      </c>
    </row>
    <row r="7744" spans="1:4">
      <c r="A7744" s="16">
        <v>5050010000</v>
      </c>
      <c r="B7744" s="16">
        <v>0</v>
      </c>
      <c r="C7744" s="16" t="s">
        <v>3406</v>
      </c>
      <c r="D7744" s="16" t="s">
        <v>3422</v>
      </c>
    </row>
    <row r="7745" spans="1:4">
      <c r="A7745" s="16">
        <v>6610100100</v>
      </c>
      <c r="B7745" s="16">
        <v>0</v>
      </c>
      <c r="C7745" s="16" t="s">
        <v>3413</v>
      </c>
      <c r="D7745" s="16" t="s">
        <v>3414</v>
      </c>
    </row>
    <row r="7746" spans="1:4">
      <c r="A7746" s="16">
        <v>5010000000</v>
      </c>
      <c r="B7746" s="16">
        <v>0</v>
      </c>
      <c r="C7746" s="16" t="s">
        <v>3406</v>
      </c>
      <c r="D7746" s="16" t="s">
        <v>3411</v>
      </c>
    </row>
    <row r="7747" spans="1:4">
      <c r="A7747" s="16">
        <v>2201000000</v>
      </c>
      <c r="B7747" s="16">
        <v>0</v>
      </c>
      <c r="C7747" s="16" t="s">
        <v>3415</v>
      </c>
      <c r="D7747" s="16" t="s">
        <v>3403</v>
      </c>
    </row>
    <row r="7748" spans="1:4">
      <c r="A7748" s="16">
        <v>6100000000</v>
      </c>
      <c r="B7748" s="16">
        <v>0</v>
      </c>
      <c r="C7748" s="16" t="s">
        <v>3427</v>
      </c>
      <c r="D7748" s="16" t="s">
        <v>3417</v>
      </c>
    </row>
    <row r="7749" spans="1:4">
      <c r="A7749" s="16">
        <v>2500000000</v>
      </c>
      <c r="B7749" s="16">
        <v>0</v>
      </c>
      <c r="C7749" s="16" t="s">
        <v>3412</v>
      </c>
      <c r="D7749" s="16" t="s">
        <v>3403</v>
      </c>
    </row>
    <row r="7750" spans="1:4">
      <c r="A7750" s="16">
        <v>6700600000</v>
      </c>
      <c r="B7750" s="16">
        <v>0</v>
      </c>
      <c r="C7750" s="16" t="s">
        <v>3404</v>
      </c>
      <c r="D7750" s="16" t="s">
        <v>3409</v>
      </c>
    </row>
    <row r="7751" spans="1:4">
      <c r="A7751" s="16">
        <v>2201200030</v>
      </c>
      <c r="B7751" s="16">
        <v>-2098344</v>
      </c>
      <c r="C7751" s="16" t="s">
        <v>3415</v>
      </c>
      <c r="D7751" s="16" t="s">
        <v>3403</v>
      </c>
    </row>
    <row r="7752" spans="1:4">
      <c r="A7752" s="16">
        <v>2500000000</v>
      </c>
      <c r="B7752" s="16">
        <v>4833557</v>
      </c>
      <c r="C7752" s="16" t="s">
        <v>3412</v>
      </c>
      <c r="D7752" s="16" t="s">
        <v>3403</v>
      </c>
    </row>
    <row r="7753" spans="1:4">
      <c r="A7753" s="16">
        <v>3510000000</v>
      </c>
      <c r="B7753" s="16">
        <v>0</v>
      </c>
      <c r="C7753" s="16" t="s">
        <v>3402</v>
      </c>
      <c r="D7753" s="16" t="s">
        <v>3403</v>
      </c>
    </row>
    <row r="7754" spans="1:4">
      <c r="A7754" s="16">
        <v>4011000000</v>
      </c>
      <c r="B7754" s="16">
        <v>0</v>
      </c>
      <c r="C7754" s="16" t="s">
        <v>3431</v>
      </c>
      <c r="D7754" s="16" t="s">
        <v>3403</v>
      </c>
    </row>
    <row r="7755" spans="1:4">
      <c r="A7755" s="16">
        <v>6610000100</v>
      </c>
      <c r="B7755" s="16">
        <v>0</v>
      </c>
      <c r="C7755" s="16" t="s">
        <v>3413</v>
      </c>
      <c r="D7755" s="16" t="s">
        <v>3418</v>
      </c>
    </row>
    <row r="7756" spans="1:4">
      <c r="A7756" s="16">
        <v>3103001000</v>
      </c>
      <c r="B7756" s="16">
        <v>0</v>
      </c>
      <c r="C7756" s="16" t="s">
        <v>3402</v>
      </c>
      <c r="D7756" s="16" t="s">
        <v>3403</v>
      </c>
    </row>
    <row r="7757" spans="1:4">
      <c r="A7757" s="16">
        <v>6700200000</v>
      </c>
      <c r="B7757" s="16">
        <v>-8752810</v>
      </c>
      <c r="C7757" s="16" t="s">
        <v>3404</v>
      </c>
      <c r="D7757" s="16" t="s">
        <v>3409</v>
      </c>
    </row>
    <row r="7758" spans="1:4">
      <c r="A7758" s="16">
        <v>2750010000</v>
      </c>
      <c r="B7758" s="16">
        <v>0</v>
      </c>
      <c r="C7758" s="16" t="s">
        <v>3419</v>
      </c>
      <c r="D7758" s="16" t="s">
        <v>3403</v>
      </c>
    </row>
    <row r="7759" spans="1:4">
      <c r="A7759" s="16">
        <v>3710000000</v>
      </c>
      <c r="B7759" s="16">
        <v>0</v>
      </c>
      <c r="C7759" s="16" t="s">
        <v>3402</v>
      </c>
      <c r="D7759" s="16" t="s">
        <v>3403</v>
      </c>
    </row>
    <row r="7760" spans="1:4">
      <c r="A7760" s="16">
        <v>6610000100</v>
      </c>
      <c r="B7760" s="16">
        <v>0</v>
      </c>
      <c r="C7760" s="16" t="s">
        <v>3413</v>
      </c>
      <c r="D7760" s="16" t="s">
        <v>3418</v>
      </c>
    </row>
    <row r="7761" spans="1:4">
      <c r="A7761" s="16">
        <v>6700200000</v>
      </c>
      <c r="B7761" s="16">
        <v>0</v>
      </c>
      <c r="C7761" s="16" t="s">
        <v>3404</v>
      </c>
      <c r="D7761" s="16" t="s">
        <v>3409</v>
      </c>
    </row>
    <row r="7762" spans="1:4">
      <c r="A7762" s="16">
        <v>3030000000</v>
      </c>
      <c r="B7762" s="16">
        <v>0</v>
      </c>
      <c r="C7762" s="16" t="s">
        <v>3402</v>
      </c>
      <c r="D7762" s="16" t="s">
        <v>3403</v>
      </c>
    </row>
    <row r="7763" spans="1:4">
      <c r="A7763" s="16">
        <v>6700500000</v>
      </c>
      <c r="B7763" s="16">
        <v>0</v>
      </c>
      <c r="C7763" s="16" t="s">
        <v>3404</v>
      </c>
      <c r="D7763" s="16" t="s">
        <v>3405</v>
      </c>
    </row>
    <row r="7764" spans="1:4">
      <c r="A7764" s="16">
        <v>5050000000</v>
      </c>
      <c r="B7764" s="16">
        <v>0</v>
      </c>
      <c r="C7764" s="16" t="s">
        <v>3406</v>
      </c>
      <c r="D7764" s="16" t="s">
        <v>3422</v>
      </c>
    </row>
    <row r="7765" spans="1:4">
      <c r="A7765" s="16">
        <v>6700600000</v>
      </c>
      <c r="B7765" s="16">
        <v>0</v>
      </c>
      <c r="C7765" s="16" t="s">
        <v>3404</v>
      </c>
      <c r="D7765" s="16" t="s">
        <v>3409</v>
      </c>
    </row>
    <row r="7766" spans="1:4">
      <c r="A7766" s="16">
        <v>6700200000</v>
      </c>
      <c r="B7766" s="16">
        <v>0</v>
      </c>
      <c r="C7766" s="16" t="s">
        <v>3404</v>
      </c>
      <c r="D7766" s="16" t="s">
        <v>3409</v>
      </c>
    </row>
    <row r="7767" spans="1:4">
      <c r="A7767" s="16">
        <v>3100000000</v>
      </c>
      <c r="B7767" s="16">
        <v>0</v>
      </c>
      <c r="C7767" s="16" t="s">
        <v>3402</v>
      </c>
      <c r="D7767" s="16" t="s">
        <v>3403</v>
      </c>
    </row>
    <row r="7768" spans="1:4">
      <c r="A7768" s="16">
        <v>5010000000</v>
      </c>
      <c r="B7768" s="16">
        <v>0</v>
      </c>
      <c r="C7768" s="16" t="s">
        <v>3406</v>
      </c>
      <c r="D7768" s="16" t="s">
        <v>3411</v>
      </c>
    </row>
    <row r="7769" spans="1:4">
      <c r="A7769" s="16">
        <v>6700400000</v>
      </c>
      <c r="B7769" s="16">
        <v>0</v>
      </c>
      <c r="C7769" s="16" t="s">
        <v>3404</v>
      </c>
      <c r="D7769" s="16" t="s">
        <v>3405</v>
      </c>
    </row>
    <row r="7770" spans="1:4">
      <c r="A7770" s="16">
        <v>5010100000</v>
      </c>
      <c r="B7770" s="16">
        <v>-4833557</v>
      </c>
      <c r="C7770" s="16" t="s">
        <v>3406</v>
      </c>
      <c r="D7770" s="16" t="s">
        <v>3407</v>
      </c>
    </row>
    <row r="7771" spans="1:4">
      <c r="A7771" s="16">
        <v>2750010000</v>
      </c>
      <c r="B7771" s="16">
        <v>0</v>
      </c>
      <c r="C7771" s="16" t="s">
        <v>3419</v>
      </c>
      <c r="D7771" s="16" t="s">
        <v>3403</v>
      </c>
    </row>
    <row r="7772" spans="1:4">
      <c r="A7772" s="16">
        <v>6030000000</v>
      </c>
      <c r="B7772" s="16">
        <v>0</v>
      </c>
      <c r="C7772" s="16" t="s">
        <v>3432</v>
      </c>
      <c r="D7772" s="16" t="s">
        <v>3423</v>
      </c>
    </row>
    <row r="7773" spans="1:4">
      <c r="A7773" s="16">
        <v>6700600000</v>
      </c>
      <c r="B7773" s="16">
        <v>0</v>
      </c>
      <c r="C7773" s="16" t="s">
        <v>3404</v>
      </c>
      <c r="D7773" s="16" t="s">
        <v>3409</v>
      </c>
    </row>
    <row r="7774" spans="1:4">
      <c r="A7774" s="16">
        <v>2750010000</v>
      </c>
      <c r="B7774" s="16">
        <v>0</v>
      </c>
      <c r="C7774" s="16" t="s">
        <v>3419</v>
      </c>
      <c r="D7774" s="16" t="s">
        <v>3403</v>
      </c>
    </row>
    <row r="7775" spans="1:4">
      <c r="A7775" s="16">
        <v>3102000000</v>
      </c>
      <c r="B7775" s="16">
        <v>1742989139</v>
      </c>
      <c r="C7775" s="16" t="s">
        <v>3424</v>
      </c>
      <c r="D7775" s="16" t="s">
        <v>3403</v>
      </c>
    </row>
    <row r="7776" spans="1:4">
      <c r="A7776" s="16">
        <v>6700700000</v>
      </c>
      <c r="B7776" s="16">
        <v>0</v>
      </c>
      <c r="C7776" s="16" t="s">
        <v>3404</v>
      </c>
      <c r="D7776" s="16" t="s">
        <v>3409</v>
      </c>
    </row>
    <row r="7777" spans="1:4">
      <c r="A7777" s="16">
        <v>6610000100</v>
      </c>
      <c r="B7777" s="16">
        <v>0</v>
      </c>
      <c r="C7777" s="16" t="s">
        <v>3413</v>
      </c>
      <c r="D7777" s="16" t="s">
        <v>3418</v>
      </c>
    </row>
    <row r="7778" spans="1:4">
      <c r="A7778" s="16">
        <v>2201000000</v>
      </c>
      <c r="B7778" s="16">
        <v>0</v>
      </c>
      <c r="C7778" s="16" t="s">
        <v>3415</v>
      </c>
      <c r="D7778" s="16" t="s">
        <v>3403</v>
      </c>
    </row>
    <row r="7779" spans="1:4">
      <c r="A7779" s="16">
        <v>6700000000</v>
      </c>
      <c r="B7779" s="16">
        <v>0</v>
      </c>
      <c r="C7779" s="16" t="s">
        <v>3404</v>
      </c>
      <c r="D7779" s="16" t="s">
        <v>3405</v>
      </c>
    </row>
    <row r="7780" spans="1:4">
      <c r="A7780" s="16">
        <v>6700200000</v>
      </c>
      <c r="B7780" s="16">
        <v>0</v>
      </c>
      <c r="C7780" s="16" t="s">
        <v>3404</v>
      </c>
      <c r="D7780" s="16" t="s">
        <v>3409</v>
      </c>
    </row>
    <row r="7781" spans="1:4">
      <c r="A7781" s="16">
        <v>2500000000</v>
      </c>
      <c r="B7781" s="16">
        <v>83751</v>
      </c>
      <c r="C7781" s="16" t="s">
        <v>3412</v>
      </c>
      <c r="D7781" s="16" t="s">
        <v>3403</v>
      </c>
    </row>
    <row r="7782" spans="1:4">
      <c r="A7782" s="16">
        <v>6700400000</v>
      </c>
      <c r="B7782" s="16">
        <v>0</v>
      </c>
      <c r="C7782" s="16" t="s">
        <v>3404</v>
      </c>
      <c r="D7782" s="16" t="s">
        <v>3405</v>
      </c>
    </row>
    <row r="7783" spans="1:4">
      <c r="A7783" s="16">
        <v>3102000000</v>
      </c>
      <c r="B7783" s="16">
        <v>0</v>
      </c>
      <c r="C7783" s="16" t="s">
        <v>3424</v>
      </c>
      <c r="D7783" s="16" t="s">
        <v>3403</v>
      </c>
    </row>
    <row r="7784" spans="1:4">
      <c r="A7784" s="16">
        <v>6610000000</v>
      </c>
      <c r="B7784" s="16">
        <v>0</v>
      </c>
      <c r="C7784" s="16" t="s">
        <v>3413</v>
      </c>
      <c r="D7784" s="16" t="s">
        <v>3418</v>
      </c>
    </row>
    <row r="7785" spans="1:4">
      <c r="A7785" s="16">
        <v>6700200000</v>
      </c>
      <c r="B7785" s="16">
        <v>0</v>
      </c>
      <c r="C7785" s="16" t="s">
        <v>3404</v>
      </c>
      <c r="D7785" s="16" t="s">
        <v>3409</v>
      </c>
    </row>
    <row r="7786" spans="1:4">
      <c r="A7786" s="16">
        <v>6610000100</v>
      </c>
      <c r="B7786" s="16">
        <v>0</v>
      </c>
      <c r="C7786" s="16" t="s">
        <v>3413</v>
      </c>
      <c r="D7786" s="16" t="s">
        <v>3418</v>
      </c>
    </row>
    <row r="7787" spans="1:4">
      <c r="A7787" s="16">
        <v>3030000000</v>
      </c>
      <c r="B7787" s="16">
        <v>0</v>
      </c>
      <c r="C7787" s="16" t="s">
        <v>3402</v>
      </c>
      <c r="D7787" s="16" t="s">
        <v>3403</v>
      </c>
    </row>
    <row r="7788" spans="1:4">
      <c r="A7788" s="16">
        <v>6700400000</v>
      </c>
      <c r="B7788" s="16">
        <v>0</v>
      </c>
      <c r="C7788" s="16" t="s">
        <v>3404</v>
      </c>
      <c r="D7788" s="16" t="s">
        <v>3405</v>
      </c>
    </row>
    <row r="7789" spans="1:4">
      <c r="A7789" s="16">
        <v>6610100100</v>
      </c>
      <c r="B7789" s="16">
        <v>0</v>
      </c>
      <c r="C7789" s="16" t="s">
        <v>3413</v>
      </c>
      <c r="D7789" s="16" t="s">
        <v>3414</v>
      </c>
    </row>
    <row r="7790" spans="1:4">
      <c r="A7790" s="16">
        <v>6102000000</v>
      </c>
      <c r="B7790" s="16">
        <v>-1742989139</v>
      </c>
      <c r="C7790" s="16" t="s">
        <v>3425</v>
      </c>
      <c r="D7790" s="16" t="s">
        <v>3426</v>
      </c>
    </row>
    <row r="7791" spans="1:4">
      <c r="A7791" s="16">
        <v>6700500000</v>
      </c>
      <c r="B7791" s="16">
        <v>0</v>
      </c>
      <c r="C7791" s="16" t="s">
        <v>3404</v>
      </c>
      <c r="D7791" s="16" t="s">
        <v>3405</v>
      </c>
    </row>
    <row r="7792" spans="1:4">
      <c r="A7792" s="16">
        <v>6100000000</v>
      </c>
      <c r="B7792" s="16">
        <v>0</v>
      </c>
      <c r="C7792" s="16" t="s">
        <v>3427</v>
      </c>
      <c r="D7792" s="16" t="s">
        <v>3417</v>
      </c>
    </row>
    <row r="7793" spans="1:4">
      <c r="A7793" s="16">
        <v>6700200000</v>
      </c>
      <c r="B7793" s="16">
        <v>0</v>
      </c>
      <c r="C7793" s="16" t="s">
        <v>3404</v>
      </c>
      <c r="D7793" s="16" t="s">
        <v>3409</v>
      </c>
    </row>
    <row r="7794" spans="1:4">
      <c r="A7794" s="16">
        <v>5010000010</v>
      </c>
      <c r="B7794" s="16">
        <v>0</v>
      </c>
      <c r="C7794" s="16" t="s">
        <v>3406</v>
      </c>
      <c r="D7794" s="16" t="s">
        <v>3411</v>
      </c>
    </row>
    <row r="7795" spans="1:4">
      <c r="A7795" s="16">
        <v>6700000000</v>
      </c>
      <c r="B7795" s="16">
        <v>0</v>
      </c>
      <c r="C7795" s="16" t="s">
        <v>3404</v>
      </c>
      <c r="D7795" s="16" t="s">
        <v>3405</v>
      </c>
    </row>
    <row r="7796" spans="1:4">
      <c r="A7796" s="16">
        <v>6104000000</v>
      </c>
      <c r="B7796" s="16">
        <v>0</v>
      </c>
      <c r="C7796" s="16" t="s">
        <v>3416</v>
      </c>
      <c r="D7796" s="16" t="s">
        <v>3417</v>
      </c>
    </row>
    <row r="7797" spans="1:4">
      <c r="A7797" s="16">
        <v>6700200000</v>
      </c>
      <c r="B7797" s="16">
        <v>106806287</v>
      </c>
      <c r="C7797" s="16" t="s">
        <v>3404</v>
      </c>
      <c r="D7797" s="16" t="s">
        <v>3409</v>
      </c>
    </row>
    <row r="7798" spans="1:4">
      <c r="A7798" s="16">
        <v>5010000000</v>
      </c>
      <c r="B7798" s="16">
        <v>-83751</v>
      </c>
      <c r="C7798" s="16" t="s">
        <v>3406</v>
      </c>
      <c r="D7798" s="16" t="s">
        <v>3411</v>
      </c>
    </row>
    <row r="7799" spans="1:4">
      <c r="A7799" s="16">
        <v>6150000000</v>
      </c>
      <c r="B7799" s="16">
        <v>0</v>
      </c>
      <c r="C7799" s="16" t="s">
        <v>3416</v>
      </c>
      <c r="D7799" s="16" t="s">
        <v>3417</v>
      </c>
    </row>
    <row r="7800" spans="1:4">
      <c r="A7800" s="16">
        <v>5010000010</v>
      </c>
      <c r="B7800" s="16">
        <v>0</v>
      </c>
      <c r="C7800" s="16" t="s">
        <v>3406</v>
      </c>
      <c r="D7800" s="16" t="s">
        <v>3411</v>
      </c>
    </row>
    <row r="7801" spans="1:4">
      <c r="A7801" s="16">
        <v>6102000000</v>
      </c>
      <c r="B7801" s="16">
        <v>0</v>
      </c>
      <c r="C7801" s="16" t="s">
        <v>3425</v>
      </c>
      <c r="D7801" s="16" t="s">
        <v>3426</v>
      </c>
    </row>
    <row r="7802" spans="1:4">
      <c r="A7802" s="16">
        <v>3102000000</v>
      </c>
      <c r="B7802" s="16">
        <v>1337875</v>
      </c>
      <c r="C7802" s="16" t="s">
        <v>3424</v>
      </c>
      <c r="D7802" s="16" t="s">
        <v>3403</v>
      </c>
    </row>
    <row r="7803" spans="1:4">
      <c r="A7803" s="16">
        <v>6610000000</v>
      </c>
      <c r="B7803" s="16">
        <v>0</v>
      </c>
      <c r="C7803" s="16" t="s">
        <v>3413</v>
      </c>
      <c r="D7803" s="16" t="s">
        <v>3418</v>
      </c>
    </row>
    <row r="7804" spans="1:4">
      <c r="A7804" s="16">
        <v>6700600000</v>
      </c>
      <c r="B7804" s="16">
        <v>0</v>
      </c>
      <c r="C7804" s="16" t="s">
        <v>3404</v>
      </c>
      <c r="D7804" s="16" t="s">
        <v>3409</v>
      </c>
    </row>
    <row r="7805" spans="1:4">
      <c r="A7805" s="16">
        <v>4203000000</v>
      </c>
      <c r="B7805" s="16">
        <v>0</v>
      </c>
      <c r="C7805" s="16" t="s">
        <v>3408</v>
      </c>
      <c r="D7805" s="16" t="s">
        <v>3403</v>
      </c>
    </row>
    <row r="7806" spans="1:4">
      <c r="A7806" s="16">
        <v>6700100000</v>
      </c>
      <c r="B7806" s="16">
        <v>0</v>
      </c>
      <c r="C7806" s="16" t="s">
        <v>3404</v>
      </c>
      <c r="D7806" s="16" t="s">
        <v>3410</v>
      </c>
    </row>
    <row r="7807" spans="1:4">
      <c r="A7807" s="16">
        <v>6104000000</v>
      </c>
      <c r="B7807" s="16">
        <v>0</v>
      </c>
      <c r="C7807" s="16" t="s">
        <v>3416</v>
      </c>
      <c r="D7807" s="16" t="s">
        <v>3417</v>
      </c>
    </row>
    <row r="7808" spans="1:4">
      <c r="A7808" s="16">
        <v>2500000000</v>
      </c>
      <c r="B7808" s="16">
        <v>0</v>
      </c>
      <c r="C7808" s="16" t="s">
        <v>3412</v>
      </c>
      <c r="D7808" s="16" t="s">
        <v>3403</v>
      </c>
    </row>
    <row r="7809" spans="1:4">
      <c r="A7809" s="16">
        <v>3100000000</v>
      </c>
      <c r="B7809" s="16">
        <v>0</v>
      </c>
      <c r="C7809" s="16" t="s">
        <v>3402</v>
      </c>
      <c r="D7809" s="16" t="s">
        <v>3403</v>
      </c>
    </row>
    <row r="7810" spans="1:4">
      <c r="A7810" s="16">
        <v>2750010000</v>
      </c>
      <c r="B7810" s="16">
        <v>0</v>
      </c>
      <c r="C7810" s="16" t="s">
        <v>3419</v>
      </c>
      <c r="D7810" s="16" t="s">
        <v>3403</v>
      </c>
    </row>
    <row r="7811" spans="1:4">
      <c r="A7811" s="16">
        <v>3710000000</v>
      </c>
      <c r="B7811" s="16">
        <v>0</v>
      </c>
      <c r="C7811" s="16" t="s">
        <v>3402</v>
      </c>
      <c r="D7811" s="16" t="s">
        <v>3403</v>
      </c>
    </row>
    <row r="7812" spans="1:4">
      <c r="A7812" s="16">
        <v>5050000000</v>
      </c>
      <c r="B7812" s="16">
        <v>0</v>
      </c>
      <c r="C7812" s="16" t="s">
        <v>3406</v>
      </c>
      <c r="D7812" s="16" t="s">
        <v>3422</v>
      </c>
    </row>
    <row r="7813" spans="1:4">
      <c r="A7813" s="16">
        <v>3103000000</v>
      </c>
      <c r="B7813" s="16">
        <v>0</v>
      </c>
      <c r="C7813" s="16" t="s">
        <v>3402</v>
      </c>
      <c r="D7813" s="16" t="s">
        <v>3403</v>
      </c>
    </row>
    <row r="7814" spans="1:4">
      <c r="A7814" s="16">
        <v>2201000010</v>
      </c>
      <c r="B7814" s="16">
        <v>1008327</v>
      </c>
      <c r="C7814" s="16" t="s">
        <v>3415</v>
      </c>
      <c r="D7814" s="16" t="s">
        <v>3403</v>
      </c>
    </row>
    <row r="7815" spans="1:4">
      <c r="A7815" s="16">
        <v>6700100000</v>
      </c>
      <c r="B7815" s="16">
        <v>-106806287</v>
      </c>
      <c r="C7815" s="16" t="s">
        <v>3404</v>
      </c>
      <c r="D7815" s="16" t="s">
        <v>3410</v>
      </c>
    </row>
    <row r="7816" spans="1:4">
      <c r="A7816" s="16">
        <v>5010000010</v>
      </c>
      <c r="B7816" s="16">
        <v>0</v>
      </c>
      <c r="C7816" s="16" t="s">
        <v>3406</v>
      </c>
      <c r="D7816" s="16" t="s">
        <v>3411</v>
      </c>
    </row>
    <row r="7817" spans="1:4">
      <c r="A7817" s="16">
        <v>6610000000</v>
      </c>
      <c r="B7817" s="16">
        <v>0</v>
      </c>
      <c r="C7817" s="16" t="s">
        <v>3413</v>
      </c>
      <c r="D7817" s="16" t="s">
        <v>3418</v>
      </c>
    </row>
    <row r="7818" spans="1:4">
      <c r="A7818" s="16">
        <v>6610100000</v>
      </c>
      <c r="B7818" s="16">
        <v>0</v>
      </c>
      <c r="C7818" s="16" t="s">
        <v>3413</v>
      </c>
      <c r="D7818" s="16" t="s">
        <v>3414</v>
      </c>
    </row>
    <row r="7819" spans="1:4">
      <c r="A7819" s="16">
        <v>3510000000</v>
      </c>
      <c r="B7819" s="16">
        <v>0</v>
      </c>
      <c r="C7819" s="16" t="s">
        <v>3402</v>
      </c>
      <c r="D7819" s="16" t="s">
        <v>3403</v>
      </c>
    </row>
    <row r="7820" spans="1:4">
      <c r="A7820" s="16">
        <v>6104000000</v>
      </c>
      <c r="B7820" s="16">
        <v>5301805</v>
      </c>
      <c r="C7820" s="16" t="s">
        <v>3416</v>
      </c>
      <c r="D7820" s="16" t="s">
        <v>3417</v>
      </c>
    </row>
    <row r="7821" spans="1:4">
      <c r="A7821" s="16">
        <v>2201000000</v>
      </c>
      <c r="B7821" s="16">
        <v>0</v>
      </c>
      <c r="C7821" s="16" t="s">
        <v>3415</v>
      </c>
      <c r="D7821" s="16" t="s">
        <v>3403</v>
      </c>
    </row>
    <row r="7822" spans="1:4">
      <c r="A7822" s="16">
        <v>3710000000</v>
      </c>
      <c r="B7822" s="16">
        <v>0</v>
      </c>
      <c r="C7822" s="16" t="s">
        <v>3402</v>
      </c>
      <c r="D7822" s="16" t="s">
        <v>3403</v>
      </c>
    </row>
    <row r="7823" spans="1:4">
      <c r="A7823" s="16">
        <v>6102000000</v>
      </c>
      <c r="B7823" s="16">
        <v>-1337875</v>
      </c>
      <c r="C7823" s="16" t="s">
        <v>3425</v>
      </c>
      <c r="D7823" s="16" t="s">
        <v>3426</v>
      </c>
    </row>
    <row r="7824" spans="1:4">
      <c r="A7824" s="16">
        <v>4203000000</v>
      </c>
      <c r="B7824" s="16">
        <v>0</v>
      </c>
      <c r="C7824" s="16" t="s">
        <v>3408</v>
      </c>
      <c r="D7824" s="16" t="s">
        <v>3403</v>
      </c>
    </row>
    <row r="7825" spans="1:4">
      <c r="A7825" s="16">
        <v>6700400000</v>
      </c>
      <c r="B7825" s="16">
        <v>0</v>
      </c>
      <c r="C7825" s="16" t="s">
        <v>3404</v>
      </c>
      <c r="D7825" s="16" t="s">
        <v>3405</v>
      </c>
    </row>
    <row r="7826" spans="1:4">
      <c r="A7826" s="16">
        <v>6700200000</v>
      </c>
      <c r="B7826" s="16">
        <v>0</v>
      </c>
      <c r="C7826" s="16" t="s">
        <v>3404</v>
      </c>
      <c r="D7826" s="16" t="s">
        <v>3409</v>
      </c>
    </row>
    <row r="7827" spans="1:4">
      <c r="A7827" s="16">
        <v>6150000000</v>
      </c>
      <c r="B7827" s="16">
        <v>0</v>
      </c>
      <c r="C7827" s="16" t="s">
        <v>3416</v>
      </c>
      <c r="D7827" s="16" t="s">
        <v>3417</v>
      </c>
    </row>
    <row r="7828" spans="1:4">
      <c r="A7828" s="16">
        <v>6104000000</v>
      </c>
      <c r="B7828" s="16">
        <v>0</v>
      </c>
      <c r="C7828" s="16" t="s">
        <v>3427</v>
      </c>
      <c r="D7828" s="16" t="s">
        <v>3417</v>
      </c>
    </row>
    <row r="7829" spans="1:4">
      <c r="A7829" s="16">
        <v>3103000000</v>
      </c>
      <c r="B7829" s="16">
        <v>0</v>
      </c>
      <c r="C7829" s="16" t="s">
        <v>3402</v>
      </c>
      <c r="D7829" s="16" t="s">
        <v>3403</v>
      </c>
    </row>
    <row r="7830" spans="1:4">
      <c r="A7830" s="16">
        <v>6700200000</v>
      </c>
      <c r="B7830" s="16">
        <v>0</v>
      </c>
      <c r="C7830" s="16" t="s">
        <v>3404</v>
      </c>
      <c r="D7830" s="16" t="s">
        <v>3409</v>
      </c>
    </row>
    <row r="7831" spans="1:4">
      <c r="A7831" s="16">
        <v>5010000000</v>
      </c>
      <c r="B7831" s="16">
        <v>0</v>
      </c>
      <c r="C7831" s="16" t="s">
        <v>3406</v>
      </c>
      <c r="D7831" s="16" t="s">
        <v>3411</v>
      </c>
    </row>
    <row r="7832" spans="1:4">
      <c r="A7832" s="16">
        <v>6610100100</v>
      </c>
      <c r="B7832" s="16">
        <v>0</v>
      </c>
      <c r="C7832" s="16" t="s">
        <v>3413</v>
      </c>
      <c r="D7832" s="16" t="s">
        <v>3414</v>
      </c>
    </row>
    <row r="7833" spans="1:4">
      <c r="A7833" s="16">
        <v>5010000010</v>
      </c>
      <c r="B7833" s="16">
        <v>0</v>
      </c>
      <c r="C7833" s="16" t="s">
        <v>3406</v>
      </c>
      <c r="D7833" s="16" t="s">
        <v>3411</v>
      </c>
    </row>
    <row r="7834" spans="1:4">
      <c r="A7834" s="16">
        <v>6610000000</v>
      </c>
      <c r="B7834" s="16">
        <v>0</v>
      </c>
      <c r="C7834" s="16" t="s">
        <v>3413</v>
      </c>
      <c r="D7834" s="16" t="s">
        <v>3418</v>
      </c>
    </row>
    <row r="7835" spans="1:4">
      <c r="A7835" s="16">
        <v>3800000000</v>
      </c>
      <c r="B7835" s="16">
        <v>0</v>
      </c>
      <c r="C7835" s="16" t="s">
        <v>3402</v>
      </c>
      <c r="D7835" s="16" t="s">
        <v>3403</v>
      </c>
    </row>
    <row r="7836" spans="1:4">
      <c r="A7836" s="16">
        <v>6700200000</v>
      </c>
      <c r="B7836" s="16">
        <v>0</v>
      </c>
      <c r="C7836" s="16" t="s">
        <v>3404</v>
      </c>
      <c r="D7836" s="16" t="s">
        <v>3409</v>
      </c>
    </row>
    <row r="7837" spans="1:4">
      <c r="A7837" s="16">
        <v>4610000000</v>
      </c>
      <c r="B7837" s="16">
        <v>-1008327</v>
      </c>
      <c r="C7837" s="16" t="s">
        <v>3428</v>
      </c>
      <c r="D7837" s="16" t="s">
        <v>3403</v>
      </c>
    </row>
    <row r="7838" spans="1:4">
      <c r="A7838" s="16">
        <v>3710000000</v>
      </c>
      <c r="B7838" s="16">
        <v>0</v>
      </c>
      <c r="C7838" s="16" t="s">
        <v>3402</v>
      </c>
      <c r="D7838" s="16" t="s">
        <v>3403</v>
      </c>
    </row>
    <row r="7839" spans="1:4">
      <c r="A7839" s="16">
        <v>4203000000</v>
      </c>
      <c r="B7839" s="16">
        <v>0</v>
      </c>
      <c r="C7839" s="16" t="s">
        <v>3408</v>
      </c>
      <c r="D7839" s="16" t="s">
        <v>3403</v>
      </c>
    </row>
    <row r="7840" spans="1:4">
      <c r="A7840" s="16">
        <v>4203000000</v>
      </c>
      <c r="B7840" s="16">
        <v>0</v>
      </c>
      <c r="C7840" s="16" t="s">
        <v>3408</v>
      </c>
      <c r="D7840" s="16" t="s">
        <v>3403</v>
      </c>
    </row>
    <row r="7841" spans="1:4">
      <c r="A7841" s="16">
        <v>3103000000</v>
      </c>
      <c r="B7841" s="16">
        <v>-5301805</v>
      </c>
      <c r="C7841" s="16" t="s">
        <v>3402</v>
      </c>
      <c r="D7841" s="16" t="s">
        <v>3403</v>
      </c>
    </row>
    <row r="7842" spans="1:4">
      <c r="A7842" s="16">
        <v>6700200000</v>
      </c>
      <c r="B7842" s="16">
        <v>0</v>
      </c>
      <c r="C7842" s="16" t="s">
        <v>3404</v>
      </c>
      <c r="D7842" s="16" t="s">
        <v>3409</v>
      </c>
    </row>
    <row r="7843" spans="1:4">
      <c r="A7843" s="16">
        <v>2500000000</v>
      </c>
      <c r="B7843" s="16">
        <v>0</v>
      </c>
      <c r="C7843" s="16" t="s">
        <v>3412</v>
      </c>
      <c r="D7843" s="16" t="s">
        <v>3403</v>
      </c>
    </row>
    <row r="7844" spans="1:4">
      <c r="A7844" s="16">
        <v>2201200030</v>
      </c>
      <c r="B7844" s="16">
        <v>0</v>
      </c>
      <c r="C7844" s="16" t="s">
        <v>3415</v>
      </c>
      <c r="D7844" s="16" t="s">
        <v>3403</v>
      </c>
    </row>
    <row r="7845" spans="1:4">
      <c r="A7845" s="16">
        <v>3510000000</v>
      </c>
      <c r="B7845" s="16">
        <v>0</v>
      </c>
      <c r="C7845" s="16" t="s">
        <v>3402</v>
      </c>
      <c r="D7845" s="16" t="s">
        <v>3403</v>
      </c>
    </row>
    <row r="7846" spans="1:4">
      <c r="A7846" s="16">
        <v>5010100010</v>
      </c>
      <c r="B7846" s="16">
        <v>0</v>
      </c>
      <c r="C7846" s="16" t="s">
        <v>3406</v>
      </c>
      <c r="D7846" s="16" t="s">
        <v>3407</v>
      </c>
    </row>
    <row r="7847" spans="1:4">
      <c r="A7847" s="16">
        <v>6610000000</v>
      </c>
      <c r="B7847" s="16">
        <v>0</v>
      </c>
      <c r="C7847" s="16" t="s">
        <v>3413</v>
      </c>
      <c r="D7847" s="16" t="s">
        <v>3418</v>
      </c>
    </row>
    <row r="7848" spans="1:4">
      <c r="A7848" s="16">
        <v>3103000000</v>
      </c>
      <c r="B7848" s="16">
        <v>0</v>
      </c>
      <c r="C7848" s="16" t="s">
        <v>3402</v>
      </c>
      <c r="D7848" s="16" t="s">
        <v>3403</v>
      </c>
    </row>
    <row r="7849" spans="1:4">
      <c r="A7849" s="16">
        <v>6700000000</v>
      </c>
      <c r="B7849" s="16">
        <v>0</v>
      </c>
      <c r="C7849" s="16" t="s">
        <v>3404</v>
      </c>
      <c r="D7849" s="16" t="s">
        <v>3405</v>
      </c>
    </row>
    <row r="7850" spans="1:4">
      <c r="A7850" s="16">
        <v>5050010000</v>
      </c>
      <c r="B7850" s="16">
        <v>0</v>
      </c>
      <c r="C7850" s="16" t="s">
        <v>3406</v>
      </c>
      <c r="D7850" s="16" t="s">
        <v>3422</v>
      </c>
    </row>
    <row r="7851" spans="1:4">
      <c r="A7851" s="16">
        <v>3710000000</v>
      </c>
      <c r="B7851" s="16">
        <v>0</v>
      </c>
      <c r="C7851" s="16" t="s">
        <v>3402</v>
      </c>
      <c r="D7851" s="16" t="s">
        <v>3403</v>
      </c>
    </row>
    <row r="7852" spans="1:4">
      <c r="A7852" s="16">
        <v>4203000000</v>
      </c>
      <c r="B7852" s="16">
        <v>0</v>
      </c>
      <c r="C7852" s="16" t="s">
        <v>3408</v>
      </c>
      <c r="D7852" s="16" t="s">
        <v>3403</v>
      </c>
    </row>
    <row r="7853" spans="1:4">
      <c r="A7853" s="16">
        <v>6700700000</v>
      </c>
      <c r="B7853" s="16">
        <v>0</v>
      </c>
      <c r="C7853" s="16" t="s">
        <v>3404</v>
      </c>
      <c r="D7853" s="16" t="s">
        <v>3409</v>
      </c>
    </row>
    <row r="7854" spans="1:4">
      <c r="A7854" s="16">
        <v>6700100000</v>
      </c>
      <c r="B7854" s="16">
        <v>0</v>
      </c>
      <c r="C7854" s="16" t="s">
        <v>3404</v>
      </c>
      <c r="D7854" s="16" t="s">
        <v>3410</v>
      </c>
    </row>
    <row r="7855" spans="1:4">
      <c r="A7855" s="16">
        <v>6700200000</v>
      </c>
      <c r="B7855" s="16">
        <v>0</v>
      </c>
      <c r="C7855" s="16" t="s">
        <v>3404</v>
      </c>
      <c r="D7855" s="16" t="s">
        <v>3409</v>
      </c>
    </row>
    <row r="7856" spans="1:4">
      <c r="A7856" s="16">
        <v>5010100000</v>
      </c>
      <c r="B7856" s="16">
        <v>0</v>
      </c>
      <c r="C7856" s="16" t="s">
        <v>3406</v>
      </c>
      <c r="D7856" s="16" t="s">
        <v>3407</v>
      </c>
    </row>
    <row r="7857" spans="1:4">
      <c r="A7857" s="16">
        <v>5010100010</v>
      </c>
      <c r="B7857" s="16">
        <v>0</v>
      </c>
      <c r="C7857" s="16" t="s">
        <v>3406</v>
      </c>
      <c r="D7857" s="16" t="s">
        <v>3407</v>
      </c>
    </row>
    <row r="7858" spans="1:4">
      <c r="A7858" s="16">
        <v>6100000000</v>
      </c>
      <c r="B7858" s="16">
        <v>39785</v>
      </c>
      <c r="C7858" s="16" t="s">
        <v>3416</v>
      </c>
      <c r="D7858" s="16" t="s">
        <v>3417</v>
      </c>
    </row>
    <row r="7859" spans="1:4">
      <c r="A7859" s="16">
        <v>2201000000</v>
      </c>
      <c r="B7859" s="16">
        <v>0</v>
      </c>
      <c r="C7859" s="16" t="s">
        <v>3415</v>
      </c>
      <c r="D7859" s="16" t="s">
        <v>3403</v>
      </c>
    </row>
    <row r="7860" spans="1:4">
      <c r="A7860" s="16">
        <v>3710000000</v>
      </c>
      <c r="B7860" s="16">
        <v>0</v>
      </c>
      <c r="C7860" s="16" t="s">
        <v>3402</v>
      </c>
      <c r="D7860" s="16" t="s">
        <v>3403</v>
      </c>
    </row>
    <row r="7861" spans="1:4">
      <c r="A7861" s="16">
        <v>4203000000</v>
      </c>
      <c r="B7861" s="16">
        <v>0</v>
      </c>
      <c r="C7861" s="16" t="s">
        <v>3408</v>
      </c>
      <c r="D7861" s="16" t="s">
        <v>3403</v>
      </c>
    </row>
    <row r="7862" spans="1:4">
      <c r="A7862" s="16">
        <v>5050000000</v>
      </c>
      <c r="B7862" s="16">
        <v>0</v>
      </c>
      <c r="C7862" s="16" t="s">
        <v>3406</v>
      </c>
      <c r="D7862" s="16" t="s">
        <v>3422</v>
      </c>
    </row>
    <row r="7863" spans="1:4">
      <c r="A7863" s="16">
        <v>2750010000</v>
      </c>
      <c r="B7863" s="16">
        <v>0</v>
      </c>
      <c r="C7863" s="16" t="s">
        <v>3419</v>
      </c>
      <c r="D7863" s="16" t="s">
        <v>3403</v>
      </c>
    </row>
    <row r="7864" spans="1:4">
      <c r="A7864" s="16">
        <v>6700500000</v>
      </c>
      <c r="B7864" s="16">
        <v>0</v>
      </c>
      <c r="C7864" s="16" t="s">
        <v>3404</v>
      </c>
      <c r="D7864" s="16" t="s">
        <v>3405</v>
      </c>
    </row>
    <row r="7865" spans="1:4">
      <c r="A7865" s="16">
        <v>3102000000</v>
      </c>
      <c r="B7865" s="16">
        <v>0</v>
      </c>
      <c r="C7865" s="16" t="s">
        <v>3424</v>
      </c>
      <c r="D7865" s="16" t="s">
        <v>3403</v>
      </c>
    </row>
    <row r="7866" spans="1:4">
      <c r="A7866" s="16">
        <v>3032000000</v>
      </c>
      <c r="B7866" s="16">
        <v>0</v>
      </c>
      <c r="C7866" s="16" t="s">
        <v>3424</v>
      </c>
      <c r="D7866" s="16" t="s">
        <v>3403</v>
      </c>
    </row>
    <row r="7867" spans="1:4">
      <c r="A7867" s="16">
        <v>6700100000</v>
      </c>
      <c r="B7867" s="16">
        <v>0</v>
      </c>
      <c r="C7867" s="16" t="s">
        <v>3404</v>
      </c>
      <c r="D7867" s="16" t="s">
        <v>3410</v>
      </c>
    </row>
    <row r="7868" spans="1:4">
      <c r="A7868" s="16">
        <v>3710000000</v>
      </c>
      <c r="B7868" s="16">
        <v>0</v>
      </c>
      <c r="C7868" s="16" t="s">
        <v>3402</v>
      </c>
      <c r="D7868" s="16" t="s">
        <v>3403</v>
      </c>
    </row>
    <row r="7869" spans="1:4">
      <c r="A7869" s="16">
        <v>6700600000</v>
      </c>
      <c r="B7869" s="16">
        <v>0</v>
      </c>
      <c r="C7869" s="16" t="s">
        <v>3404</v>
      </c>
      <c r="D7869" s="16" t="s">
        <v>3409</v>
      </c>
    </row>
    <row r="7870" spans="1:4">
      <c r="A7870" s="16">
        <v>3100000000</v>
      </c>
      <c r="B7870" s="16">
        <v>-39785</v>
      </c>
      <c r="C7870" s="16" t="s">
        <v>3402</v>
      </c>
      <c r="D7870" s="16" t="s">
        <v>3403</v>
      </c>
    </row>
    <row r="7871" spans="1:4">
      <c r="A7871" s="16">
        <v>6700200000</v>
      </c>
      <c r="B7871" s="16">
        <v>0</v>
      </c>
      <c r="C7871" s="16" t="s">
        <v>3404</v>
      </c>
      <c r="D7871" s="16" t="s">
        <v>3409</v>
      </c>
    </row>
    <row r="7872" spans="1:4">
      <c r="A7872" s="16">
        <v>2201000000</v>
      </c>
      <c r="B7872" s="16">
        <v>0</v>
      </c>
      <c r="C7872" s="16" t="s">
        <v>3415</v>
      </c>
      <c r="D7872" s="16" t="s">
        <v>3403</v>
      </c>
    </row>
    <row r="7873" spans="1:4">
      <c r="A7873" s="16">
        <v>6700200000</v>
      </c>
      <c r="B7873" s="16">
        <v>0</v>
      </c>
      <c r="C7873" s="16" t="s">
        <v>3404</v>
      </c>
      <c r="D7873" s="16" t="s">
        <v>3409</v>
      </c>
    </row>
    <row r="7874" spans="1:4">
      <c r="A7874" s="16">
        <v>6610100000</v>
      </c>
      <c r="B7874" s="16">
        <v>0</v>
      </c>
      <c r="C7874" s="16" t="s">
        <v>3413</v>
      </c>
      <c r="D7874" s="16" t="s">
        <v>3414</v>
      </c>
    </row>
    <row r="7875" spans="1:4">
      <c r="A7875" s="16">
        <v>6100000020</v>
      </c>
      <c r="B7875" s="16">
        <v>0</v>
      </c>
      <c r="C7875" s="16" t="s">
        <v>3416</v>
      </c>
      <c r="D7875" s="16" t="s">
        <v>3417</v>
      </c>
    </row>
    <row r="7876" spans="1:4">
      <c r="A7876" s="16">
        <v>2500000000</v>
      </c>
      <c r="B7876" s="16">
        <v>18175821</v>
      </c>
      <c r="C7876" s="16" t="s">
        <v>3412</v>
      </c>
      <c r="D7876" s="16" t="s">
        <v>3403</v>
      </c>
    </row>
    <row r="7877" spans="1:4">
      <c r="A7877" s="16">
        <v>6700200000</v>
      </c>
      <c r="B7877" s="16">
        <v>0</v>
      </c>
      <c r="C7877" s="16" t="s">
        <v>3404</v>
      </c>
      <c r="D7877" s="16" t="s">
        <v>3409</v>
      </c>
    </row>
    <row r="7878" spans="1:4">
      <c r="A7878" s="16">
        <v>6610000100</v>
      </c>
      <c r="B7878" s="16">
        <v>0</v>
      </c>
      <c r="C7878" s="16" t="s">
        <v>3413</v>
      </c>
      <c r="D7878" s="16" t="s">
        <v>3418</v>
      </c>
    </row>
    <row r="7879" spans="1:4">
      <c r="A7879" s="16">
        <v>6700600000</v>
      </c>
      <c r="B7879" s="16">
        <v>0</v>
      </c>
      <c r="C7879" s="16" t="s">
        <v>3404</v>
      </c>
      <c r="D7879" s="16" t="s">
        <v>3409</v>
      </c>
    </row>
    <row r="7880" spans="1:4">
      <c r="A7880" s="16">
        <v>5052010000</v>
      </c>
      <c r="B7880" s="16">
        <v>0</v>
      </c>
      <c r="C7880" s="16" t="s">
        <v>3406</v>
      </c>
      <c r="D7880" s="16" t="s">
        <v>3422</v>
      </c>
    </row>
    <row r="7881" spans="1:4">
      <c r="A7881" s="16">
        <v>6104000000</v>
      </c>
      <c r="B7881" s="16">
        <v>0</v>
      </c>
      <c r="C7881" s="16" t="s">
        <v>3416</v>
      </c>
      <c r="D7881" s="16" t="s">
        <v>3417</v>
      </c>
    </row>
    <row r="7882" spans="1:4">
      <c r="A7882" s="16">
        <v>6102000000</v>
      </c>
      <c r="B7882" s="16">
        <v>0</v>
      </c>
      <c r="C7882" s="16" t="s">
        <v>3425</v>
      </c>
      <c r="D7882" s="16" t="s">
        <v>3426</v>
      </c>
    </row>
    <row r="7883" spans="1:4">
      <c r="A7883" s="16">
        <v>2201000000</v>
      </c>
      <c r="B7883" s="16">
        <v>0</v>
      </c>
      <c r="C7883" s="16" t="s">
        <v>3415</v>
      </c>
      <c r="D7883" s="16" t="s">
        <v>3403</v>
      </c>
    </row>
    <row r="7884" spans="1:4">
      <c r="A7884" s="16">
        <v>6700200000</v>
      </c>
      <c r="B7884" s="16">
        <v>0</v>
      </c>
      <c r="C7884" s="16" t="s">
        <v>3404</v>
      </c>
      <c r="D7884" s="16" t="s">
        <v>3409</v>
      </c>
    </row>
    <row r="7885" spans="1:4">
      <c r="A7885" s="16">
        <v>6032000000</v>
      </c>
      <c r="B7885" s="16">
        <v>0</v>
      </c>
      <c r="C7885" s="16" t="s">
        <v>3429</v>
      </c>
      <c r="D7885" s="16" t="s">
        <v>3430</v>
      </c>
    </row>
    <row r="7886" spans="1:4">
      <c r="A7886" s="16">
        <v>2500000000</v>
      </c>
      <c r="B7886" s="16">
        <v>0</v>
      </c>
      <c r="C7886" s="16" t="s">
        <v>3412</v>
      </c>
      <c r="D7886" s="16" t="s">
        <v>3403</v>
      </c>
    </row>
    <row r="7887" spans="1:4">
      <c r="A7887" s="16">
        <v>2750010000</v>
      </c>
      <c r="B7887" s="16">
        <v>0</v>
      </c>
      <c r="C7887" s="16" t="s">
        <v>3419</v>
      </c>
      <c r="D7887" s="16" t="s">
        <v>3403</v>
      </c>
    </row>
    <row r="7888" spans="1:4">
      <c r="A7888" s="16">
        <v>2201300000</v>
      </c>
      <c r="B7888" s="16">
        <v>0</v>
      </c>
      <c r="C7888" s="16" t="s">
        <v>3415</v>
      </c>
      <c r="D7888" s="16" t="s">
        <v>3403</v>
      </c>
    </row>
    <row r="7889" spans="1:4">
      <c r="A7889" s="16">
        <v>6700400000</v>
      </c>
      <c r="B7889" s="16">
        <v>0</v>
      </c>
      <c r="C7889" s="16" t="s">
        <v>3404</v>
      </c>
      <c r="D7889" s="16" t="s">
        <v>3405</v>
      </c>
    </row>
    <row r="7890" spans="1:4">
      <c r="A7890" s="16">
        <v>3032000000</v>
      </c>
      <c r="B7890" s="16">
        <v>0</v>
      </c>
      <c r="C7890" s="16" t="s">
        <v>3424</v>
      </c>
      <c r="D7890" s="16" t="s">
        <v>3403</v>
      </c>
    </row>
    <row r="7891" spans="1:4">
      <c r="A7891" s="16">
        <v>6700700000</v>
      </c>
      <c r="B7891" s="16">
        <v>0</v>
      </c>
      <c r="C7891" s="16" t="s">
        <v>3404</v>
      </c>
      <c r="D7891" s="16" t="s">
        <v>3409</v>
      </c>
    </row>
    <row r="7892" spans="1:4">
      <c r="A7892" s="16">
        <v>6700200000</v>
      </c>
      <c r="B7892" s="16">
        <v>0</v>
      </c>
      <c r="C7892" s="16" t="s">
        <v>3404</v>
      </c>
      <c r="D7892" s="16" t="s">
        <v>3409</v>
      </c>
    </row>
    <row r="7893" spans="1:4">
      <c r="A7893" s="16">
        <v>6700100000</v>
      </c>
      <c r="B7893" s="16">
        <v>0</v>
      </c>
      <c r="C7893" s="16" t="s">
        <v>3404</v>
      </c>
      <c r="D7893" s="16" t="s">
        <v>3410</v>
      </c>
    </row>
    <row r="7894" spans="1:4">
      <c r="A7894" s="16">
        <v>4203000000</v>
      </c>
      <c r="B7894" s="16">
        <v>0</v>
      </c>
      <c r="C7894" s="16" t="s">
        <v>3408</v>
      </c>
      <c r="D7894" s="16" t="s">
        <v>3403</v>
      </c>
    </row>
    <row r="7895" spans="1:4">
      <c r="A7895" s="16">
        <v>6700200000</v>
      </c>
      <c r="B7895" s="16">
        <v>0</v>
      </c>
      <c r="C7895" s="16" t="s">
        <v>3404</v>
      </c>
      <c r="D7895" s="16" t="s">
        <v>3409</v>
      </c>
    </row>
    <row r="7896" spans="1:4">
      <c r="A7896" s="16">
        <v>3810000000</v>
      </c>
      <c r="B7896" s="16">
        <v>0</v>
      </c>
      <c r="C7896" s="16" t="s">
        <v>3402</v>
      </c>
      <c r="D7896" s="16" t="s">
        <v>3403</v>
      </c>
    </row>
    <row r="7897" spans="1:4">
      <c r="A7897" s="16">
        <v>3102000000</v>
      </c>
      <c r="B7897" s="16">
        <v>0</v>
      </c>
      <c r="C7897" s="16" t="s">
        <v>3424</v>
      </c>
      <c r="D7897" s="16" t="s">
        <v>3403</v>
      </c>
    </row>
    <row r="7898" spans="1:4">
      <c r="A7898" s="16">
        <v>5010100000</v>
      </c>
      <c r="B7898" s="16">
        <v>-18175821</v>
      </c>
      <c r="C7898" s="16" t="s">
        <v>3406</v>
      </c>
      <c r="D7898" s="16" t="s">
        <v>3407</v>
      </c>
    </row>
    <row r="7899" spans="1:4">
      <c r="A7899" s="16">
        <v>6700000000</v>
      </c>
      <c r="B7899" s="16">
        <v>0</v>
      </c>
      <c r="C7899" s="16" t="s">
        <v>3404</v>
      </c>
      <c r="D7899" s="16" t="s">
        <v>3405</v>
      </c>
    </row>
    <row r="7900" spans="1:4">
      <c r="A7900" s="16">
        <v>3102000000</v>
      </c>
      <c r="B7900" s="16">
        <v>0</v>
      </c>
      <c r="C7900" s="16" t="s">
        <v>3424</v>
      </c>
      <c r="D7900" s="16" t="s">
        <v>3403</v>
      </c>
    </row>
    <row r="7901" spans="1:4">
      <c r="A7901" s="16">
        <v>2500000000</v>
      </c>
      <c r="B7901" s="16">
        <v>0</v>
      </c>
      <c r="C7901" s="16" t="s">
        <v>3412</v>
      </c>
      <c r="D7901" s="16" t="s">
        <v>3403</v>
      </c>
    </row>
    <row r="7902" spans="1:4">
      <c r="A7902" s="16">
        <v>6700400000</v>
      </c>
      <c r="B7902" s="16">
        <v>0</v>
      </c>
      <c r="C7902" s="16" t="s">
        <v>3404</v>
      </c>
      <c r="D7902" s="16" t="s">
        <v>3405</v>
      </c>
    </row>
    <row r="7903" spans="1:4">
      <c r="A7903" s="16">
        <v>5052000000</v>
      </c>
      <c r="B7903" s="16">
        <v>0</v>
      </c>
      <c r="C7903" s="16" t="s">
        <v>3406</v>
      </c>
      <c r="D7903" s="16" t="s">
        <v>3422</v>
      </c>
    </row>
    <row r="7904" spans="1:4">
      <c r="A7904" s="16">
        <v>3103000000</v>
      </c>
      <c r="B7904" s="16">
        <v>0</v>
      </c>
      <c r="C7904" s="16" t="s">
        <v>3402</v>
      </c>
      <c r="D7904" s="16" t="s">
        <v>3403</v>
      </c>
    </row>
    <row r="7905" spans="1:4">
      <c r="A7905" s="16">
        <v>3032000000</v>
      </c>
      <c r="B7905" s="16">
        <v>0</v>
      </c>
      <c r="C7905" s="16" t="s">
        <v>3424</v>
      </c>
      <c r="D7905" s="16" t="s">
        <v>3403</v>
      </c>
    </row>
    <row r="7906" spans="1:4">
      <c r="A7906" s="16">
        <v>6700200000</v>
      </c>
      <c r="B7906" s="16">
        <v>429061</v>
      </c>
      <c r="C7906" s="16" t="s">
        <v>3404</v>
      </c>
      <c r="D7906" s="16" t="s">
        <v>3409</v>
      </c>
    </row>
    <row r="7907" spans="1:4">
      <c r="A7907" s="16">
        <v>6700200000</v>
      </c>
      <c r="B7907" s="16">
        <v>0</v>
      </c>
      <c r="C7907" s="16" t="s">
        <v>3404</v>
      </c>
      <c r="D7907" s="16" t="s">
        <v>3409</v>
      </c>
    </row>
    <row r="7908" spans="1:4">
      <c r="A7908" s="16">
        <v>6700100000</v>
      </c>
      <c r="B7908" s="16">
        <v>0</v>
      </c>
      <c r="C7908" s="16" t="s">
        <v>3404</v>
      </c>
      <c r="D7908" s="16" t="s">
        <v>3410</v>
      </c>
    </row>
    <row r="7909" spans="1:4">
      <c r="A7909" s="16">
        <v>5010000010</v>
      </c>
      <c r="B7909" s="16">
        <v>0</v>
      </c>
      <c r="C7909" s="16" t="s">
        <v>3406</v>
      </c>
      <c r="D7909" s="16" t="s">
        <v>3411</v>
      </c>
    </row>
    <row r="7910" spans="1:4">
      <c r="A7910" s="16">
        <v>5010000000</v>
      </c>
      <c r="B7910" s="16">
        <v>0</v>
      </c>
      <c r="C7910" s="16" t="s">
        <v>3406</v>
      </c>
      <c r="D7910" s="16" t="s">
        <v>3411</v>
      </c>
    </row>
    <row r="7911" spans="1:4">
      <c r="A7911" s="16">
        <v>2500000000</v>
      </c>
      <c r="B7911" s="16">
        <v>0</v>
      </c>
      <c r="C7911" s="16" t="s">
        <v>3412</v>
      </c>
      <c r="D7911" s="16" t="s">
        <v>3403</v>
      </c>
    </row>
    <row r="7912" spans="1:4">
      <c r="A7912" s="16">
        <v>6610100100</v>
      </c>
      <c r="B7912" s="16">
        <v>0</v>
      </c>
      <c r="C7912" s="16" t="s">
        <v>3413</v>
      </c>
      <c r="D7912" s="16" t="s">
        <v>3414</v>
      </c>
    </row>
    <row r="7913" spans="1:4">
      <c r="A7913" s="16">
        <v>6700600000</v>
      </c>
      <c r="B7913" s="16">
        <v>0</v>
      </c>
      <c r="C7913" s="16" t="s">
        <v>3404</v>
      </c>
      <c r="D7913" s="16" t="s">
        <v>3409</v>
      </c>
    </row>
    <row r="7914" spans="1:4">
      <c r="A7914" s="16">
        <v>6032000000</v>
      </c>
      <c r="B7914" s="16">
        <v>0</v>
      </c>
      <c r="C7914" s="16" t="s">
        <v>3429</v>
      </c>
      <c r="D7914" s="16" t="s">
        <v>3430</v>
      </c>
    </row>
    <row r="7915" spans="1:4">
      <c r="A7915" s="16">
        <v>6104000000</v>
      </c>
      <c r="B7915" s="16">
        <v>0</v>
      </c>
      <c r="C7915" s="16" t="s">
        <v>3416</v>
      </c>
      <c r="D7915" s="16" t="s">
        <v>3417</v>
      </c>
    </row>
    <row r="7916" spans="1:4">
      <c r="A7916" s="16">
        <v>6700500000</v>
      </c>
      <c r="B7916" s="16">
        <v>0</v>
      </c>
      <c r="C7916" s="16" t="s">
        <v>3404</v>
      </c>
      <c r="D7916" s="16" t="s">
        <v>3405</v>
      </c>
    </row>
    <row r="7917" spans="1:4">
      <c r="A7917" s="16">
        <v>6700000000</v>
      </c>
      <c r="B7917" s="16">
        <v>0</v>
      </c>
      <c r="C7917" s="16" t="s">
        <v>3404</v>
      </c>
      <c r="D7917" s="16" t="s">
        <v>3405</v>
      </c>
    </row>
    <row r="7918" spans="1:4">
      <c r="A7918" s="16">
        <v>6102000000</v>
      </c>
      <c r="B7918" s="16">
        <v>0</v>
      </c>
      <c r="C7918" s="16" t="s">
        <v>3425</v>
      </c>
      <c r="D7918" s="16" t="s">
        <v>3426</v>
      </c>
    </row>
    <row r="7919" spans="1:4">
      <c r="A7919" s="16">
        <v>6102000000</v>
      </c>
      <c r="B7919" s="16">
        <v>0</v>
      </c>
      <c r="C7919" s="16" t="s">
        <v>3425</v>
      </c>
      <c r="D7919" s="16" t="s">
        <v>3426</v>
      </c>
    </row>
    <row r="7920" spans="1:4">
      <c r="A7920" s="16">
        <v>5010000000</v>
      </c>
      <c r="B7920" s="16">
        <v>0</v>
      </c>
      <c r="C7920" s="16" t="s">
        <v>3406</v>
      </c>
      <c r="D7920" s="16" t="s">
        <v>3411</v>
      </c>
    </row>
    <row r="7921" spans="1:4">
      <c r="A7921" s="16">
        <v>3102000000</v>
      </c>
      <c r="B7921" s="16">
        <v>0</v>
      </c>
      <c r="C7921" s="16" t="s">
        <v>3424</v>
      </c>
      <c r="D7921" s="16" t="s">
        <v>3403</v>
      </c>
    </row>
    <row r="7922" spans="1:4">
      <c r="A7922" s="16">
        <v>2201000030</v>
      </c>
      <c r="B7922" s="16">
        <v>5031551</v>
      </c>
      <c r="C7922" s="16" t="s">
        <v>3415</v>
      </c>
      <c r="D7922" s="16" t="s">
        <v>3403</v>
      </c>
    </row>
    <row r="7923" spans="1:4">
      <c r="A7923" s="16">
        <v>2203000000</v>
      </c>
      <c r="B7923" s="16">
        <v>0</v>
      </c>
      <c r="C7923" s="16" t="s">
        <v>3415</v>
      </c>
      <c r="D7923" s="16" t="s">
        <v>3403</v>
      </c>
    </row>
    <row r="7924" spans="1:4">
      <c r="A7924" s="16">
        <v>6032000000</v>
      </c>
      <c r="B7924" s="16">
        <v>0</v>
      </c>
      <c r="C7924" s="16" t="s">
        <v>3429</v>
      </c>
      <c r="D7924" s="16" t="s">
        <v>3430</v>
      </c>
    </row>
    <row r="7925" spans="1:4">
      <c r="A7925" s="16">
        <v>4611000000</v>
      </c>
      <c r="B7925" s="16">
        <v>0</v>
      </c>
      <c r="C7925" s="16" t="s">
        <v>3428</v>
      </c>
      <c r="D7925" s="16" t="s">
        <v>3403</v>
      </c>
    </row>
    <row r="7926" spans="1:4">
      <c r="A7926" s="16">
        <v>2201200030</v>
      </c>
      <c r="B7926" s="16">
        <v>-429061</v>
      </c>
      <c r="C7926" s="16" t="s">
        <v>3415</v>
      </c>
      <c r="D7926" s="16" t="s">
        <v>3403</v>
      </c>
    </row>
    <row r="7927" spans="1:4">
      <c r="A7927" s="16">
        <v>2500000000</v>
      </c>
      <c r="B7927" s="16">
        <v>0</v>
      </c>
      <c r="C7927" s="16" t="s">
        <v>3412</v>
      </c>
      <c r="D7927" s="16" t="s">
        <v>3403</v>
      </c>
    </row>
    <row r="7928" spans="1:4">
      <c r="A7928" s="16">
        <v>6700700000</v>
      </c>
      <c r="B7928" s="16">
        <v>0</v>
      </c>
      <c r="C7928" s="16" t="s">
        <v>3404</v>
      </c>
      <c r="D7928" s="16" t="s">
        <v>3409</v>
      </c>
    </row>
    <row r="7929" spans="1:4">
      <c r="A7929" s="16">
        <v>3710000000</v>
      </c>
      <c r="B7929" s="16">
        <v>0</v>
      </c>
      <c r="C7929" s="16" t="s">
        <v>3402</v>
      </c>
      <c r="D7929" s="16" t="s">
        <v>3403</v>
      </c>
    </row>
    <row r="7930" spans="1:4">
      <c r="A7930" s="16">
        <v>3032000000</v>
      </c>
      <c r="B7930" s="16">
        <v>4126025</v>
      </c>
      <c r="C7930" s="16" t="s">
        <v>3424</v>
      </c>
      <c r="D7930" s="16" t="s">
        <v>3403</v>
      </c>
    </row>
    <row r="7931" spans="1:4">
      <c r="A7931" s="16">
        <v>6700600000</v>
      </c>
      <c r="B7931" s="16">
        <v>0</v>
      </c>
      <c r="C7931" s="16" t="s">
        <v>3404</v>
      </c>
      <c r="D7931" s="16" t="s">
        <v>3409</v>
      </c>
    </row>
    <row r="7932" spans="1:4">
      <c r="A7932" s="16">
        <v>5010100000</v>
      </c>
      <c r="B7932" s="16">
        <v>0</v>
      </c>
      <c r="C7932" s="16" t="s">
        <v>3406</v>
      </c>
      <c r="D7932" s="16" t="s">
        <v>3407</v>
      </c>
    </row>
    <row r="7933" spans="1:4">
      <c r="A7933" s="16">
        <v>6700200000</v>
      </c>
      <c r="B7933" s="16">
        <v>25684731</v>
      </c>
      <c r="C7933" s="16" t="s">
        <v>3404</v>
      </c>
      <c r="D7933" s="16" t="s">
        <v>3409</v>
      </c>
    </row>
    <row r="7934" spans="1:4">
      <c r="A7934" s="16">
        <v>6060010000</v>
      </c>
      <c r="B7934" s="16">
        <v>0</v>
      </c>
      <c r="C7934" s="16" t="s">
        <v>3420</v>
      </c>
      <c r="D7934" s="16" t="s">
        <v>3421</v>
      </c>
    </row>
    <row r="7935" spans="1:4">
      <c r="A7935" s="16">
        <v>3103000000</v>
      </c>
      <c r="B7935" s="16">
        <v>0</v>
      </c>
      <c r="C7935" s="16" t="s">
        <v>3402</v>
      </c>
      <c r="D7935" s="16" t="s">
        <v>3403</v>
      </c>
    </row>
    <row r="7936" spans="1:4">
      <c r="A7936" s="16">
        <v>2500000000</v>
      </c>
      <c r="B7936" s="16">
        <v>614189</v>
      </c>
      <c r="C7936" s="16" t="s">
        <v>3412</v>
      </c>
      <c r="D7936" s="16" t="s">
        <v>3403</v>
      </c>
    </row>
    <row r="7937" spans="1:4">
      <c r="A7937" s="16">
        <v>6102000000</v>
      </c>
      <c r="B7937" s="16">
        <v>0</v>
      </c>
      <c r="C7937" s="16" t="s">
        <v>3425</v>
      </c>
      <c r="D7937" s="16" t="s">
        <v>3426</v>
      </c>
    </row>
    <row r="7938" spans="1:4">
      <c r="A7938" s="16">
        <v>6700200000</v>
      </c>
      <c r="B7938" s="16">
        <v>-5031551</v>
      </c>
      <c r="C7938" s="16" t="s">
        <v>3404</v>
      </c>
      <c r="D7938" s="16" t="s">
        <v>3409</v>
      </c>
    </row>
    <row r="7939" spans="1:4">
      <c r="A7939" s="16">
        <v>6060110000</v>
      </c>
      <c r="B7939" s="16">
        <v>0</v>
      </c>
      <c r="C7939" s="16" t="s">
        <v>3420</v>
      </c>
      <c r="D7939" s="16" t="s">
        <v>3421</v>
      </c>
    </row>
    <row r="7940" spans="1:4">
      <c r="A7940" s="16">
        <v>3800000010</v>
      </c>
      <c r="B7940" s="16">
        <v>0</v>
      </c>
      <c r="C7940" s="16" t="s">
        <v>3402</v>
      </c>
      <c r="D7940" s="16" t="s">
        <v>3403</v>
      </c>
    </row>
    <row r="7941" spans="1:4">
      <c r="A7941" s="16">
        <v>5010000000</v>
      </c>
      <c r="B7941" s="16">
        <v>0</v>
      </c>
      <c r="C7941" s="16" t="s">
        <v>3406</v>
      </c>
      <c r="D7941" s="16" t="s">
        <v>3411</v>
      </c>
    </row>
    <row r="7942" spans="1:4">
      <c r="A7942" s="16">
        <v>6700500000</v>
      </c>
      <c r="B7942" s="16">
        <v>0</v>
      </c>
      <c r="C7942" s="16" t="s">
        <v>3404</v>
      </c>
      <c r="D7942" s="16" t="s">
        <v>3405</v>
      </c>
    </row>
    <row r="7943" spans="1:4">
      <c r="A7943" s="16">
        <v>6032000000</v>
      </c>
      <c r="B7943" s="16">
        <v>-4126025</v>
      </c>
      <c r="C7943" s="16" t="s">
        <v>3429</v>
      </c>
      <c r="D7943" s="16" t="s">
        <v>3430</v>
      </c>
    </row>
    <row r="7944" spans="1:4">
      <c r="A7944" s="16">
        <v>6700400000</v>
      </c>
      <c r="B7944" s="16">
        <v>0</v>
      </c>
      <c r="C7944" s="16" t="s">
        <v>3404</v>
      </c>
      <c r="D7944" s="16" t="s">
        <v>3405</v>
      </c>
    </row>
    <row r="7945" spans="1:4">
      <c r="A7945" s="16">
        <v>6700000000</v>
      </c>
      <c r="B7945" s="16">
        <v>-25684731</v>
      </c>
      <c r="C7945" s="16" t="s">
        <v>3404</v>
      </c>
      <c r="D7945" s="16" t="s">
        <v>3405</v>
      </c>
    </row>
    <row r="7946" spans="1:4">
      <c r="A7946" s="16">
        <v>5052000000</v>
      </c>
      <c r="B7946" s="16">
        <v>0</v>
      </c>
      <c r="C7946" s="16" t="s">
        <v>3406</v>
      </c>
      <c r="D7946" s="16" t="s">
        <v>3422</v>
      </c>
    </row>
    <row r="7947" spans="1:4">
      <c r="A7947" s="16">
        <v>5010100000</v>
      </c>
      <c r="B7947" s="16">
        <v>-614189</v>
      </c>
      <c r="C7947" s="16" t="s">
        <v>3406</v>
      </c>
      <c r="D7947" s="16" t="s">
        <v>3407</v>
      </c>
    </row>
  </sheetData>
  <autoFilter ref="I1:K63"/>
  <phoneticPr fontId="4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V1</vt:lpstr>
      <vt:lpstr>Sheet1</vt:lpstr>
      <vt:lpstr>Table</vt:lpstr>
      <vt:lpstr>Data-WK</vt:lpstr>
      <vt:lpstr>IFRS only</vt:lpstr>
      <vt:lpstr>ETL Scope</vt:lpstr>
    </vt:vector>
  </TitlesOfParts>
  <Company>AIA.BIZ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ncar193</dc:creator>
  <cp:lastModifiedBy>ncar193</cp:lastModifiedBy>
  <dcterms:created xsi:type="dcterms:W3CDTF">2018-05-16T01:57:17Z</dcterms:created>
  <dcterms:modified xsi:type="dcterms:W3CDTF">2018-06-15T06:49:33Z</dcterms:modified>
</cp:coreProperties>
</file>